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EFC1F54-951C-4EE2-A674-8EA9D01C6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3" r:id="rId1"/>
    <sheet name="Submetering" sheetId="12" r:id="rId2"/>
    <sheet name="Elect" sheetId="1" r:id="rId3"/>
    <sheet name="Sheet1" sheetId="14" state="hidden" r:id="rId4"/>
    <sheet name="Sheet2" sheetId="15" state="hidden" r:id="rId5"/>
    <sheet name="Gas" sheetId="6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Water" sheetId="2" r:id="rId11"/>
    <sheet name="Utility Consnsumption" sheetId="11" r:id="rId12"/>
  </sheets>
  <definedNames>
    <definedName name="_xlnm.Print_Area" localSheetId="6">Consp!$A$1:$BQ$40</definedName>
    <definedName name="_xlnm.Print_Area" localSheetId="2">Elect!$A$1:$BZ$40</definedName>
    <definedName name="_xlnm.Print_Area" localSheetId="5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10">Water!$A$1:$Z$50</definedName>
    <definedName name="_xlnm.Print_Area" localSheetId="9">YTD!$A$1:$Q$2370</definedName>
    <definedName name="_xlnm.Print_Titles" localSheetId="6">Consp!$A:$A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6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M25" i="1"/>
  <c r="M26" i="1"/>
  <c r="M27" i="1"/>
  <c r="M28" i="1"/>
  <c r="U27" i="1"/>
  <c r="BF21" i="1"/>
  <c r="AT20" i="1"/>
  <c r="W17" i="1"/>
  <c r="J17" i="1"/>
  <c r="S8" i="1"/>
  <c r="S9" i="1"/>
  <c r="Q9" i="1"/>
  <c r="Q8" i="1"/>
  <c r="K27" i="1" l="1"/>
  <c r="K26" i="1"/>
  <c r="K14" i="1"/>
  <c r="K25" i="1"/>
  <c r="K13" i="1"/>
  <c r="G9" i="12" s="1"/>
  <c r="K24" i="1"/>
  <c r="G20" i="12" s="1"/>
  <c r="K22" i="1"/>
  <c r="K20" i="1"/>
  <c r="G16" i="12" s="1"/>
  <c r="K19" i="1"/>
  <c r="G15" i="12" s="1"/>
  <c r="K18" i="1"/>
  <c r="K17" i="1"/>
  <c r="G13" i="12" s="1"/>
  <c r="K16" i="1"/>
  <c r="G12" i="12" s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AO30" i="12" s="1"/>
  <c r="G36" i="6"/>
  <c r="G37" i="6"/>
  <c r="E36" i="6"/>
  <c r="E37" i="6"/>
  <c r="E31" i="6"/>
  <c r="H31" i="6" s="1"/>
  <c r="E32" i="6"/>
  <c r="E33" i="6"/>
  <c r="E34" i="6"/>
  <c r="AN29" i="12" s="1"/>
  <c r="E35" i="6"/>
  <c r="AN30" i="12" s="1"/>
  <c r="E30" i="6"/>
  <c r="G9" i="2"/>
  <c r="G10" i="2"/>
  <c r="AK5" i="12" s="1"/>
  <c r="G11" i="2"/>
  <c r="G12" i="2"/>
  <c r="G13" i="2"/>
  <c r="G14" i="2"/>
  <c r="G15" i="2"/>
  <c r="G16" i="2"/>
  <c r="AK11" i="12" s="1"/>
  <c r="G17" i="2"/>
  <c r="AK12" i="12" s="1"/>
  <c r="G18" i="2"/>
  <c r="AK13" i="12" s="1"/>
  <c r="G19" i="2"/>
  <c r="AK14" i="12" s="1"/>
  <c r="G20" i="2"/>
  <c r="AK15" i="12" s="1"/>
  <c r="G21" i="2"/>
  <c r="AK16" i="12" s="1"/>
  <c r="G22" i="2"/>
  <c r="AK17" i="12" s="1"/>
  <c r="G23" i="2"/>
  <c r="G24" i="2"/>
  <c r="G25" i="2"/>
  <c r="G26" i="2"/>
  <c r="G27" i="2"/>
  <c r="AK22" i="12" s="1"/>
  <c r="G28" i="2"/>
  <c r="AK23" i="12" s="1"/>
  <c r="G29" i="2"/>
  <c r="AK24" i="12" s="1"/>
  <c r="G30" i="2"/>
  <c r="AK25" i="12" s="1"/>
  <c r="G31" i="2"/>
  <c r="G32" i="2"/>
  <c r="AK27" i="12" s="1"/>
  <c r="G33" i="2"/>
  <c r="AK28" i="12" s="1"/>
  <c r="G34" i="2"/>
  <c r="AK29" i="12" s="1"/>
  <c r="G35" i="2"/>
  <c r="G36" i="2"/>
  <c r="G37" i="2"/>
  <c r="E29" i="2"/>
  <c r="E30" i="2"/>
  <c r="E31" i="2"/>
  <c r="AJ26" i="12" s="1"/>
  <c r="E32" i="2"/>
  <c r="E33" i="2"/>
  <c r="K31" i="9" s="1"/>
  <c r="E34" i="2"/>
  <c r="E35" i="2"/>
  <c r="E36" i="2"/>
  <c r="E37" i="2"/>
  <c r="AJ32" i="12" s="1"/>
  <c r="E26" i="2"/>
  <c r="E27" i="2"/>
  <c r="E28" i="2"/>
  <c r="E23" i="2"/>
  <c r="E24" i="2"/>
  <c r="AJ19" i="12" s="1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AJ13" i="12" s="1"/>
  <c r="C27" i="2"/>
  <c r="C28" i="2"/>
  <c r="AI23" i="12" s="1"/>
  <c r="C29" i="2"/>
  <c r="C30" i="2"/>
  <c r="H30" i="2" s="1"/>
  <c r="C31" i="2"/>
  <c r="C32" i="2"/>
  <c r="C33" i="2"/>
  <c r="C34" i="2"/>
  <c r="C35" i="2"/>
  <c r="C36" i="2"/>
  <c r="AI31" i="12" s="1"/>
  <c r="C37" i="2"/>
  <c r="C22" i="2"/>
  <c r="C23" i="2"/>
  <c r="C24" i="2"/>
  <c r="C25" i="2"/>
  <c r="C26" i="2"/>
  <c r="C19" i="2"/>
  <c r="C20" i="2"/>
  <c r="C21" i="2"/>
  <c r="C7" i="2"/>
  <c r="C8" i="2"/>
  <c r="C9" i="2"/>
  <c r="I7" i="9" s="1"/>
  <c r="C10" i="2"/>
  <c r="C11" i="2"/>
  <c r="C12" i="2"/>
  <c r="H12" i="2" s="1"/>
  <c r="C13" i="2"/>
  <c r="C14" i="2"/>
  <c r="C15" i="2"/>
  <c r="C16" i="2"/>
  <c r="C17" i="2"/>
  <c r="C18" i="2"/>
  <c r="BF6" i="1"/>
  <c r="AB2" i="12"/>
  <c r="BF7" i="1"/>
  <c r="AB3" i="12"/>
  <c r="BF8" i="1"/>
  <c r="BI8" i="1" s="1"/>
  <c r="AB4" i="12"/>
  <c r="BF9" i="1"/>
  <c r="AB5" i="12"/>
  <c r="BF10" i="1"/>
  <c r="AB6" i="12"/>
  <c r="BF11" i="1"/>
  <c r="AB7" i="12"/>
  <c r="BF12" i="1"/>
  <c r="AB8" i="12"/>
  <c r="BF13" i="1"/>
  <c r="AB9" i="12"/>
  <c r="BF14" i="1"/>
  <c r="BI14" i="1" s="1"/>
  <c r="AB10" i="12"/>
  <c r="BF15" i="1"/>
  <c r="AB11" i="12"/>
  <c r="BF16" i="1"/>
  <c r="BI16" i="1" s="1"/>
  <c r="BJ16" i="1" s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 s="1"/>
  <c r="BF24" i="1"/>
  <c r="AB20" i="12" s="1"/>
  <c r="BF25" i="1"/>
  <c r="AB21" i="12"/>
  <c r="BF26" i="1"/>
  <c r="AB22" i="12"/>
  <c r="BF27" i="1"/>
  <c r="AB23" i="12"/>
  <c r="BF28" i="1"/>
  <c r="AB24" i="12"/>
  <c r="BF29" i="1"/>
  <c r="AB25" i="12" s="1"/>
  <c r="BF30" i="1"/>
  <c r="AB26" i="12"/>
  <c r="BF31" i="1"/>
  <c r="AB27" i="12"/>
  <c r="BF32" i="1"/>
  <c r="AB28" i="12"/>
  <c r="BF33" i="1"/>
  <c r="AB29" i="12"/>
  <c r="BF34" i="1"/>
  <c r="AB30" i="12"/>
  <c r="BF35" i="1"/>
  <c r="BF36" i="1"/>
  <c r="AB32" i="12" s="1"/>
  <c r="BD6" i="1"/>
  <c r="AA2" i="12"/>
  <c r="BD7" i="1"/>
  <c r="AA3" i="12" s="1"/>
  <c r="BD8" i="1"/>
  <c r="AA4" i="12"/>
  <c r="BD9" i="1"/>
  <c r="AA5" i="12"/>
  <c r="BD10" i="1"/>
  <c r="AA6" i="12" s="1"/>
  <c r="BD11" i="1"/>
  <c r="AA7" i="12" s="1"/>
  <c r="BD12" i="1"/>
  <c r="AA8" i="12"/>
  <c r="BD13" i="1"/>
  <c r="AA9" i="12"/>
  <c r="BD14" i="1"/>
  <c r="AA10" i="12" s="1"/>
  <c r="BD15" i="1"/>
  <c r="AA11" i="12"/>
  <c r="BD16" i="1"/>
  <c r="AA12" i="12" s="1"/>
  <c r="BD17" i="1"/>
  <c r="AA13" i="12" s="1"/>
  <c r="BD18" i="1"/>
  <c r="AA14" i="12"/>
  <c r="BD19" i="1"/>
  <c r="AA15" i="12"/>
  <c r="BD20" i="1"/>
  <c r="BI20" i="1" s="1"/>
  <c r="BJ20" i="1" s="1"/>
  <c r="AA16" i="12"/>
  <c r="BD21" i="1"/>
  <c r="AA17" i="12" s="1"/>
  <c r="BD22" i="1"/>
  <c r="AA18" i="12" s="1"/>
  <c r="BD23" i="1"/>
  <c r="AA19" i="12" s="1"/>
  <c r="BD24" i="1"/>
  <c r="AA20" i="12"/>
  <c r="BD25" i="1"/>
  <c r="AA21" i="12"/>
  <c r="BD26" i="1"/>
  <c r="AA22" i="12"/>
  <c r="BD27" i="1"/>
  <c r="BI27" i="1" s="1"/>
  <c r="AA23" i="12"/>
  <c r="BD28" i="1"/>
  <c r="AA24" i="12" s="1"/>
  <c r="BD29" i="1"/>
  <c r="AA25" i="12" s="1"/>
  <c r="BD30" i="1"/>
  <c r="AA26" i="12"/>
  <c r="BD31" i="1"/>
  <c r="AA27" i="12"/>
  <c r="BD32" i="1"/>
  <c r="AA28" i="12"/>
  <c r="BD33" i="1"/>
  <c r="AA29" i="12"/>
  <c r="BD34" i="1"/>
  <c r="AA30" i="12" s="1"/>
  <c r="BD35" i="1"/>
  <c r="AA31" i="12" s="1"/>
  <c r="BD36" i="1"/>
  <c r="AA32" i="12"/>
  <c r="BF5" i="1"/>
  <c r="BD5" i="1"/>
  <c r="BP6" i="1"/>
  <c r="BP7" i="1"/>
  <c r="AU6" i="9" s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Y3" i="12" s="1"/>
  <c r="AZ8" i="1"/>
  <c r="Y4" i="12" s="1"/>
  <c r="AZ9" i="1"/>
  <c r="Y5" i="12" s="1"/>
  <c r="AT6" i="1"/>
  <c r="AT7" i="1"/>
  <c r="AT8" i="1"/>
  <c r="AT9" i="1"/>
  <c r="AT10" i="1"/>
  <c r="AT11" i="1"/>
  <c r="AT12" i="1"/>
  <c r="AT13" i="1"/>
  <c r="V9" i="12" s="1"/>
  <c r="AT14" i="1"/>
  <c r="V10" i="12" s="1"/>
  <c r="AT15" i="1"/>
  <c r="V11" i="12" s="1"/>
  <c r="AT16" i="1"/>
  <c r="V12" i="12" s="1"/>
  <c r="AT17" i="1"/>
  <c r="V13" i="12" s="1"/>
  <c r="AT18" i="1"/>
  <c r="AT19" i="1"/>
  <c r="AT21" i="1"/>
  <c r="AT22" i="1"/>
  <c r="AT23" i="1"/>
  <c r="V19" i="12" s="1"/>
  <c r="AT24" i="1"/>
  <c r="AT25" i="1"/>
  <c r="AT26" i="1"/>
  <c r="V22" i="12" s="1"/>
  <c r="AT27" i="1"/>
  <c r="V23" i="12" s="1"/>
  <c r="AT28" i="1"/>
  <c r="V24" i="12" s="1"/>
  <c r="AT29" i="1"/>
  <c r="V25" i="12" s="1"/>
  <c r="AT30" i="1"/>
  <c r="AT31" i="1"/>
  <c r="AT32" i="1"/>
  <c r="AT33" i="1"/>
  <c r="AT34" i="1"/>
  <c r="AT35" i="1"/>
  <c r="AT36" i="1"/>
  <c r="V32" i="12" s="1"/>
  <c r="AT5" i="1"/>
  <c r="AP6" i="1"/>
  <c r="T2" i="12" s="1"/>
  <c r="AP7" i="1"/>
  <c r="AP8" i="1"/>
  <c r="T4" i="12" s="1"/>
  <c r="AP9" i="1"/>
  <c r="T5" i="12" s="1"/>
  <c r="AP10" i="1"/>
  <c r="AP11" i="1"/>
  <c r="AP12" i="1"/>
  <c r="AP13" i="1"/>
  <c r="AP14" i="1"/>
  <c r="AP15" i="1"/>
  <c r="AP16" i="1"/>
  <c r="AP17" i="1"/>
  <c r="AP18" i="1"/>
  <c r="AP19" i="1"/>
  <c r="AP20" i="1"/>
  <c r="T16" i="12" s="1"/>
  <c r="AP21" i="1"/>
  <c r="T17" i="12" s="1"/>
  <c r="AP22" i="1"/>
  <c r="AP23" i="1"/>
  <c r="AP24" i="1"/>
  <c r="AP25" i="1"/>
  <c r="AP26" i="1"/>
  <c r="AP27" i="1"/>
  <c r="T23" i="12" s="1"/>
  <c r="AP28" i="1"/>
  <c r="T24" i="12" s="1"/>
  <c r="AP29" i="1"/>
  <c r="T25" i="12" s="1"/>
  <c r="AP30" i="1"/>
  <c r="T26" i="12" s="1"/>
  <c r="AP31" i="1"/>
  <c r="T27" i="12" s="1"/>
  <c r="AP32" i="1"/>
  <c r="T28" i="12" s="1"/>
  <c r="AP33" i="1"/>
  <c r="T29" i="12" s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 s="1"/>
  <c r="AM11" i="1"/>
  <c r="S7" i="12" s="1"/>
  <c r="AM12" i="1"/>
  <c r="S8" i="12"/>
  <c r="AM13" i="1"/>
  <c r="S9" i="12"/>
  <c r="AM14" i="1"/>
  <c r="S10" i="12"/>
  <c r="AM15" i="1"/>
  <c r="S11" i="12" s="1"/>
  <c r="AM16" i="1"/>
  <c r="S12" i="12" s="1"/>
  <c r="AM17" i="1"/>
  <c r="S13" i="12" s="1"/>
  <c r="AM18" i="1"/>
  <c r="S14" i="12"/>
  <c r="AM19" i="1"/>
  <c r="S15" i="12"/>
  <c r="AM20" i="1"/>
  <c r="S16" i="12"/>
  <c r="AM21" i="1"/>
  <c r="S17" i="12"/>
  <c r="AM22" i="1"/>
  <c r="S18" i="12" s="1"/>
  <c r="AM23" i="1"/>
  <c r="S19" i="12" s="1"/>
  <c r="AM24" i="1"/>
  <c r="S20" i="12"/>
  <c r="AM25" i="1"/>
  <c r="AN25" i="1" s="1"/>
  <c r="S21" i="12"/>
  <c r="AM26" i="1"/>
  <c r="S22" i="12"/>
  <c r="AM27" i="1"/>
  <c r="S23" i="12"/>
  <c r="AM28" i="1"/>
  <c r="S24" i="12" s="1"/>
  <c r="AM29" i="1"/>
  <c r="S25" i="12" s="1"/>
  <c r="AM30" i="1"/>
  <c r="S26" i="12"/>
  <c r="AM31" i="1"/>
  <c r="S27" i="12"/>
  <c r="AM32" i="1"/>
  <c r="S28" i="12"/>
  <c r="AM33" i="1"/>
  <c r="S29" i="12"/>
  <c r="AM34" i="1"/>
  <c r="S30" i="12" s="1"/>
  <c r="AM35" i="1"/>
  <c r="S31" i="12" s="1"/>
  <c r="AM36" i="1"/>
  <c r="S32" i="12"/>
  <c r="AM5" i="1"/>
  <c r="AK13" i="1"/>
  <c r="AI6" i="1"/>
  <c r="Q2" i="12" s="1"/>
  <c r="AI7" i="1"/>
  <c r="Q3" i="12" s="1"/>
  <c r="AI8" i="1"/>
  <c r="Q4" i="12" s="1"/>
  <c r="AI9" i="1"/>
  <c r="Q5" i="12" s="1"/>
  <c r="AI10" i="1"/>
  <c r="Q6" i="12" s="1"/>
  <c r="AI11" i="1"/>
  <c r="AI12" i="1"/>
  <c r="AI13" i="1"/>
  <c r="AI14" i="1"/>
  <c r="AI15" i="1"/>
  <c r="Q11" i="12" s="1"/>
  <c r="AI16" i="1"/>
  <c r="Q12" i="12" s="1"/>
  <c r="AI17" i="1"/>
  <c r="Q13" i="12" s="1"/>
  <c r="AI18" i="1"/>
  <c r="AG6" i="1"/>
  <c r="P2" i="12"/>
  <c r="AG7" i="1"/>
  <c r="P3" i="12"/>
  <c r="AG8" i="1"/>
  <c r="P4" i="12" s="1"/>
  <c r="AG9" i="1"/>
  <c r="P5" i="12" s="1"/>
  <c r="AG10" i="1"/>
  <c r="P6" i="12"/>
  <c r="AG11" i="1"/>
  <c r="P7" i="12"/>
  <c r="AG12" i="1"/>
  <c r="P8" i="12"/>
  <c r="AG13" i="1"/>
  <c r="P9" i="12"/>
  <c r="AG14" i="1"/>
  <c r="P10" i="12" s="1"/>
  <c r="AG15" i="1"/>
  <c r="P11" i="12" s="1"/>
  <c r="AG16" i="1"/>
  <c r="P12" i="12" s="1"/>
  <c r="AG17" i="1"/>
  <c r="P13" i="12"/>
  <c r="AG18" i="1"/>
  <c r="P14" i="12"/>
  <c r="AG19" i="1"/>
  <c r="P15" i="12"/>
  <c r="AG20" i="1"/>
  <c r="P16" i="12" s="1"/>
  <c r="AG21" i="1"/>
  <c r="P17" i="12" s="1"/>
  <c r="AG22" i="1"/>
  <c r="P18" i="12"/>
  <c r="AG23" i="1"/>
  <c r="P19" i="12" s="1"/>
  <c r="AG24" i="1"/>
  <c r="P20" i="12"/>
  <c r="AG25" i="1"/>
  <c r="P21" i="12"/>
  <c r="AG26" i="1"/>
  <c r="P22" i="12" s="1"/>
  <c r="AG27" i="1"/>
  <c r="P23" i="12" s="1"/>
  <c r="AG28" i="1"/>
  <c r="P24" i="12"/>
  <c r="AG29" i="1"/>
  <c r="P25" i="12"/>
  <c r="AG30" i="1"/>
  <c r="P26" i="12" s="1"/>
  <c r="AG31" i="1"/>
  <c r="P27" i="12"/>
  <c r="AG32" i="1"/>
  <c r="P28" i="12" s="1"/>
  <c r="AG33" i="1"/>
  <c r="P29" i="12" s="1"/>
  <c r="AG34" i="1"/>
  <c r="P30" i="12" s="1"/>
  <c r="AG35" i="1"/>
  <c r="P31" i="12" s="1"/>
  <c r="AG36" i="1"/>
  <c r="P32" i="12"/>
  <c r="AE6" i="1"/>
  <c r="AE7" i="1"/>
  <c r="O3" i="12" s="1"/>
  <c r="AE8" i="1"/>
  <c r="O4" i="12" s="1"/>
  <c r="AE9" i="1"/>
  <c r="O5" i="12"/>
  <c r="AE10" i="1"/>
  <c r="O6" i="12"/>
  <c r="AE11" i="1"/>
  <c r="O7" i="12"/>
  <c r="AE12" i="1"/>
  <c r="O8" i="12"/>
  <c r="AE13" i="1"/>
  <c r="O9" i="12" s="1"/>
  <c r="AE14" i="1"/>
  <c r="O10" i="12" s="1"/>
  <c r="AE15" i="1"/>
  <c r="O11" i="12"/>
  <c r="AE16" i="1"/>
  <c r="O12" i="12"/>
  <c r="AE17" i="1"/>
  <c r="AN17" i="1" s="1"/>
  <c r="O13" i="12"/>
  <c r="AE18" i="1"/>
  <c r="O14" i="12"/>
  <c r="AE19" i="1"/>
  <c r="O15" i="12" s="1"/>
  <c r="AE20" i="1"/>
  <c r="O16" i="12" s="1"/>
  <c r="AE21" i="1"/>
  <c r="O17" i="12" s="1"/>
  <c r="AE22" i="1"/>
  <c r="O18" i="12"/>
  <c r="AE23" i="1"/>
  <c r="O19" i="12"/>
  <c r="AE24" i="1"/>
  <c r="O20" i="12"/>
  <c r="AE25" i="1"/>
  <c r="O21" i="12" s="1"/>
  <c r="AE26" i="1"/>
  <c r="O22" i="12" s="1"/>
  <c r="AE27" i="1"/>
  <c r="O23" i="12" s="1"/>
  <c r="AE28" i="1"/>
  <c r="O24" i="12" s="1"/>
  <c r="AE29" i="1"/>
  <c r="O25" i="12"/>
  <c r="AE30" i="1"/>
  <c r="O26" i="12"/>
  <c r="AE31" i="1"/>
  <c r="O27" i="12" s="1"/>
  <c r="AE32" i="1"/>
  <c r="O28" i="12" s="1"/>
  <c r="AE33" i="1"/>
  <c r="O29" i="12"/>
  <c r="AE34" i="1"/>
  <c r="O30" i="12"/>
  <c r="AE35" i="1"/>
  <c r="O31" i="12" s="1"/>
  <c r="AE36" i="1"/>
  <c r="O32" i="12"/>
  <c r="AG5" i="1"/>
  <c r="AE5" i="1"/>
  <c r="B48" i="2"/>
  <c r="A42" i="6"/>
  <c r="AR24" i="1"/>
  <c r="U20" i="12" s="1"/>
  <c r="AR25" i="1"/>
  <c r="AR26" i="1"/>
  <c r="U22" i="12" s="1"/>
  <c r="AR27" i="1"/>
  <c r="U23" i="12" s="1"/>
  <c r="AR28" i="1"/>
  <c r="U24" i="12" s="1"/>
  <c r="AR29" i="1"/>
  <c r="AR30" i="1"/>
  <c r="AR31" i="1"/>
  <c r="AR32" i="1"/>
  <c r="AR33" i="1"/>
  <c r="AR34" i="1"/>
  <c r="AR35" i="1"/>
  <c r="AK14" i="1"/>
  <c r="R10" i="12" s="1"/>
  <c r="AK15" i="1"/>
  <c r="AK16" i="1"/>
  <c r="R12" i="12" s="1"/>
  <c r="AK17" i="1"/>
  <c r="R13" i="12" s="1"/>
  <c r="AK18" i="1"/>
  <c r="R14" i="12" s="1"/>
  <c r="AK19" i="1"/>
  <c r="R15" i="12" s="1"/>
  <c r="AK20" i="1"/>
  <c r="R16" i="12" s="1"/>
  <c r="AK21" i="1"/>
  <c r="AK22" i="1"/>
  <c r="AK23" i="1"/>
  <c r="AK24" i="1"/>
  <c r="AK25" i="1"/>
  <c r="AK26" i="1"/>
  <c r="AK27" i="1"/>
  <c r="R23" i="12" s="1"/>
  <c r="AK28" i="1"/>
  <c r="R24" i="12" s="1"/>
  <c r="AK29" i="1"/>
  <c r="R25" i="12" s="1"/>
  <c r="AK30" i="1"/>
  <c r="R26" i="12" s="1"/>
  <c r="AK31" i="1"/>
  <c r="AK32" i="1"/>
  <c r="AK33" i="1"/>
  <c r="AK34" i="1"/>
  <c r="AK35" i="1"/>
  <c r="AK36" i="1"/>
  <c r="AI19" i="1"/>
  <c r="AI20" i="1"/>
  <c r="Q16" i="12" s="1"/>
  <c r="AI21" i="1"/>
  <c r="Q17" i="12" s="1"/>
  <c r="AI22" i="1"/>
  <c r="Q18" i="12" s="1"/>
  <c r="AI23" i="1"/>
  <c r="Q19" i="12" s="1"/>
  <c r="AI24" i="1"/>
  <c r="Q20" i="12" s="1"/>
  <c r="AI25" i="1"/>
  <c r="AI26" i="1"/>
  <c r="AI27" i="1"/>
  <c r="AI28" i="1"/>
  <c r="AI29" i="1"/>
  <c r="AI30" i="1"/>
  <c r="AI31" i="1"/>
  <c r="AI32" i="1"/>
  <c r="Q28" i="12" s="1"/>
  <c r="AI33" i="1"/>
  <c r="Q29" i="12" s="1"/>
  <c r="AI34" i="1"/>
  <c r="Q30" i="12" s="1"/>
  <c r="AI35" i="1"/>
  <c r="Q31" i="12" s="1"/>
  <c r="AI36" i="1"/>
  <c r="Q32" i="12" s="1"/>
  <c r="AC13" i="1"/>
  <c r="AC14" i="1"/>
  <c r="AC15" i="1"/>
  <c r="N11" i="12" s="1"/>
  <c r="AC16" i="1"/>
  <c r="AC17" i="1"/>
  <c r="AC18" i="1"/>
  <c r="AC19" i="1"/>
  <c r="AC20" i="1"/>
  <c r="N16" i="12" s="1"/>
  <c r="AC21" i="1"/>
  <c r="N17" i="12" s="1"/>
  <c r="AC22" i="1"/>
  <c r="N18" i="12" s="1"/>
  <c r="AC23" i="1"/>
  <c r="AC24" i="1"/>
  <c r="N20" i="12" s="1"/>
  <c r="AC25" i="1"/>
  <c r="N21" i="12" s="1"/>
  <c r="AC26" i="1"/>
  <c r="AC27" i="1"/>
  <c r="AC28" i="1"/>
  <c r="AC29" i="1"/>
  <c r="AC30" i="1"/>
  <c r="AC31" i="1"/>
  <c r="AC32" i="1"/>
  <c r="AC33" i="1"/>
  <c r="N29" i="12" s="1"/>
  <c r="AC34" i="1"/>
  <c r="N30" i="12" s="1"/>
  <c r="AC35" i="1"/>
  <c r="AC36" i="1"/>
  <c r="AA20" i="1"/>
  <c r="M16" i="12" s="1"/>
  <c r="AA21" i="1"/>
  <c r="M17" i="12" s="1"/>
  <c r="AA22" i="1"/>
  <c r="AA23" i="1"/>
  <c r="AA24" i="1"/>
  <c r="AA25" i="1"/>
  <c r="AA26" i="1"/>
  <c r="AA27" i="1"/>
  <c r="AA28" i="1"/>
  <c r="M24" i="12" s="1"/>
  <c r="AA29" i="1"/>
  <c r="M25" i="12" s="1"/>
  <c r="AA30" i="1"/>
  <c r="AA31" i="1"/>
  <c r="AA32" i="1"/>
  <c r="AA33" i="1"/>
  <c r="AA34" i="1"/>
  <c r="AA35" i="1"/>
  <c r="AA36" i="1"/>
  <c r="Y20" i="1"/>
  <c r="Y21" i="1"/>
  <c r="Y22" i="1"/>
  <c r="Y23" i="1"/>
  <c r="Y24" i="1"/>
  <c r="AN24" i="1" s="1"/>
  <c r="Y25" i="1"/>
  <c r="L21" i="12" s="1"/>
  <c r="Y26" i="1"/>
  <c r="L22" i="12" s="1"/>
  <c r="Y27" i="1"/>
  <c r="Y28" i="1"/>
  <c r="Y29" i="1"/>
  <c r="Y30" i="1"/>
  <c r="Y31" i="1"/>
  <c r="Y32" i="1"/>
  <c r="Y33" i="1"/>
  <c r="Y34" i="1"/>
  <c r="L30" i="12" s="1"/>
  <c r="Y35" i="1"/>
  <c r="L31" i="12" s="1"/>
  <c r="Y36" i="1"/>
  <c r="L32" i="12" s="1"/>
  <c r="Y18" i="1"/>
  <c r="Y19" i="1"/>
  <c r="L15" i="12" s="1"/>
  <c r="H6" i="11"/>
  <c r="G13" i="6"/>
  <c r="G14" i="6"/>
  <c r="G15" i="6"/>
  <c r="G16" i="6"/>
  <c r="AO11" i="12" s="1"/>
  <c r="G17" i="6"/>
  <c r="J17" i="6" s="1"/>
  <c r="AJ15" i="9" s="1"/>
  <c r="G10" i="6"/>
  <c r="G11" i="6"/>
  <c r="AO6" i="12" s="1"/>
  <c r="G12" i="6"/>
  <c r="AO7" i="12" s="1"/>
  <c r="E41" i="11"/>
  <c r="E53" i="11"/>
  <c r="E7" i="2"/>
  <c r="E8" i="2"/>
  <c r="K6" i="9" s="1"/>
  <c r="E9" i="2"/>
  <c r="AJ4" i="12"/>
  <c r="K10" i="9"/>
  <c r="K11" i="9"/>
  <c r="AJ10" i="12"/>
  <c r="K14" i="9"/>
  <c r="K15" i="9"/>
  <c r="O8" i="1"/>
  <c r="G8" i="9"/>
  <c r="G9" i="9"/>
  <c r="Y6" i="1"/>
  <c r="Y7" i="1"/>
  <c r="L3" i="12"/>
  <c r="Y8" i="1"/>
  <c r="L4" i="12" s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W22" i="12" s="1"/>
  <c r="AV27" i="1"/>
  <c r="W23" i="12"/>
  <c r="AV28" i="1"/>
  <c r="W24" i="12" s="1"/>
  <c r="AV29" i="1"/>
  <c r="W25" i="12" s="1"/>
  <c r="AV30" i="1"/>
  <c r="W26" i="12"/>
  <c r="BL14" i="1"/>
  <c r="AD10" i="12"/>
  <c r="BL15" i="1"/>
  <c r="AD11" i="12"/>
  <c r="BL16" i="1"/>
  <c r="AD12" i="12" s="1"/>
  <c r="BL17" i="1"/>
  <c r="AD13" i="12"/>
  <c r="E52" i="11"/>
  <c r="F52" i="11" s="1"/>
  <c r="E42" i="11"/>
  <c r="R17" i="12"/>
  <c r="R19" i="12"/>
  <c r="AK12" i="1"/>
  <c r="R8" i="12"/>
  <c r="R9" i="12"/>
  <c r="AK7" i="1"/>
  <c r="AK8" i="1"/>
  <c r="R4" i="12" s="1"/>
  <c r="AK9" i="1"/>
  <c r="AK10" i="1"/>
  <c r="R6" i="12" s="1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 s="1"/>
  <c r="AX23" i="1"/>
  <c r="X19" i="12" s="1"/>
  <c r="AV22" i="1"/>
  <c r="W18" i="12" s="1"/>
  <c r="AV23" i="1"/>
  <c r="W19" i="12"/>
  <c r="T19" i="12"/>
  <c r="AR22" i="1"/>
  <c r="U18" i="12"/>
  <c r="AR23" i="1"/>
  <c r="U19" i="12" s="1"/>
  <c r="W22" i="1"/>
  <c r="W23" i="1"/>
  <c r="W24" i="1"/>
  <c r="W25" i="1"/>
  <c r="U22" i="1"/>
  <c r="J18" i="12" s="1"/>
  <c r="U23" i="1"/>
  <c r="J19" i="12" s="1"/>
  <c r="U24" i="1"/>
  <c r="J20" i="12"/>
  <c r="S23" i="1"/>
  <c r="I19" i="12"/>
  <c r="S24" i="1"/>
  <c r="I20" i="12"/>
  <c r="S25" i="1"/>
  <c r="I21" i="12"/>
  <c r="Q22" i="1"/>
  <c r="H18" i="12" s="1"/>
  <c r="Q23" i="1"/>
  <c r="G21" i="9"/>
  <c r="G22" i="9"/>
  <c r="E21" i="9"/>
  <c r="E23" i="9"/>
  <c r="E25" i="9"/>
  <c r="M29" i="1"/>
  <c r="E28" i="9"/>
  <c r="M30" i="1"/>
  <c r="E29" i="9" s="1"/>
  <c r="M31" i="1"/>
  <c r="M32" i="1"/>
  <c r="E31" i="9" s="1"/>
  <c r="M33" i="1"/>
  <c r="M34" i="1"/>
  <c r="E33" i="9"/>
  <c r="M35" i="1"/>
  <c r="E34" i="9"/>
  <c r="M36" i="1"/>
  <c r="J22" i="1"/>
  <c r="J23" i="1"/>
  <c r="F19" i="12" s="1"/>
  <c r="AA10" i="1"/>
  <c r="M6" i="12"/>
  <c r="AA11" i="1"/>
  <c r="M7" i="12" s="1"/>
  <c r="H4" i="12"/>
  <c r="H5" i="12"/>
  <c r="Q10" i="1"/>
  <c r="H6" i="12"/>
  <c r="Q11" i="1"/>
  <c r="H7" i="12"/>
  <c r="O34" i="1"/>
  <c r="O35" i="1"/>
  <c r="G34" i="9"/>
  <c r="C31" i="6"/>
  <c r="I31" i="6" s="1"/>
  <c r="Q35" i="1"/>
  <c r="H31" i="12"/>
  <c r="Q33" i="1"/>
  <c r="H29" i="12"/>
  <c r="Q34" i="1"/>
  <c r="H30" i="12"/>
  <c r="AK26" i="12"/>
  <c r="AK32" i="12"/>
  <c r="AJ23" i="12"/>
  <c r="AI30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/>
  <c r="G53" i="11" s="1"/>
  <c r="D52" i="11"/>
  <c r="U6" i="1"/>
  <c r="J2" i="12" s="1"/>
  <c r="U7" i="1"/>
  <c r="S6" i="1"/>
  <c r="I2" i="12"/>
  <c r="A1" i="2"/>
  <c r="BT37" i="1"/>
  <c r="BT38" i="1"/>
  <c r="E7" i="6"/>
  <c r="H7" i="6"/>
  <c r="E8" i="6"/>
  <c r="AN3" i="12" s="1"/>
  <c r="E9" i="6"/>
  <c r="AN4" i="12" s="1"/>
  <c r="E10" i="6"/>
  <c r="AN5" i="12"/>
  <c r="E11" i="6"/>
  <c r="AN6" i="12"/>
  <c r="E12" i="6"/>
  <c r="E13" i="6"/>
  <c r="AN8" i="12"/>
  <c r="E14" i="6"/>
  <c r="AN9" i="12" s="1"/>
  <c r="E15" i="6"/>
  <c r="H15" i="6" s="1"/>
  <c r="E16" i="6"/>
  <c r="H16" i="6" s="1"/>
  <c r="AN11" i="12"/>
  <c r="E17" i="6"/>
  <c r="E18" i="6"/>
  <c r="AN13" i="12"/>
  <c r="E19" i="6"/>
  <c r="E20" i="6"/>
  <c r="E21" i="6"/>
  <c r="E22" i="6"/>
  <c r="AN17" i="12" s="1"/>
  <c r="E23" i="6"/>
  <c r="H23" i="6"/>
  <c r="E24" i="6"/>
  <c r="E25" i="6"/>
  <c r="AN20" i="12" s="1"/>
  <c r="E26" i="6"/>
  <c r="E27" i="6"/>
  <c r="AN22" i="12"/>
  <c r="E28" i="6"/>
  <c r="E29" i="6"/>
  <c r="AN24" i="12" s="1"/>
  <c r="AN31" i="12"/>
  <c r="H37" i="6"/>
  <c r="E6" i="6"/>
  <c r="K3" i="13"/>
  <c r="K4" i="13"/>
  <c r="K5" i="13"/>
  <c r="K6" i="13"/>
  <c r="K7" i="13"/>
  <c r="K2" i="13"/>
  <c r="B3" i="13"/>
  <c r="B4" i="13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/>
  <c r="B21" i="13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/>
  <c r="B27" i="12"/>
  <c r="B28" i="12" s="1"/>
  <c r="B29" i="12" s="1"/>
  <c r="B30" i="12" s="1"/>
  <c r="B31" i="12" s="1"/>
  <c r="B32" i="12" s="1"/>
  <c r="G18" i="6"/>
  <c r="AO13" i="12"/>
  <c r="C18" i="6"/>
  <c r="I18" i="6"/>
  <c r="C17" i="6"/>
  <c r="AZ10" i="1"/>
  <c r="K38" i="2"/>
  <c r="I38" i="2"/>
  <c r="J36" i="1"/>
  <c r="F32" i="12"/>
  <c r="AA5" i="1"/>
  <c r="BB27" i="1"/>
  <c r="S30" i="1"/>
  <c r="I26" i="12" s="1"/>
  <c r="BL22" i="1"/>
  <c r="G22" i="6"/>
  <c r="AO17" i="12" s="1"/>
  <c r="AI16" i="12"/>
  <c r="AI12" i="12"/>
  <c r="AI13" i="12"/>
  <c r="AI15" i="12"/>
  <c r="J16" i="1"/>
  <c r="F12" i="12"/>
  <c r="V37" i="2"/>
  <c r="S37" i="2"/>
  <c r="O37" i="2"/>
  <c r="BR36" i="1"/>
  <c r="AG32" i="12" s="1"/>
  <c r="BP36" i="1"/>
  <c r="BN36" i="1"/>
  <c r="AE32" i="12"/>
  <c r="BL36" i="1"/>
  <c r="AD32" i="12"/>
  <c r="BB36" i="1"/>
  <c r="Z32" i="12" s="1"/>
  <c r="AZ36" i="1"/>
  <c r="Y32" i="12"/>
  <c r="AX36" i="1"/>
  <c r="X32" i="12" s="1"/>
  <c r="AV36" i="1"/>
  <c r="W32" i="12" s="1"/>
  <c r="AR36" i="1"/>
  <c r="T32" i="12"/>
  <c r="R32" i="12"/>
  <c r="M32" i="12"/>
  <c r="W36" i="1"/>
  <c r="U36" i="1"/>
  <c r="J32" i="12" s="1"/>
  <c r="S36" i="1"/>
  <c r="I32" i="12" s="1"/>
  <c r="Q36" i="1"/>
  <c r="H32" i="12"/>
  <c r="O36" i="1"/>
  <c r="K36" i="1"/>
  <c r="G32" i="12"/>
  <c r="E34" i="11"/>
  <c r="C37" i="6"/>
  <c r="AM32" i="12"/>
  <c r="AO32" i="12"/>
  <c r="D42" i="11"/>
  <c r="U35" i="1"/>
  <c r="J31" i="12" s="1"/>
  <c r="U34" i="1"/>
  <c r="J30" i="12"/>
  <c r="U33" i="1"/>
  <c r="J29" i="12"/>
  <c r="U32" i="1"/>
  <c r="J28" i="12"/>
  <c r="U31" i="1"/>
  <c r="J27" i="12"/>
  <c r="U30" i="1"/>
  <c r="J26" i="12" s="1"/>
  <c r="U29" i="1"/>
  <c r="J25" i="12" s="1"/>
  <c r="U28" i="1"/>
  <c r="J24" i="12"/>
  <c r="J23" i="12"/>
  <c r="U26" i="1"/>
  <c r="J22" i="12"/>
  <c r="U25" i="1"/>
  <c r="J21" i="12"/>
  <c r="U21" i="1"/>
  <c r="J17" i="12" s="1"/>
  <c r="U20" i="1"/>
  <c r="J16" i="12" s="1"/>
  <c r="U19" i="1"/>
  <c r="J15" i="12"/>
  <c r="U18" i="1"/>
  <c r="J14" i="12"/>
  <c r="U17" i="1"/>
  <c r="J13" i="12"/>
  <c r="U16" i="1"/>
  <c r="J12" i="12"/>
  <c r="U15" i="1"/>
  <c r="J11" i="12" s="1"/>
  <c r="U14" i="1"/>
  <c r="J10" i="12" s="1"/>
  <c r="U13" i="1"/>
  <c r="J9" i="12"/>
  <c r="U12" i="1"/>
  <c r="J8" i="12"/>
  <c r="U11" i="1"/>
  <c r="J7" i="12"/>
  <c r="U10" i="1"/>
  <c r="J6" i="12"/>
  <c r="U9" i="1"/>
  <c r="U8" i="1"/>
  <c r="J4" i="12" s="1"/>
  <c r="U5" i="1"/>
  <c r="D41" i="11"/>
  <c r="F41" i="11"/>
  <c r="G41" i="11" s="1"/>
  <c r="S34" i="1"/>
  <c r="I30" i="12" s="1"/>
  <c r="S35" i="1"/>
  <c r="I31" i="12"/>
  <c r="S26" i="1"/>
  <c r="I22" i="12" s="1"/>
  <c r="S27" i="1"/>
  <c r="I23" i="12" s="1"/>
  <c r="S28" i="1"/>
  <c r="I24" i="12"/>
  <c r="S29" i="1"/>
  <c r="I25" i="12"/>
  <c r="S31" i="1"/>
  <c r="I27" i="12" s="1"/>
  <c r="S32" i="1"/>
  <c r="I28" i="12" s="1"/>
  <c r="S33" i="1"/>
  <c r="I29" i="12" s="1"/>
  <c r="S14" i="1"/>
  <c r="I10" i="12" s="1"/>
  <c r="S15" i="1"/>
  <c r="I11" i="12"/>
  <c r="S16" i="1"/>
  <c r="I12" i="12"/>
  <c r="S17" i="1"/>
  <c r="I13" i="12"/>
  <c r="S18" i="1"/>
  <c r="S19" i="1"/>
  <c r="I15" i="12" s="1"/>
  <c r="S20" i="1"/>
  <c r="I16" i="12" s="1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 s="1"/>
  <c r="Q25" i="1"/>
  <c r="H21" i="12"/>
  <c r="Q27" i="1"/>
  <c r="H23" i="12" s="1"/>
  <c r="AC12" i="1"/>
  <c r="N8" i="12" s="1"/>
  <c r="AC10" i="1"/>
  <c r="N6" i="12"/>
  <c r="AR17" i="1"/>
  <c r="U13" i="12"/>
  <c r="AR18" i="1"/>
  <c r="U14" i="12" s="1"/>
  <c r="AR21" i="1"/>
  <c r="U17" i="12" s="1"/>
  <c r="AR20" i="1"/>
  <c r="U16" i="12" s="1"/>
  <c r="AR7" i="1"/>
  <c r="U3" i="12" s="1"/>
  <c r="AR8" i="1"/>
  <c r="U4" i="12"/>
  <c r="AR9" i="1"/>
  <c r="U5" i="12"/>
  <c r="AR10" i="1"/>
  <c r="U6" i="12"/>
  <c r="AR11" i="1"/>
  <c r="AR12" i="1"/>
  <c r="U8" i="12" s="1"/>
  <c r="AR13" i="1"/>
  <c r="U9" i="12" s="1"/>
  <c r="AR14" i="1"/>
  <c r="U10" i="12"/>
  <c r="AR15" i="1"/>
  <c r="U11" i="12"/>
  <c r="AR16" i="1"/>
  <c r="U12" i="12"/>
  <c r="U26" i="12"/>
  <c r="U27" i="12"/>
  <c r="U28" i="12"/>
  <c r="U29" i="12"/>
  <c r="U30" i="12"/>
  <c r="U31" i="12"/>
  <c r="U25" i="12"/>
  <c r="AR19" i="1"/>
  <c r="U15" i="12"/>
  <c r="C35" i="6"/>
  <c r="AM30" i="12" s="1"/>
  <c r="C36" i="6"/>
  <c r="G8" i="6"/>
  <c r="AO3" i="12"/>
  <c r="G9" i="6"/>
  <c r="AO8" i="12"/>
  <c r="G19" i="6"/>
  <c r="J19" i="6" s="1"/>
  <c r="AJ17" i="9" s="1"/>
  <c r="G20" i="6"/>
  <c r="AO15" i="12"/>
  <c r="G21" i="6"/>
  <c r="AO16" i="12" s="1"/>
  <c r="G23" i="6"/>
  <c r="AO18" i="12" s="1"/>
  <c r="G24" i="6"/>
  <c r="AO20" i="12"/>
  <c r="AO21" i="12"/>
  <c r="AO22" i="12"/>
  <c r="C8" i="6"/>
  <c r="I8" i="6"/>
  <c r="C9" i="6"/>
  <c r="C10" i="6"/>
  <c r="AM5" i="12" s="1"/>
  <c r="C11" i="6"/>
  <c r="AM6" i="12" s="1"/>
  <c r="C12" i="6"/>
  <c r="AH10" i="9" s="1"/>
  <c r="C13" i="6"/>
  <c r="C14" i="6"/>
  <c r="AM9" i="12"/>
  <c r="C15" i="6"/>
  <c r="I15" i="6"/>
  <c r="C16" i="6"/>
  <c r="I16" i="6"/>
  <c r="C19" i="6"/>
  <c r="C20" i="6"/>
  <c r="I20" i="6" s="1"/>
  <c r="C21" i="6"/>
  <c r="AH19" i="9"/>
  <c r="C22" i="6"/>
  <c r="C23" i="6"/>
  <c r="I23" i="6"/>
  <c r="C24" i="6"/>
  <c r="I24" i="6"/>
  <c r="C25" i="6"/>
  <c r="I25" i="6"/>
  <c r="C26" i="6"/>
  <c r="C27" i="6"/>
  <c r="I27" i="6" s="1"/>
  <c r="C28" i="6"/>
  <c r="I28" i="6"/>
  <c r="C29" i="6"/>
  <c r="C32" i="6"/>
  <c r="C33" i="6"/>
  <c r="I33" i="6"/>
  <c r="C34" i="6"/>
  <c r="AH32" i="9"/>
  <c r="Q7" i="1"/>
  <c r="H3" i="12" s="1"/>
  <c r="Q12" i="1"/>
  <c r="H8" i="12" s="1"/>
  <c r="Q13" i="1"/>
  <c r="H9" i="12"/>
  <c r="Q14" i="1"/>
  <c r="H10" i="12" s="1"/>
  <c r="Q15" i="1"/>
  <c r="H11" i="12" s="1"/>
  <c r="Q16" i="1"/>
  <c r="H12" i="12"/>
  <c r="Q17" i="1"/>
  <c r="H13" i="12" s="1"/>
  <c r="Q18" i="1"/>
  <c r="H14" i="12" s="1"/>
  <c r="Q19" i="1"/>
  <c r="H15" i="12"/>
  <c r="Q20" i="1"/>
  <c r="H16" i="12"/>
  <c r="Q21" i="1"/>
  <c r="H19" i="12"/>
  <c r="Q26" i="1"/>
  <c r="H22" i="12"/>
  <c r="Q28" i="1"/>
  <c r="H24" i="12"/>
  <c r="Q29" i="1"/>
  <c r="H25" i="12"/>
  <c r="Q30" i="1"/>
  <c r="H26" i="12" s="1"/>
  <c r="Q31" i="1"/>
  <c r="H27" i="12"/>
  <c r="Q32" i="1"/>
  <c r="H28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/>
  <c r="AZ26" i="1"/>
  <c r="Y22" i="12"/>
  <c r="AZ27" i="1"/>
  <c r="Y23" i="12" s="1"/>
  <c r="AZ28" i="1"/>
  <c r="Y24" i="12" s="1"/>
  <c r="AZ29" i="1"/>
  <c r="Y25" i="12" s="1"/>
  <c r="AZ30" i="1"/>
  <c r="Y26" i="12" s="1"/>
  <c r="AZ31" i="1"/>
  <c r="Y27" i="12"/>
  <c r="AZ32" i="1"/>
  <c r="Y28" i="12"/>
  <c r="AZ33" i="1"/>
  <c r="Y29" i="12" s="1"/>
  <c r="AZ34" i="1"/>
  <c r="Y30" i="12"/>
  <c r="AZ35" i="1"/>
  <c r="Y31" i="12" s="1"/>
  <c r="W7" i="1"/>
  <c r="W8" i="1"/>
  <c r="W9" i="1"/>
  <c r="W10" i="1"/>
  <c r="W11" i="1"/>
  <c r="K7" i="12" s="1"/>
  <c r="W12" i="1"/>
  <c r="W13" i="1"/>
  <c r="K9" i="12" s="1"/>
  <c r="W14" i="1"/>
  <c r="W15" i="1"/>
  <c r="K11" i="12" s="1"/>
  <c r="W16" i="1"/>
  <c r="W18" i="1"/>
  <c r="AN18" i="1" s="1"/>
  <c r="W19" i="1"/>
  <c r="W20" i="1"/>
  <c r="W21" i="1"/>
  <c r="W26" i="1"/>
  <c r="W27" i="1"/>
  <c r="W28" i="1"/>
  <c r="W29" i="1"/>
  <c r="W30" i="1"/>
  <c r="K26" i="12" s="1"/>
  <c r="W31" i="1"/>
  <c r="W32" i="1"/>
  <c r="W34" i="1"/>
  <c r="W35" i="1"/>
  <c r="BN7" i="1"/>
  <c r="BN8" i="1"/>
  <c r="BN9" i="1"/>
  <c r="BN10" i="1"/>
  <c r="BN11" i="1"/>
  <c r="BN12" i="1"/>
  <c r="BN13" i="1"/>
  <c r="BN14" i="1"/>
  <c r="AE10" i="12" s="1"/>
  <c r="BN15" i="1"/>
  <c r="BN18" i="1"/>
  <c r="BN19" i="1"/>
  <c r="BN20" i="1"/>
  <c r="BN21" i="1"/>
  <c r="BN24" i="1"/>
  <c r="AE20" i="12" s="1"/>
  <c r="BN25" i="1"/>
  <c r="AE21" i="12"/>
  <c r="BN26" i="1"/>
  <c r="AE22" i="12" s="1"/>
  <c r="BN27" i="1"/>
  <c r="AE23" i="12"/>
  <c r="BN28" i="1"/>
  <c r="BN29" i="1"/>
  <c r="AE25" i="12" s="1"/>
  <c r="BN30" i="1"/>
  <c r="BN31" i="1"/>
  <c r="BN32" i="1"/>
  <c r="AE28" i="12"/>
  <c r="BN33" i="1"/>
  <c r="AE29" i="12"/>
  <c r="BN34" i="1"/>
  <c r="BH34" i="1" s="1"/>
  <c r="AE30" i="12"/>
  <c r="BN35" i="1"/>
  <c r="BH35" i="1" s="1"/>
  <c r="AE31" i="12"/>
  <c r="BL7" i="1"/>
  <c r="AD3" i="12" s="1"/>
  <c r="BL8" i="1"/>
  <c r="AD4" i="12" s="1"/>
  <c r="BL9" i="1"/>
  <c r="AD5" i="12"/>
  <c r="BL10" i="1"/>
  <c r="AD6" i="12"/>
  <c r="BL11" i="1"/>
  <c r="AD7" i="12"/>
  <c r="BL12" i="1"/>
  <c r="AD8" i="12"/>
  <c r="BL13" i="1"/>
  <c r="AD9" i="12" s="1"/>
  <c r="BL18" i="1"/>
  <c r="AD14" i="12" s="1"/>
  <c r="BL19" i="1"/>
  <c r="AD15" i="12"/>
  <c r="BL20" i="1"/>
  <c r="AD16" i="12" s="1"/>
  <c r="BL21" i="1"/>
  <c r="BL23" i="1"/>
  <c r="AD19" i="12" s="1"/>
  <c r="BL24" i="1"/>
  <c r="AD20" i="12"/>
  <c r="BL25" i="1"/>
  <c r="AD21" i="12" s="1"/>
  <c r="BL26" i="1"/>
  <c r="BL27" i="1"/>
  <c r="AD23" i="12" s="1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AG5" i="12" s="1"/>
  <c r="BR10" i="1"/>
  <c r="BR11" i="1"/>
  <c r="AT10" i="9" s="1"/>
  <c r="BR12" i="1"/>
  <c r="BR13" i="1"/>
  <c r="AG9" i="12" s="1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 s="1"/>
  <c r="BR25" i="1"/>
  <c r="AT24" i="9" s="1"/>
  <c r="AG21" i="12"/>
  <c r="BR26" i="1"/>
  <c r="BR27" i="1"/>
  <c r="AT26" i="9" s="1"/>
  <c r="BR28" i="1"/>
  <c r="BR29" i="1"/>
  <c r="AG25" i="12"/>
  <c r="BR30" i="1"/>
  <c r="AG26" i="12" s="1"/>
  <c r="BR31" i="1"/>
  <c r="AT30" i="9" s="1"/>
  <c r="BR32" i="1"/>
  <c r="AG28" i="12"/>
  <c r="BR33" i="1"/>
  <c r="BR34" i="1"/>
  <c r="D6" i="10" s="1"/>
  <c r="BR35" i="1"/>
  <c r="AF3" i="12"/>
  <c r="AF4" i="12"/>
  <c r="AF5" i="12"/>
  <c r="AF7" i="12"/>
  <c r="AU11" i="9"/>
  <c r="AF9" i="12"/>
  <c r="AU13" i="9"/>
  <c r="AF11" i="12"/>
  <c r="AF12" i="12"/>
  <c r="AF13" i="12"/>
  <c r="BP18" i="1"/>
  <c r="BP19" i="1"/>
  <c r="BP20" i="1"/>
  <c r="AU19" i="9" s="1"/>
  <c r="BP21" i="1"/>
  <c r="BP24" i="1"/>
  <c r="BP25" i="1"/>
  <c r="BP26" i="1"/>
  <c r="AU25" i="9" s="1"/>
  <c r="BP27" i="1"/>
  <c r="BP28" i="1"/>
  <c r="BP29" i="1"/>
  <c r="AU28" i="9"/>
  <c r="BP30" i="1"/>
  <c r="BH30" i="1" s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 s="1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Z28" i="12" s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 s="1"/>
  <c r="AX14" i="1"/>
  <c r="X10" i="12"/>
  <c r="AX15" i="1"/>
  <c r="X11" i="12"/>
  <c r="AX16" i="1"/>
  <c r="X12" i="12"/>
  <c r="AX17" i="1"/>
  <c r="X13" i="12"/>
  <c r="AX18" i="1"/>
  <c r="X14" i="12" s="1"/>
  <c r="AX19" i="1"/>
  <c r="X15" i="12" s="1"/>
  <c r="AX20" i="1"/>
  <c r="X16" i="12"/>
  <c r="AX21" i="1"/>
  <c r="X17" i="12"/>
  <c r="AX24" i="1"/>
  <c r="X20" i="12"/>
  <c r="AX25" i="1"/>
  <c r="X21" i="12"/>
  <c r="AX26" i="1"/>
  <c r="X22" i="12" s="1"/>
  <c r="AX27" i="1"/>
  <c r="X23" i="12" s="1"/>
  <c r="AX28" i="1"/>
  <c r="X24" i="12"/>
  <c r="AX29" i="1"/>
  <c r="X25" i="12"/>
  <c r="AX30" i="1"/>
  <c r="X26" i="12"/>
  <c r="AX31" i="1"/>
  <c r="X27" i="12"/>
  <c r="AX32" i="1"/>
  <c r="X28" i="12" s="1"/>
  <c r="AX33" i="1"/>
  <c r="X29" i="12" s="1"/>
  <c r="AX34" i="1"/>
  <c r="X30" i="12"/>
  <c r="AX35" i="1"/>
  <c r="X31" i="12"/>
  <c r="AX6" i="1"/>
  <c r="X2" i="12"/>
  <c r="AV7" i="1"/>
  <c r="W3" i="12"/>
  <c r="AV8" i="1"/>
  <c r="W4" i="12" s="1"/>
  <c r="AV9" i="1"/>
  <c r="W5" i="12" s="1"/>
  <c r="AV10" i="1"/>
  <c r="W6" i="12"/>
  <c r="AV11" i="1"/>
  <c r="W7" i="12"/>
  <c r="AV12" i="1"/>
  <c r="W8" i="12"/>
  <c r="AV13" i="1"/>
  <c r="W9" i="12"/>
  <c r="AV14" i="1"/>
  <c r="W10" i="12" s="1"/>
  <c r="AV15" i="1"/>
  <c r="W11" i="12" s="1"/>
  <c r="AV16" i="1"/>
  <c r="W12" i="12"/>
  <c r="AV17" i="1"/>
  <c r="W13" i="12"/>
  <c r="AV18" i="1"/>
  <c r="W14" i="12"/>
  <c r="AV19" i="1"/>
  <c r="W15" i="12"/>
  <c r="AV20" i="1"/>
  <c r="W16" i="12" s="1"/>
  <c r="AV21" i="1"/>
  <c r="W17" i="12" s="1"/>
  <c r="AV24" i="1"/>
  <c r="W20" i="12"/>
  <c r="AV31" i="1"/>
  <c r="W27" i="12"/>
  <c r="AV32" i="1"/>
  <c r="W28" i="12"/>
  <c r="AV33" i="1"/>
  <c r="W29" i="12" s="1"/>
  <c r="AV34" i="1"/>
  <c r="W30" i="12" s="1"/>
  <c r="AV35" i="1"/>
  <c r="W31" i="12"/>
  <c r="V3" i="12"/>
  <c r="V4" i="12"/>
  <c r="V5" i="12"/>
  <c r="V6" i="12"/>
  <c r="V7" i="12"/>
  <c r="V8" i="12"/>
  <c r="V14" i="12"/>
  <c r="V16" i="12"/>
  <c r="V17" i="12"/>
  <c r="V20" i="12"/>
  <c r="V21" i="12"/>
  <c r="V27" i="12"/>
  <c r="V28" i="12"/>
  <c r="V29" i="12"/>
  <c r="V30" i="12"/>
  <c r="V31" i="12"/>
  <c r="T3" i="12"/>
  <c r="T7" i="12"/>
  <c r="T8" i="12"/>
  <c r="T9" i="12"/>
  <c r="T10" i="12"/>
  <c r="T11" i="12"/>
  <c r="T12" i="12"/>
  <c r="T14" i="12"/>
  <c r="T15" i="12"/>
  <c r="T20" i="12"/>
  <c r="T21" i="12"/>
  <c r="T22" i="12"/>
  <c r="T31" i="12"/>
  <c r="R3" i="12"/>
  <c r="R5" i="12"/>
  <c r="R7" i="12"/>
  <c r="R18" i="12"/>
  <c r="R20" i="12"/>
  <c r="R21" i="12"/>
  <c r="R27" i="12"/>
  <c r="R28" i="12"/>
  <c r="R29" i="12"/>
  <c r="R30" i="12"/>
  <c r="R31" i="12"/>
  <c r="Q7" i="12"/>
  <c r="Q8" i="12"/>
  <c r="Q9" i="12"/>
  <c r="Q10" i="12"/>
  <c r="Q15" i="12"/>
  <c r="Q21" i="12"/>
  <c r="Q22" i="12"/>
  <c r="Q23" i="12"/>
  <c r="Q24" i="12"/>
  <c r="Q25" i="12"/>
  <c r="Q26" i="12"/>
  <c r="Q27" i="12"/>
  <c r="Y10" i="1"/>
  <c r="L6" i="12"/>
  <c r="Y11" i="1"/>
  <c r="L7" i="12"/>
  <c r="Y12" i="1"/>
  <c r="Y13" i="1"/>
  <c r="L9" i="12"/>
  <c r="Y14" i="1"/>
  <c r="Y15" i="1"/>
  <c r="Y16" i="1"/>
  <c r="Y17" i="1"/>
  <c r="L13" i="12" s="1"/>
  <c r="L17" i="12"/>
  <c r="L23" i="12"/>
  <c r="L24" i="12"/>
  <c r="L25" i="12"/>
  <c r="L26" i="12"/>
  <c r="L27" i="12"/>
  <c r="L28" i="12"/>
  <c r="L29" i="12"/>
  <c r="AA7" i="1"/>
  <c r="AA8" i="1"/>
  <c r="M4" i="12"/>
  <c r="AA9" i="1"/>
  <c r="M5" i="12"/>
  <c r="AA12" i="1"/>
  <c r="M8" i="12"/>
  <c r="AA13" i="1"/>
  <c r="M9" i="12" s="1"/>
  <c r="AA14" i="1"/>
  <c r="AA15" i="1"/>
  <c r="M11" i="12" s="1"/>
  <c r="AA16" i="1"/>
  <c r="M12" i="12"/>
  <c r="AA17" i="1"/>
  <c r="M13" i="12" s="1"/>
  <c r="AA18" i="1"/>
  <c r="M14" i="12"/>
  <c r="AA19" i="1"/>
  <c r="M15" i="12"/>
  <c r="M20" i="12"/>
  <c r="M22" i="12"/>
  <c r="M26" i="12"/>
  <c r="M27" i="12"/>
  <c r="M28" i="12"/>
  <c r="M29" i="12"/>
  <c r="M30" i="12"/>
  <c r="M31" i="12"/>
  <c r="AA6" i="1"/>
  <c r="M2" i="12" s="1"/>
  <c r="AC6" i="1"/>
  <c r="N2" i="12"/>
  <c r="AC7" i="1"/>
  <c r="N3" i="12" s="1"/>
  <c r="AC8" i="1"/>
  <c r="AC9" i="1"/>
  <c r="N5" i="12"/>
  <c r="N9" i="12"/>
  <c r="N10" i="12"/>
  <c r="N12" i="12"/>
  <c r="N13" i="12"/>
  <c r="N14" i="12"/>
  <c r="N15" i="12"/>
  <c r="N22" i="12"/>
  <c r="N23" i="12"/>
  <c r="N24" i="12"/>
  <c r="N25" i="12"/>
  <c r="N26" i="12"/>
  <c r="N27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 s="1"/>
  <c r="O30" i="1"/>
  <c r="G29" i="9"/>
  <c r="O31" i="1"/>
  <c r="G30" i="9"/>
  <c r="O32" i="1"/>
  <c r="G31" i="9" s="1"/>
  <c r="O33" i="1"/>
  <c r="K33" i="1" s="1"/>
  <c r="G29" i="12" s="1"/>
  <c r="G32" i="9"/>
  <c r="M6" i="1"/>
  <c r="M7" i="1"/>
  <c r="E6" i="9" s="1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J6" i="1"/>
  <c r="F2" i="12"/>
  <c r="J7" i="1"/>
  <c r="J8" i="1"/>
  <c r="C7" i="9" s="1"/>
  <c r="J9" i="1"/>
  <c r="F5" i="12" s="1"/>
  <c r="J10" i="1"/>
  <c r="F6" i="12" s="1"/>
  <c r="J11" i="1"/>
  <c r="J12" i="1"/>
  <c r="F8" i="12"/>
  <c r="J13" i="1"/>
  <c r="F9" i="12"/>
  <c r="J14" i="1"/>
  <c r="J15" i="1"/>
  <c r="F13" i="12"/>
  <c r="J18" i="1"/>
  <c r="F14" i="12" s="1"/>
  <c r="J19" i="1"/>
  <c r="J20" i="1"/>
  <c r="J21" i="1"/>
  <c r="F17" i="12"/>
  <c r="J24" i="1"/>
  <c r="F20" i="12"/>
  <c r="J25" i="1"/>
  <c r="J26" i="1"/>
  <c r="F22" i="12"/>
  <c r="J27" i="1"/>
  <c r="C26" i="9"/>
  <c r="J28" i="1"/>
  <c r="F24" i="12"/>
  <c r="J29" i="1"/>
  <c r="F25" i="12"/>
  <c r="J30" i="1"/>
  <c r="C29" i="9" s="1"/>
  <c r="F26" i="12"/>
  <c r="J31" i="1"/>
  <c r="BS31" i="1" s="1"/>
  <c r="J32" i="1"/>
  <c r="F28" i="12" s="1"/>
  <c r="J33" i="1"/>
  <c r="F29" i="12" s="1"/>
  <c r="J34" i="1"/>
  <c r="C25" i="7"/>
  <c r="J35" i="1"/>
  <c r="C34" i="9" s="1"/>
  <c r="W6" i="1"/>
  <c r="K2" i="12" s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AK6" i="1"/>
  <c r="R2" i="12" s="1"/>
  <c r="Q6" i="1"/>
  <c r="H2" i="12" s="1"/>
  <c r="BR5" i="1"/>
  <c r="AT35" i="9"/>
  <c r="BP5" i="1"/>
  <c r="BN5" i="1"/>
  <c r="BH5" i="1" s="1"/>
  <c r="BL5" i="1"/>
  <c r="BB5" i="1"/>
  <c r="BI5" i="1" s="1"/>
  <c r="AX5" i="1"/>
  <c r="AV5" i="1"/>
  <c r="AR5" i="1"/>
  <c r="AK5" i="1"/>
  <c r="AI5" i="1"/>
  <c r="AC5" i="1"/>
  <c r="Y5" i="1"/>
  <c r="W5" i="1"/>
  <c r="Q5" i="1"/>
  <c r="O5" i="1"/>
  <c r="G35" i="9" s="1"/>
  <c r="M5" i="1"/>
  <c r="E35" i="9"/>
  <c r="J5" i="1"/>
  <c r="C35" i="9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 s="1"/>
  <c r="O11" i="2"/>
  <c r="R9" i="9" s="1"/>
  <c r="O12" i="2"/>
  <c r="R10" i="9" s="1"/>
  <c r="O13" i="2"/>
  <c r="R11" i="9" s="1"/>
  <c r="O14" i="2"/>
  <c r="R12" i="9"/>
  <c r="O15" i="2"/>
  <c r="R13" i="9"/>
  <c r="O16" i="2"/>
  <c r="R14" i="9"/>
  <c r="O17" i="2"/>
  <c r="R15" i="9"/>
  <c r="O18" i="2"/>
  <c r="R16" i="9" s="1"/>
  <c r="O19" i="2"/>
  <c r="R17" i="9" s="1"/>
  <c r="O20" i="2"/>
  <c r="R18" i="9"/>
  <c r="O21" i="2"/>
  <c r="R19" i="9"/>
  <c r="O22" i="2"/>
  <c r="R20" i="9" s="1"/>
  <c r="O23" i="2"/>
  <c r="R21" i="9"/>
  <c r="O24" i="2"/>
  <c r="R22" i="9"/>
  <c r="O25" i="2"/>
  <c r="R23" i="9" s="1"/>
  <c r="O26" i="2"/>
  <c r="R24" i="9" s="1"/>
  <c r="O27" i="2"/>
  <c r="R25" i="9"/>
  <c r="O28" i="2"/>
  <c r="R26" i="9" s="1"/>
  <c r="O29" i="2"/>
  <c r="R27" i="9"/>
  <c r="O30" i="2"/>
  <c r="R28" i="9"/>
  <c r="O31" i="2"/>
  <c r="R29" i="9" s="1"/>
  <c r="O32" i="2"/>
  <c r="R30" i="9"/>
  <c r="O33" i="2"/>
  <c r="R31" i="9" s="1"/>
  <c r="O34" i="2"/>
  <c r="R32" i="9"/>
  <c r="O35" i="2"/>
  <c r="O36" i="2"/>
  <c r="G8" i="2"/>
  <c r="AK3" i="12"/>
  <c r="AK6" i="12"/>
  <c r="AK7" i="12"/>
  <c r="AK8" i="12"/>
  <c r="AK9" i="12"/>
  <c r="AK10" i="12"/>
  <c r="AK18" i="12"/>
  <c r="AK19" i="12"/>
  <c r="AK20" i="12"/>
  <c r="AK21" i="12"/>
  <c r="AK30" i="12"/>
  <c r="K7" i="9"/>
  <c r="K18" i="9"/>
  <c r="AJ18" i="1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 s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C66" i="10" s="1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Q7" i="2" s="1"/>
  <c r="X5" i="9" s="1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 s="1"/>
  <c r="F2370" i="10" s="1"/>
  <c r="G2368" i="10"/>
  <c r="G2369" i="10" s="1"/>
  <c r="C2368" i="10"/>
  <c r="C2369" i="10" s="1"/>
  <c r="C2366" i="10"/>
  <c r="C2352" i="10"/>
  <c r="C2349" i="10"/>
  <c r="C2353" i="10" s="1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O2352" i="10" s="1"/>
  <c r="J2349" i="10"/>
  <c r="J2353" i="10" s="1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F11" i="4"/>
  <c r="F12" i="4"/>
  <c r="H12" i="4" s="1"/>
  <c r="F13" i="4"/>
  <c r="H13" i="4" s="1"/>
  <c r="F14" i="4"/>
  <c r="H14" i="4"/>
  <c r="F15" i="4"/>
  <c r="F16" i="4"/>
  <c r="F17" i="4"/>
  <c r="H17" i="4"/>
  <c r="F18" i="4"/>
  <c r="H18" i="4" s="1"/>
  <c r="G18" i="4"/>
  <c r="F19" i="4"/>
  <c r="F20" i="4"/>
  <c r="F21" i="4"/>
  <c r="H21" i="4" s="1"/>
  <c r="F22" i="4"/>
  <c r="G22" i="4" s="1"/>
  <c r="F23" i="4"/>
  <c r="G23" i="4" s="1"/>
  <c r="H23" i="4"/>
  <c r="F24" i="4"/>
  <c r="G24" i="4" s="1"/>
  <c r="F25" i="4"/>
  <c r="H25" i="4"/>
  <c r="F26" i="4"/>
  <c r="H26" i="4" s="1"/>
  <c r="F27" i="4"/>
  <c r="H27" i="4" s="1"/>
  <c r="F28" i="4"/>
  <c r="F29" i="4"/>
  <c r="F30" i="4"/>
  <c r="H30" i="4" s="1"/>
  <c r="F31" i="4"/>
  <c r="H31" i="4" s="1"/>
  <c r="F32" i="4"/>
  <c r="F33" i="4"/>
  <c r="H33" i="4" s="1"/>
  <c r="F34" i="4"/>
  <c r="G34" i="4" s="1"/>
  <c r="F35" i="4"/>
  <c r="G35" i="4" s="1"/>
  <c r="F36" i="4"/>
  <c r="F37" i="4"/>
  <c r="G37" i="4" s="1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O2366" i="10" s="1"/>
  <c r="O2370" i="10" s="1"/>
  <c r="I2366" i="10"/>
  <c r="I2369" i="10"/>
  <c r="O2369" i="10" s="1"/>
  <c r="G2366" i="10"/>
  <c r="H2366" i="10"/>
  <c r="J2369" i="10"/>
  <c r="K2369" i="10"/>
  <c r="L2369" i="10"/>
  <c r="M2369" i="10"/>
  <c r="N2369" i="10"/>
  <c r="N2366" i="10"/>
  <c r="M2366" i="10"/>
  <c r="L2366" i="10"/>
  <c r="L2370" i="10" s="1"/>
  <c r="K2366" i="10"/>
  <c r="K2370" i="10" s="1"/>
  <c r="J2366" i="10"/>
  <c r="J2370" i="10" s="1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J66" i="10" s="1"/>
  <c r="K65" i="10"/>
  <c r="K66" i="10" s="1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BO36" i="9" s="1"/>
  <c r="Z41" i="2"/>
  <c r="BQ36" i="9"/>
  <c r="W41" i="2"/>
  <c r="BN36" i="9" s="1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/>
  <c r="D66" i="10"/>
  <c r="G17" i="4"/>
  <c r="K15" i="12"/>
  <c r="K14" i="12"/>
  <c r="AD18" i="12"/>
  <c r="G33" i="4"/>
  <c r="Q2218" i="10"/>
  <c r="Q1536" i="10"/>
  <c r="Q563" i="10"/>
  <c r="Q831" i="10"/>
  <c r="Q767" i="10"/>
  <c r="AH25" i="9"/>
  <c r="C22" i="9"/>
  <c r="C9" i="9"/>
  <c r="H29" i="6"/>
  <c r="Q26" i="10"/>
  <c r="Q1060" i="10"/>
  <c r="Q567" i="10"/>
  <c r="Q2359" i="10"/>
  <c r="V43" i="2" s="1"/>
  <c r="V44" i="2" s="1"/>
  <c r="V45" i="2" s="1"/>
  <c r="Q1959" i="10"/>
  <c r="Q1154" i="10"/>
  <c r="Q423" i="10"/>
  <c r="G31" i="4"/>
  <c r="AU7" i="9"/>
  <c r="AM22" i="12"/>
  <c r="K25" i="9"/>
  <c r="AT31" i="9"/>
  <c r="AU18" i="9"/>
  <c r="Y41" i="2"/>
  <c r="BP36" i="9" s="1"/>
  <c r="AJ21" i="12"/>
  <c r="AT20" i="9"/>
  <c r="K27" i="6"/>
  <c r="G22" i="13" s="1"/>
  <c r="C28" i="9"/>
  <c r="C17" i="9"/>
  <c r="AU15" i="9"/>
  <c r="AT29" i="9"/>
  <c r="AU12" i="9"/>
  <c r="J37" i="6"/>
  <c r="AU32" i="9"/>
  <c r="C5" i="9"/>
  <c r="F66" i="10"/>
  <c r="AF2" i="12"/>
  <c r="AU5" i="9"/>
  <c r="L8" i="12"/>
  <c r="AU34" i="9"/>
  <c r="AF19" i="12"/>
  <c r="AU22" i="9"/>
  <c r="AH18" i="9"/>
  <c r="H15" i="4"/>
  <c r="G15" i="4"/>
  <c r="Q153" i="10"/>
  <c r="Q839" i="10"/>
  <c r="Q581" i="10"/>
  <c r="Q1567" i="10"/>
  <c r="P7" i="10"/>
  <c r="K26" i="9"/>
  <c r="G27" i="4"/>
  <c r="AU10" i="9"/>
  <c r="AH12" i="9"/>
  <c r="C25" i="9"/>
  <c r="AG16" i="12"/>
  <c r="C8" i="9"/>
  <c r="AF21" i="12"/>
  <c r="AU24" i="9"/>
  <c r="I35" i="6"/>
  <c r="AK31" i="12"/>
  <c r="AM17" i="12"/>
  <c r="AH20" i="9"/>
  <c r="I22" i="6"/>
  <c r="J21" i="6"/>
  <c r="AJ19" i="9" s="1"/>
  <c r="K21" i="9"/>
  <c r="K13" i="9"/>
  <c r="G22" i="12"/>
  <c r="G24" i="12"/>
  <c r="G27" i="9"/>
  <c r="M21" i="12"/>
  <c r="M3" i="12"/>
  <c r="Q14" i="12"/>
  <c r="V15" i="12"/>
  <c r="AM21" i="12"/>
  <c r="I26" i="6"/>
  <c r="AH24" i="9"/>
  <c r="H18" i="6"/>
  <c r="H29" i="4"/>
  <c r="G29" i="4"/>
  <c r="J26" i="6"/>
  <c r="AJ24" i="9" s="1"/>
  <c r="AJ2" i="12"/>
  <c r="C31" i="9"/>
  <c r="G13" i="4"/>
  <c r="H24" i="4"/>
  <c r="AG10" i="12"/>
  <c r="AT13" i="9"/>
  <c r="H9" i="6"/>
  <c r="AF30" i="12"/>
  <c r="K6" i="12"/>
  <c r="AM29" i="12"/>
  <c r="K29" i="6"/>
  <c r="G24" i="13"/>
  <c r="I29" i="6"/>
  <c r="AM24" i="12"/>
  <c r="AH27" i="9"/>
  <c r="G21" i="4"/>
  <c r="Q625" i="10"/>
  <c r="Q101" i="10"/>
  <c r="Q413" i="10"/>
  <c r="AT21" i="9"/>
  <c r="AG7" i="12"/>
  <c r="O65" i="10"/>
  <c r="F23" i="12"/>
  <c r="AE5" i="12"/>
  <c r="AE26" i="12"/>
  <c r="G23" i="13"/>
  <c r="Q253" i="10"/>
  <c r="Q1469" i="10"/>
  <c r="G23" i="9"/>
  <c r="AM23" i="12"/>
  <c r="M18" i="12"/>
  <c r="M10" i="12"/>
  <c r="T13" i="12"/>
  <c r="V18" i="12"/>
  <c r="Z17" i="12"/>
  <c r="AF8" i="12"/>
  <c r="AD17" i="12"/>
  <c r="J3" i="12"/>
  <c r="J27" i="6"/>
  <c r="AJ25" i="9" s="1"/>
  <c r="AM25" i="12"/>
  <c r="N32" i="12"/>
  <c r="E24" i="9"/>
  <c r="G21" i="12"/>
  <c r="AG30" i="12"/>
  <c r="AT33" i="9"/>
  <c r="AG15" i="12"/>
  <c r="AT18" i="9"/>
  <c r="Q576" i="10"/>
  <c r="Q2088" i="10"/>
  <c r="P39" i="10"/>
  <c r="Q707" i="10"/>
  <c r="Q502" i="10"/>
  <c r="Q1401" i="10"/>
  <c r="Q2222" i="10"/>
  <c r="Q1922" i="10"/>
  <c r="Q1173" i="10"/>
  <c r="Q2021" i="10"/>
  <c r="Q1728" i="10"/>
  <c r="Q4" i="10"/>
  <c r="C33" i="7" s="1"/>
  <c r="Q1810" i="10"/>
  <c r="Q1000" i="10"/>
  <c r="Q1032" i="10"/>
  <c r="Q788" i="10"/>
  <c r="Q1637" i="10"/>
  <c r="Q565" i="10"/>
  <c r="Q982" i="10"/>
  <c r="P42" i="10"/>
  <c r="Q1800" i="10"/>
  <c r="Q1944" i="10"/>
  <c r="Q347" i="10"/>
  <c r="Q491" i="10"/>
  <c r="Q1564" i="10"/>
  <c r="Q2005" i="10"/>
  <c r="Q1796" i="10"/>
  <c r="Q1360" i="10"/>
  <c r="P2344" i="10"/>
  <c r="Q1655" i="10"/>
  <c r="Q1131" i="10"/>
  <c r="P14" i="10"/>
  <c r="Q1505" i="10"/>
  <c r="Q1410" i="10"/>
  <c r="Q490" i="10"/>
  <c r="Q7" i="10"/>
  <c r="Q1113" i="10"/>
  <c r="Q1648" i="10"/>
  <c r="P57" i="10"/>
  <c r="Q2361" i="10"/>
  <c r="Q1298" i="10"/>
  <c r="Q2052" i="10"/>
  <c r="Q1988" i="10"/>
  <c r="Q1047" i="10"/>
  <c r="Q561" i="10"/>
  <c r="Q1415" i="10"/>
  <c r="Q1238" i="10"/>
  <c r="Q19" i="10"/>
  <c r="Q1630" i="10"/>
  <c r="Q979" i="10"/>
  <c r="Q47" i="10"/>
  <c r="Q1374" i="10"/>
  <c r="Q598" i="10"/>
  <c r="Q259" i="10"/>
  <c r="Q1428" i="10"/>
  <c r="Q2187" i="10"/>
  <c r="Q560" i="10"/>
  <c r="Q1334" i="10"/>
  <c r="Q20" i="10"/>
  <c r="Q495" i="10"/>
  <c r="Q2151" i="10"/>
  <c r="Q810" i="10"/>
  <c r="Q132" i="10"/>
  <c r="Q534" i="10"/>
  <c r="Q1398" i="10"/>
  <c r="Q2313" i="10"/>
  <c r="Q918" i="10"/>
  <c r="Q2239" i="10"/>
  <c r="Q1996" i="10"/>
  <c r="Q1775" i="10"/>
  <c r="Q1396" i="10"/>
  <c r="Q1140" i="10"/>
  <c r="P20" i="10"/>
  <c r="P38" i="10"/>
  <c r="Q708" i="10"/>
  <c r="Q278" i="10"/>
  <c r="Q1379" i="10"/>
  <c r="Q1592" i="10"/>
  <c r="Q1716" i="10"/>
  <c r="Q8" i="10"/>
  <c r="Q1853" i="10"/>
  <c r="Q295" i="10"/>
  <c r="Q648" i="10"/>
  <c r="Q15" i="10"/>
  <c r="Q685" i="10"/>
  <c r="Q1602" i="10"/>
  <c r="Q2039" i="10"/>
  <c r="Q1293" i="10"/>
  <c r="Q701" i="10"/>
  <c r="Q2035" i="10"/>
  <c r="Q1209" i="10"/>
  <c r="Q1908" i="10"/>
  <c r="Q2108" i="10"/>
  <c r="Q1859" i="10"/>
  <c r="Q1837" i="10"/>
  <c r="Q1888" i="10"/>
  <c r="Q2352" i="10"/>
  <c r="Q40" i="10"/>
  <c r="Q197" i="10"/>
  <c r="Q1573" i="10"/>
  <c r="Q655" i="10"/>
  <c r="Q2205" i="10"/>
  <c r="Q796" i="10"/>
  <c r="Q1327" i="10"/>
  <c r="Q396" i="10"/>
  <c r="Q481" i="10"/>
  <c r="Q554" i="10"/>
  <c r="Q2118" i="10"/>
  <c r="Q2235" i="10"/>
  <c r="Q1890" i="10"/>
  <c r="Q1797" i="10"/>
  <c r="Q30" i="10"/>
  <c r="Q729" i="10"/>
  <c r="Q52" i="10"/>
  <c r="Q1406" i="10"/>
  <c r="Q67" i="10"/>
  <c r="Q1464" i="10"/>
  <c r="Q947" i="10"/>
  <c r="Q2099" i="10"/>
  <c r="Q2284" i="10"/>
  <c r="Q1064" i="10"/>
  <c r="Q1541" i="10"/>
  <c r="Q1593" i="10"/>
  <c r="Q1429" i="10"/>
  <c r="Q731" i="10"/>
  <c r="Q2335" i="10"/>
  <c r="Q1385" i="10"/>
  <c r="Q1235" i="10"/>
  <c r="Q555" i="10"/>
  <c r="P2367" i="10"/>
  <c r="Q909" i="10"/>
  <c r="Q342" i="10"/>
  <c r="Q907" i="10"/>
  <c r="Q2331" i="10"/>
  <c r="Q437" i="10"/>
  <c r="Q2228" i="10"/>
  <c r="Q416" i="10"/>
  <c r="Q1880" i="10"/>
  <c r="Q1017" i="10"/>
  <c r="Q362" i="10"/>
  <c r="Q1292" i="10"/>
  <c r="Q938" i="10"/>
  <c r="Q813" i="10"/>
  <c r="Q713" i="10"/>
  <c r="Q90" i="10"/>
  <c r="Q890" i="10"/>
  <c r="Q459" i="10"/>
  <c r="Q2048" i="10"/>
  <c r="Q198" i="10"/>
  <c r="Q1155" i="10"/>
  <c r="Q1843" i="10"/>
  <c r="Q1769" i="10"/>
  <c r="Q2303" i="10"/>
  <c r="Q1963" i="10"/>
  <c r="Q1476" i="10"/>
  <c r="Q1535" i="10"/>
  <c r="Q351" i="10"/>
  <c r="Q1409" i="10"/>
  <c r="Q1124" i="10"/>
  <c r="Q523" i="10"/>
  <c r="Q288" i="10"/>
  <c r="Q269" i="10"/>
  <c r="Q38" i="10"/>
  <c r="Q248" i="10"/>
  <c r="Q352" i="10"/>
  <c r="Q1117" i="10"/>
  <c r="Q497" i="10"/>
  <c r="Q1597" i="10"/>
  <c r="Q1279" i="10"/>
  <c r="Q732" i="10"/>
  <c r="Q548" i="10"/>
  <c r="Q361" i="10"/>
  <c r="Q1973" i="10"/>
  <c r="Q876" i="10"/>
  <c r="Q78" i="10"/>
  <c r="Q1771" i="10"/>
  <c r="Q1830" i="10"/>
  <c r="Q221" i="10"/>
  <c r="Q994" i="10"/>
  <c r="Q862" i="10"/>
  <c r="Q287" i="10"/>
  <c r="Q1761" i="10"/>
  <c r="Q2160" i="10"/>
  <c r="Q798" i="10"/>
  <c r="Q1456" i="10"/>
  <c r="Q2022" i="10"/>
  <c r="Q1103" i="10"/>
  <c r="Q1439" i="10"/>
  <c r="Q199" i="10"/>
  <c r="Q1286" i="10"/>
  <c r="Q967" i="10"/>
  <c r="Q1145" i="10"/>
  <c r="Q119" i="10"/>
  <c r="Q1672" i="10"/>
  <c r="P61" i="10"/>
  <c r="Q1281" i="10"/>
  <c r="Q802" i="10"/>
  <c r="Q825" i="10"/>
  <c r="Q1543" i="10"/>
  <c r="Q564" i="10"/>
  <c r="Q608" i="10"/>
  <c r="Q913" i="10"/>
  <c r="Q238" i="10"/>
  <c r="Q1910" i="10"/>
  <c r="Q1267" i="10"/>
  <c r="Q824" i="10"/>
  <c r="Q33" i="10"/>
  <c r="Q2140" i="10"/>
  <c r="Q1544" i="10"/>
  <c r="Q1489" i="10"/>
  <c r="Q261" i="10"/>
  <c r="Q574" i="10"/>
  <c r="Q2294" i="10"/>
  <c r="Q1515" i="10"/>
  <c r="Q2278" i="10"/>
  <c r="Q2177" i="10"/>
  <c r="P2370" i="10"/>
  <c r="Q1083" i="10"/>
  <c r="Q929" i="10"/>
  <c r="Q2214" i="10"/>
  <c r="Q462" i="10"/>
  <c r="Q955" i="10"/>
  <c r="Q167" i="10"/>
  <c r="Q1871" i="10"/>
  <c r="Q230" i="10"/>
  <c r="Q148" i="10"/>
  <c r="Q1827" i="10"/>
  <c r="Q2139" i="10"/>
  <c r="Q1466" i="10"/>
  <c r="Q508" i="10"/>
  <c r="Q386" i="10"/>
  <c r="Q1719" i="10"/>
  <c r="Q1074" i="10"/>
  <c r="Q1345" i="10"/>
  <c r="Q1684" i="10"/>
  <c r="Q1447" i="10"/>
  <c r="Q227" i="10"/>
  <c r="Q1087" i="10"/>
  <c r="Q1579" i="10"/>
  <c r="Q85" i="10"/>
  <c r="Q1975" i="10"/>
  <c r="Q1318" i="10"/>
  <c r="Q1604" i="10"/>
  <c r="Q1831" i="10"/>
  <c r="Q886" i="10"/>
  <c r="Q191" i="10"/>
  <c r="Q1626" i="10"/>
  <c r="Q260" i="10"/>
  <c r="Q1879" i="10"/>
  <c r="Q627" i="10"/>
  <c r="Q1967" i="10"/>
  <c r="Q1033" i="10"/>
  <c r="Q277" i="10"/>
  <c r="Q1393" i="10"/>
  <c r="Q410" i="10"/>
  <c r="Q634" i="10"/>
  <c r="Q146" i="10"/>
  <c r="Q95" i="10"/>
  <c r="Q1085" i="10"/>
  <c r="Q1559" i="10"/>
  <c r="Q1495" i="10"/>
  <c r="Q532" i="10"/>
  <c r="Q1354" i="10"/>
  <c r="Q421" i="10"/>
  <c r="Q711" i="10"/>
  <c r="Q2211" i="10"/>
  <c r="Q1663" i="10"/>
  <c r="Q1434" i="10"/>
  <c r="Q1673" i="10"/>
  <c r="Q2286" i="10"/>
  <c r="Q1900" i="10"/>
  <c r="Q135" i="10"/>
  <c r="Q2033" i="10"/>
  <c r="P65" i="10"/>
  <c r="Q172" i="10"/>
  <c r="Q646" i="10"/>
  <c r="Q865" i="10"/>
  <c r="Q320" i="10"/>
  <c r="Q1494" i="10"/>
  <c r="Q881" i="10"/>
  <c r="Q1671" i="10"/>
  <c r="Q525" i="10"/>
  <c r="Q206" i="10"/>
  <c r="Q1020" i="10"/>
  <c r="Q1508" i="10"/>
  <c r="Q841" i="10"/>
  <c r="Q546" i="10"/>
  <c r="Q875" i="10"/>
  <c r="Q56" i="10"/>
  <c r="Q623" i="10"/>
  <c r="Q290" i="10"/>
  <c r="Q1450" i="10"/>
  <c r="Q1903" i="10"/>
  <c r="P6" i="10"/>
  <c r="Q1965" i="10"/>
  <c r="Q2370" i="10"/>
  <c r="Q1844" i="10"/>
  <c r="Q376" i="10"/>
  <c r="Q402" i="10"/>
  <c r="Q173" i="10"/>
  <c r="Q1191" i="10"/>
  <c r="Q1039" i="10"/>
  <c r="Q1683" i="10"/>
  <c r="Q615" i="10"/>
  <c r="Q2053" i="10"/>
  <c r="Q786" i="10"/>
  <c r="Q1195" i="10"/>
  <c r="Q961" i="10"/>
  <c r="Q981" i="10"/>
  <c r="Q1427" i="10"/>
  <c r="Q1163" i="10"/>
  <c r="Q1990" i="10"/>
  <c r="Q597" i="10"/>
  <c r="Q667" i="10"/>
  <c r="Q688" i="10"/>
  <c r="Q728" i="10"/>
  <c r="Q270" i="10"/>
  <c r="Q917" i="10"/>
  <c r="Q326" i="10"/>
  <c r="Q208" i="10"/>
  <c r="Q193" i="10"/>
  <c r="Q24" i="10"/>
  <c r="Q2324" i="10"/>
  <c r="Q1490" i="10"/>
  <c r="Q92" i="10"/>
  <c r="Q1552" i="10"/>
  <c r="P2363" i="10"/>
  <c r="Q1380" i="10"/>
  <c r="Q231" i="10"/>
  <c r="Q155" i="10"/>
  <c r="Q2062" i="10"/>
  <c r="P30" i="10"/>
  <c r="Q2367" i="10"/>
  <c r="Q1454" i="10"/>
  <c r="Q317" i="10"/>
  <c r="Q903" i="10"/>
  <c r="Q144" i="10"/>
  <c r="Q2301" i="10"/>
  <c r="Q1961" i="10"/>
  <c r="P46" i="10"/>
  <c r="Q133" i="10"/>
  <c r="Q18" i="10"/>
  <c r="Q2172" i="10"/>
  <c r="Q83" i="10"/>
  <c r="Q1290" i="10"/>
  <c r="Q2217" i="10"/>
  <c r="Q1925" i="10"/>
  <c r="Q2344" i="10"/>
  <c r="Q1202" i="10"/>
  <c r="Q675" i="10"/>
  <c r="Q2071" i="10"/>
  <c r="Q414" i="10"/>
  <c r="Q298" i="10"/>
  <c r="Q1016" i="10"/>
  <c r="Q1073" i="10"/>
  <c r="Q59" i="10"/>
  <c r="Q2254" i="10"/>
  <c r="Q1036" i="10"/>
  <c r="Q2145" i="10"/>
  <c r="Q1432" i="10"/>
  <c r="P58" i="10"/>
  <c r="Q1470" i="10"/>
  <c r="Q11" i="10"/>
  <c r="Q1638" i="10"/>
  <c r="Q363" i="10"/>
  <c r="Q1418" i="10"/>
  <c r="Q289" i="10"/>
  <c r="Q1935" i="10"/>
  <c r="Q1120" i="10"/>
  <c r="Q617" i="10"/>
  <c r="Q1236" i="10"/>
  <c r="Q551" i="10"/>
  <c r="Q931" i="10"/>
  <c r="P2353" i="10"/>
  <c r="Q1317" i="10"/>
  <c r="Q1865" i="10"/>
  <c r="Q117" i="10"/>
  <c r="Q1025" i="10"/>
  <c r="Q244" i="10"/>
  <c r="Q1272" i="10"/>
  <c r="Q2288" i="10"/>
  <c r="Q777" i="10"/>
  <c r="Q2326" i="10"/>
  <c r="Q373" i="10"/>
  <c r="Q2191" i="10"/>
  <c r="Q591" i="10"/>
  <c r="Q29" i="10"/>
  <c r="Q341" i="10"/>
  <c r="Q1674" i="10"/>
  <c r="Q418" i="10"/>
  <c r="Q899" i="10"/>
  <c r="Q827" i="10"/>
  <c r="Q1522" i="10"/>
  <c r="Q1001" i="10"/>
  <c r="Q2176" i="10"/>
  <c r="Q946" i="10"/>
  <c r="Q304" i="10"/>
  <c r="Q431" i="10"/>
  <c r="Q1953" i="10"/>
  <c r="Q129" i="10"/>
  <c r="Q1123" i="10"/>
  <c r="Q1239" i="10"/>
  <c r="Q1138" i="10"/>
  <c r="Q1261" i="10"/>
  <c r="Q1791" i="10"/>
  <c r="Q664" i="10"/>
  <c r="Q603" i="10"/>
  <c r="Q2051" i="10"/>
  <c r="Q441" i="10"/>
  <c r="Q1412" i="10"/>
  <c r="Q1477" i="10"/>
  <c r="Q2315" i="10"/>
  <c r="Q1386" i="10"/>
  <c r="Q915" i="10"/>
  <c r="Q905" i="10"/>
  <c r="Q1678" i="10"/>
  <c r="Q509" i="10"/>
  <c r="Q1986" i="10"/>
  <c r="Q1465" i="10"/>
  <c r="Q1130" i="10"/>
  <c r="Q2283" i="10"/>
  <c r="Q498" i="10"/>
  <c r="Q118" i="10"/>
  <c r="Q977" i="10"/>
  <c r="Q985" i="10"/>
  <c r="Q2255" i="10"/>
  <c r="Q1219" i="10"/>
  <c r="Q893" i="10"/>
  <c r="Q1445" i="10"/>
  <c r="Q1313" i="10"/>
  <c r="Q1525" i="10"/>
  <c r="Q2308" i="10"/>
  <c r="Q771" i="10"/>
  <c r="Q2365" i="10"/>
  <c r="Q1453" i="10"/>
  <c r="Q510" i="10"/>
  <c r="Q291" i="10"/>
  <c r="Q1612" i="10"/>
  <c r="Q219" i="10"/>
  <c r="Q935" i="10"/>
  <c r="Q1249" i="10"/>
  <c r="Q1206" i="10"/>
  <c r="Q696" i="10"/>
  <c r="Q1641" i="10"/>
  <c r="Q507" i="10"/>
  <c r="Q1822" i="10"/>
  <c r="Q2169" i="10"/>
  <c r="Q412" i="10"/>
  <c r="Q1311" i="10"/>
  <c r="Q722" i="10"/>
  <c r="Q31" i="10"/>
  <c r="Q859" i="10"/>
  <c r="Q2068" i="10"/>
  <c r="Q1766" i="10"/>
  <c r="Q1499" i="10"/>
  <c r="Q995" i="10"/>
  <c r="Q1015" i="10"/>
  <c r="Q463" i="10"/>
  <c r="Q1763" i="10"/>
  <c r="Q1343" i="10"/>
  <c r="Q1289" i="10"/>
  <c r="Q2258" i="10"/>
  <c r="Q1442" i="10"/>
  <c r="Q2282" i="10"/>
  <c r="Q866" i="10"/>
  <c r="Q1737" i="10"/>
  <c r="Q478" i="10"/>
  <c r="Q1938" i="10"/>
  <c r="Q2164" i="10"/>
  <c r="Q2078" i="10"/>
  <c r="Q960" i="10"/>
  <c r="Q1611" i="10"/>
  <c r="Q2020" i="10"/>
  <c r="Q1022" i="10"/>
  <c r="Q170" i="10"/>
  <c r="Q394" i="10"/>
  <c r="Q49" i="10"/>
  <c r="Q952" i="10"/>
  <c r="Q1826" i="10"/>
  <c r="Q190" i="10"/>
  <c r="Q1222" i="10"/>
  <c r="Q2347" i="10"/>
  <c r="Q348" i="10"/>
  <c r="Q1862" i="10"/>
  <c r="Q174" i="10"/>
  <c r="Q1356" i="10"/>
  <c r="Q25" i="10"/>
  <c r="P2342" i="10"/>
  <c r="Q426" i="10"/>
  <c r="Q1527" i="10"/>
  <c r="Q2014" i="10"/>
  <c r="Q1633" i="10"/>
  <c r="Q1198" i="10"/>
  <c r="Q885" i="10"/>
  <c r="Q82" i="10"/>
  <c r="Q1841" i="10"/>
  <c r="Q1698" i="10"/>
  <c r="Q1917" i="10"/>
  <c r="Q464" i="10"/>
  <c r="Q1387" i="10"/>
  <c r="Q808" i="10"/>
  <c r="Q465" i="10"/>
  <c r="Q570" i="10"/>
  <c r="Q225" i="10"/>
  <c r="Q1333" i="10"/>
  <c r="Q2157" i="10"/>
  <c r="Q1223" i="10"/>
  <c r="P54" i="10"/>
  <c r="Q934" i="10"/>
  <c r="Q1825" i="10"/>
  <c r="Q944" i="10"/>
  <c r="Q1987" i="10"/>
  <c r="Q469" i="10"/>
  <c r="P64" i="10"/>
  <c r="Q263" i="10"/>
  <c r="Q779" i="10"/>
  <c r="Q690" i="10"/>
  <c r="Q2047" i="10"/>
  <c r="Q1287" i="10"/>
  <c r="Q638" i="10"/>
  <c r="Q889" i="10"/>
  <c r="Q1013" i="10"/>
  <c r="Q383" i="10"/>
  <c r="Q2054" i="10"/>
  <c r="P22" i="10"/>
  <c r="Q754" i="10"/>
  <c r="Q1754" i="10"/>
  <c r="Q651" i="10"/>
  <c r="Q334" i="10"/>
  <c r="Q1216" i="10"/>
  <c r="Q1430" i="10"/>
  <c r="Q2031" i="10"/>
  <c r="Q1061" i="10"/>
  <c r="Q407" i="10"/>
  <c r="Q2304" i="10"/>
  <c r="Q1498" i="10"/>
  <c r="Q2124" i="10"/>
  <c r="Q1828" i="10"/>
  <c r="Q1731" i="10"/>
  <c r="Q474" i="10"/>
  <c r="Q1809" i="10"/>
  <c r="Q1818" i="10"/>
  <c r="Q1314" i="10"/>
  <c r="Q1094" i="10"/>
  <c r="Q217" i="10"/>
  <c r="Q789" i="10"/>
  <c r="Q1981" i="10"/>
  <c r="Q1812" i="10"/>
  <c r="Q1437" i="10"/>
  <c r="Q770" i="10"/>
  <c r="Q524" i="10"/>
  <c r="Q986" i="10"/>
  <c r="Q1813" i="10"/>
  <c r="Q1787" i="10"/>
  <c r="Q878" i="10"/>
  <c r="Q242" i="10"/>
  <c r="Q169" i="10"/>
  <c r="Q761" i="10"/>
  <c r="Q1780" i="10"/>
  <c r="Q540" i="10"/>
  <c r="Q1397" i="10"/>
  <c r="Q1207" i="10"/>
  <c r="Q1701" i="10"/>
  <c r="Q626" i="10"/>
  <c r="Q2327" i="10"/>
  <c r="Q2328" i="10"/>
  <c r="Q357" i="10"/>
  <c r="Q299" i="10"/>
  <c r="Q1278" i="10"/>
  <c r="Q1485" i="10"/>
  <c r="Q2008" i="10"/>
  <c r="Q1205" i="10"/>
  <c r="Q2142" i="10"/>
  <c r="Q1578" i="10"/>
  <c r="Q518" i="10"/>
  <c r="Q778" i="10"/>
  <c r="Q2093" i="10"/>
  <c r="Q923" i="10"/>
  <c r="Q216" i="10"/>
  <c r="Q32" i="10"/>
  <c r="Q2349" i="10"/>
  <c r="Q2178" i="10"/>
  <c r="Q614" i="10"/>
  <c r="Q137" i="10"/>
  <c r="Q353" i="10"/>
  <c r="Q2040" i="10"/>
  <c r="Q1423" i="10"/>
  <c r="Q1946" i="10"/>
  <c r="Q433" i="10"/>
  <c r="Q1004" i="10"/>
  <c r="Q1680" i="10"/>
  <c r="Q702" i="10"/>
  <c r="Q1947" i="10"/>
  <c r="Q482" i="10"/>
  <c r="Q1199" i="10"/>
  <c r="Q790" i="10"/>
  <c r="Q2037" i="10"/>
  <c r="Q2215" i="10"/>
  <c r="Q2059" i="10"/>
  <c r="Q916" i="10"/>
  <c r="Q1463" i="10"/>
  <c r="Q980" i="10"/>
  <c r="Q309" i="10"/>
  <c r="Q1417" i="10"/>
  <c r="Q192" i="10"/>
  <c r="Q205" i="10"/>
  <c r="Q803" i="10"/>
  <c r="Q668" i="10"/>
  <c r="Q128" i="10"/>
  <c r="Q1436" i="10"/>
  <c r="Q1414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5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AC23" i="12" s="1"/>
  <c r="AN6" i="1"/>
  <c r="BH21" i="1"/>
  <c r="BH23" i="1"/>
  <c r="AE2" i="12"/>
  <c r="BH6" i="1"/>
  <c r="BI6" i="1"/>
  <c r="K30" i="12"/>
  <c r="K13" i="12"/>
  <c r="K28" i="12"/>
  <c r="K12" i="12"/>
  <c r="AN16" i="1"/>
  <c r="K29" i="12"/>
  <c r="AN33" i="1"/>
  <c r="AE11" i="12"/>
  <c r="BH15" i="1"/>
  <c r="AC11" i="12" s="1"/>
  <c r="K27" i="12"/>
  <c r="AN31" i="1"/>
  <c r="K21" i="12"/>
  <c r="BH14" i="1"/>
  <c r="AC10" i="12"/>
  <c r="K10" i="12"/>
  <c r="AN14" i="1"/>
  <c r="AE13" i="12"/>
  <c r="BH17" i="1"/>
  <c r="AC13" i="12" s="1"/>
  <c r="BI17" i="1"/>
  <c r="BJ17" i="1" s="1"/>
  <c r="K20" i="12"/>
  <c r="AN5" i="1"/>
  <c r="Z19" i="12"/>
  <c r="K25" i="12"/>
  <c r="AN13" i="1"/>
  <c r="BH16" i="1"/>
  <c r="K19" i="12"/>
  <c r="K24" i="12"/>
  <c r="BH25" i="1"/>
  <c r="AC21" i="12"/>
  <c r="BH11" i="1"/>
  <c r="AC7" i="12" s="1"/>
  <c r="K23" i="12"/>
  <c r="AN11" i="1"/>
  <c r="K32" i="12"/>
  <c r="AE6" i="12"/>
  <c r="BH10" i="1"/>
  <c r="AC6" i="12" s="1"/>
  <c r="K22" i="12"/>
  <c r="K17" i="12"/>
  <c r="AN21" i="1"/>
  <c r="K5" i="12"/>
  <c r="AE4" i="12"/>
  <c r="BH8" i="1"/>
  <c r="K16" i="12"/>
  <c r="AN20" i="1"/>
  <c r="K4" i="12"/>
  <c r="AE3" i="12"/>
  <c r="BH7" i="1"/>
  <c r="BI7" i="1"/>
  <c r="AN19" i="1"/>
  <c r="K3" i="12"/>
  <c r="BH18" i="1"/>
  <c r="BI18" i="1" s="1"/>
  <c r="BJ18" i="1" s="1"/>
  <c r="K31" i="12"/>
  <c r="Z24" i="12"/>
  <c r="Z22" i="12"/>
  <c r="Z23" i="12"/>
  <c r="Z21" i="12"/>
  <c r="Y14" i="12"/>
  <c r="Y12" i="12"/>
  <c r="Z20" i="12"/>
  <c r="Z31" i="12"/>
  <c r="Z5" i="12"/>
  <c r="Y11" i="12"/>
  <c r="Y13" i="12"/>
  <c r="Z18" i="12"/>
  <c r="Z30" i="12"/>
  <c r="Z16" i="12"/>
  <c r="Z4" i="12"/>
  <c r="Y10" i="12"/>
  <c r="Y6" i="12"/>
  <c r="Z29" i="12"/>
  <c r="Z15" i="12"/>
  <c r="Z3" i="12"/>
  <c r="Y9" i="12"/>
  <c r="Y8" i="12"/>
  <c r="Z27" i="12"/>
  <c r="Y7" i="12"/>
  <c r="Z2" i="12"/>
  <c r="Z26" i="12"/>
  <c r="Z25" i="12"/>
  <c r="AF26" i="12"/>
  <c r="BH31" i="1"/>
  <c r="AC27" i="12" s="1"/>
  <c r="BI31" i="1"/>
  <c r="BJ31" i="1" s="1"/>
  <c r="AF25" i="12"/>
  <c r="BH29" i="1"/>
  <c r="AU35" i="9"/>
  <c r="AU27" i="9"/>
  <c r="AU23" i="9"/>
  <c r="BH24" i="1"/>
  <c r="AC20" i="12" s="1"/>
  <c r="BI24" i="1"/>
  <c r="BJ24" i="1"/>
  <c r="AF22" i="12"/>
  <c r="AF32" i="12"/>
  <c r="BH36" i="1"/>
  <c r="AU33" i="9"/>
  <c r="AC30" i="12"/>
  <c r="AF16" i="12"/>
  <c r="BH20" i="1"/>
  <c r="AF29" i="12"/>
  <c r="BH33" i="1"/>
  <c r="AC29" i="12" s="1"/>
  <c r="AF18" i="12"/>
  <c r="BH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I7" i="6"/>
  <c r="H12" i="6"/>
  <c r="J18" i="6"/>
  <c r="AJ16" i="9"/>
  <c r="AO2" i="12"/>
  <c r="AM19" i="12"/>
  <c r="K24" i="6"/>
  <c r="G19" i="13"/>
  <c r="J8" i="6"/>
  <c r="AJ6" i="9"/>
  <c r="AH22" i="9"/>
  <c r="G52" i="11"/>
  <c r="G54" i="11" s="1"/>
  <c r="I19" i="9"/>
  <c r="K26" i="6"/>
  <c r="G21" i="13" s="1"/>
  <c r="J25" i="6"/>
  <c r="AJ23" i="9"/>
  <c r="K6" i="6"/>
  <c r="H26" i="6"/>
  <c r="AN21" i="12"/>
  <c r="AH8" i="9"/>
  <c r="AM12" i="12"/>
  <c r="AM20" i="12"/>
  <c r="AH23" i="9"/>
  <c r="K25" i="6"/>
  <c r="G20" i="13" s="1"/>
  <c r="AF24" i="12"/>
  <c r="AE27" i="12"/>
  <c r="V38" i="2"/>
  <c r="V39" i="2"/>
  <c r="S38" i="2"/>
  <c r="S39" i="2" s="1"/>
  <c r="C22" i="7"/>
  <c r="AF10" i="12"/>
  <c r="AO26" i="12"/>
  <c r="AH31" i="9"/>
  <c r="H27" i="6"/>
  <c r="H2370" i="10"/>
  <c r="K30" i="1"/>
  <c r="G26" i="12" s="1"/>
  <c r="K22" i="9"/>
  <c r="D2370" i="10"/>
  <c r="AT22" i="9"/>
  <c r="AC32" i="12"/>
  <c r="AM28" i="12"/>
  <c r="G30" i="4"/>
  <c r="AF20" i="12"/>
  <c r="O6" i="10"/>
  <c r="AM16" i="12"/>
  <c r="AM15" i="12"/>
  <c r="K21" i="6"/>
  <c r="G16" i="13"/>
  <c r="J20" i="6"/>
  <c r="AJ18" i="9"/>
  <c r="AJ8" i="12"/>
  <c r="AM11" i="12"/>
  <c r="I17" i="6"/>
  <c r="K14" i="6"/>
  <c r="G9" i="13"/>
  <c r="I14" i="6"/>
  <c r="AM7" i="12"/>
  <c r="AN10" i="12"/>
  <c r="AH13" i="9"/>
  <c r="I16" i="9"/>
  <c r="I15" i="9"/>
  <c r="AH16" i="9"/>
  <c r="J16" i="6"/>
  <c r="AJ14" i="9"/>
  <c r="AT15" i="9"/>
  <c r="AT14" i="9"/>
  <c r="AU14" i="9"/>
  <c r="M2370" i="10"/>
  <c r="AT12" i="9"/>
  <c r="AJ7" i="12"/>
  <c r="J12" i="6"/>
  <c r="AJ10" i="9"/>
  <c r="AH9" i="9"/>
  <c r="I12" i="6"/>
  <c r="AT8" i="9"/>
  <c r="AU8" i="9"/>
  <c r="E9" i="9"/>
  <c r="I10" i="6"/>
  <c r="AJ3" i="12"/>
  <c r="H7" i="2"/>
  <c r="I5" i="9"/>
  <c r="K7" i="6"/>
  <c r="G2" i="13"/>
  <c r="I2353" i="10"/>
  <c r="K9" i="1"/>
  <c r="G5" i="12" s="1"/>
  <c r="F4" i="12"/>
  <c r="G4" i="12"/>
  <c r="G14" i="4"/>
  <c r="G26" i="4"/>
  <c r="K9" i="6"/>
  <c r="G4" i="13" s="1"/>
  <c r="AC3" i="12"/>
  <c r="AG3" i="12"/>
  <c r="K22" i="6"/>
  <c r="G17" i="13"/>
  <c r="F42" i="11"/>
  <c r="G42" i="11"/>
  <c r="G43" i="11"/>
  <c r="J36" i="6"/>
  <c r="F31" i="12"/>
  <c r="D5" i="10"/>
  <c r="O5" i="10" s="1"/>
  <c r="AD30" i="12"/>
  <c r="K37" i="6"/>
  <c r="G32" i="13" s="1"/>
  <c r="I37" i="6"/>
  <c r="H36" i="6"/>
  <c r="H34" i="6"/>
  <c r="AM26" i="12"/>
  <c r="K31" i="6"/>
  <c r="G26" i="13" s="1"/>
  <c r="BB37" i="1"/>
  <c r="BB38" i="1" s="1"/>
  <c r="C32" i="9"/>
  <c r="K32" i="1"/>
  <c r="G28" i="12" s="1"/>
  <c r="G11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K30" i="9"/>
  <c r="K28" i="9"/>
  <c r="AJ25" i="12"/>
  <c r="K34" i="1"/>
  <c r="G30" i="12" s="1"/>
  <c r="G33" i="9"/>
  <c r="E32" i="9"/>
  <c r="F21" i="12"/>
  <c r="C24" i="9"/>
  <c r="T38" i="2"/>
  <c r="T39" i="2"/>
  <c r="G18" i="12"/>
  <c r="AT28" i="9"/>
  <c r="AO12" i="12"/>
  <c r="AN18" i="12"/>
  <c r="G19" i="12"/>
  <c r="AU21" i="9"/>
  <c r="J13" i="6"/>
  <c r="AJ11" i="9" s="1"/>
  <c r="AO14" i="12"/>
  <c r="K10" i="6"/>
  <c r="G5" i="13"/>
  <c r="H8" i="6"/>
  <c r="H10" i="6"/>
  <c r="K18" i="6"/>
  <c r="G13" i="13"/>
  <c r="K11" i="6"/>
  <c r="G6" i="13" s="1"/>
  <c r="AM13" i="12"/>
  <c r="J22" i="6"/>
  <c r="AJ20" i="9"/>
  <c r="H22" i="6"/>
  <c r="AM18" i="12"/>
  <c r="AH21" i="9"/>
  <c r="I21" i="6"/>
  <c r="K20" i="6"/>
  <c r="G15" i="13"/>
  <c r="I19" i="6"/>
  <c r="I18" i="9"/>
  <c r="N66" i="10"/>
  <c r="M66" i="10"/>
  <c r="N2370" i="10"/>
  <c r="D51" i="7"/>
  <c r="E2353" i="10"/>
  <c r="F2353" i="10"/>
  <c r="G2353" i="10"/>
  <c r="H2353" i="10"/>
  <c r="K2353" i="10"/>
  <c r="L2353" i="10"/>
  <c r="M2353" i="10"/>
  <c r="N2353" i="10"/>
  <c r="D2353" i="10"/>
  <c r="I66" i="10"/>
  <c r="C2370" i="10"/>
  <c r="G10" i="12"/>
  <c r="C16" i="9"/>
  <c r="AT16" i="9"/>
  <c r="AU16" i="9"/>
  <c r="C47" i="7"/>
  <c r="E51" i="7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C15" i="9"/>
  <c r="AN14" i="12"/>
  <c r="AM10" i="12"/>
  <c r="H40" i="4"/>
  <c r="G40" i="4"/>
  <c r="R5" i="9"/>
  <c r="O38" i="2"/>
  <c r="AJ20" i="1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I32" i="9"/>
  <c r="AI27" i="12"/>
  <c r="I30" i="9"/>
  <c r="K35" i="1"/>
  <c r="G31" i="12"/>
  <c r="K18" i="12"/>
  <c r="AG20" i="12"/>
  <c r="AT23" i="9"/>
  <c r="AE18" i="12"/>
  <c r="K16" i="9"/>
  <c r="K12" i="9"/>
  <c r="AJ9" i="12"/>
  <c r="H36" i="4"/>
  <c r="G36" i="4"/>
  <c r="G20" i="4"/>
  <c r="H20" i="4"/>
  <c r="H16" i="4"/>
  <c r="G16" i="4"/>
  <c r="O2349" i="10"/>
  <c r="K23" i="6"/>
  <c r="G18" i="13" s="1"/>
  <c r="C23" i="9"/>
  <c r="AG2" i="12"/>
  <c r="N4" i="12"/>
  <c r="G19" i="9"/>
  <c r="C12" i="9"/>
  <c r="AN2" i="12"/>
  <c r="K15" i="6"/>
  <c r="G10" i="13"/>
  <c r="H19" i="6"/>
  <c r="AI4" i="12"/>
  <c r="AH26" i="9"/>
  <c r="AM8" i="12"/>
  <c r="AH30" i="9"/>
  <c r="H25" i="6"/>
  <c r="H34" i="4"/>
  <c r="G14" i="12"/>
  <c r="J35" i="6"/>
  <c r="H8" i="2"/>
  <c r="O2368" i="10"/>
  <c r="I11" i="6"/>
  <c r="H22" i="4"/>
  <c r="G25" i="4"/>
  <c r="H11" i="6"/>
  <c r="G12" i="4"/>
  <c r="E11" i="9"/>
  <c r="I6" i="9"/>
  <c r="AI3" i="12"/>
  <c r="AJ24" i="12"/>
  <c r="AJ11" i="12"/>
  <c r="AF31" i="12"/>
  <c r="AG31" i="12"/>
  <c r="AT34" i="9"/>
  <c r="AG8" i="12"/>
  <c r="AT11" i="9"/>
  <c r="E2370" i="10"/>
  <c r="AK37" i="1"/>
  <c r="AK38" i="1" s="1"/>
  <c r="H14" i="6"/>
  <c r="H13" i="6"/>
  <c r="K13" i="6"/>
  <c r="G8" i="13"/>
  <c r="AV37" i="1"/>
  <c r="AV38" i="1"/>
  <c r="AT37" i="1"/>
  <c r="AT38" i="1" s="1"/>
  <c r="C11" i="9"/>
  <c r="AZ37" i="1"/>
  <c r="AZ38" i="1" s="1"/>
  <c r="E22" i="9"/>
  <c r="M37" i="1"/>
  <c r="M38" i="1" s="1"/>
  <c r="AC19" i="12"/>
  <c r="X7" i="2"/>
  <c r="Y7" i="2" s="1"/>
  <c r="AC26" i="12"/>
  <c r="BJ5" i="1"/>
  <c r="AC4" i="12"/>
  <c r="AC2" i="12"/>
  <c r="P5" i="9"/>
  <c r="AC12" i="12"/>
  <c r="AC25" i="12"/>
  <c r="AC16" i="12"/>
  <c r="AC31" i="12"/>
  <c r="I3" i="13"/>
  <c r="BO5" i="9"/>
  <c r="BP5" i="9"/>
  <c r="AC18" i="12"/>
  <c r="AJ37" i="9"/>
  <c r="BS14" i="1"/>
  <c r="BU31" i="1"/>
  <c r="I25" i="13" l="1"/>
  <c r="P28" i="9"/>
  <c r="X30" i="2"/>
  <c r="W30" i="2"/>
  <c r="BN28" i="9" s="1"/>
  <c r="U30" i="2"/>
  <c r="BM28" i="9" s="1"/>
  <c r="Q30" i="2"/>
  <c r="X28" i="9" s="1"/>
  <c r="AK4" i="12"/>
  <c r="H9" i="2"/>
  <c r="AN25" i="12"/>
  <c r="H30" i="6"/>
  <c r="K30" i="6"/>
  <c r="G25" i="13" s="1"/>
  <c r="I29" i="4"/>
  <c r="BU14" i="1"/>
  <c r="BW14" i="1"/>
  <c r="E10" i="13"/>
  <c r="BS18" i="1"/>
  <c r="AI14" i="12"/>
  <c r="H19" i="2"/>
  <c r="I17" i="9"/>
  <c r="AJ6" i="12"/>
  <c r="K9" i="9"/>
  <c r="AC17" i="12"/>
  <c r="BI21" i="1"/>
  <c r="BJ21" i="1" s="1"/>
  <c r="BI23" i="1"/>
  <c r="AI10" i="12"/>
  <c r="I13" i="9"/>
  <c r="H15" i="2"/>
  <c r="AI25" i="12"/>
  <c r="I28" i="9"/>
  <c r="H36" i="2"/>
  <c r="AJ31" i="12"/>
  <c r="AO29" i="12"/>
  <c r="J34" i="6"/>
  <c r="AJ32" i="9" s="1"/>
  <c r="AI9" i="12"/>
  <c r="H14" i="2"/>
  <c r="I12" i="9"/>
  <c r="AI24" i="12"/>
  <c r="H29" i="2"/>
  <c r="I27" i="9"/>
  <c r="AJ30" i="12"/>
  <c r="H35" i="2"/>
  <c r="H34" i="2"/>
  <c r="AJ29" i="12"/>
  <c r="K32" i="9"/>
  <c r="AO27" i="12"/>
  <c r="J32" i="6"/>
  <c r="AJ30" i="9" s="1"/>
  <c r="BS16" i="1"/>
  <c r="BS17" i="1"/>
  <c r="Q12" i="2"/>
  <c r="X10" i="9" s="1"/>
  <c r="P10" i="9"/>
  <c r="X12" i="2"/>
  <c r="U12" i="2"/>
  <c r="BM10" i="9" s="1"/>
  <c r="I7" i="13"/>
  <c r="W12" i="2"/>
  <c r="BN10" i="9" s="1"/>
  <c r="BJ8" i="1"/>
  <c r="I26" i="9"/>
  <c r="I38" i="6"/>
  <c r="I39" i="6" s="1"/>
  <c r="O2353" i="10"/>
  <c r="AI11" i="12"/>
  <c r="I14" i="9"/>
  <c r="I29" i="9"/>
  <c r="AI26" i="12"/>
  <c r="H31" i="2"/>
  <c r="BS20" i="1"/>
  <c r="H26" i="2"/>
  <c r="I24" i="9"/>
  <c r="AI21" i="12"/>
  <c r="E38" i="2"/>
  <c r="E39" i="2" s="1"/>
  <c r="K33" i="9" s="1"/>
  <c r="K8" i="9"/>
  <c r="AJ5" i="12"/>
  <c r="H10" i="2"/>
  <c r="BS33" i="1"/>
  <c r="H10" i="4"/>
  <c r="G10" i="4"/>
  <c r="AI20" i="12"/>
  <c r="I23" i="9"/>
  <c r="H25" i="2"/>
  <c r="AJ17" i="12"/>
  <c r="K20" i="9"/>
  <c r="AO28" i="12"/>
  <c r="J33" i="6"/>
  <c r="AJ31" i="9" s="1"/>
  <c r="G28" i="4"/>
  <c r="I39" i="4" s="1"/>
  <c r="H28" i="4"/>
  <c r="J34" i="4" s="1"/>
  <c r="AB31" i="12"/>
  <c r="BI35" i="1"/>
  <c r="BI15" i="1"/>
  <c r="AI8" i="12"/>
  <c r="I11" i="9"/>
  <c r="H13" i="2"/>
  <c r="I22" i="9"/>
  <c r="AI19" i="12"/>
  <c r="H24" i="2"/>
  <c r="K19" i="9"/>
  <c r="H21" i="2"/>
  <c r="AJ16" i="12"/>
  <c r="G38" i="2"/>
  <c r="G39" i="2" s="1"/>
  <c r="H16" i="2"/>
  <c r="H38" i="4"/>
  <c r="G38" i="4"/>
  <c r="BI28" i="1"/>
  <c r="E37" i="1"/>
  <c r="E38" i="1" s="1"/>
  <c r="I2370" i="10"/>
  <c r="H32" i="2"/>
  <c r="H28" i="2"/>
  <c r="BX14" i="1"/>
  <c r="AI18" i="12"/>
  <c r="H23" i="2"/>
  <c r="I21" i="9"/>
  <c r="R11" i="12"/>
  <c r="AN15" i="1"/>
  <c r="BS15" i="1" s="1"/>
  <c r="BJ14" i="1"/>
  <c r="AI6" i="12"/>
  <c r="I9" i="9"/>
  <c r="H11" i="2"/>
  <c r="AI17" i="12"/>
  <c r="I20" i="9"/>
  <c r="H22" i="2"/>
  <c r="AA37" i="1"/>
  <c r="AA38" i="1" s="1"/>
  <c r="AJ27" i="12"/>
  <c r="AM14" i="12"/>
  <c r="AH17" i="9"/>
  <c r="K19" i="6"/>
  <c r="G14" i="13" s="1"/>
  <c r="N28" i="12"/>
  <c r="AN32" i="1"/>
  <c r="T30" i="12"/>
  <c r="BI34" i="1"/>
  <c r="BJ34" i="1" s="1"/>
  <c r="AP37" i="1"/>
  <c r="AP38" i="1" s="1"/>
  <c r="T6" i="12"/>
  <c r="BI10" i="1"/>
  <c r="BJ10" i="1" s="1"/>
  <c r="AU9" i="9"/>
  <c r="AF6" i="12"/>
  <c r="AI5" i="12"/>
  <c r="I8" i="9"/>
  <c r="H17" i="2"/>
  <c r="AJ12" i="12"/>
  <c r="J11" i="6"/>
  <c r="AJ9" i="9" s="1"/>
  <c r="BI29" i="1"/>
  <c r="AN35" i="1"/>
  <c r="BS35" i="1" s="1"/>
  <c r="BW31" i="1"/>
  <c r="E27" i="13"/>
  <c r="BX31" i="1"/>
  <c r="AH6" i="9"/>
  <c r="K8" i="6"/>
  <c r="G3" i="13" s="1"/>
  <c r="C38" i="6"/>
  <c r="AM3" i="12"/>
  <c r="AC37" i="1"/>
  <c r="AC38" i="1" s="1"/>
  <c r="AN34" i="1"/>
  <c r="E5" i="9"/>
  <c r="K6" i="1"/>
  <c r="G2" i="12" s="1"/>
  <c r="O37" i="1"/>
  <c r="O38" i="1" s="1"/>
  <c r="AG24" i="12"/>
  <c r="AT27" i="9"/>
  <c r="AE9" i="12"/>
  <c r="BH13" i="1"/>
  <c r="AC9" i="12" s="1"/>
  <c r="BI32" i="1"/>
  <c r="BJ32" i="1" s="1"/>
  <c r="AH14" i="9"/>
  <c r="K16" i="6"/>
  <c r="G11" i="13" s="1"/>
  <c r="I14" i="12"/>
  <c r="S37" i="1"/>
  <c r="S38" i="1" s="1"/>
  <c r="J5" i="12"/>
  <c r="U37" i="1"/>
  <c r="U38" i="1" s="1"/>
  <c r="AC14" i="12"/>
  <c r="AJ28" i="12"/>
  <c r="K5" i="1"/>
  <c r="C10" i="9"/>
  <c r="F7" i="12"/>
  <c r="J37" i="1"/>
  <c r="AX37" i="1"/>
  <c r="AX38" i="1" s="1"/>
  <c r="AU20" i="9"/>
  <c r="AF17" i="12"/>
  <c r="AG23" i="12"/>
  <c r="BR37" i="1"/>
  <c r="BR38" i="1" s="1"/>
  <c r="AT7" i="9"/>
  <c r="AE8" i="12"/>
  <c r="BH12" i="1"/>
  <c r="AC8" i="12" s="1"/>
  <c r="K8" i="12"/>
  <c r="AN12" i="1"/>
  <c r="U7" i="12"/>
  <c r="BI11" i="1"/>
  <c r="BJ11" i="1" s="1"/>
  <c r="L19" i="12"/>
  <c r="AN23" i="1"/>
  <c r="BS23" i="1" s="1"/>
  <c r="H33" i="6"/>
  <c r="AN28" i="12"/>
  <c r="K33" i="6"/>
  <c r="G28" i="13" s="1"/>
  <c r="H33" i="2"/>
  <c r="AN36" i="1"/>
  <c r="L18" i="12"/>
  <c r="Y37" i="1"/>
  <c r="Y38" i="1" s="1"/>
  <c r="R22" i="12"/>
  <c r="AN26" i="1"/>
  <c r="BS26" i="1" s="1"/>
  <c r="V26" i="12"/>
  <c r="BI30" i="1"/>
  <c r="BJ30" i="1" s="1"/>
  <c r="AN27" i="12"/>
  <c r="K32" i="6"/>
  <c r="G27" i="13" s="1"/>
  <c r="H32" i="6"/>
  <c r="AN29" i="1"/>
  <c r="BS29" i="1" s="1"/>
  <c r="AF28" i="12"/>
  <c r="AU31" i="9"/>
  <c r="BH32" i="1"/>
  <c r="AC28" i="12" s="1"/>
  <c r="BN37" i="1"/>
  <c r="BN38" i="1" s="1"/>
  <c r="AN28" i="1"/>
  <c r="BS28" i="1" s="1"/>
  <c r="K17" i="6"/>
  <c r="G12" i="13" s="1"/>
  <c r="AH15" i="9"/>
  <c r="AN7" i="12"/>
  <c r="K12" i="6"/>
  <c r="G7" i="13" s="1"/>
  <c r="BS24" i="1"/>
  <c r="AI7" i="12"/>
  <c r="I10" i="9"/>
  <c r="I25" i="9"/>
  <c r="H27" i="2"/>
  <c r="AI22" i="12"/>
  <c r="AJ15" i="12"/>
  <c r="H20" i="2"/>
  <c r="K34" i="6"/>
  <c r="G29" i="13" s="1"/>
  <c r="U21" i="12"/>
  <c r="BI25" i="1"/>
  <c r="BJ25" i="1" s="1"/>
  <c r="AO25" i="12"/>
  <c r="J30" i="6"/>
  <c r="AJ28" i="9" s="1"/>
  <c r="R33" i="9"/>
  <c r="O39" i="2"/>
  <c r="R34" i="9" s="1"/>
  <c r="AN22" i="1"/>
  <c r="AN27" i="1"/>
  <c r="BS27" i="1" s="1"/>
  <c r="M23" i="12"/>
  <c r="T18" i="12"/>
  <c r="BI22" i="1"/>
  <c r="BJ22" i="1" s="1"/>
  <c r="AI32" i="12"/>
  <c r="H37" i="2"/>
  <c r="J29" i="6"/>
  <c r="AJ27" i="9" s="1"/>
  <c r="AO24" i="12"/>
  <c r="K29" i="9"/>
  <c r="AE24" i="12"/>
  <c r="BH28" i="1"/>
  <c r="AC24" i="12" s="1"/>
  <c r="AN30" i="1"/>
  <c r="H17" i="12"/>
  <c r="BS21" i="1"/>
  <c r="Q37" i="1"/>
  <c r="H13" i="11" s="1"/>
  <c r="AR37" i="1"/>
  <c r="AR38" i="1" s="1"/>
  <c r="L20" i="12"/>
  <c r="BP37" i="1"/>
  <c r="BP38" i="1" s="1"/>
  <c r="AI37" i="1"/>
  <c r="AI38" i="1" s="1"/>
  <c r="C30" i="9"/>
  <c r="BI26" i="1"/>
  <c r="BS6" i="1"/>
  <c r="BJ6" i="1"/>
  <c r="W8" i="2"/>
  <c r="BN6" i="9" s="1"/>
  <c r="U8" i="2"/>
  <c r="BM6" i="9" s="1"/>
  <c r="Q8" i="2"/>
  <c r="P6" i="9"/>
  <c r="X8" i="2"/>
  <c r="H18" i="2"/>
  <c r="F27" i="12"/>
  <c r="BH26" i="1"/>
  <c r="AC22" i="12" s="1"/>
  <c r="AN7" i="1"/>
  <c r="AN9" i="1"/>
  <c r="AE7" i="12"/>
  <c r="G19" i="4"/>
  <c r="I28" i="4" s="1"/>
  <c r="H19" i="4"/>
  <c r="J31" i="4" s="1"/>
  <c r="C37" i="1"/>
  <c r="C38" i="1" s="1"/>
  <c r="F16" i="12"/>
  <c r="C19" i="9"/>
  <c r="AF27" i="12"/>
  <c r="AU30" i="9"/>
  <c r="AF15" i="12"/>
  <c r="BH19" i="1"/>
  <c r="AC15" i="12" s="1"/>
  <c r="AG22" i="12"/>
  <c r="AT25" i="9"/>
  <c r="J26" i="4"/>
  <c r="AF14" i="12"/>
  <c r="AU17" i="9"/>
  <c r="J24" i="6"/>
  <c r="AJ22" i="9" s="1"/>
  <c r="AO19" i="12"/>
  <c r="AN15" i="12"/>
  <c r="H20" i="6"/>
  <c r="AN10" i="1"/>
  <c r="O19" i="10"/>
  <c r="O66" i="10" s="1"/>
  <c r="C13" i="9"/>
  <c r="F10" i="12"/>
  <c r="T44" i="2"/>
  <c r="H35" i="4"/>
  <c r="J36" i="4" s="1"/>
  <c r="AN23" i="12"/>
  <c r="H28" i="6"/>
  <c r="I2" i="13"/>
  <c r="U7" i="2"/>
  <c r="BM5" i="9" s="1"/>
  <c r="W7" i="2"/>
  <c r="BN5" i="9" s="1"/>
  <c r="G37" i="1"/>
  <c r="G38" i="1" s="1"/>
  <c r="L66" i="10"/>
  <c r="J27" i="4"/>
  <c r="U32" i="12"/>
  <c r="BI36" i="1"/>
  <c r="BJ36" i="1" s="1"/>
  <c r="AO5" i="12"/>
  <c r="J10" i="6"/>
  <c r="AJ8" i="9" s="1"/>
  <c r="BF37" i="1"/>
  <c r="BF38" i="1" s="1"/>
  <c r="AO23" i="12"/>
  <c r="J28" i="6"/>
  <c r="AJ26" i="9" s="1"/>
  <c r="AG37" i="1"/>
  <c r="AG38" i="1" s="1"/>
  <c r="AE37" i="1"/>
  <c r="AE38" i="1" s="1"/>
  <c r="O2" i="12"/>
  <c r="AN8" i="1"/>
  <c r="BS8" i="1" s="1"/>
  <c r="E4" i="13" s="1"/>
  <c r="BH9" i="1"/>
  <c r="AC5" i="12" s="1"/>
  <c r="J23" i="6"/>
  <c r="AJ21" i="9" s="1"/>
  <c r="AG6" i="12"/>
  <c r="AT9" i="9"/>
  <c r="J15" i="6"/>
  <c r="AJ13" i="9" s="1"/>
  <c r="AO10" i="12"/>
  <c r="C38" i="2"/>
  <c r="W37" i="1"/>
  <c r="W38" i="1" s="1"/>
  <c r="BI33" i="1"/>
  <c r="BJ33" i="1" s="1"/>
  <c r="H11" i="4"/>
  <c r="G11" i="4"/>
  <c r="I24" i="4" s="1"/>
  <c r="Q1242" i="10"/>
  <c r="Q403" i="10"/>
  <c r="Q1718" i="10"/>
  <c r="Q2117" i="10"/>
  <c r="Q1848" i="10"/>
  <c r="Q175" i="10"/>
  <c r="Q2119" i="10"/>
  <c r="Q1571" i="10"/>
  <c r="Q1136" i="10"/>
  <c r="Q2348" i="10"/>
  <c r="Q2345" i="10"/>
  <c r="Q116" i="10"/>
  <c r="Q1324" i="10"/>
  <c r="P40" i="10"/>
  <c r="Q1962" i="10"/>
  <c r="Q2266" i="10"/>
  <c r="Q1200" i="10"/>
  <c r="Q1614" i="10"/>
  <c r="Q1681" i="10"/>
  <c r="Q1983" i="10"/>
  <c r="Q1782" i="10"/>
  <c r="Q2104" i="10"/>
  <c r="Q845" i="10"/>
  <c r="Q64" i="10"/>
  <c r="F54" i="7" s="1"/>
  <c r="P26" i="10"/>
  <c r="Q1422" i="10"/>
  <c r="Q1945" i="10"/>
  <c r="Q851" i="10"/>
  <c r="Q533" i="10"/>
  <c r="P27" i="10"/>
  <c r="P62" i="10"/>
  <c r="Q254" i="10"/>
  <c r="Q1521" i="10"/>
  <c r="Q585" i="10"/>
  <c r="Q256" i="10"/>
  <c r="Q282" i="10"/>
  <c r="P12" i="10"/>
  <c r="Q2061" i="10"/>
  <c r="Q867" i="10"/>
  <c r="Q1188" i="10"/>
  <c r="Q1029" i="10"/>
  <c r="Q1795" i="10"/>
  <c r="Q744" i="10"/>
  <c r="Q1023" i="10"/>
  <c r="Q1330" i="10"/>
  <c r="Q2203" i="10"/>
  <c r="Q28" i="10"/>
  <c r="Q578" i="10"/>
  <c r="Q1304" i="10"/>
  <c r="Q900" i="10"/>
  <c r="Q1501" i="10"/>
  <c r="Q1193" i="10"/>
  <c r="Q1617" i="10"/>
  <c r="Q1448" i="10"/>
  <c r="Q1227" i="10"/>
  <c r="Q2285" i="10"/>
  <c r="Q58" i="10"/>
  <c r="Q1770" i="10"/>
  <c r="Q350" i="10"/>
  <c r="Q214" i="10"/>
  <c r="Q1181" i="10"/>
  <c r="Q661" i="10"/>
  <c r="P2343" i="10"/>
  <c r="Q989" i="10"/>
  <c r="Q663" i="10"/>
  <c r="Q902" i="10"/>
  <c r="Q2017" i="10"/>
  <c r="Q297" i="10"/>
  <c r="Q2366" i="10"/>
  <c r="Q1071" i="10"/>
  <c r="Q676" i="10"/>
  <c r="Q1256" i="10"/>
  <c r="Q1276" i="10"/>
  <c r="Q1295" i="10"/>
  <c r="Q1875" i="10"/>
  <c r="Q726" i="10"/>
  <c r="Q1894" i="10"/>
  <c r="Q1141" i="10"/>
  <c r="Q544" i="10"/>
  <c r="Q1969" i="10"/>
  <c r="Q2155" i="10"/>
  <c r="Q1368" i="10"/>
  <c r="Q1084" i="10"/>
  <c r="Q2043" i="10"/>
  <c r="Q1966" i="10"/>
  <c r="Q762" i="10"/>
  <c r="Q601" i="10"/>
  <c r="Q1926" i="10"/>
  <c r="Q1310" i="10"/>
  <c r="Q1785" i="10"/>
  <c r="Q1517" i="10"/>
  <c r="Q1106" i="10"/>
  <c r="Q784" i="10"/>
  <c r="Q1590" i="10"/>
  <c r="Q826" i="10"/>
  <c r="Q2080" i="10"/>
  <c r="Q877" i="10"/>
  <c r="Q906" i="10"/>
  <c r="Q912" i="10"/>
  <c r="Q212" i="10"/>
  <c r="Q964" i="10"/>
  <c r="Q1948" i="10"/>
  <c r="Q996" i="10"/>
  <c r="Q2196" i="10"/>
  <c r="Q572" i="10"/>
  <c r="Q740" i="10"/>
  <c r="Q2240" i="10"/>
  <c r="Q656" i="10"/>
  <c r="Q1814" i="10"/>
  <c r="Q494" i="10"/>
  <c r="Q973" i="10"/>
  <c r="Q364" i="10"/>
  <c r="Q1905" i="10"/>
  <c r="Q2016" i="10"/>
  <c r="Q609" i="10"/>
  <c r="Q483" i="10"/>
  <c r="Q166" i="10"/>
  <c r="Q910" i="10"/>
  <c r="Q1624" i="10"/>
  <c r="Q1950" i="10"/>
  <c r="P53" i="10"/>
  <c r="Q1632" i="10"/>
  <c r="Q2234" i="10"/>
  <c r="Q2299" i="10"/>
  <c r="Q468" i="10"/>
  <c r="Q305" i="10"/>
  <c r="Q2175" i="10"/>
  <c r="Q1540" i="10"/>
  <c r="Q2024" i="10"/>
  <c r="Q1250" i="10"/>
  <c r="Q2295" i="10"/>
  <c r="Q1887" i="10"/>
  <c r="Q2001" i="10"/>
  <c r="Q1263" i="10"/>
  <c r="Q791" i="10"/>
  <c r="P25" i="10"/>
  <c r="Q36" i="10"/>
  <c r="Q381" i="10"/>
  <c r="Q1077" i="10"/>
  <c r="Q566" i="10"/>
  <c r="Q1562" i="10"/>
  <c r="Q2128" i="10"/>
  <c r="Q456" i="10"/>
  <c r="Q300" i="10"/>
  <c r="Q1359" i="10"/>
  <c r="Q755" i="10"/>
  <c r="Q2312" i="10"/>
  <c r="Q1159" i="10"/>
  <c r="Q1980" i="10"/>
  <c r="Q594" i="10"/>
  <c r="Q772" i="10"/>
  <c r="P50" i="10"/>
  <c r="Q161" i="10"/>
  <c r="Q164" i="10"/>
  <c r="Q2106" i="10"/>
  <c r="Q2073" i="10"/>
  <c r="Q203" i="10"/>
  <c r="Q1606" i="10"/>
  <c r="Q658" i="10"/>
  <c r="Q1241" i="10"/>
  <c r="Q1361" i="10"/>
  <c r="Q809" i="10"/>
  <c r="Q1876" i="10"/>
  <c r="Q817" i="10"/>
  <c r="P11" i="10"/>
  <c r="Q1046" i="10"/>
  <c r="Q2182" i="10"/>
  <c r="Q17" i="10"/>
  <c r="P23" i="10"/>
  <c r="Q434" i="10"/>
  <c r="Q1979" i="10"/>
  <c r="Q54" i="10"/>
  <c r="Q2364" i="10"/>
  <c r="P8" i="10"/>
  <c r="Q837" i="10"/>
  <c r="Q773" i="10"/>
  <c r="Q2050" i="10"/>
  <c r="Q883" i="10"/>
  <c r="Q2329" i="10"/>
  <c r="Q16" i="10"/>
  <c r="P2368" i="10"/>
  <c r="Q1538" i="10"/>
  <c r="Q579" i="10"/>
  <c r="Q1068" i="10"/>
  <c r="Q1631" i="10"/>
  <c r="Q2353" i="10"/>
  <c r="Q1170" i="10"/>
  <c r="Q338" i="10"/>
  <c r="Q106" i="10"/>
  <c r="Q2012" i="10"/>
  <c r="Q458" i="10"/>
  <c r="Q151" i="10"/>
  <c r="Q1484" i="10"/>
  <c r="Q2198" i="10"/>
  <c r="Q86" i="10"/>
  <c r="Q1715" i="10"/>
  <c r="Q1607" i="10"/>
  <c r="Q710" i="10"/>
  <c r="Q2135" i="10"/>
  <c r="Q324" i="10"/>
  <c r="Q1302" i="10"/>
  <c r="Q1098" i="10"/>
  <c r="Q828" i="10"/>
  <c r="Q1187" i="10"/>
  <c r="Q1752" i="10"/>
  <c r="Q647" i="10"/>
  <c r="Q643" i="10"/>
  <c r="Q1299" i="10"/>
  <c r="Q279" i="10"/>
  <c r="Q2188" i="10"/>
  <c r="Q1727" i="10"/>
  <c r="Q1783" i="10"/>
  <c r="Q2110" i="10"/>
  <c r="Q901" i="10"/>
  <c r="Q1869" i="10"/>
  <c r="Q887" i="10"/>
  <c r="Q2292" i="10"/>
  <c r="Q1978" i="10"/>
  <c r="Q714" i="10"/>
  <c r="Q405" i="10"/>
  <c r="Q2162" i="10"/>
  <c r="Q1182" i="10"/>
  <c r="Q384" i="10"/>
  <c r="Q1568" i="10"/>
  <c r="Q51" i="10"/>
  <c r="Q972" i="10"/>
  <c r="Q1275" i="10"/>
  <c r="Q516" i="10"/>
  <c r="Q138" i="10"/>
  <c r="Q1111" i="10"/>
  <c r="Q2126" i="10"/>
  <c r="Q2096" i="10"/>
  <c r="Q2153" i="10"/>
  <c r="Q530" i="10"/>
  <c r="Q485" i="10"/>
  <c r="Q2244" i="10"/>
  <c r="Q240" i="10"/>
  <c r="Q371" i="10"/>
  <c r="Q1395" i="10"/>
  <c r="Q104" i="10"/>
  <c r="Q1213" i="10"/>
  <c r="Q69" i="10"/>
  <c r="Q660" i="10"/>
  <c r="Q1636" i="10"/>
  <c r="Q1405" i="10"/>
  <c r="Q472" i="10"/>
  <c r="Q1125" i="10"/>
  <c r="Q1186" i="10"/>
  <c r="Q1044" i="10"/>
  <c r="Q251" i="10"/>
  <c r="Q945" i="10"/>
  <c r="Q1736" i="10"/>
  <c r="Q1919" i="10"/>
  <c r="P2362" i="10"/>
  <c r="Q1551" i="10"/>
  <c r="Q2190" i="10"/>
  <c r="Q1043" i="10"/>
  <c r="Q748" i="10"/>
  <c r="Q1146" i="10"/>
  <c r="Q391" i="10"/>
  <c r="Q2221" i="10"/>
  <c r="Q874" i="10"/>
  <c r="Q1789" i="10"/>
  <c r="Q1553" i="10"/>
  <c r="Q536" i="10"/>
  <c r="Q752" i="10"/>
  <c r="Q271" i="10"/>
  <c r="Q5" i="10"/>
  <c r="C34" i="7" s="1"/>
  <c r="Q1529" i="10"/>
  <c r="Q1817" i="10"/>
  <c r="Q14" i="10"/>
  <c r="Q1055" i="10"/>
  <c r="Q1991" i="10"/>
  <c r="Q183" i="10"/>
  <c r="Q1924" i="10"/>
  <c r="Q2084" i="10"/>
  <c r="Q575" i="10"/>
  <c r="Q562" i="10"/>
  <c r="Q1246" i="10"/>
  <c r="Q2291" i="10"/>
  <c r="Q792" i="10"/>
  <c r="Q1730" i="10"/>
  <c r="Q1319" i="10"/>
  <c r="Q2150" i="10"/>
  <c r="Q670" i="10"/>
  <c r="Q1475" i="10"/>
  <c r="Q807" i="10"/>
  <c r="Q1759" i="10"/>
  <c r="Q1745" i="10"/>
  <c r="Q805" i="10"/>
  <c r="Q1722" i="10"/>
  <c r="Q1301" i="10"/>
  <c r="Q1720" i="10"/>
  <c r="Q477" i="10"/>
  <c r="Q1994" i="10"/>
  <c r="Q950" i="10"/>
  <c r="Q953" i="10"/>
  <c r="Q1929" i="10"/>
  <c r="Q306" i="10"/>
  <c r="Q2136" i="10"/>
  <c r="Q211" i="10"/>
  <c r="P21" i="10"/>
  <c r="Q1588" i="10"/>
  <c r="Q262" i="10"/>
  <c r="Q2036" i="10"/>
  <c r="Q1664" i="10"/>
  <c r="Q1995" i="10"/>
  <c r="Q605" i="10"/>
  <c r="Q1619" i="10"/>
  <c r="Q1937" i="10"/>
  <c r="Q1519" i="10"/>
  <c r="Q397" i="10"/>
  <c r="Q401" i="10"/>
  <c r="Q1703" i="10"/>
  <c r="Q440" i="10"/>
  <c r="Q378" i="10"/>
  <c r="Q149" i="10"/>
  <c r="Q529" i="10"/>
  <c r="Q718" i="10"/>
  <c r="Q1653" i="10"/>
  <c r="Q620" i="10"/>
  <c r="Q1326" i="10"/>
  <c r="Q1520" i="10"/>
  <c r="Q1643" i="10"/>
  <c r="Q435" i="10"/>
  <c r="Q662" i="10"/>
  <c r="Q1177" i="10"/>
  <c r="Q455" i="10"/>
  <c r="Q1482" i="10"/>
  <c r="Q2225" i="10"/>
  <c r="AN26" i="12"/>
  <c r="J14" i="6"/>
  <c r="AJ12" i="9" s="1"/>
  <c r="AO9" i="12"/>
  <c r="BD37" i="1"/>
  <c r="BD38" i="1" s="1"/>
  <c r="F18" i="12"/>
  <c r="C21" i="9"/>
  <c r="AM37" i="1"/>
  <c r="AM38" i="1" s="1"/>
  <c r="G2370" i="10"/>
  <c r="H39" i="4"/>
  <c r="G39" i="4"/>
  <c r="AF23" i="12"/>
  <c r="AU26" i="9"/>
  <c r="K7" i="1"/>
  <c r="G3" i="12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AO31" i="12"/>
  <c r="K35" i="6"/>
  <c r="G30" i="13" s="1"/>
  <c r="E38" i="6"/>
  <c r="E39" i="6" s="1"/>
  <c r="H35" i="6"/>
  <c r="H38" i="6" s="1"/>
  <c r="H39" i="6" s="1"/>
  <c r="J38" i="4" l="1"/>
  <c r="U37" i="2"/>
  <c r="I32" i="13"/>
  <c r="X37" i="2"/>
  <c r="W37" i="2"/>
  <c r="Q37" i="2"/>
  <c r="AH33" i="9"/>
  <c r="E27" i="11"/>
  <c r="F27" i="11" s="1"/>
  <c r="C39" i="6"/>
  <c r="AH34" i="9" s="1"/>
  <c r="X6" i="9"/>
  <c r="BU26" i="1"/>
  <c r="BX26" i="1"/>
  <c r="E22" i="13"/>
  <c r="BW26" i="1"/>
  <c r="J37" i="4"/>
  <c r="J28" i="4"/>
  <c r="BZ31" i="1"/>
  <c r="BY31" i="1"/>
  <c r="BY14" i="1"/>
  <c r="BZ14" i="1"/>
  <c r="W19" i="2"/>
  <c r="BN17" i="9" s="1"/>
  <c r="X19" i="2"/>
  <c r="U19" i="2"/>
  <c r="BM17" i="9" s="1"/>
  <c r="Q19" i="2"/>
  <c r="X17" i="9" s="1"/>
  <c r="P17" i="9"/>
  <c r="I14" i="13"/>
  <c r="BX21" i="1"/>
  <c r="BU21" i="1"/>
  <c r="E17" i="13"/>
  <c r="BW21" i="1"/>
  <c r="Z12" i="2"/>
  <c r="BQ10" i="9" s="1"/>
  <c r="BO10" i="9"/>
  <c r="Y12" i="2"/>
  <c r="BP10" i="9" s="1"/>
  <c r="BS9" i="1"/>
  <c r="X27" i="2"/>
  <c r="W27" i="2"/>
  <c r="BN25" i="9" s="1"/>
  <c r="P25" i="9"/>
  <c r="U27" i="2"/>
  <c r="BM25" i="9" s="1"/>
  <c r="I22" i="13"/>
  <c r="Q27" i="2"/>
  <c r="X25" i="9" s="1"/>
  <c r="I30" i="4"/>
  <c r="BJ7" i="1"/>
  <c r="BS7" i="1"/>
  <c r="AN37" i="1"/>
  <c r="BS25" i="1"/>
  <c r="P23" i="9"/>
  <c r="W25" i="2"/>
  <c r="BN23" i="9" s="1"/>
  <c r="U25" i="2"/>
  <c r="BM23" i="9" s="1"/>
  <c r="Q25" i="2"/>
  <c r="X23" i="9" s="1"/>
  <c r="I20" i="13"/>
  <c r="X25" i="2"/>
  <c r="BX18" i="1"/>
  <c r="E14" i="13"/>
  <c r="BU18" i="1"/>
  <c r="BW18" i="1"/>
  <c r="C39" i="2"/>
  <c r="I34" i="9" s="1"/>
  <c r="I33" i="9"/>
  <c r="I38" i="4"/>
  <c r="BW29" i="1"/>
  <c r="BU29" i="1"/>
  <c r="E25" i="13"/>
  <c r="BX29" i="1"/>
  <c r="BJ29" i="1"/>
  <c r="W28" i="2"/>
  <c r="BN26" i="9" s="1"/>
  <c r="I23" i="13"/>
  <c r="X28" i="2"/>
  <c r="U28" i="2"/>
  <c r="BM26" i="9" s="1"/>
  <c r="Q28" i="2"/>
  <c r="X26" i="9" s="1"/>
  <c r="P26" i="9"/>
  <c r="J40" i="4"/>
  <c r="P24" i="9"/>
  <c r="I21" i="13"/>
  <c r="U26" i="2"/>
  <c r="BM24" i="9" s="1"/>
  <c r="X26" i="2"/>
  <c r="Q26" i="2"/>
  <c r="X24" i="9" s="1"/>
  <c r="W26" i="2"/>
  <c r="BN24" i="9" s="1"/>
  <c r="E13" i="13"/>
  <c r="BW17" i="1"/>
  <c r="BU17" i="1"/>
  <c r="BX17" i="1"/>
  <c r="W29" i="2"/>
  <c r="BN27" i="9" s="1"/>
  <c r="U29" i="2"/>
  <c r="BM27" i="9" s="1"/>
  <c r="X29" i="2"/>
  <c r="Q29" i="2"/>
  <c r="X27" i="9" s="1"/>
  <c r="I24" i="13"/>
  <c r="P27" i="9"/>
  <c r="J35" i="4"/>
  <c r="X21" i="2"/>
  <c r="W21" i="2"/>
  <c r="BN19" i="9" s="1"/>
  <c r="I16" i="13"/>
  <c r="P19" i="9"/>
  <c r="Q21" i="2"/>
  <c r="X19" i="9" s="1"/>
  <c r="U21" i="2"/>
  <c r="BM19" i="9" s="1"/>
  <c r="BW28" i="1"/>
  <c r="BU28" i="1"/>
  <c r="BX28" i="1"/>
  <c r="E24" i="13"/>
  <c r="I32" i="4"/>
  <c r="I34" i="4"/>
  <c r="W9" i="2"/>
  <c r="BN7" i="9" s="1"/>
  <c r="P7" i="9"/>
  <c r="I4" i="13"/>
  <c r="H38" i="2"/>
  <c r="U9" i="2"/>
  <c r="BM7" i="9" s="1"/>
  <c r="X9" i="2"/>
  <c r="Q9" i="2"/>
  <c r="X7" i="9" s="1"/>
  <c r="BH37" i="1"/>
  <c r="BH38" i="1" s="1"/>
  <c r="BI9" i="1"/>
  <c r="BS10" i="1"/>
  <c r="BW27" i="1"/>
  <c r="BU27" i="1"/>
  <c r="E23" i="13"/>
  <c r="BX27" i="1"/>
  <c r="BJ28" i="1"/>
  <c r="I26" i="4"/>
  <c r="BS30" i="1"/>
  <c r="I8" i="13"/>
  <c r="U13" i="2"/>
  <c r="BM11" i="9" s="1"/>
  <c r="X13" i="2"/>
  <c r="P11" i="9"/>
  <c r="W13" i="2"/>
  <c r="BN11" i="9" s="1"/>
  <c r="Q13" i="2"/>
  <c r="X11" i="9" s="1"/>
  <c r="W15" i="2"/>
  <c r="BN13" i="9" s="1"/>
  <c r="X15" i="2"/>
  <c r="I10" i="13"/>
  <c r="U15" i="2"/>
  <c r="BM13" i="9" s="1"/>
  <c r="P13" i="9"/>
  <c r="Q15" i="2"/>
  <c r="X13" i="9" s="1"/>
  <c r="I27" i="4"/>
  <c r="I35" i="4"/>
  <c r="BS32" i="1"/>
  <c r="U32" i="2"/>
  <c r="BM30" i="9" s="1"/>
  <c r="Q32" i="2"/>
  <c r="X30" i="9" s="1"/>
  <c r="W32" i="2"/>
  <c r="BN30" i="9" s="1"/>
  <c r="P30" i="9"/>
  <c r="X32" i="2"/>
  <c r="I27" i="13"/>
  <c r="BU20" i="1"/>
  <c r="BW20" i="1"/>
  <c r="BX20" i="1"/>
  <c r="E16" i="13"/>
  <c r="Z30" i="2"/>
  <c r="BQ28" i="9" s="1"/>
  <c r="Y30" i="2"/>
  <c r="BP28" i="9" s="1"/>
  <c r="BO28" i="9"/>
  <c r="BO6" i="9"/>
  <c r="Z8" i="2"/>
  <c r="BQ6" i="9" s="1"/>
  <c r="Y8" i="2"/>
  <c r="BP6" i="9" s="1"/>
  <c r="J39" i="4"/>
  <c r="E29" i="13"/>
  <c r="BX33" i="1"/>
  <c r="BU33" i="1"/>
  <c r="BW33" i="1"/>
  <c r="U23" i="2"/>
  <c r="BM21" i="9" s="1"/>
  <c r="W23" i="2"/>
  <c r="BN21" i="9" s="1"/>
  <c r="P21" i="9"/>
  <c r="Q23" i="2"/>
  <c r="X21" i="9" s="1"/>
  <c r="I18" i="13"/>
  <c r="X23" i="2"/>
  <c r="X10" i="2"/>
  <c r="U10" i="2"/>
  <c r="BM8" i="9" s="1"/>
  <c r="I5" i="13"/>
  <c r="W10" i="2"/>
  <c r="BN8" i="9" s="1"/>
  <c r="P8" i="9"/>
  <c r="Q10" i="2"/>
  <c r="X8" i="9" s="1"/>
  <c r="J32" i="4"/>
  <c r="U22" i="2"/>
  <c r="BM20" i="9" s="1"/>
  <c r="W22" i="2"/>
  <c r="BN20" i="9" s="1"/>
  <c r="P20" i="9"/>
  <c r="I17" i="13"/>
  <c r="X22" i="2"/>
  <c r="Q22" i="2"/>
  <c r="X20" i="9" s="1"/>
  <c r="U24" i="2"/>
  <c r="BM22" i="9" s="1"/>
  <c r="X24" i="2"/>
  <c r="I19" i="13"/>
  <c r="Q24" i="2"/>
  <c r="X22" i="9" s="1"/>
  <c r="P22" i="9"/>
  <c r="W24" i="2"/>
  <c r="BN22" i="9" s="1"/>
  <c r="X34" i="2"/>
  <c r="W34" i="2"/>
  <c r="BN32" i="9" s="1"/>
  <c r="I29" i="13"/>
  <c r="U34" i="2"/>
  <c r="BM32" i="9" s="1"/>
  <c r="Q34" i="2"/>
  <c r="X32" i="9" s="1"/>
  <c r="P32" i="9"/>
  <c r="Q36" i="2"/>
  <c r="W36" i="2"/>
  <c r="U36" i="2"/>
  <c r="X36" i="2"/>
  <c r="I31" i="13"/>
  <c r="J24" i="4"/>
  <c r="I25" i="4"/>
  <c r="W35" i="2"/>
  <c r="U35" i="2"/>
  <c r="I30" i="13"/>
  <c r="X35" i="2"/>
  <c r="Q35" i="2"/>
  <c r="J38" i="6"/>
  <c r="AJ33" i="9" s="1"/>
  <c r="E2" i="13"/>
  <c r="BU6" i="1"/>
  <c r="BX6" i="1"/>
  <c r="BW6" i="1"/>
  <c r="BS36" i="1"/>
  <c r="BJ26" i="1"/>
  <c r="BU35" i="1"/>
  <c r="BW35" i="1"/>
  <c r="E31" i="13"/>
  <c r="BX35" i="1"/>
  <c r="BJ27" i="1"/>
  <c r="BI12" i="1"/>
  <c r="BJ12" i="1" s="1"/>
  <c r="BX24" i="1"/>
  <c r="E20" i="13"/>
  <c r="BW24" i="1"/>
  <c r="BU24" i="1"/>
  <c r="BS34" i="1"/>
  <c r="J33" i="4"/>
  <c r="BJ15" i="1"/>
  <c r="BI13" i="1"/>
  <c r="W31" i="2"/>
  <c r="BN29" i="9" s="1"/>
  <c r="X31" i="2"/>
  <c r="I26" i="13"/>
  <c r="U31" i="2"/>
  <c r="BM29" i="9" s="1"/>
  <c r="Q31" i="2"/>
  <c r="X29" i="9" s="1"/>
  <c r="P29" i="9"/>
  <c r="J30" i="4"/>
  <c r="BJ23" i="1"/>
  <c r="J10" i="4"/>
  <c r="J16" i="4"/>
  <c r="J17" i="4"/>
  <c r="J23" i="4"/>
  <c r="J19" i="4"/>
  <c r="J15" i="4"/>
  <c r="J21" i="4"/>
  <c r="J18" i="4"/>
  <c r="J14" i="4"/>
  <c r="J20" i="4"/>
  <c r="E44" i="4"/>
  <c r="C39" i="7" s="1"/>
  <c r="J12" i="4"/>
  <c r="J22" i="4"/>
  <c r="J11" i="4"/>
  <c r="J13" i="4"/>
  <c r="J38" i="1"/>
  <c r="D13" i="11"/>
  <c r="E13" i="11" s="1"/>
  <c r="I37" i="4"/>
  <c r="I33" i="4"/>
  <c r="I40" i="4"/>
  <c r="U20" i="2"/>
  <c r="BM18" i="9" s="1"/>
  <c r="I15" i="13"/>
  <c r="Q20" i="2"/>
  <c r="X18" i="9" s="1"/>
  <c r="P18" i="9"/>
  <c r="W20" i="2"/>
  <c r="BN18" i="9" s="1"/>
  <c r="X20" i="2"/>
  <c r="BS11" i="1"/>
  <c r="J29" i="4"/>
  <c r="BS22" i="1"/>
  <c r="X33" i="2"/>
  <c r="U33" i="2"/>
  <c r="BM31" i="9" s="1"/>
  <c r="I28" i="13"/>
  <c r="Q33" i="2"/>
  <c r="X31" i="9" s="1"/>
  <c r="P31" i="9"/>
  <c r="W33" i="2"/>
  <c r="BN31" i="9" s="1"/>
  <c r="P9" i="9"/>
  <c r="Q11" i="2"/>
  <c r="X9" i="9" s="1"/>
  <c r="W11" i="2"/>
  <c r="BN9" i="9" s="1"/>
  <c r="X11" i="2"/>
  <c r="U11" i="2"/>
  <c r="BM9" i="9" s="1"/>
  <c r="I6" i="13"/>
  <c r="I36" i="4"/>
  <c r="BI19" i="1"/>
  <c r="W18" i="2"/>
  <c r="BN16" i="9" s="1"/>
  <c r="X18" i="2"/>
  <c r="I13" i="13"/>
  <c r="U18" i="2"/>
  <c r="BM16" i="9" s="1"/>
  <c r="Q18" i="2"/>
  <c r="X16" i="9" s="1"/>
  <c r="P16" i="9"/>
  <c r="BW23" i="1"/>
  <c r="BU23" i="1"/>
  <c r="BX23" i="1"/>
  <c r="E19" i="13"/>
  <c r="U17" i="2"/>
  <c r="BM15" i="9" s="1"/>
  <c r="W17" i="2"/>
  <c r="BN15" i="9" s="1"/>
  <c r="I12" i="13"/>
  <c r="P15" i="9"/>
  <c r="Q17" i="2"/>
  <c r="X15" i="9" s="1"/>
  <c r="X17" i="2"/>
  <c r="BW15" i="1"/>
  <c r="BX15" i="1"/>
  <c r="BU15" i="1"/>
  <c r="E11" i="13"/>
  <c r="X16" i="2"/>
  <c r="I11" i="13"/>
  <c r="P14" i="9"/>
  <c r="Q16" i="2"/>
  <c r="X14" i="9" s="1"/>
  <c r="U16" i="2"/>
  <c r="BM14" i="9" s="1"/>
  <c r="W16" i="2"/>
  <c r="BN14" i="9" s="1"/>
  <c r="BJ35" i="1"/>
  <c r="E42" i="4"/>
  <c r="C38" i="7" s="1"/>
  <c r="I20" i="4"/>
  <c r="I23" i="4"/>
  <c r="I17" i="4"/>
  <c r="I14" i="4"/>
  <c r="I10" i="4"/>
  <c r="I18" i="4"/>
  <c r="I22" i="4"/>
  <c r="I12" i="4"/>
  <c r="I21" i="4"/>
  <c r="I13" i="4"/>
  <c r="I11" i="4"/>
  <c r="I16" i="4"/>
  <c r="I15" i="4"/>
  <c r="I19" i="4"/>
  <c r="J25" i="4"/>
  <c r="BX16" i="1"/>
  <c r="BU16" i="1"/>
  <c r="E12" i="13"/>
  <c r="BW16" i="1"/>
  <c r="X14" i="2"/>
  <c r="U14" i="2"/>
  <c r="BM12" i="9" s="1"/>
  <c r="Q14" i="2"/>
  <c r="X12" i="9" s="1"/>
  <c r="P12" i="9"/>
  <c r="W14" i="2"/>
  <c r="BN12" i="9" s="1"/>
  <c r="I9" i="13"/>
  <c r="I31" i="4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F34" i="11"/>
  <c r="G34" i="11" s="1"/>
  <c r="G35" i="11" s="1"/>
  <c r="K38" i="6"/>
  <c r="BY24" i="1" l="1"/>
  <c r="BZ24" i="1"/>
  <c r="BZ20" i="1"/>
  <c r="BY20" i="1"/>
  <c r="E21" i="13"/>
  <c r="BU25" i="1"/>
  <c r="BX25" i="1"/>
  <c r="BW25" i="1"/>
  <c r="BY23" i="1"/>
  <c r="BZ23" i="1"/>
  <c r="BJ13" i="1"/>
  <c r="BS13" i="1"/>
  <c r="Y22" i="2"/>
  <c r="BP20" i="9" s="1"/>
  <c r="Z22" i="2"/>
  <c r="BQ20" i="9" s="1"/>
  <c r="BO20" i="9"/>
  <c r="Z9" i="2"/>
  <c r="BQ7" i="9" s="1"/>
  <c r="Y9" i="2"/>
  <c r="BP7" i="9" s="1"/>
  <c r="BO7" i="9"/>
  <c r="Z19" i="2"/>
  <c r="BQ17" i="9" s="1"/>
  <c r="BO17" i="9"/>
  <c r="Y19" i="2"/>
  <c r="BP17" i="9" s="1"/>
  <c r="Y36" i="2"/>
  <c r="Z36" i="2"/>
  <c r="Q38" i="2"/>
  <c r="Y14" i="2"/>
  <c r="BP12" i="9" s="1"/>
  <c r="Z14" i="2"/>
  <c r="BQ12" i="9" s="1"/>
  <c r="BO12" i="9"/>
  <c r="BZ17" i="1"/>
  <c r="BY17" i="1"/>
  <c r="Y24" i="2"/>
  <c r="BP22" i="9" s="1"/>
  <c r="BO22" i="9"/>
  <c r="Z24" i="2"/>
  <c r="BQ22" i="9" s="1"/>
  <c r="E3" i="13"/>
  <c r="BU7" i="1"/>
  <c r="BW7" i="1"/>
  <c r="BX7" i="1"/>
  <c r="BZ35" i="1"/>
  <c r="BY35" i="1"/>
  <c r="BZ27" i="1"/>
  <c r="BY27" i="1"/>
  <c r="BO26" i="9"/>
  <c r="Y28" i="2"/>
  <c r="BP26" i="9" s="1"/>
  <c r="Z28" i="2"/>
  <c r="BQ26" i="9" s="1"/>
  <c r="Y16" i="2"/>
  <c r="BP14" i="9" s="1"/>
  <c r="Z16" i="2"/>
  <c r="BQ14" i="9" s="1"/>
  <c r="BO14" i="9"/>
  <c r="BO8" i="9"/>
  <c r="Y10" i="2"/>
  <c r="BP8" i="9" s="1"/>
  <c r="Z10" i="2"/>
  <c r="BQ8" i="9" s="1"/>
  <c r="Z32" i="2"/>
  <c r="BQ30" i="9" s="1"/>
  <c r="Y32" i="2"/>
  <c r="BP30" i="9" s="1"/>
  <c r="BO30" i="9"/>
  <c r="BY16" i="1"/>
  <c r="BZ16" i="1"/>
  <c r="Y23" i="2"/>
  <c r="BP21" i="9" s="1"/>
  <c r="BO21" i="9"/>
  <c r="Z23" i="2"/>
  <c r="BQ21" i="9" s="1"/>
  <c r="BU11" i="1"/>
  <c r="BW11" i="1"/>
  <c r="BX11" i="1"/>
  <c r="E7" i="13"/>
  <c r="BW10" i="1"/>
  <c r="BX10" i="1"/>
  <c r="BU10" i="1"/>
  <c r="E6" i="13"/>
  <c r="Y26" i="2"/>
  <c r="BP24" i="9" s="1"/>
  <c r="BO24" i="9"/>
  <c r="Z26" i="2"/>
  <c r="BQ24" i="9" s="1"/>
  <c r="Z37" i="2"/>
  <c r="Y37" i="2"/>
  <c r="E30" i="13"/>
  <c r="BU34" i="1"/>
  <c r="BX34" i="1"/>
  <c r="BW34" i="1"/>
  <c r="BU36" i="1"/>
  <c r="BW36" i="1"/>
  <c r="E32" i="13"/>
  <c r="BX36" i="1"/>
  <c r="BJ9" i="1"/>
  <c r="BJ1" i="1" s="1"/>
  <c r="BI37" i="1"/>
  <c r="F13" i="11" s="1"/>
  <c r="G13" i="11" s="1"/>
  <c r="BX9" i="1"/>
  <c r="BU9" i="1"/>
  <c r="BW9" i="1"/>
  <c r="E5" i="13"/>
  <c r="BX30" i="1"/>
  <c r="BW30" i="1"/>
  <c r="BU30" i="1"/>
  <c r="E26" i="13"/>
  <c r="AN38" i="1"/>
  <c r="B13" i="11"/>
  <c r="Z33" i="2"/>
  <c r="BQ31" i="9" s="1"/>
  <c r="BO31" i="9"/>
  <c r="Y33" i="2"/>
  <c r="BP31" i="9" s="1"/>
  <c r="BO29" i="9"/>
  <c r="Z31" i="2"/>
  <c r="BQ29" i="9" s="1"/>
  <c r="Y31" i="2"/>
  <c r="BP29" i="9" s="1"/>
  <c r="Z35" i="2"/>
  <c r="Y35" i="2"/>
  <c r="X38" i="2"/>
  <c r="BO19" i="9"/>
  <c r="Z21" i="2"/>
  <c r="BQ19" i="9" s="1"/>
  <c r="Y21" i="2"/>
  <c r="BP19" i="9" s="1"/>
  <c r="BY18" i="1"/>
  <c r="BZ18" i="1"/>
  <c r="BS12" i="1"/>
  <c r="BS37" i="1" s="1"/>
  <c r="Y11" i="2"/>
  <c r="BP9" i="9" s="1"/>
  <c r="Z11" i="2"/>
  <c r="BQ9" i="9" s="1"/>
  <c r="BO9" i="9"/>
  <c r="Z25" i="2"/>
  <c r="BQ23" i="9" s="1"/>
  <c r="Y25" i="2"/>
  <c r="BP23" i="9" s="1"/>
  <c r="BO23" i="9"/>
  <c r="BZ15" i="1"/>
  <c r="BY15" i="1"/>
  <c r="BO18" i="9"/>
  <c r="Z20" i="2"/>
  <c r="BQ18" i="9" s="1"/>
  <c r="Y20" i="2"/>
  <c r="BP18" i="9" s="1"/>
  <c r="BY29" i="1"/>
  <c r="BZ29" i="1"/>
  <c r="BO15" i="9"/>
  <c r="Z17" i="2"/>
  <c r="BQ15" i="9" s="1"/>
  <c r="Y17" i="2"/>
  <c r="BP15" i="9" s="1"/>
  <c r="BO32" i="9"/>
  <c r="Y34" i="2"/>
  <c r="BP32" i="9" s="1"/>
  <c r="Z34" i="2"/>
  <c r="BQ32" i="9" s="1"/>
  <c r="E28" i="13"/>
  <c r="BW32" i="1"/>
  <c r="BX32" i="1"/>
  <c r="BU32" i="1"/>
  <c r="Z13" i="2"/>
  <c r="BQ11" i="9" s="1"/>
  <c r="Y13" i="2"/>
  <c r="BP11" i="9" s="1"/>
  <c r="BO11" i="9"/>
  <c r="BZ28" i="1"/>
  <c r="BY28" i="1"/>
  <c r="Y18" i="2"/>
  <c r="BP16" i="9" s="1"/>
  <c r="BO16" i="9"/>
  <c r="Z18" i="2"/>
  <c r="BQ16" i="9" s="1"/>
  <c r="BJ19" i="1"/>
  <c r="BS19" i="1"/>
  <c r="BZ33" i="1"/>
  <c r="BY33" i="1"/>
  <c r="U38" i="2"/>
  <c r="BM33" i="9" s="1"/>
  <c r="E20" i="11"/>
  <c r="F20" i="11" s="1"/>
  <c r="C27" i="7"/>
  <c r="W38" i="2"/>
  <c r="BN33" i="9" s="1"/>
  <c r="P33" i="9"/>
  <c r="H39" i="2"/>
  <c r="J39" i="6"/>
  <c r="AJ34" i="9" s="1"/>
  <c r="BU22" i="1"/>
  <c r="E18" i="13"/>
  <c r="BW22" i="1"/>
  <c r="BX22" i="1"/>
  <c r="BO13" i="9"/>
  <c r="Z15" i="2"/>
  <c r="BQ13" i="9" s="1"/>
  <c r="Y15" i="2"/>
  <c r="BP13" i="9" s="1"/>
  <c r="BY21" i="1"/>
  <c r="BZ21" i="1"/>
  <c r="BY6" i="1"/>
  <c r="BZ6" i="1"/>
  <c r="Y29" i="2"/>
  <c r="BP27" i="9" s="1"/>
  <c r="BO27" i="9"/>
  <c r="Z29" i="2"/>
  <c r="BQ27" i="9" s="1"/>
  <c r="Z27" i="2"/>
  <c r="BQ25" i="9" s="1"/>
  <c r="Y27" i="2"/>
  <c r="BP25" i="9" s="1"/>
  <c r="BO25" i="9"/>
  <c r="BZ26" i="1"/>
  <c r="BY26" i="1"/>
  <c r="BW37" i="1" l="1"/>
  <c r="BS38" i="1"/>
  <c r="BU37" i="1"/>
  <c r="C13" i="11"/>
  <c r="M13" i="11" s="1"/>
  <c r="L13" i="11"/>
  <c r="J13" i="11"/>
  <c r="BY36" i="1"/>
  <c r="BZ36" i="1"/>
  <c r="BY25" i="1"/>
  <c r="BZ25" i="1"/>
  <c r="BZ10" i="1"/>
  <c r="BY10" i="1"/>
  <c r="BY11" i="1"/>
  <c r="BZ11" i="1"/>
  <c r="BZ32" i="1"/>
  <c r="BY32" i="1"/>
  <c r="BX19" i="1"/>
  <c r="E15" i="13"/>
  <c r="BW19" i="1"/>
  <c r="BU19" i="1"/>
  <c r="BJ37" i="1"/>
  <c r="W39" i="2"/>
  <c r="BN34" i="9" s="1"/>
  <c r="U39" i="2"/>
  <c r="BM34" i="9" s="1"/>
  <c r="P34" i="9"/>
  <c r="BZ30" i="1"/>
  <c r="BY30" i="1"/>
  <c r="BZ22" i="1"/>
  <c r="BY22" i="1"/>
  <c r="C43" i="7"/>
  <c r="Y38" i="2"/>
  <c r="BP33" i="9" s="1"/>
  <c r="Z38" i="2"/>
  <c r="BQ33" i="9" s="1"/>
  <c r="X39" i="2"/>
  <c r="BO33" i="9"/>
  <c r="BZ34" i="1"/>
  <c r="BY34" i="1"/>
  <c r="BU12" i="1"/>
  <c r="E8" i="13"/>
  <c r="BX12" i="1"/>
  <c r="BW12" i="1"/>
  <c r="BZ9" i="1"/>
  <c r="BY9" i="1"/>
  <c r="BZ7" i="1"/>
  <c r="BY7" i="1"/>
  <c r="BX37" i="1"/>
  <c r="Q39" i="2"/>
  <c r="X34" i="9" s="1"/>
  <c r="X33" i="9"/>
  <c r="E9" i="13"/>
  <c r="BU13" i="1"/>
  <c r="BX13" i="1"/>
  <c r="BW13" i="1"/>
  <c r="BZ37" i="1" l="1"/>
  <c r="BY37" i="1"/>
  <c r="BX38" i="1"/>
  <c r="K13" i="11"/>
  <c r="BU38" i="1"/>
  <c r="BW38" i="1"/>
  <c r="BO34" i="9"/>
  <c r="Y39" i="2"/>
  <c r="BP34" i="9" s="1"/>
  <c r="Z39" i="2"/>
  <c r="BQ34" i="9" s="1"/>
  <c r="BY19" i="1"/>
  <c r="BZ19" i="1"/>
  <c r="BY12" i="1"/>
  <c r="BZ12" i="1"/>
  <c r="BY13" i="1"/>
  <c r="BZ13" i="1"/>
  <c r="K17" i="11" l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Y38" i="1"/>
  <c r="BZ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<sst xmlns="http://schemas.openxmlformats.org/spreadsheetml/2006/main" count="888" uniqueCount="416">
  <si>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</si>
  <si>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</si>
  <si>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</si>
  <si>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</si>
  <si>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</si>
  <si>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</si>
  <si>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</si>
  <si>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</si>
  <si>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</si>
  <si>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</si>
  <si>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</si>
  <si>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</si>
  <si>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</si>
  <si>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</si>
  <si>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</si>
  <si>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</si>
  <si>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</si>
  <si>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</si>
  <si>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</si>
  <si>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</si>
  <si>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</si>
  <si>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</si>
  <si>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</si>
  <si>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</si>
  <si>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</si>
  <si>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</si>
  <si>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</si>
  <si>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</si>
  <si>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</si>
  <si>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</si>
  <si>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</si>
  <si>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</si>
  <si>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</si>
  <si>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</si>
  <si>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</si>
  <si>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</si>
  <si>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</si>
  <si>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</si>
  <si>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</si>
  <si>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</si>
  <si>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</si>
  <si>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</si>
  <si>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</si>
  <si>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</si>
  <si>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</si>
  <si>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</si>
  <si>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</si>
  <si>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</si>
  <si>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</si>
  <si>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</si>
  <si>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</si>
  <si>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March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</si>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</sst>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0.0"/>
    <numFmt numFmtId="166" formatCode="#,##0.0"/>
    <numFmt numFmtId="167" formatCode="0.00_);[Red]\(0.00\)"/>
    <numFmt numFmtId="168" formatCode="[$-409]mmm\-yy;@"/>
    <numFmt numFmtId="169" formatCode="[$-1020000]B1d\ mmmm\ yyyy;@"/>
    <numFmt numFmtId="170" formatCode="[$-409]dd\-mmm\-yy;@"/>
    <numFmt numFmtId="171" formatCode="000\-00000"/>
    <numFmt numFmtId="172" formatCode="#,##0.0_);[Red]\(#,##0.0\)"/>
    <numFmt numFmtId="173" formatCode="#,##0_ ;[Red]\-#,##0\ "/>
    <numFmt numFmtId="174" formatCode="#,##0.000_);[Red]\(#,##0.000\)"/>
    <numFmt numFmtId="175" formatCode="0.0000"/>
    <numFmt numFmtId="176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7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164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164" fontId="32" fillId="0" borderId="49" xfId="1" applyFont="1" applyBorder="1" applyAlignment="1" applyProtection="1">
      <alignment horizontal="left" vertical="center" wrapText="1"/>
      <protection locked="0"/>
    </xf>
    <xf numFmtId="164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164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4" fontId="32" fillId="0" borderId="12" xfId="1" applyFont="1" applyBorder="1" applyAlignment="1" applyProtection="1">
      <alignment horizontal="center" vertical="center" wrapText="1"/>
      <protection locked="0"/>
    </xf>
    <xf numFmtId="164" fontId="32" fillId="0" borderId="32" xfId="1" applyFont="1" applyBorder="1" applyAlignment="1" applyProtection="1">
      <alignment horizontal="center" vertical="center" wrapText="1"/>
      <protection locked="0"/>
    </xf>
    <xf numFmtId="164" fontId="32" fillId="0" borderId="54" xfId="1" applyFont="1" applyBorder="1" applyAlignment="1" applyProtection="1">
      <alignment horizontal="center" vertical="center" wrapText="1"/>
      <protection locked="0"/>
    </xf>
    <xf numFmtId="164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9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164" fontId="33" fillId="0" borderId="12" xfId="1" applyFont="1" applyBorder="1" applyAlignment="1" applyProtection="1">
      <alignment horizontal="center" vertical="center" wrapText="1"/>
      <protection locked="0"/>
    </xf>
    <xf numFmtId="164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1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3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3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3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3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2" fontId="18" fillId="0" borderId="0" xfId="0" applyNumberFormat="1" applyFont="1" applyAlignment="1" applyProtection="1">
      <alignment vertical="center"/>
      <protection locked="0"/>
    </xf>
    <xf numFmtId="174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2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3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3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3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1" fontId="18" fillId="2" borderId="12" xfId="0" applyNumberFormat="1" applyFont="1" applyFill="1" applyBorder="1" applyAlignment="1">
      <alignment vertical="center"/>
    </xf>
    <xf numFmtId="171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1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1" fontId="18" fillId="0" borderId="7" xfId="0" applyNumberFormat="1" applyFont="1" applyBorder="1" applyAlignment="1" applyProtection="1">
      <alignment horizontal="left" vertical="center"/>
      <protection locked="0"/>
    </xf>
    <xf numFmtId="171" fontId="18" fillId="0" borderId="1" xfId="0" applyNumberFormat="1" applyFont="1" applyBorder="1" applyAlignment="1" applyProtection="1">
      <alignment horizontal="left" vertical="center"/>
      <protection locked="0"/>
    </xf>
    <xf numFmtId="171" fontId="18" fillId="0" borderId="7" xfId="0" applyNumberFormat="1" applyFont="1" applyBorder="1" applyAlignment="1">
      <alignment horizontal="left" vertical="center"/>
    </xf>
    <xf numFmtId="171" fontId="18" fillId="0" borderId="1" xfId="0" applyNumberFormat="1" applyFont="1" applyBorder="1" applyAlignment="1">
      <alignment horizontal="left" vertical="center"/>
    </xf>
    <xf numFmtId="171" fontId="18" fillId="0" borderId="85" xfId="0" applyNumberFormat="1" applyFont="1" applyBorder="1" applyAlignment="1" applyProtection="1">
      <alignment horizontal="left" vertical="center"/>
      <protection locked="0"/>
    </xf>
    <xf numFmtId="171" fontId="18" fillId="0" borderId="4" xfId="0" applyNumberFormat="1" applyFont="1" applyBorder="1" applyAlignment="1" applyProtection="1">
      <alignment horizontal="left" vertical="center"/>
      <protection locked="0"/>
    </xf>
    <xf numFmtId="171" fontId="18" fillId="2" borderId="3" xfId="0" applyNumberFormat="1" applyFont="1" applyFill="1" applyBorder="1" applyAlignment="1" applyProtection="1">
      <alignment horizontal="left" vertical="center"/>
      <protection locked="0"/>
    </xf>
    <xf numFmtId="171" fontId="18" fillId="2" borderId="5" xfId="0" applyNumberFormat="1" applyFont="1" applyFill="1" applyBorder="1" applyAlignment="1" applyProtection="1">
      <alignment horizontal="left" vertical="center"/>
      <protection locked="0"/>
    </xf>
    <xf numFmtId="171" fontId="18" fillId="2" borderId="7" xfId="0" applyNumberFormat="1" applyFont="1" applyFill="1" applyBorder="1" applyAlignment="1" applyProtection="1">
      <alignment horizontal="left" vertical="center"/>
      <protection locked="0"/>
    </xf>
    <xf numFmtId="171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1" fontId="18" fillId="2" borderId="47" xfId="0" applyNumberFormat="1" applyFont="1" applyFill="1" applyBorder="1" applyAlignment="1">
      <alignment horizontal="left" vertical="center"/>
    </xf>
    <xf numFmtId="171" fontId="18" fillId="2" borderId="49" xfId="0" applyNumberFormat="1" applyFont="1" applyFill="1" applyBorder="1" applyAlignment="1">
      <alignment horizontal="left" vertical="center"/>
    </xf>
    <xf numFmtId="171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1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1" fontId="18" fillId="2" borderId="85" xfId="0" applyNumberFormat="1" applyFont="1" applyFill="1" applyBorder="1" applyAlignment="1">
      <alignment horizontal="left" vertical="center"/>
    </xf>
    <xf numFmtId="171" fontId="18" fillId="2" borderId="4" xfId="0" applyNumberFormat="1" applyFont="1" applyFill="1" applyBorder="1" applyAlignment="1">
      <alignment horizontal="left" vertical="center"/>
    </xf>
    <xf numFmtId="171" fontId="18" fillId="2" borderId="12" xfId="0" applyNumberFormat="1" applyFont="1" applyFill="1" applyBorder="1" applyAlignment="1">
      <alignment horizontal="left" vertical="center"/>
    </xf>
    <xf numFmtId="171" fontId="46" fillId="0" borderId="0" xfId="0" applyNumberFormat="1" applyFont="1" applyAlignment="1">
      <alignment horizontal="left" vertical="center"/>
    </xf>
    <xf numFmtId="171" fontId="46" fillId="0" borderId="0" xfId="0" applyNumberFormat="1" applyFont="1" applyAlignment="1" applyProtection="1">
      <alignment horizontal="left" vertical="center"/>
      <protection locked="0"/>
    </xf>
    <xf numFmtId="171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1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1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1" fontId="44" fillId="0" borderId="74" xfId="3" applyNumberFormat="1" applyFont="1" applyBorder="1" applyAlignment="1">
      <alignment horizontal="left" vertical="center"/>
    </xf>
    <xf numFmtId="171" fontId="15" fillId="0" borderId="89" xfId="3" applyNumberFormat="1" applyFont="1" applyBorder="1" applyAlignment="1">
      <alignment horizontal="right" vertical="center"/>
    </xf>
    <xf numFmtId="171" fontId="15" fillId="0" borderId="78" xfId="3" applyNumberFormat="1" applyFont="1" applyBorder="1" applyAlignment="1">
      <alignment horizontal="left" vertical="center"/>
    </xf>
    <xf numFmtId="171" fontId="15" fillId="0" borderId="64" xfId="3" applyNumberFormat="1" applyFont="1" applyBorder="1" applyAlignment="1">
      <alignment horizontal="right" vertical="center"/>
    </xf>
    <xf numFmtId="171" fontId="18" fillId="2" borderId="90" xfId="0" applyNumberFormat="1" applyFont="1" applyFill="1" applyBorder="1" applyAlignment="1">
      <alignment horizontal="left" vertical="center"/>
    </xf>
    <xf numFmtId="171" fontId="18" fillId="2" borderId="91" xfId="0" applyNumberFormat="1" applyFont="1" applyFill="1" applyBorder="1" applyAlignment="1">
      <alignment horizontal="left" vertical="center"/>
    </xf>
    <xf numFmtId="171" fontId="18" fillId="2" borderId="87" xfId="0" applyNumberFormat="1" applyFont="1" applyFill="1" applyBorder="1" applyAlignment="1">
      <alignment horizontal="left" vertical="center"/>
    </xf>
    <xf numFmtId="171" fontId="18" fillId="2" borderId="92" xfId="0" applyNumberFormat="1" applyFont="1" applyFill="1" applyBorder="1" applyAlignment="1">
      <alignment horizontal="left" vertical="center"/>
    </xf>
    <xf numFmtId="171" fontId="18" fillId="2" borderId="81" xfId="0" applyNumberFormat="1" applyFont="1" applyFill="1" applyBorder="1" applyAlignment="1">
      <alignment horizontal="left" vertical="center"/>
    </xf>
    <xf numFmtId="171" fontId="18" fillId="2" borderId="84" xfId="0" applyNumberFormat="1" applyFont="1" applyFill="1" applyBorder="1" applyAlignment="1">
      <alignment horizontal="left" vertical="center"/>
    </xf>
    <xf numFmtId="171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1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1" fontId="18" fillId="2" borderId="15" xfId="0" applyNumberFormat="1" applyFont="1" applyFill="1" applyBorder="1" applyAlignment="1">
      <alignment horizontal="left" vertical="center"/>
    </xf>
    <xf numFmtId="171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70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1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8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8" fillId="0" borderId="11" xfId="1" applyFont="1" applyBorder="1" applyAlignment="1" applyProtection="1">
      <alignment horizontal="center" vertical="center" wrapText="1"/>
      <protection locked="0"/>
    </xf>
    <xf numFmtId="164" fontId="54" fillId="0" borderId="12" xfId="1" applyFont="1" applyBorder="1" applyAlignment="1" applyProtection="1">
      <alignment vertical="center" wrapText="1"/>
      <protection locked="0"/>
    </xf>
    <xf numFmtId="164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164" fontId="32" fillId="6" borderId="42" xfId="1" applyFont="1" applyFill="1" applyBorder="1" applyAlignment="1" applyProtection="1">
      <alignment horizontal="center" vertical="center" wrapText="1"/>
      <protection locked="0"/>
    </xf>
    <xf numFmtId="164" fontId="32" fillId="6" borderId="45" xfId="1" applyFont="1" applyFill="1" applyBorder="1" applyAlignment="1" applyProtection="1">
      <alignment horizontal="center" vertical="center" wrapText="1" shrinkToFit="1"/>
      <protection locked="0"/>
    </xf>
    <xf numFmtId="164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164" fontId="32" fillId="6" borderId="102" xfId="1" applyFont="1" applyFill="1" applyBorder="1" applyAlignment="1" applyProtection="1">
      <alignment horizontal="center" vertical="center" wrapText="1"/>
      <protection locked="0"/>
    </xf>
    <xf numFmtId="164" fontId="32" fillId="6" borderId="3" xfId="1" applyFont="1" applyFill="1" applyBorder="1" applyAlignment="1" applyProtection="1">
      <alignment horizontal="center" vertical="center" wrapText="1"/>
      <protection locked="0"/>
    </xf>
    <xf numFmtId="164" fontId="32" fillId="6" borderId="103" xfId="1" applyFont="1" applyFill="1" applyBorder="1" applyAlignment="1" applyProtection="1">
      <alignment horizontal="center" vertical="center" wrapText="1"/>
      <protection locked="0"/>
    </xf>
    <xf numFmtId="164" fontId="33" fillId="6" borderId="3" xfId="1" applyFont="1" applyFill="1" applyBorder="1" applyAlignment="1" applyProtection="1">
      <alignment horizontal="center" vertical="center" wrapText="1"/>
      <protection locked="0"/>
    </xf>
    <xf numFmtId="164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164" fontId="32" fillId="6" borderId="84" xfId="1" applyFont="1" applyFill="1" applyBorder="1" applyAlignment="1" applyProtection="1">
      <alignment horizontal="center" vertical="center" wrapText="1"/>
      <protection locked="0"/>
    </xf>
    <xf numFmtId="164" fontId="32" fillId="6" borderId="60" xfId="1" applyFont="1" applyFill="1" applyBorder="1" applyAlignment="1" applyProtection="1">
      <alignment horizontal="center" vertical="center" wrapText="1"/>
      <protection locked="0"/>
    </xf>
    <xf numFmtId="164" fontId="32" fillId="6" borderId="61" xfId="1" applyFont="1" applyFill="1" applyBorder="1" applyAlignment="1" applyProtection="1">
      <alignment horizontal="center" vertical="center" wrapText="1"/>
      <protection locked="0"/>
    </xf>
    <xf numFmtId="164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5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6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5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8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164" fontId="4" fillId="0" borderId="17" xfId="1" applyFont="1" applyBorder="1" applyAlignment="1" applyProtection="1">
      <alignment horizontal="center" vertical="center"/>
    </xf>
    <xf numFmtId="164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8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164" fontId="4" fillId="0" borderId="25" xfId="1" applyFont="1" applyBorder="1" applyAlignment="1" applyProtection="1">
      <alignment horizontal="center" vertical="center" wrapText="1"/>
    </xf>
    <xf numFmtId="164" fontId="4" fillId="0" borderId="35" xfId="1" applyFont="1" applyBorder="1" applyAlignment="1" applyProtection="1">
      <alignment horizontal="center" vertical="center"/>
    </xf>
    <xf numFmtId="164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6" fontId="68" fillId="0" borderId="35" xfId="0" applyNumberFormat="1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/>
    </xf>
    <xf numFmtId="176" fontId="68" fillId="0" borderId="35" xfId="0" applyNumberFormat="1" applyFont="1" applyBorder="1" applyAlignment="1">
      <alignment horizontal="center"/>
    </xf>
    <xf numFmtId="176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5" fontId="16" fillId="0" borderId="35" xfId="0" applyNumberFormat="1" applyFont="1" applyBorder="1" applyAlignment="1">
      <alignment horizontal="center"/>
    </xf>
    <xf numFmtId="165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76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8" fontId="36" fillId="0" borderId="0" xfId="0" applyNumberFormat="1" applyFont="1" applyAlignment="1" applyProtection="1">
      <alignment horizontal="center" vertical="center"/>
      <protection locked="0"/>
    </xf>
    <xf numFmtId="168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68" fontId="2" fillId="2" borderId="0" xfId="0" applyNumberFormat="1" applyFont="1" applyFill="1" applyAlignment="1" applyProtection="1">
      <alignment horizontal="center" vertical="center"/>
      <protection locked="0"/>
    </xf>
    <xf numFmtId="168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64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164" fontId="32" fillId="0" borderId="51" xfId="1" applyFont="1" applyBorder="1" applyAlignment="1" applyProtection="1">
      <alignment horizontal="center" vertical="center" wrapText="1" shrinkToFit="1"/>
      <protection locked="0"/>
    </xf>
    <xf numFmtId="164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8" fontId="53" fillId="2" borderId="0" xfId="0" applyNumberFormat="1" applyFont="1" applyFill="1" applyAlignment="1" applyProtection="1">
      <alignment horizontal="center" vertical="center"/>
      <protection locked="0"/>
    </xf>
    <xf numFmtId="168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164" fontId="32" fillId="0" borderId="47" xfId="1" applyFont="1" applyBorder="1" applyAlignment="1" applyProtection="1">
      <alignment horizontal="center" vertical="center" shrinkToFit="1"/>
      <protection locked="0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/>
      <protection locked="0"/>
    </xf>
    <xf numFmtId="164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164" fontId="4" fillId="0" borderId="51" xfId="1" applyFont="1" applyBorder="1" applyAlignment="1" applyProtection="1">
      <alignment horizontal="center" vertical="center" textRotation="90"/>
    </xf>
    <xf numFmtId="164" fontId="4" fillId="0" borderId="45" xfId="1" applyFont="1" applyBorder="1" applyAlignment="1" applyProtection="1">
      <alignment horizontal="center" vertical="center" textRotation="90"/>
    </xf>
    <xf numFmtId="164" fontId="4" fillId="0" borderId="56" xfId="1" applyFont="1" applyBorder="1" applyAlignment="1" applyProtection="1">
      <alignment horizontal="center" vertical="center" textRotation="90"/>
    </xf>
    <xf numFmtId="164" fontId="4" fillId="0" borderId="5" xfId="1" applyFont="1" applyBorder="1" applyAlignment="1" applyProtection="1">
      <alignment horizontal="center" vertical="center" wrapText="1" shrinkToFit="1"/>
    </xf>
    <xf numFmtId="164" fontId="4" fillId="0" borderId="1" xfId="1" applyFont="1" applyBorder="1" applyAlignment="1" applyProtection="1">
      <alignment horizontal="center" vertical="center" wrapText="1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60" xfId="1" applyFont="1" applyBorder="1" applyAlignment="1" applyProtection="1">
      <alignment horizontal="center" vertical="center" wrapText="1"/>
    </xf>
    <xf numFmtId="164" fontId="4" fillId="0" borderId="111" xfId="1" applyFont="1" applyBorder="1" applyAlignment="1" applyProtection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8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64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4" fontId="4" fillId="0" borderId="5" xfId="1" applyFont="1" applyFill="1" applyBorder="1" applyAlignment="1" applyProtection="1">
      <alignment horizontal="center" vertical="center" wrapText="1"/>
    </xf>
    <xf numFmtId="164" fontId="4" fillId="0" borderId="1" xfId="1" applyFont="1" applyFill="1" applyBorder="1" applyAlignment="1" applyProtection="1">
      <alignment horizontal="center" vertical="center" wrapText="1"/>
    </xf>
    <xf numFmtId="164" fontId="4" fillId="0" borderId="9" xfId="1" applyFont="1" applyFill="1" applyBorder="1" applyAlignment="1" applyProtection="1">
      <alignment horizontal="center" vertical="center" wrapText="1"/>
    </xf>
    <xf numFmtId="164" fontId="4" fillId="0" borderId="5" xfId="1" applyFont="1" applyBorder="1" applyAlignment="1" applyProtection="1">
      <alignment horizontal="center" vertical="center" shrinkToFit="1"/>
      <protection locked="0"/>
    </xf>
    <xf numFmtId="164" fontId="4" fillId="0" borderId="47" xfId="1" applyFont="1" applyBorder="1" applyAlignment="1" applyProtection="1">
      <alignment horizontal="center" vertical="center"/>
    </xf>
    <xf numFmtId="164" fontId="4" fillId="0" borderId="30" xfId="1" applyFont="1" applyBorder="1" applyAlignment="1" applyProtection="1">
      <alignment horizontal="center" vertical="center"/>
    </xf>
    <xf numFmtId="164" fontId="4" fillId="0" borderId="84" xfId="1" applyFont="1" applyBorder="1" applyAlignment="1" applyProtection="1">
      <alignment horizontal="center" vertical="center" shrinkToFit="1"/>
    </xf>
    <xf numFmtId="164" fontId="4" fillId="0" borderId="60" xfId="1" applyFont="1" applyBorder="1" applyAlignment="1" applyProtection="1">
      <alignment horizontal="center" vertical="center" shrinkToFit="1"/>
    </xf>
    <xf numFmtId="164" fontId="4" fillId="0" borderId="84" xfId="1" applyFont="1" applyFill="1" applyBorder="1" applyAlignment="1" applyProtection="1">
      <alignment horizontal="center" vertical="center" shrinkToFit="1"/>
    </xf>
    <xf numFmtId="164" fontId="4" fillId="0" borderId="60" xfId="1" applyFont="1" applyFill="1" applyBorder="1" applyAlignment="1" applyProtection="1">
      <alignment horizontal="center" vertical="center" shrinkToFit="1"/>
    </xf>
    <xf numFmtId="164" fontId="4" fillId="0" borderId="109" xfId="1" applyFont="1" applyBorder="1" applyAlignment="1" applyProtection="1">
      <alignment horizontal="center" vertical="center" wrapText="1"/>
    </xf>
    <xf numFmtId="164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E5" sqref="E5"/>
    </sheetView>
  </sheetViews>
  <sheetFormatPr defaultColWidth="11.5546875" defaultRowHeight="13.2"/>
  <cols>
    <col min="1" max="1" width="24" style="729" bestFit="1" customWidth="1"/>
    <col min="2" max="3" width="11.5546875" style="730"/>
    <col min="4" max="4" width="13.44140625" style="730" customWidth="1"/>
    <col min="5" max="5" width="20.6640625" style="97" customWidth="1"/>
    <col min="6" max="6" width="20.109375" style="730" customWidth="1"/>
    <col min="7" max="7" width="18.33203125" style="97" customWidth="1"/>
    <col min="8" max="8" width="17.44140625" style="730" customWidth="1"/>
    <col min="9" max="9" width="20.109375" style="97" customWidth="1"/>
    <col min="10" max="10" width="22.6640625" style="97" customWidth="1"/>
    <col min="11" max="11" width="10.5546875" style="97" customWidth="1"/>
  </cols>
  <sheetData>
    <row r="1" spans="1:12" s="732" customFormat="1" ht="28.8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3</v>
      </c>
      <c r="D2" s="752">
        <v>2022</v>
      </c>
      <c r="E2" s="747">
        <f>Elect!BS6</f>
        <v>24680.68</v>
      </c>
      <c r="F2" s="745">
        <f>'Utility Consnsumption'!K13/'Utility Consnsumption'!J13</f>
        <v>1.3966181188843954</v>
      </c>
      <c r="G2" s="746">
        <f>Gas!K7</f>
        <v>386.4</v>
      </c>
      <c r="H2" s="745">
        <v>3.8</v>
      </c>
      <c r="I2" s="746">
        <f>Water!H7</f>
        <v>342.78</v>
      </c>
      <c r="J2" s="745">
        <v>10</v>
      </c>
      <c r="K2" s="746">
        <f>Elect!BT6</f>
        <v>230</v>
      </c>
    </row>
    <row r="3" spans="1:12">
      <c r="A3" s="753" t="s">
        <v>11</v>
      </c>
      <c r="B3" s="730">
        <f>B2+1</f>
        <v>2</v>
      </c>
      <c r="C3" s="772">
        <v>3</v>
      </c>
      <c r="D3" s="752">
        <v>2022</v>
      </c>
      <c r="E3" s="747">
        <f>Elect!BS7</f>
        <v>24273.134999999998</v>
      </c>
      <c r="F3" s="745">
        <f>F2</f>
        <v>1.3966181188843954</v>
      </c>
      <c r="G3" s="746">
        <f>Gas!K8</f>
        <v>343</v>
      </c>
      <c r="H3" s="745">
        <v>3.8</v>
      </c>
      <c r="I3" s="746">
        <f>Water!H8</f>
        <v>348</v>
      </c>
      <c r="J3" s="745">
        <v>10</v>
      </c>
      <c r="K3" s="746">
        <f>Elect!BT7</f>
        <v>217</v>
      </c>
    </row>
    <row r="4" spans="1:12">
      <c r="A4" s="753" t="s">
        <v>11</v>
      </c>
      <c r="B4" s="730">
        <f t="shared" ref="B4:B32" si="0">B3+1</f>
        <v>3</v>
      </c>
      <c r="C4" s="772">
        <v>3</v>
      </c>
      <c r="D4" s="752">
        <v>2022</v>
      </c>
      <c r="E4" s="747">
        <f>Elect!BS8</f>
        <v>22913.5425</v>
      </c>
      <c r="F4" s="745">
        <f t="shared" ref="F4:F32" si="1">F3</f>
        <v>1.3966181188843954</v>
      </c>
      <c r="G4" s="746">
        <f>Gas!K9</f>
        <v>324.09999999999997</v>
      </c>
      <c r="H4" s="745">
        <v>3.8</v>
      </c>
      <c r="I4" s="746">
        <f>Water!H9</f>
        <v>348</v>
      </c>
      <c r="J4" s="745">
        <v>10</v>
      </c>
      <c r="K4" s="746">
        <f>Elect!BT8</f>
        <v>256</v>
      </c>
    </row>
    <row r="5" spans="1:12">
      <c r="A5" s="753" t="s">
        <v>11</v>
      </c>
      <c r="B5" s="730">
        <f t="shared" si="0"/>
        <v>4</v>
      </c>
      <c r="C5" s="772">
        <v>3</v>
      </c>
      <c r="D5" s="752">
        <v>2022</v>
      </c>
      <c r="E5" s="747">
        <f>Elect!BS9</f>
        <v>23301.8675</v>
      </c>
      <c r="F5" s="745">
        <f t="shared" si="1"/>
        <v>1.3966181188843954</v>
      </c>
      <c r="G5" s="746">
        <f>Gas!K10</f>
        <v>306.59999999999997</v>
      </c>
      <c r="H5" s="745">
        <v>3.8</v>
      </c>
      <c r="I5" s="746">
        <f>Water!H10</f>
        <v>417.59999999999997</v>
      </c>
      <c r="J5" s="745">
        <v>10</v>
      </c>
      <c r="K5" s="746">
        <f>Elect!BT9</f>
        <v>237</v>
      </c>
    </row>
    <row r="6" spans="1:12">
      <c r="A6" s="753" t="s">
        <v>11</v>
      </c>
      <c r="B6" s="730">
        <f t="shared" si="0"/>
        <v>5</v>
      </c>
      <c r="C6" s="772">
        <v>3</v>
      </c>
      <c r="D6" s="752">
        <v>2022</v>
      </c>
      <c r="E6" s="747">
        <f>Elect!BS10</f>
        <v>23077.7575</v>
      </c>
      <c r="F6" s="745">
        <f t="shared" si="1"/>
        <v>1.3966181188843954</v>
      </c>
      <c r="G6" s="746">
        <f>Gas!K11</f>
        <v>326.89999999999998</v>
      </c>
      <c r="H6" s="745">
        <v>3.8</v>
      </c>
      <c r="I6" s="746">
        <f>Water!H11</f>
        <v>371.78</v>
      </c>
      <c r="J6" s="745">
        <v>10</v>
      </c>
      <c r="K6" s="746">
        <f>Elect!BT10</f>
        <v>245</v>
      </c>
    </row>
    <row r="7" spans="1:12">
      <c r="A7" s="753" t="s">
        <v>11</v>
      </c>
      <c r="B7" s="730">
        <f t="shared" si="0"/>
        <v>6</v>
      </c>
      <c r="C7" s="772">
        <v>3</v>
      </c>
      <c r="D7" s="752">
        <v>2022</v>
      </c>
      <c r="E7" s="747">
        <f>Elect!BS11</f>
        <v>22697.072500000002</v>
      </c>
      <c r="F7" s="745">
        <f t="shared" si="1"/>
        <v>1.3966181188843954</v>
      </c>
      <c r="G7" s="746">
        <f>Gas!K12</f>
        <v>326.89999999999998</v>
      </c>
      <c r="H7" s="745">
        <v>3.8</v>
      </c>
      <c r="I7" s="746">
        <f>Water!H12</f>
        <v>371.78</v>
      </c>
      <c r="J7" s="745">
        <v>10</v>
      </c>
      <c r="K7" s="746">
        <f>Elect!BT11</f>
        <v>200</v>
      </c>
    </row>
    <row r="8" spans="1:12">
      <c r="A8" s="753" t="s">
        <v>11</v>
      </c>
      <c r="B8" s="730">
        <f t="shared" si="0"/>
        <v>7</v>
      </c>
      <c r="C8" s="772">
        <v>3</v>
      </c>
      <c r="D8" s="752">
        <v>2022</v>
      </c>
      <c r="E8" s="747">
        <f>Elect!BS12</f>
        <v>24048.175000000003</v>
      </c>
      <c r="F8" s="745">
        <f t="shared" si="1"/>
        <v>1.3966181188843954</v>
      </c>
      <c r="G8" s="746">
        <f>Gas!K13</f>
        <v>334.59999999999997</v>
      </c>
      <c r="H8" s="745">
        <v>3.8</v>
      </c>
      <c r="I8" s="746">
        <f>Water!H13</f>
        <v>342.2</v>
      </c>
      <c r="J8" s="745">
        <v>10</v>
      </c>
      <c r="K8" s="746">
        <f>Elect!BT12</f>
        <v>184</v>
      </c>
    </row>
    <row r="9" spans="1:12">
      <c r="A9" s="753" t="s">
        <v>11</v>
      </c>
      <c r="B9" s="730">
        <f t="shared" si="0"/>
        <v>8</v>
      </c>
      <c r="C9" s="772">
        <v>3</v>
      </c>
      <c r="D9" s="752">
        <v>2022</v>
      </c>
      <c r="E9" s="747">
        <f>Elect!BS13</f>
        <v>22893.4725</v>
      </c>
      <c r="F9" s="745">
        <f t="shared" si="1"/>
        <v>1.3966181188843954</v>
      </c>
      <c r="G9" s="746">
        <f>Gas!K14</f>
        <v>301.7</v>
      </c>
      <c r="H9" s="745">
        <v>3.8</v>
      </c>
      <c r="I9" s="746">
        <f>Water!H14</f>
        <v>354.37999999999994</v>
      </c>
      <c r="J9" s="745">
        <v>10</v>
      </c>
      <c r="K9" s="746">
        <f>Elect!BT13</f>
        <v>155</v>
      </c>
    </row>
    <row r="10" spans="1:12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747">
        <f>Elect!BS14</f>
        <v>24407.58</v>
      </c>
      <c r="F10" s="745">
        <f t="shared" si="1"/>
        <v>1.3966181188843954</v>
      </c>
      <c r="G10" s="746">
        <f>Gas!K15</f>
        <v>304.5</v>
      </c>
      <c r="H10" s="745">
        <v>3.8</v>
      </c>
      <c r="I10" s="746">
        <f>Water!H15</f>
        <v>237.79999999999995</v>
      </c>
      <c r="J10" s="745">
        <v>10</v>
      </c>
      <c r="K10" s="746">
        <f>Elect!BT14</f>
        <v>186</v>
      </c>
    </row>
    <row r="11" spans="1:12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747">
        <f>Elect!BS15</f>
        <v>22872.305</v>
      </c>
      <c r="F11" s="745">
        <f t="shared" si="1"/>
        <v>1.3966181188843954</v>
      </c>
      <c r="G11" s="746">
        <f>Gas!K16</f>
        <v>301</v>
      </c>
      <c r="H11" s="745">
        <v>3.8</v>
      </c>
      <c r="I11" s="746">
        <f>Water!H16</f>
        <v>373.52</v>
      </c>
      <c r="J11" s="745">
        <v>10</v>
      </c>
      <c r="K11" s="746">
        <f>Elect!BT15</f>
        <v>239</v>
      </c>
    </row>
    <row r="12" spans="1:12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747">
        <f>Elect!BS16</f>
        <v>23349.447500000002</v>
      </c>
      <c r="F12" s="745">
        <f t="shared" si="1"/>
        <v>1.3966181188843954</v>
      </c>
      <c r="G12" s="746">
        <f>Gas!K17</f>
        <v>301</v>
      </c>
      <c r="H12" s="745">
        <v>3.8</v>
      </c>
      <c r="I12" s="746">
        <f>Water!H17</f>
        <v>324.79999999999995</v>
      </c>
      <c r="J12" s="745">
        <v>10</v>
      </c>
      <c r="K12" s="746">
        <f>Elect!BT16</f>
        <v>239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747">
        <f>Elect!BS17</f>
        <v>23030.092499999999</v>
      </c>
      <c r="F13" s="745">
        <f t="shared" si="1"/>
        <v>1.3966181188843954</v>
      </c>
      <c r="G13" s="746">
        <f>Gas!K18</f>
        <v>306.36666666688393</v>
      </c>
      <c r="H13" s="745">
        <v>3.8</v>
      </c>
      <c r="I13" s="746">
        <f>Water!H18</f>
        <v>266.79999999982067</v>
      </c>
      <c r="J13" s="745">
        <v>10</v>
      </c>
      <c r="K13" s="746">
        <f>Elect!BT17</f>
        <v>247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747">
        <f>Elect!BS18</f>
        <v>22918.845000000001</v>
      </c>
      <c r="F14" s="745">
        <f t="shared" si="1"/>
        <v>1.3966181188843954</v>
      </c>
      <c r="G14" s="746">
        <f>Gas!K19</f>
        <v>315.93333333311602</v>
      </c>
      <c r="H14" s="745">
        <v>3.8</v>
      </c>
      <c r="I14" s="746">
        <f>Water!H19</f>
        <v>382.80000000017935</v>
      </c>
      <c r="J14" s="745">
        <v>10</v>
      </c>
      <c r="K14" s="746">
        <f>Elect!BT18</f>
        <v>244</v>
      </c>
    </row>
    <row r="15" spans="1:12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747">
        <f>Elect!BS19</f>
        <v>23104.865000000002</v>
      </c>
      <c r="F15" s="745">
        <f t="shared" si="1"/>
        <v>1.3966181188843954</v>
      </c>
      <c r="G15" s="746">
        <f>Gas!K20</f>
        <v>317.79999999999995</v>
      </c>
      <c r="H15" s="745">
        <v>3.8</v>
      </c>
      <c r="I15" s="746">
        <f>Water!H20</f>
        <v>301.60000000000002</v>
      </c>
      <c r="J15" s="745">
        <v>10</v>
      </c>
      <c r="K15" s="746">
        <f>Elect!BT19</f>
        <v>254</v>
      </c>
    </row>
    <row r="16" spans="1:12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747">
        <f>Elect!BS20</f>
        <v>23048.66</v>
      </c>
      <c r="F16" s="745">
        <f t="shared" si="1"/>
        <v>1.3966181188843954</v>
      </c>
      <c r="G16" s="746">
        <f>Gas!K21</f>
        <v>315</v>
      </c>
      <c r="H16" s="745">
        <v>3.8</v>
      </c>
      <c r="I16" s="746">
        <f>Water!H21</f>
        <v>423.4</v>
      </c>
      <c r="J16" s="745">
        <v>10</v>
      </c>
      <c r="K16" s="746">
        <f>Elect!BT20</f>
        <v>248</v>
      </c>
    </row>
    <row r="17" spans="1:1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747">
        <f>Elect!BS21</f>
        <v>23082.535833333299</v>
      </c>
      <c r="F17" s="745">
        <f t="shared" si="1"/>
        <v>1.3966181188843954</v>
      </c>
      <c r="G17" s="746">
        <f>Gas!K22</f>
        <v>319.89999999999998</v>
      </c>
      <c r="H17" s="745">
        <v>3.8</v>
      </c>
      <c r="I17" s="746">
        <f>Water!H22</f>
        <v>185.59999999999997</v>
      </c>
      <c r="J17" s="745">
        <v>10</v>
      </c>
      <c r="K17" s="746">
        <f>Elect!BT21</f>
        <v>253</v>
      </c>
    </row>
    <row r="18" spans="1:1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747">
        <f>Elect!BS22</f>
        <v>22574.734166666702</v>
      </c>
      <c r="F18" s="745">
        <f t="shared" si="1"/>
        <v>1.3966181188843954</v>
      </c>
      <c r="G18" s="746">
        <f>Gas!K23</f>
        <v>319.89999999999998</v>
      </c>
      <c r="H18" s="745">
        <v>3.8</v>
      </c>
      <c r="I18" s="746">
        <f>Water!H23</f>
        <v>77.526666666452144</v>
      </c>
      <c r="J18" s="745">
        <v>10</v>
      </c>
      <c r="K18" s="746">
        <f>Elect!BT22</f>
        <v>253</v>
      </c>
    </row>
    <row r="19" spans="1:1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747">
        <f>Elect!BS23</f>
        <v>23688.942499999997</v>
      </c>
      <c r="F19" s="745">
        <f t="shared" si="1"/>
        <v>1.3966181188843954</v>
      </c>
      <c r="G19" s="746">
        <f>Gas!K24</f>
        <v>226.1</v>
      </c>
      <c r="H19" s="745">
        <v>3.8</v>
      </c>
      <c r="I19" s="746">
        <f>Water!H24</f>
        <v>541.33333333354778</v>
      </c>
      <c r="J19" s="745">
        <v>10</v>
      </c>
      <c r="K19" s="746">
        <f>Elect!BT23</f>
        <v>253</v>
      </c>
    </row>
    <row r="20" spans="1:1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747">
        <f>Elect!BS24</f>
        <v>22801.282500000001</v>
      </c>
      <c r="F20" s="745">
        <f t="shared" si="1"/>
        <v>1.3966181188843954</v>
      </c>
      <c r="G20" s="746">
        <f>Gas!K25</f>
        <v>428.4</v>
      </c>
      <c r="H20" s="745">
        <v>3.8</v>
      </c>
      <c r="I20" s="746">
        <f>Water!H25</f>
        <v>348</v>
      </c>
      <c r="J20" s="745">
        <v>10</v>
      </c>
      <c r="K20" s="746">
        <f>Elect!BT24</f>
        <v>259</v>
      </c>
    </row>
    <row r="21" spans="1:1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747">
        <f>Elect!BS25</f>
        <v>22904.817500000001</v>
      </c>
      <c r="F21" s="745">
        <f t="shared" si="1"/>
        <v>1.3966181188843954</v>
      </c>
      <c r="G21" s="746">
        <f>Gas!K26</f>
        <v>293.53333333311599</v>
      </c>
      <c r="H21" s="745">
        <v>3.8</v>
      </c>
      <c r="I21" s="746">
        <f>Water!H26</f>
        <v>638</v>
      </c>
      <c r="J21" s="745">
        <v>10</v>
      </c>
      <c r="K21" s="746">
        <f>Elect!BT25</f>
        <v>236</v>
      </c>
    </row>
    <row r="22" spans="1:1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747">
        <f>Elect!BS26</f>
        <v>23816.4175</v>
      </c>
      <c r="F22" s="745">
        <f t="shared" si="1"/>
        <v>1.3966181188843954</v>
      </c>
      <c r="G22" s="746">
        <f>Gas!K27</f>
        <v>503.76666666688396</v>
      </c>
      <c r="H22" s="745">
        <v>3.8</v>
      </c>
      <c r="I22" s="746">
        <f>Water!H27</f>
        <v>133.39999999999998</v>
      </c>
      <c r="J22" s="745">
        <v>10</v>
      </c>
      <c r="K22" s="746">
        <f>Elect!BT26</f>
        <v>245</v>
      </c>
    </row>
    <row r="23" spans="1:1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747">
        <f>Elect!BS27</f>
        <v>24411.048214285973</v>
      </c>
      <c r="F23" s="745">
        <f t="shared" si="1"/>
        <v>1.3966181188843954</v>
      </c>
      <c r="G23" s="746">
        <f>Gas!K28</f>
        <v>0</v>
      </c>
      <c r="H23" s="745">
        <v>3.8</v>
      </c>
      <c r="I23" s="746">
        <f>Water!H28</f>
        <v>174</v>
      </c>
      <c r="J23" s="745">
        <v>10</v>
      </c>
      <c r="K23" s="746">
        <f>Elect!BT27</f>
        <v>250</v>
      </c>
    </row>
    <row r="24" spans="1:1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747">
        <f>Elect!BS28</f>
        <v>22483.664341269792</v>
      </c>
      <c r="F24" s="745">
        <f t="shared" si="1"/>
        <v>1.3966181188843954</v>
      </c>
      <c r="G24" s="746">
        <f>Gas!K29</f>
        <v>434.7</v>
      </c>
      <c r="H24" s="745">
        <v>3.8</v>
      </c>
      <c r="I24" s="746">
        <f>Water!H29</f>
        <v>295.79999999999995</v>
      </c>
      <c r="J24" s="745">
        <v>10</v>
      </c>
      <c r="K24" s="746">
        <f>Elect!BT28</f>
        <v>242</v>
      </c>
    </row>
    <row r="25" spans="1:1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747">
        <f>Elect!BS29</f>
        <v>22956.268761738414</v>
      </c>
      <c r="F25" s="745">
        <f t="shared" si="1"/>
        <v>1.3966181188843954</v>
      </c>
      <c r="G25" s="746">
        <f>Gas!K30</f>
        <v>375.9</v>
      </c>
      <c r="H25" s="745">
        <v>3.8</v>
      </c>
      <c r="I25" s="746">
        <f>Water!H30</f>
        <v>319</v>
      </c>
      <c r="J25" s="745">
        <v>10</v>
      </c>
      <c r="K25" s="746">
        <f>Elect!BT29</f>
        <v>231</v>
      </c>
    </row>
    <row r="26" spans="1:11">
      <c r="A26" s="753" t="s">
        <v>11</v>
      </c>
      <c r="B26" s="730">
        <f>B25+1</f>
        <v>25</v>
      </c>
      <c r="C26" s="772">
        <v>3</v>
      </c>
      <c r="D26" s="752">
        <v>2022</v>
      </c>
      <c r="E26" s="747">
        <f>Elect!BS30</f>
        <v>22433.043682705822</v>
      </c>
      <c r="F26" s="745">
        <f t="shared" si="1"/>
        <v>1.3966181188843954</v>
      </c>
      <c r="G26" s="746">
        <f>Gas!K31</f>
        <v>413</v>
      </c>
      <c r="H26" s="745">
        <v>3.8</v>
      </c>
      <c r="I26" s="746">
        <f>Water!H31</f>
        <v>365.4</v>
      </c>
      <c r="J26" s="745">
        <v>10</v>
      </c>
      <c r="K26" s="746">
        <f>Elect!BT30</f>
        <v>236</v>
      </c>
    </row>
    <row r="27" spans="1:1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747">
        <f>Elect!BS31</f>
        <v>23090.945</v>
      </c>
      <c r="F27" s="745">
        <f t="shared" si="1"/>
        <v>1.3966181188843954</v>
      </c>
      <c r="G27" s="746">
        <f>Gas!K32</f>
        <v>408.79999999999995</v>
      </c>
      <c r="H27" s="745">
        <v>3.8</v>
      </c>
      <c r="I27" s="746">
        <f>Water!H32</f>
        <v>290</v>
      </c>
      <c r="J27" s="745">
        <v>10</v>
      </c>
      <c r="K27" s="746">
        <f>Elect!BT31</f>
        <v>241</v>
      </c>
    </row>
    <row r="28" spans="1:1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747">
        <f>Elect!BS32</f>
        <v>22525.172499999997</v>
      </c>
      <c r="F28" s="745">
        <f t="shared" si="1"/>
        <v>1.3966181188843954</v>
      </c>
      <c r="G28" s="746">
        <f>Gas!K33</f>
        <v>417.2</v>
      </c>
      <c r="H28" s="745">
        <v>3.8</v>
      </c>
      <c r="I28" s="746">
        <f>Water!H33</f>
        <v>342.19999999999993</v>
      </c>
      <c r="J28" s="745">
        <v>10</v>
      </c>
      <c r="K28" s="746">
        <f>Elect!BT32</f>
        <v>232</v>
      </c>
    </row>
    <row r="29" spans="1:1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747">
        <f>Elect!BS33</f>
        <v>23662.882500000003</v>
      </c>
      <c r="F29" s="745">
        <f t="shared" si="1"/>
        <v>1.3966181188843954</v>
      </c>
      <c r="G29" s="746">
        <f>Gas!K34</f>
        <v>546.69999999999993</v>
      </c>
      <c r="H29" s="745">
        <v>3.8</v>
      </c>
      <c r="I29" s="746">
        <f>Water!H34</f>
        <v>359.6</v>
      </c>
      <c r="J29" s="745">
        <v>10</v>
      </c>
      <c r="K29" s="746">
        <f>Elect!BT33</f>
        <v>202</v>
      </c>
    </row>
    <row r="30" spans="1:1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747">
        <f>Elect!BS34</f>
        <v>24158.967499999999</v>
      </c>
      <c r="F30" s="745">
        <f t="shared" si="1"/>
        <v>1.3966181188843954</v>
      </c>
      <c r="G30" s="746">
        <f>Gas!K35</f>
        <v>266</v>
      </c>
      <c r="H30" s="745">
        <v>3.8</v>
      </c>
      <c r="I30" s="746">
        <f>Water!H35</f>
        <v>272.59999999999997</v>
      </c>
      <c r="J30" s="745">
        <v>10</v>
      </c>
      <c r="K30" s="746">
        <f>Elect!BT34</f>
        <v>168</v>
      </c>
    </row>
    <row r="31" spans="1:1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747">
        <f>Elect!BS35</f>
        <v>22496.467499999999</v>
      </c>
      <c r="F31" s="745">
        <f t="shared" si="1"/>
        <v>1.3966181188843954</v>
      </c>
      <c r="G31" s="746">
        <f>Gas!K36</f>
        <v>344.4</v>
      </c>
      <c r="H31" s="745">
        <v>3.8</v>
      </c>
      <c r="I31" s="746">
        <f>Water!H36</f>
        <v>278.39999999999998</v>
      </c>
      <c r="J31" s="745">
        <v>10</v>
      </c>
      <c r="K31" s="746">
        <f>Elect!BT35</f>
        <v>151</v>
      </c>
    </row>
    <row r="32" spans="1:11">
      <c r="A32" s="754" t="s">
        <v>11</v>
      </c>
      <c r="B32" s="755">
        <f t="shared" si="0"/>
        <v>31</v>
      </c>
      <c r="C32" s="772">
        <v>3</v>
      </c>
      <c r="D32" s="752">
        <v>2022</v>
      </c>
      <c r="E32" s="747">
        <f>Elect!BS36</f>
        <v>23847.325000000001</v>
      </c>
      <c r="F32" s="745">
        <f t="shared" si="1"/>
        <v>1.3966181188843954</v>
      </c>
      <c r="G32" s="746">
        <f>Gas!K37</f>
        <v>378.7</v>
      </c>
      <c r="H32" s="745">
        <v>3.8</v>
      </c>
      <c r="I32" s="746">
        <f>Water!H37</f>
        <v>336.4</v>
      </c>
      <c r="J32" s="745">
        <v>10</v>
      </c>
      <c r="K32" s="746">
        <f>Elect!BT36</f>
        <v>150</v>
      </c>
    </row>
  </sheetData>
  <sheetProtection algorithmName="SHA-512" hashValue="oFuWvrl+W7jFZ0N3HeHnKjEt2Tk8mVsvfC9acPK2xafL/VZsAYvNBmrm0QCyCawMjNRPLtsbTDukKsauVwBWOg==" saltValue="4j7dAOPfVnEJrnfX8aWLR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C2" sqref="C2:C32"/>
    </sheetView>
  </sheetViews>
  <sheetFormatPr defaultRowHeight="13.2"/>
  <cols>
    <col min="1" max="1" width="25.6640625" customWidth="1"/>
    <col min="6" max="33" width="20.6640625" customWidth="1"/>
    <col min="35" max="35" width="24.44140625" customWidth="1"/>
    <col min="36" max="36" width="25.6640625" customWidth="1"/>
    <col min="37" max="37" width="25.44140625" customWidth="1"/>
    <col min="38" max="38" width="10.33203125" customWidth="1"/>
    <col min="39" max="39" width="26.6640625" customWidth="1"/>
    <col min="40" max="40" width="30" customWidth="1"/>
    <col min="41" max="41" width="35.44140625" customWidth="1"/>
    <col min="42" max="42" width="10.5546875" style="97" customWidth="1"/>
    <col min="43" max="43" width="20.664062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0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0" t="s">
        <v>43</v>
      </c>
      <c r="AI1" s="756" t="s">
        <v>44</v>
      </c>
      <c r="AJ1" s="756" t="s">
        <v>45</v>
      </c>
      <c r="AK1" s="756" t="s">
        <v>46</v>
      </c>
      <c r="AL1" s="810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3</v>
      </c>
      <c r="D2" s="752">
        <v>2022</v>
      </c>
      <c r="E2" s="811"/>
      <c r="F2" s="739">
        <f>Elect!J6</f>
        <v>6609</v>
      </c>
      <c r="G2" s="739">
        <f>Elect!K6</f>
        <v>4347</v>
      </c>
      <c r="H2" s="739">
        <f>Elect!Q6</f>
        <v>600</v>
      </c>
      <c r="I2" s="739">
        <f>Elect!S6</f>
        <v>138</v>
      </c>
      <c r="J2" s="739">
        <f>Elect!U6</f>
        <v>265</v>
      </c>
      <c r="K2" s="739">
        <f>Elect!W6</f>
        <v>2523.86</v>
      </c>
      <c r="L2" s="739">
        <f>Elect!Y6</f>
        <v>135.15</v>
      </c>
      <c r="M2" s="739">
        <f>Elect!AA6</f>
        <v>283.55</v>
      </c>
      <c r="N2" s="739">
        <f>Elect!AC6</f>
        <v>0</v>
      </c>
      <c r="O2" s="739">
        <f>Elect!AE6</f>
        <v>0</v>
      </c>
      <c r="P2" s="739">
        <f>Elect!AG6</f>
        <v>14.31</v>
      </c>
      <c r="Q2" s="739">
        <f>Elect!AI6</f>
        <v>455.27000000000004</v>
      </c>
      <c r="R2" s="739">
        <f>Elect!AK6</f>
        <v>2505.84</v>
      </c>
      <c r="S2" s="739">
        <f>Elect!AM6</f>
        <v>209.35000000000002</v>
      </c>
      <c r="T2" s="739">
        <f>Elect!AP6</f>
        <v>67.05</v>
      </c>
      <c r="U2" s="739">
        <f>Elect!AR6</f>
        <v>293</v>
      </c>
      <c r="V2" s="739">
        <f>Elect!AT6</f>
        <v>197</v>
      </c>
      <c r="W2" s="739">
        <f>Elect!AV6</f>
        <v>58</v>
      </c>
      <c r="X2" s="739">
        <f>Elect!AX6</f>
        <v>663</v>
      </c>
      <c r="Y2" s="739">
        <f>Elect!AZ6</f>
        <v>6</v>
      </c>
      <c r="Z2" s="739">
        <f>Elect!BB6</f>
        <v>4978</v>
      </c>
      <c r="AA2" s="739">
        <f>Elect!BD6</f>
        <v>258</v>
      </c>
      <c r="AB2" s="739">
        <f>Elect!BF6</f>
        <v>55</v>
      </c>
      <c r="AC2" s="739">
        <f>Elect!BH6</f>
        <v>4769.3</v>
      </c>
      <c r="AD2" s="739">
        <f>Elect!BL6</f>
        <v>254</v>
      </c>
      <c r="AE2" s="739">
        <f>Elect!BN6</f>
        <v>1099</v>
      </c>
      <c r="AF2" s="739">
        <f>Elect!BP6</f>
        <v>127</v>
      </c>
      <c r="AG2" s="739">
        <f>Elect!BR6</f>
        <v>129</v>
      </c>
      <c r="AH2" s="811"/>
      <c r="AI2" s="739">
        <f>Water!C7</f>
        <v>145</v>
      </c>
      <c r="AJ2" s="739">
        <f>Water!E7</f>
        <v>197.2</v>
      </c>
      <c r="AK2" s="739">
        <f>Water!G7</f>
        <v>0.57999999999999996</v>
      </c>
      <c r="AL2" s="811"/>
      <c r="AM2" s="739">
        <f>Gas!C7</f>
        <v>0</v>
      </c>
      <c r="AN2" s="739">
        <f>Gas!E7</f>
        <v>386.4</v>
      </c>
      <c r="AO2" s="739">
        <f>Gas!G7</f>
        <v>101</v>
      </c>
      <c r="AP2" s="746">
        <f>Elect!BT6</f>
        <v>230</v>
      </c>
    </row>
    <row r="3" spans="1:42" ht="12.75" customHeight="1">
      <c r="A3" s="753" t="s">
        <v>11</v>
      </c>
      <c r="B3" s="730">
        <f>B2+1</f>
        <v>2</v>
      </c>
      <c r="C3" s="772">
        <v>3</v>
      </c>
      <c r="D3" s="752">
        <v>2022</v>
      </c>
      <c r="E3" s="811"/>
      <c r="F3" s="739">
        <f>Elect!J7</f>
        <v>5715</v>
      </c>
      <c r="G3" s="739">
        <f>Elect!K7</f>
        <v>3700</v>
      </c>
      <c r="H3" s="739">
        <f>Elect!Q7</f>
        <v>570</v>
      </c>
      <c r="I3" s="739">
        <f>Elect!S7</f>
        <v>152</v>
      </c>
      <c r="J3" s="739">
        <f>Elect!U7</f>
        <v>285</v>
      </c>
      <c r="K3" s="739">
        <f>Elect!W7</f>
        <v>2758.1200000000003</v>
      </c>
      <c r="L3" s="739">
        <f>Elect!Y7</f>
        <v>9.5400000000000009</v>
      </c>
      <c r="M3" s="739">
        <f>Elect!AA7</f>
        <v>0</v>
      </c>
      <c r="N3" s="739">
        <f>Elect!AC7</f>
        <v>0</v>
      </c>
      <c r="O3" s="739">
        <f>Elect!AE7</f>
        <v>0</v>
      </c>
      <c r="P3" s="739">
        <f>Elect!AG7</f>
        <v>12.72</v>
      </c>
      <c r="Q3" s="739">
        <f>Elect!AI7</f>
        <v>365.70000000000005</v>
      </c>
      <c r="R3" s="739">
        <f>Elect!AK7</f>
        <v>2196.85</v>
      </c>
      <c r="S3" s="739">
        <f>Elect!AM7</f>
        <v>146.28</v>
      </c>
      <c r="T3" s="739">
        <f>Elect!AP7</f>
        <v>132.07500000000002</v>
      </c>
      <c r="U3" s="739">
        <f>Elect!AR7</f>
        <v>375</v>
      </c>
      <c r="V3" s="739">
        <f>Elect!AT7</f>
        <v>154</v>
      </c>
      <c r="W3" s="739">
        <f>Elect!AV7</f>
        <v>48</v>
      </c>
      <c r="X3" s="739">
        <f>Elect!AX7</f>
        <v>596</v>
      </c>
      <c r="Y3" s="739">
        <f>Elect!AZ7</f>
        <v>6</v>
      </c>
      <c r="Z3" s="739">
        <f>Elect!BB7</f>
        <v>5231</v>
      </c>
      <c r="AA3" s="739">
        <f>Elect!BD7</f>
        <v>327</v>
      </c>
      <c r="AB3" s="739">
        <f>Elect!BF7</f>
        <v>55</v>
      </c>
      <c r="AC3" s="739">
        <f>Elect!BH7</f>
        <v>5574.8499999999995</v>
      </c>
      <c r="AD3" s="739">
        <f>Elect!BL7</f>
        <v>276</v>
      </c>
      <c r="AE3" s="739">
        <f>Elect!BN7</f>
        <v>929</v>
      </c>
      <c r="AF3" s="739">
        <f>Elect!BP7</f>
        <v>138</v>
      </c>
      <c r="AG3" s="739">
        <f>Elect!BR7</f>
        <v>138</v>
      </c>
      <c r="AH3" s="811"/>
      <c r="AI3" s="739">
        <f>Water!C8</f>
        <v>150.79999999999998</v>
      </c>
      <c r="AJ3" s="739">
        <f>Water!E8</f>
        <v>197.2</v>
      </c>
      <c r="AK3" s="739">
        <f>Water!G8</f>
        <v>0</v>
      </c>
      <c r="AL3" s="811"/>
      <c r="AM3" s="739">
        <f>Gas!C8</f>
        <v>0</v>
      </c>
      <c r="AN3" s="739">
        <f>Gas!E8</f>
        <v>343</v>
      </c>
      <c r="AO3" s="739">
        <f>Gas!G8</f>
        <v>102</v>
      </c>
      <c r="AP3" s="746">
        <f>Elect!BT7</f>
        <v>217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3</v>
      </c>
      <c r="D4" s="752">
        <v>2022</v>
      </c>
      <c r="E4" s="811"/>
      <c r="F4" s="739">
        <f>Elect!J8</f>
        <v>6244</v>
      </c>
      <c r="G4" s="739">
        <f>Elect!K8</f>
        <v>4033</v>
      </c>
      <c r="H4" s="739">
        <f>Elect!Q8</f>
        <v>510</v>
      </c>
      <c r="I4" s="739">
        <f>Elect!S8</f>
        <v>132</v>
      </c>
      <c r="J4" s="739">
        <f>Elect!U8</f>
        <v>236</v>
      </c>
      <c r="K4" s="739">
        <f>Elect!W8</f>
        <v>2345.7800000000002</v>
      </c>
      <c r="L4" s="739">
        <f>Elect!Y8</f>
        <v>0</v>
      </c>
      <c r="M4" s="739">
        <f>Elect!AA8</f>
        <v>0</v>
      </c>
      <c r="N4" s="739">
        <f>Elect!AC8</f>
        <v>0</v>
      </c>
      <c r="O4" s="739">
        <f>Elect!AE8</f>
        <v>0</v>
      </c>
      <c r="P4" s="739">
        <f>Elect!AG8</f>
        <v>11.13</v>
      </c>
      <c r="Q4" s="739">
        <f>Elect!AI8</f>
        <v>370.47</v>
      </c>
      <c r="R4" s="739">
        <f>Elect!AK8</f>
        <v>2183.0700000000002</v>
      </c>
      <c r="S4" s="739">
        <f>Elect!AM8</f>
        <v>146.28</v>
      </c>
      <c r="T4" s="739">
        <f>Elect!AP8</f>
        <v>11.362500000000001</v>
      </c>
      <c r="U4" s="739">
        <f>Elect!AR8</f>
        <v>324</v>
      </c>
      <c r="V4" s="739">
        <f>Elect!AT8</f>
        <v>145</v>
      </c>
      <c r="W4" s="739">
        <f>Elect!AV8</f>
        <v>47</v>
      </c>
      <c r="X4" s="739">
        <f>Elect!AX8</f>
        <v>656</v>
      </c>
      <c r="Y4" s="739">
        <f>Elect!AZ8</f>
        <v>3</v>
      </c>
      <c r="Z4" s="739">
        <f>Elect!BB8</f>
        <v>4637</v>
      </c>
      <c r="AA4" s="739">
        <f>Elect!BD8</f>
        <v>254</v>
      </c>
      <c r="AB4" s="739">
        <f>Elect!BF8</f>
        <v>57</v>
      </c>
      <c r="AC4" s="739">
        <f>Elect!BH8</f>
        <v>4968.4500000000007</v>
      </c>
      <c r="AD4" s="739">
        <f>Elect!BL8</f>
        <v>247</v>
      </c>
      <c r="AE4" s="739">
        <f>Elect!BN8</f>
        <v>1037</v>
      </c>
      <c r="AF4" s="739">
        <f>Elect!BP8</f>
        <v>122</v>
      </c>
      <c r="AG4" s="739">
        <f>Elect!BR8</f>
        <v>130</v>
      </c>
      <c r="AH4" s="811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11"/>
      <c r="AM4" s="739">
        <f>Gas!C9</f>
        <v>0</v>
      </c>
      <c r="AN4" s="739">
        <f>Gas!E9</f>
        <v>324.09999999999997</v>
      </c>
      <c r="AO4" s="739">
        <f>Gas!G9</f>
        <v>108</v>
      </c>
      <c r="AP4" s="746">
        <f>Elect!BT8</f>
        <v>256</v>
      </c>
    </row>
    <row r="5" spans="1:42" ht="12.75" customHeight="1">
      <c r="A5" s="753" t="s">
        <v>11</v>
      </c>
      <c r="B5" s="730">
        <f t="shared" si="0"/>
        <v>4</v>
      </c>
      <c r="C5" s="772">
        <v>3</v>
      </c>
      <c r="D5" s="752">
        <v>2022</v>
      </c>
      <c r="E5" s="811"/>
      <c r="F5" s="739">
        <f>Elect!J9</f>
        <v>6209</v>
      </c>
      <c r="G5" s="739">
        <f>Elect!K9</f>
        <v>3939</v>
      </c>
      <c r="H5" s="739">
        <f>Elect!Q9</f>
        <v>390</v>
      </c>
      <c r="I5" s="739">
        <f>Elect!S9</f>
        <v>141</v>
      </c>
      <c r="J5" s="739">
        <f>Elect!U9</f>
        <v>254</v>
      </c>
      <c r="K5" s="739">
        <f>Elect!W9</f>
        <v>2258.33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0</v>
      </c>
      <c r="P5" s="739">
        <f>Elect!AG9</f>
        <v>12.190000000000001</v>
      </c>
      <c r="Q5" s="739">
        <f>Elect!AI9</f>
        <v>390.61</v>
      </c>
      <c r="R5" s="739">
        <f>Elect!AK9</f>
        <v>2266.81</v>
      </c>
      <c r="S5" s="739">
        <f>Elect!AM9</f>
        <v>149.99</v>
      </c>
      <c r="T5" s="739">
        <f>Elect!AP9</f>
        <v>4.3875000000000002</v>
      </c>
      <c r="U5" s="739">
        <f>Elect!AR9</f>
        <v>336</v>
      </c>
      <c r="V5" s="739">
        <f>Elect!AT9</f>
        <v>143</v>
      </c>
      <c r="W5" s="739">
        <f>Elect!AV9</f>
        <v>35</v>
      </c>
      <c r="X5" s="739">
        <f>Elect!AX9</f>
        <v>737</v>
      </c>
      <c r="Y5" s="739">
        <f>Elect!AZ9</f>
        <v>0</v>
      </c>
      <c r="Z5" s="739">
        <f>Elect!BB9</f>
        <v>4765</v>
      </c>
      <c r="AA5" s="739">
        <f>Elect!BD9</f>
        <v>310</v>
      </c>
      <c r="AB5" s="739">
        <f>Elect!BF9</f>
        <v>48</v>
      </c>
      <c r="AC5" s="739">
        <f>Elect!BH9</f>
        <v>5246.55</v>
      </c>
      <c r="AD5" s="739">
        <f>Elect!BL9</f>
        <v>234</v>
      </c>
      <c r="AE5" s="739">
        <f>Elect!BN9</f>
        <v>991</v>
      </c>
      <c r="AF5" s="739">
        <f>Elect!BP9</f>
        <v>130</v>
      </c>
      <c r="AG5" s="739">
        <f>Elect!BR9</f>
        <v>152</v>
      </c>
      <c r="AH5" s="811"/>
      <c r="AI5" s="739">
        <f>Water!C10</f>
        <v>179.79999999999998</v>
      </c>
      <c r="AJ5" s="739">
        <f>Water!E10</f>
        <v>237.79999999999998</v>
      </c>
      <c r="AK5" s="739">
        <f>Water!G10</f>
        <v>0</v>
      </c>
      <c r="AL5" s="811"/>
      <c r="AM5" s="739">
        <f>Gas!C10</f>
        <v>0</v>
      </c>
      <c r="AN5" s="739">
        <f>Gas!E10</f>
        <v>306.59999999999997</v>
      </c>
      <c r="AO5" s="739">
        <f>Gas!G10</f>
        <v>101</v>
      </c>
      <c r="AP5" s="746">
        <f>Elect!BT9</f>
        <v>237</v>
      </c>
    </row>
    <row r="6" spans="1:42" ht="12.75" customHeight="1">
      <c r="A6" s="753" t="s">
        <v>11</v>
      </c>
      <c r="B6" s="730">
        <f t="shared" si="0"/>
        <v>5</v>
      </c>
      <c r="C6" s="772">
        <v>3</v>
      </c>
      <c r="D6" s="752">
        <v>2022</v>
      </c>
      <c r="E6" s="811"/>
      <c r="F6" s="739">
        <f>Elect!J10</f>
        <v>5886</v>
      </c>
      <c r="G6" s="739">
        <f>Elect!K10</f>
        <v>3997</v>
      </c>
      <c r="H6" s="739">
        <f>Elect!Q10</f>
        <v>600</v>
      </c>
      <c r="I6" s="739">
        <f>Elect!S10</f>
        <v>136</v>
      </c>
      <c r="J6" s="739">
        <f>Elect!U10</f>
        <v>257</v>
      </c>
      <c r="K6" s="739">
        <f>Elect!W10</f>
        <v>3187.9500000000003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0</v>
      </c>
      <c r="P6" s="739">
        <f>Elect!AG10</f>
        <v>11.66</v>
      </c>
      <c r="Q6" s="739">
        <f>Elect!AI10</f>
        <v>382.66</v>
      </c>
      <c r="R6" s="739">
        <f>Elect!AK10</f>
        <v>2091.38</v>
      </c>
      <c r="S6" s="739">
        <f>Elect!AM10</f>
        <v>150.52000000000001</v>
      </c>
      <c r="T6" s="739">
        <f>Elect!AP10</f>
        <v>17.887499999999999</v>
      </c>
      <c r="U6" s="739">
        <f>Elect!AR10</f>
        <v>311</v>
      </c>
      <c r="V6" s="739">
        <f>Elect!AT10</f>
        <v>133</v>
      </c>
      <c r="W6" s="739">
        <f>Elect!AV10</f>
        <v>39</v>
      </c>
      <c r="X6" s="739">
        <f>Elect!AX10</f>
        <v>746</v>
      </c>
      <c r="Y6" s="739">
        <f>Elect!AZ10</f>
        <v>0</v>
      </c>
      <c r="Z6" s="739">
        <f>Elect!BB10</f>
        <v>4472</v>
      </c>
      <c r="AA6" s="739">
        <f>Elect!BD10</f>
        <v>255</v>
      </c>
      <c r="AB6" s="739">
        <f>Elect!BF10</f>
        <v>62</v>
      </c>
      <c r="AC6" s="739">
        <f>Elect!BH10</f>
        <v>4731.7</v>
      </c>
      <c r="AD6" s="739">
        <f>Elect!BL10</f>
        <v>53</v>
      </c>
      <c r="AE6" s="739">
        <f>Elect!BN10</f>
        <v>931</v>
      </c>
      <c r="AF6" s="739">
        <f>Elect!BP10</f>
        <v>123</v>
      </c>
      <c r="AG6" s="739">
        <f>Elect!BR10</f>
        <v>129</v>
      </c>
      <c r="AH6" s="811"/>
      <c r="AI6" s="739">
        <f>Water!C11</f>
        <v>110.19999999999999</v>
      </c>
      <c r="AJ6" s="739">
        <f>Water!E11</f>
        <v>145</v>
      </c>
      <c r="AK6" s="739">
        <f>Water!G11</f>
        <v>116.58</v>
      </c>
      <c r="AL6" s="811"/>
      <c r="AM6" s="739">
        <f>Gas!C11</f>
        <v>0</v>
      </c>
      <c r="AN6" s="739">
        <f>Gas!E11</f>
        <v>326.89999999999998</v>
      </c>
      <c r="AO6" s="739">
        <f>Gas!G11</f>
        <v>98</v>
      </c>
      <c r="AP6" s="746">
        <f>Elect!BT10</f>
        <v>245</v>
      </c>
    </row>
    <row r="7" spans="1:42" ht="12.75" customHeight="1">
      <c r="A7" s="753" t="s">
        <v>11</v>
      </c>
      <c r="B7" s="730">
        <f t="shared" si="0"/>
        <v>6</v>
      </c>
      <c r="C7" s="772">
        <v>3</v>
      </c>
      <c r="D7" s="752">
        <v>2022</v>
      </c>
      <c r="E7" s="811"/>
      <c r="F7" s="739">
        <f>Elect!J11</f>
        <v>6382</v>
      </c>
      <c r="G7" s="739">
        <f>Elect!K11</f>
        <v>4152</v>
      </c>
      <c r="H7" s="739">
        <f>Elect!Q11</f>
        <v>600</v>
      </c>
      <c r="I7" s="739">
        <f>Elect!S11</f>
        <v>142</v>
      </c>
      <c r="J7" s="739">
        <f>Elect!U11</f>
        <v>271</v>
      </c>
      <c r="K7" s="739">
        <f>Elect!W11</f>
        <v>1431.53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0</v>
      </c>
      <c r="P7" s="739">
        <f>Elect!AG11</f>
        <v>11.66</v>
      </c>
      <c r="Q7" s="739">
        <f>Elect!AI11</f>
        <v>418.70000000000005</v>
      </c>
      <c r="R7" s="739">
        <f>Elect!AK11</f>
        <v>2364.86</v>
      </c>
      <c r="S7" s="739">
        <f>Elect!AM11</f>
        <v>157.41</v>
      </c>
      <c r="T7" s="739">
        <f>Elect!AP11</f>
        <v>141.86250000000001</v>
      </c>
      <c r="U7" s="739">
        <f>Elect!AR11</f>
        <v>325</v>
      </c>
      <c r="V7" s="739">
        <f>Elect!AT11</f>
        <v>148</v>
      </c>
      <c r="W7" s="739">
        <f>Elect!AV11</f>
        <v>53</v>
      </c>
      <c r="X7" s="739">
        <f>Elect!AX11</f>
        <v>770</v>
      </c>
      <c r="Y7" s="739">
        <f>Elect!AZ11</f>
        <v>0</v>
      </c>
      <c r="Z7" s="739">
        <f>Elect!BB11</f>
        <v>4484</v>
      </c>
      <c r="AA7" s="739">
        <f>Elect!BD11</f>
        <v>223</v>
      </c>
      <c r="AB7" s="739">
        <f>Elect!BF11</f>
        <v>43</v>
      </c>
      <c r="AC7" s="739">
        <f>Elect!BH11</f>
        <v>5143.05</v>
      </c>
      <c r="AD7" s="739">
        <f>Elect!BL11</f>
        <v>60</v>
      </c>
      <c r="AE7" s="739">
        <f>Elect!BN11</f>
        <v>842</v>
      </c>
      <c r="AF7" s="739">
        <f>Elect!BP11</f>
        <v>129</v>
      </c>
      <c r="AG7" s="739">
        <f>Elect!BR11</f>
        <v>133</v>
      </c>
      <c r="AH7" s="811"/>
      <c r="AI7" s="739">
        <f>Water!C12</f>
        <v>110.19999999999999</v>
      </c>
      <c r="AJ7" s="739">
        <f>Water!E12</f>
        <v>145</v>
      </c>
      <c r="AK7" s="739">
        <f>Water!G12</f>
        <v>116.58</v>
      </c>
      <c r="AL7" s="811"/>
      <c r="AM7" s="739">
        <f>Gas!C12</f>
        <v>0</v>
      </c>
      <c r="AN7" s="739">
        <f>Gas!E12</f>
        <v>326.89999999999998</v>
      </c>
      <c r="AO7" s="739">
        <f>Gas!G12</f>
        <v>98</v>
      </c>
      <c r="AP7" s="746">
        <f>Elect!BT11</f>
        <v>200</v>
      </c>
    </row>
    <row r="8" spans="1:42" ht="12.75" customHeight="1">
      <c r="A8" s="753" t="s">
        <v>11</v>
      </c>
      <c r="B8" s="730">
        <f t="shared" si="0"/>
        <v>7</v>
      </c>
      <c r="C8" s="772">
        <v>3</v>
      </c>
      <c r="D8" s="752">
        <v>2022</v>
      </c>
      <c r="E8" s="811"/>
      <c r="F8" s="739">
        <f>Elect!J12</f>
        <v>6657</v>
      </c>
      <c r="G8" s="739">
        <f>Elect!K12</f>
        <v>4158</v>
      </c>
      <c r="H8" s="739">
        <f>Elect!Q12</f>
        <v>330</v>
      </c>
      <c r="I8" s="739">
        <f>Elect!S12</f>
        <v>144</v>
      </c>
      <c r="J8" s="739">
        <f>Elect!U12</f>
        <v>275</v>
      </c>
      <c r="K8" s="739">
        <f>Elect!W12</f>
        <v>2229.71</v>
      </c>
      <c r="L8" s="739">
        <f>Elect!Y12</f>
        <v>19.080000000000002</v>
      </c>
      <c r="M8" s="739">
        <f>Elect!AA12</f>
        <v>14.31</v>
      </c>
      <c r="N8" s="739">
        <f>Elect!AC12</f>
        <v>22.26</v>
      </c>
      <c r="O8" s="739">
        <f>Elect!AE12</f>
        <v>0</v>
      </c>
      <c r="P8" s="739">
        <f>Elect!AG12</f>
        <v>12.190000000000001</v>
      </c>
      <c r="Q8" s="739">
        <f>Elect!AI12</f>
        <v>474.35</v>
      </c>
      <c r="R8" s="739">
        <f>Elect!AK12</f>
        <v>2377.58</v>
      </c>
      <c r="S8" s="739">
        <f>Elect!AM12</f>
        <v>158.47</v>
      </c>
      <c r="T8" s="739">
        <f>Elect!AP12</f>
        <v>117.22500000000001</v>
      </c>
      <c r="U8" s="739">
        <f>Elect!AR12</f>
        <v>325</v>
      </c>
      <c r="V8" s="739">
        <f>Elect!AT12</f>
        <v>157</v>
      </c>
      <c r="W8" s="739">
        <f>Elect!AV12</f>
        <v>52</v>
      </c>
      <c r="X8" s="739">
        <f>Elect!AX12</f>
        <v>720</v>
      </c>
      <c r="Y8" s="739">
        <f>Elect!AZ12</f>
        <v>0</v>
      </c>
      <c r="Z8" s="739">
        <f>Elect!BB12</f>
        <v>4961</v>
      </c>
      <c r="AA8" s="739">
        <f>Elect!BD12</f>
        <v>243</v>
      </c>
      <c r="AB8" s="739">
        <f>Elect!BF12</f>
        <v>73</v>
      </c>
      <c r="AC8" s="739">
        <f>Elect!BH12</f>
        <v>5105</v>
      </c>
      <c r="AD8" s="739">
        <f>Elect!BL12</f>
        <v>62</v>
      </c>
      <c r="AE8" s="739">
        <f>Elect!BN12</f>
        <v>890</v>
      </c>
      <c r="AF8" s="739">
        <f>Elect!BP12</f>
        <v>130</v>
      </c>
      <c r="AG8" s="739">
        <f>Elect!BR12</f>
        <v>135</v>
      </c>
      <c r="AH8" s="811"/>
      <c r="AI8" s="739">
        <f>Water!C13</f>
        <v>98.6</v>
      </c>
      <c r="AJ8" s="739">
        <f>Water!E13</f>
        <v>127.6</v>
      </c>
      <c r="AK8" s="739">
        <f>Water!G13</f>
        <v>115.99999999999999</v>
      </c>
      <c r="AL8" s="811"/>
      <c r="AM8" s="739">
        <f>Gas!C13</f>
        <v>0</v>
      </c>
      <c r="AN8" s="739">
        <f>Gas!E13</f>
        <v>334.59999999999997</v>
      </c>
      <c r="AO8" s="739">
        <f>Gas!G13</f>
        <v>116</v>
      </c>
      <c r="AP8" s="746">
        <f>Elect!BT12</f>
        <v>184</v>
      </c>
    </row>
    <row r="9" spans="1:42" ht="12.75" customHeight="1">
      <c r="A9" s="753" t="s">
        <v>11</v>
      </c>
      <c r="B9" s="730">
        <f t="shared" si="0"/>
        <v>8</v>
      </c>
      <c r="C9" s="772">
        <v>3</v>
      </c>
      <c r="D9" s="752">
        <v>2022</v>
      </c>
      <c r="E9" s="811"/>
      <c r="F9" s="739">
        <f>Elect!J13</f>
        <v>6335</v>
      </c>
      <c r="G9" s="739">
        <f>Elect!K13</f>
        <v>3912</v>
      </c>
      <c r="H9" s="739">
        <f>Elect!Q13</f>
        <v>600</v>
      </c>
      <c r="I9" s="739">
        <f>Elect!S13</f>
        <v>138</v>
      </c>
      <c r="J9" s="739">
        <f>Elect!U13</f>
        <v>262</v>
      </c>
      <c r="K9" s="739">
        <f>Elect!W13</f>
        <v>1902.7</v>
      </c>
      <c r="L9" s="739">
        <f>Elect!Y13</f>
        <v>0</v>
      </c>
      <c r="M9" s="739">
        <f>Elect!AA13</f>
        <v>0</v>
      </c>
      <c r="N9" s="739">
        <f>Elect!AC13</f>
        <v>0</v>
      </c>
      <c r="O9" s="739">
        <f>Elect!AE13</f>
        <v>0</v>
      </c>
      <c r="P9" s="739">
        <f>Elect!AG13</f>
        <v>11.13</v>
      </c>
      <c r="Q9" s="739">
        <f>Elect!AI13</f>
        <v>456.86</v>
      </c>
      <c r="R9" s="739">
        <f>Elect!AK13</f>
        <v>2281.12</v>
      </c>
      <c r="S9" s="739">
        <f>Elect!AM13</f>
        <v>151.05000000000001</v>
      </c>
      <c r="T9" s="739">
        <f>Elect!AP13</f>
        <v>134.21250000000001</v>
      </c>
      <c r="U9" s="739">
        <f>Elect!AR13</f>
        <v>315</v>
      </c>
      <c r="V9" s="739">
        <f>Elect!AT13</f>
        <v>153</v>
      </c>
      <c r="W9" s="739">
        <f>Elect!AV13</f>
        <v>49</v>
      </c>
      <c r="X9" s="739">
        <f>Elect!AX13</f>
        <v>702</v>
      </c>
      <c r="Y9" s="739">
        <f>Elect!AZ13</f>
        <v>0</v>
      </c>
      <c r="Z9" s="739">
        <f>Elect!BB13</f>
        <v>4509</v>
      </c>
      <c r="AA9" s="739">
        <f>Elect!BD13</f>
        <v>232</v>
      </c>
      <c r="AB9" s="739">
        <f>Elect!BF13</f>
        <v>54</v>
      </c>
      <c r="AC9" s="739">
        <f>Elect!BH13</f>
        <v>5007.3999999999996</v>
      </c>
      <c r="AD9" s="739">
        <f>Elect!BL13</f>
        <v>172</v>
      </c>
      <c r="AE9" s="739">
        <f>Elect!BN13</f>
        <v>960</v>
      </c>
      <c r="AF9" s="739">
        <f>Elect!BP13</f>
        <v>128</v>
      </c>
      <c r="AG9" s="739">
        <f>Elect!BR13</f>
        <v>152</v>
      </c>
      <c r="AH9" s="811"/>
      <c r="AI9" s="739">
        <f>Water!C14</f>
        <v>104.39999999999999</v>
      </c>
      <c r="AJ9" s="739">
        <f>Water!E14</f>
        <v>133.39999999999998</v>
      </c>
      <c r="AK9" s="739">
        <f>Water!G14</f>
        <v>116.58</v>
      </c>
      <c r="AL9" s="811"/>
      <c r="AM9" s="739">
        <f>Gas!C14</f>
        <v>0</v>
      </c>
      <c r="AN9" s="739">
        <f>Gas!E14</f>
        <v>301.7</v>
      </c>
      <c r="AO9" s="739">
        <f>Gas!G14</f>
        <v>106</v>
      </c>
      <c r="AP9" s="746">
        <f>Elect!BT13</f>
        <v>155</v>
      </c>
    </row>
    <row r="10" spans="1:42" ht="12.75" customHeight="1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811"/>
      <c r="F10" s="739">
        <f>Elect!J14</f>
        <v>6855</v>
      </c>
      <c r="G10" s="739">
        <f>Elect!K14</f>
        <v>4268</v>
      </c>
      <c r="H10" s="739">
        <f>Elect!Q14</f>
        <v>600</v>
      </c>
      <c r="I10" s="739">
        <f>Elect!S14</f>
        <v>144</v>
      </c>
      <c r="J10" s="739">
        <f>Elect!U14</f>
        <v>271</v>
      </c>
      <c r="K10" s="739">
        <f>Elect!W14</f>
        <v>2082.9</v>
      </c>
      <c r="L10" s="739">
        <f>Elect!Y14</f>
        <v>37.1</v>
      </c>
      <c r="M10" s="739">
        <f>Elect!AA14</f>
        <v>0</v>
      </c>
      <c r="N10" s="739">
        <f>Elect!AC14</f>
        <v>0</v>
      </c>
      <c r="O10" s="739">
        <f>Elect!AE14</f>
        <v>0</v>
      </c>
      <c r="P10" s="739">
        <f>Elect!AG14</f>
        <v>12.72</v>
      </c>
      <c r="Q10" s="739">
        <f>Elect!AI14</f>
        <v>476.47</v>
      </c>
      <c r="R10" s="739">
        <f>Elect!AK14</f>
        <v>2567.85</v>
      </c>
      <c r="S10" s="739">
        <f>Elect!AM14</f>
        <v>160.59</v>
      </c>
      <c r="T10" s="739">
        <f>Elect!AP14</f>
        <v>82.8</v>
      </c>
      <c r="U10" s="739">
        <f>Elect!AR14</f>
        <v>323</v>
      </c>
      <c r="V10" s="739">
        <f>Elect!AT14</f>
        <v>163</v>
      </c>
      <c r="W10" s="739">
        <f>Elect!AV14</f>
        <v>51</v>
      </c>
      <c r="X10" s="739">
        <f>Elect!AX14</f>
        <v>646</v>
      </c>
      <c r="Y10" s="739">
        <f>Elect!AZ14</f>
        <v>0</v>
      </c>
      <c r="Z10" s="739">
        <f>Elect!BB14</f>
        <v>4950</v>
      </c>
      <c r="AA10" s="739">
        <f>Elect!BD14</f>
        <v>246</v>
      </c>
      <c r="AB10" s="739">
        <f>Elect!BF14</f>
        <v>58</v>
      </c>
      <c r="AC10" s="739">
        <f>Elect!BH14</f>
        <v>5095.1499999999996</v>
      </c>
      <c r="AD10" s="739">
        <f>Elect!BL14</f>
        <v>249</v>
      </c>
      <c r="AE10" s="739">
        <f>Elect!BN14</f>
        <v>985</v>
      </c>
      <c r="AF10" s="739">
        <f>Elect!BP14</f>
        <v>128</v>
      </c>
      <c r="AG10" s="739">
        <f>Elect!BR14</f>
        <v>130</v>
      </c>
      <c r="AH10" s="811"/>
      <c r="AI10" s="739">
        <f>Water!C15</f>
        <v>104.39999999999999</v>
      </c>
      <c r="AJ10" s="739">
        <f>Water!E15</f>
        <v>133.39999999999998</v>
      </c>
      <c r="AK10" s="739">
        <f>Water!G15</f>
        <v>0</v>
      </c>
      <c r="AL10" s="811"/>
      <c r="AM10" s="739">
        <f>Gas!C15</f>
        <v>0</v>
      </c>
      <c r="AN10" s="739">
        <f>Gas!E15</f>
        <v>304.5</v>
      </c>
      <c r="AO10" s="739">
        <f>Gas!G15</f>
        <v>106</v>
      </c>
      <c r="AP10" s="746">
        <f>Elect!BT14</f>
        <v>186</v>
      </c>
    </row>
    <row r="11" spans="1:42" ht="12.75" customHeight="1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811"/>
      <c r="F11" s="739">
        <f>Elect!J15</f>
        <v>6813</v>
      </c>
      <c r="G11" s="739">
        <f>Elect!K15</f>
        <v>4241</v>
      </c>
      <c r="H11" s="739">
        <f>Elect!Q15</f>
        <v>600</v>
      </c>
      <c r="I11" s="739">
        <f>Elect!S15</f>
        <v>137</v>
      </c>
      <c r="J11" s="739">
        <f>Elect!U15</f>
        <v>251</v>
      </c>
      <c r="K11" s="739">
        <f>Elect!W15</f>
        <v>1490.89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0</v>
      </c>
      <c r="P11" s="739">
        <f>Elect!AG15</f>
        <v>12.190000000000001</v>
      </c>
      <c r="Q11" s="739">
        <f>Elect!AI15</f>
        <v>427.18</v>
      </c>
      <c r="R11" s="739">
        <f>Elect!AK15</f>
        <v>2317.69</v>
      </c>
      <c r="S11" s="739">
        <f>Elect!AM15</f>
        <v>148.93</v>
      </c>
      <c r="T11" s="739">
        <f>Elect!AP15</f>
        <v>63.675000000000004</v>
      </c>
      <c r="U11" s="739">
        <f>Elect!AR15</f>
        <v>300</v>
      </c>
      <c r="V11" s="739">
        <f>Elect!AT15</f>
        <v>175</v>
      </c>
      <c r="W11" s="739">
        <f>Elect!AV15</f>
        <v>47</v>
      </c>
      <c r="X11" s="739">
        <f>Elect!AX15</f>
        <v>491</v>
      </c>
      <c r="Y11" s="739">
        <f>Elect!AZ15</f>
        <v>0</v>
      </c>
      <c r="Z11" s="739">
        <f>Elect!BB15</f>
        <v>4738</v>
      </c>
      <c r="AA11" s="739">
        <f>Elect!BD15</f>
        <v>243</v>
      </c>
      <c r="AB11" s="739">
        <f>Elect!BF15</f>
        <v>54</v>
      </c>
      <c r="AC11" s="739">
        <f>Elect!BH15</f>
        <v>4950.75</v>
      </c>
      <c r="AD11" s="739">
        <f>Elect!BL15</f>
        <v>246</v>
      </c>
      <c r="AE11" s="739">
        <f>Elect!BN15</f>
        <v>978</v>
      </c>
      <c r="AF11" s="739">
        <f>Elect!BP15</f>
        <v>127</v>
      </c>
      <c r="AG11" s="739">
        <f>Elect!BR15</f>
        <v>127</v>
      </c>
      <c r="AH11" s="811"/>
      <c r="AI11" s="739">
        <f>Water!C16</f>
        <v>110.19999999999999</v>
      </c>
      <c r="AJ11" s="739">
        <f>Water!E16</f>
        <v>150.79999999999998</v>
      </c>
      <c r="AK11" s="739">
        <f>Water!G16</f>
        <v>112.52</v>
      </c>
      <c r="AL11" s="811"/>
      <c r="AM11" s="739">
        <f>Gas!C16</f>
        <v>0</v>
      </c>
      <c r="AN11" s="739">
        <f>Gas!E16</f>
        <v>301</v>
      </c>
      <c r="AO11" s="739">
        <f>Gas!G16</f>
        <v>100</v>
      </c>
      <c r="AP11" s="746">
        <f>Elect!BT15</f>
        <v>239</v>
      </c>
    </row>
    <row r="12" spans="1:42" ht="12.75" customHeight="1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811"/>
      <c r="F12" s="739">
        <f>Elect!J16</f>
        <v>7319</v>
      </c>
      <c r="G12" s="739">
        <f>Elect!K16</f>
        <v>4365</v>
      </c>
      <c r="H12" s="739">
        <f>Elect!Q16</f>
        <v>600</v>
      </c>
      <c r="I12" s="739">
        <f>Elect!S16</f>
        <v>141</v>
      </c>
      <c r="J12" s="739">
        <f>Elect!U16</f>
        <v>252</v>
      </c>
      <c r="K12" s="739">
        <f>Elect!W16</f>
        <v>1158.05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0</v>
      </c>
      <c r="P12" s="739">
        <f>Elect!AG16</f>
        <v>13.25</v>
      </c>
      <c r="Q12" s="739">
        <f>Elect!AI16</f>
        <v>444.67</v>
      </c>
      <c r="R12" s="739">
        <f>Elect!AK16</f>
        <v>2269.46</v>
      </c>
      <c r="S12" s="739">
        <f>Elect!AM16</f>
        <v>151.58000000000001</v>
      </c>
      <c r="T12" s="739">
        <f>Elect!AP16</f>
        <v>74.587500000000006</v>
      </c>
      <c r="U12" s="739">
        <f>Elect!AR16</f>
        <v>323</v>
      </c>
      <c r="V12" s="739">
        <f>Elect!AT16</f>
        <v>171</v>
      </c>
      <c r="W12" s="739">
        <f>Elect!AV16</f>
        <v>42</v>
      </c>
      <c r="X12" s="739">
        <f>Elect!AX16</f>
        <v>793</v>
      </c>
      <c r="Y12" s="739">
        <f>Elect!AZ16</f>
        <v>0</v>
      </c>
      <c r="Z12" s="739">
        <f>Elect!BB16</f>
        <v>4596</v>
      </c>
      <c r="AA12" s="739">
        <f>Elect!BD16</f>
        <v>235</v>
      </c>
      <c r="AB12" s="739">
        <f>Elect!BF16</f>
        <v>57</v>
      </c>
      <c r="AC12" s="739">
        <f>Elect!BH16</f>
        <v>5101.8500000000004</v>
      </c>
      <c r="AD12" s="739">
        <f>Elect!BL16</f>
        <v>257</v>
      </c>
      <c r="AE12" s="739">
        <f>Elect!BN16</f>
        <v>997</v>
      </c>
      <c r="AF12" s="739">
        <f>Elect!BP16</f>
        <v>130</v>
      </c>
      <c r="AG12" s="739">
        <f>Elect!BR16</f>
        <v>129</v>
      </c>
      <c r="AH12" s="811"/>
      <c r="AI12" s="739">
        <f>Water!C17</f>
        <v>139.19999999999999</v>
      </c>
      <c r="AJ12" s="739">
        <f>Water!E17</f>
        <v>185.6</v>
      </c>
      <c r="AK12" s="739">
        <f>Water!G17</f>
        <v>0</v>
      </c>
      <c r="AL12" s="811"/>
      <c r="AM12" s="739">
        <f>Gas!C17</f>
        <v>0</v>
      </c>
      <c r="AN12" s="739">
        <f>Gas!E17</f>
        <v>301</v>
      </c>
      <c r="AO12" s="739">
        <f>Gas!G17</f>
        <v>100</v>
      </c>
      <c r="AP12" s="746">
        <f>Elect!BT16</f>
        <v>239</v>
      </c>
    </row>
    <row r="13" spans="1:42" ht="12.75" customHeight="1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811"/>
      <c r="F13" s="739">
        <f>Elect!J17</f>
        <v>7181</v>
      </c>
      <c r="G13" s="739">
        <f>Elect!K17</f>
        <v>4425</v>
      </c>
      <c r="H13" s="739">
        <f>Elect!Q17</f>
        <v>570</v>
      </c>
      <c r="I13" s="739">
        <f>Elect!S17</f>
        <v>144</v>
      </c>
      <c r="J13" s="739">
        <f>Elect!U17</f>
        <v>264</v>
      </c>
      <c r="K13" s="739">
        <f>Elect!W17</f>
        <v>965.66000000000008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0</v>
      </c>
      <c r="P13" s="739">
        <f>Elect!AG17</f>
        <v>13.25</v>
      </c>
      <c r="Q13" s="739">
        <f>Elect!AI17</f>
        <v>462.69</v>
      </c>
      <c r="R13" s="739">
        <f>Elect!AK17</f>
        <v>2356.38</v>
      </c>
      <c r="S13" s="739">
        <f>Elect!AM17</f>
        <v>159</v>
      </c>
      <c r="T13" s="739">
        <f>Elect!AP17</f>
        <v>73.462500000000006</v>
      </c>
      <c r="U13" s="739">
        <f>Elect!AR17</f>
        <v>319</v>
      </c>
      <c r="V13" s="739">
        <f>Elect!AT17</f>
        <v>140</v>
      </c>
      <c r="W13" s="739">
        <f>Elect!AV17</f>
        <v>44</v>
      </c>
      <c r="X13" s="739">
        <f>Elect!AX17</f>
        <v>1029</v>
      </c>
      <c r="Y13" s="739">
        <f>Elect!AZ17</f>
        <v>0</v>
      </c>
      <c r="Z13" s="739">
        <f>Elect!BB17</f>
        <v>4440</v>
      </c>
      <c r="AA13" s="739">
        <f>Elect!BD17</f>
        <v>235</v>
      </c>
      <c r="AB13" s="739">
        <f>Elect!BF17</f>
        <v>59</v>
      </c>
      <c r="AC13" s="739">
        <f>Elect!BH17</f>
        <v>4982.6500000000005</v>
      </c>
      <c r="AD13" s="739">
        <f>Elect!BL17</f>
        <v>258</v>
      </c>
      <c r="AE13" s="739">
        <f>Elect!BN17</f>
        <v>812</v>
      </c>
      <c r="AF13" s="739">
        <f>Elect!BP17</f>
        <v>131</v>
      </c>
      <c r="AG13" s="739">
        <f>Elect!BR17</f>
        <v>156</v>
      </c>
      <c r="AH13" s="811"/>
      <c r="AI13" s="739">
        <f>Water!C18</f>
        <v>112.13333333313639</v>
      </c>
      <c r="AJ13" s="739">
        <f>Water!E18</f>
        <v>154.66666666668425</v>
      </c>
      <c r="AK13" s="739">
        <f>Water!G18</f>
        <v>0</v>
      </c>
      <c r="AL13" s="811"/>
      <c r="AM13" s="739">
        <f>Gas!C18</f>
        <v>0</v>
      </c>
      <c r="AN13" s="739">
        <f>Gas!E18</f>
        <v>306.36666666688393</v>
      </c>
      <c r="AO13" s="739">
        <f>Gas!G18</f>
        <v>59</v>
      </c>
      <c r="AP13" s="746">
        <f>Elect!BT17</f>
        <v>247</v>
      </c>
    </row>
    <row r="14" spans="1:42" ht="12.75" customHeight="1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811"/>
      <c r="F14" s="739">
        <f>Elect!J18</f>
        <v>6876</v>
      </c>
      <c r="G14" s="739">
        <f>Elect!K18</f>
        <v>4287</v>
      </c>
      <c r="H14" s="739">
        <f>Elect!Q18</f>
        <v>630</v>
      </c>
      <c r="I14" s="739">
        <f>Elect!S18</f>
        <v>137</v>
      </c>
      <c r="J14" s="739">
        <f>Elect!U18</f>
        <v>268</v>
      </c>
      <c r="K14" s="739">
        <f>Elect!W18</f>
        <v>1807.3000000000002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0</v>
      </c>
      <c r="P14" s="739">
        <f>Elect!AG18</f>
        <v>12.72</v>
      </c>
      <c r="Q14" s="739">
        <f>Elect!AI18</f>
        <v>212.53</v>
      </c>
      <c r="R14" s="739">
        <f>Elect!AK18</f>
        <v>2254.09</v>
      </c>
      <c r="S14" s="739">
        <f>Elect!AM18</f>
        <v>154.23000000000002</v>
      </c>
      <c r="T14" s="739">
        <f>Elect!AP18</f>
        <v>16.425000000000001</v>
      </c>
      <c r="U14" s="739">
        <f>Elect!AR18</f>
        <v>306</v>
      </c>
      <c r="V14" s="739">
        <f>Elect!AT18</f>
        <v>139</v>
      </c>
      <c r="W14" s="739">
        <f>Elect!AV18</f>
        <v>42</v>
      </c>
      <c r="X14" s="739">
        <f>Elect!AX18</f>
        <v>993</v>
      </c>
      <c r="Y14" s="739">
        <f>Elect!AZ18</f>
        <v>0</v>
      </c>
      <c r="Z14" s="739">
        <f>Elect!BB18</f>
        <v>4490</v>
      </c>
      <c r="AA14" s="739">
        <f>Elect!BD18</f>
        <v>225</v>
      </c>
      <c r="AB14" s="739">
        <f>Elect!BF18</f>
        <v>57</v>
      </c>
      <c r="AC14" s="739">
        <f>Elect!BH18</f>
        <v>4703.55</v>
      </c>
      <c r="AD14" s="739">
        <f>Elect!BL18</f>
        <v>247</v>
      </c>
      <c r="AE14" s="739">
        <f>Elect!BN18</f>
        <v>736</v>
      </c>
      <c r="AF14" s="739">
        <f>Elect!BP18</f>
        <v>125</v>
      </c>
      <c r="AG14" s="739">
        <f>Elect!BR18</f>
        <v>125</v>
      </c>
      <c r="AH14" s="811"/>
      <c r="AI14" s="739">
        <f>Water!C19</f>
        <v>166.26666666686359</v>
      </c>
      <c r="AJ14" s="739">
        <f>Water!E19</f>
        <v>216.53333333331574</v>
      </c>
      <c r="AK14" s="739">
        <f>Water!G19</f>
        <v>0</v>
      </c>
      <c r="AL14" s="811"/>
      <c r="AM14" s="739">
        <f>Gas!C19</f>
        <v>0</v>
      </c>
      <c r="AN14" s="739">
        <f>Gas!E19</f>
        <v>315.93333333311602</v>
      </c>
      <c r="AO14" s="739">
        <f>Gas!G19</f>
        <v>133</v>
      </c>
      <c r="AP14" s="746">
        <f>Elect!BT18</f>
        <v>244</v>
      </c>
    </row>
    <row r="15" spans="1:42" ht="12.75" customHeight="1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811"/>
      <c r="F15" s="739">
        <f>Elect!J19</f>
        <v>7580</v>
      </c>
      <c r="G15" s="739">
        <f>Elect!K19</f>
        <v>4647</v>
      </c>
      <c r="H15" s="739">
        <f>Elect!Q19</f>
        <v>330</v>
      </c>
      <c r="I15" s="739">
        <f>Elect!S19</f>
        <v>142</v>
      </c>
      <c r="J15" s="739">
        <f>Elect!U19</f>
        <v>268</v>
      </c>
      <c r="K15" s="739">
        <f>Elect!W19</f>
        <v>1265.6400000000001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0</v>
      </c>
      <c r="P15" s="739">
        <f>Elect!AG19</f>
        <v>12.72</v>
      </c>
      <c r="Q15" s="739">
        <f>Elect!AI19</f>
        <v>230.55</v>
      </c>
      <c r="R15" s="739">
        <f>Elect!AK19</f>
        <v>2012.41</v>
      </c>
      <c r="S15" s="739">
        <f>Elect!AM19</f>
        <v>158.47</v>
      </c>
      <c r="T15" s="739">
        <f>Elect!AP19</f>
        <v>61.875</v>
      </c>
      <c r="U15" s="739">
        <f>Elect!AR19</f>
        <v>311</v>
      </c>
      <c r="V15" s="739">
        <f>Elect!AT19</f>
        <v>136</v>
      </c>
      <c r="W15" s="739">
        <f>Elect!AV19</f>
        <v>44</v>
      </c>
      <c r="X15" s="739">
        <f>Elect!AX19</f>
        <v>978</v>
      </c>
      <c r="Y15" s="739">
        <f>Elect!AZ19</f>
        <v>0</v>
      </c>
      <c r="Z15" s="739">
        <f>Elect!BB19</f>
        <v>4577</v>
      </c>
      <c r="AA15" s="739">
        <f>Elect!BD19</f>
        <v>228</v>
      </c>
      <c r="AB15" s="739">
        <f>Elect!BF19</f>
        <v>56</v>
      </c>
      <c r="AC15" s="739">
        <f>Elect!BH19</f>
        <v>5123.2</v>
      </c>
      <c r="AD15" s="739">
        <f>Elect!BL19</f>
        <v>277</v>
      </c>
      <c r="AE15" s="739">
        <f>Elect!BN19</f>
        <v>734</v>
      </c>
      <c r="AF15" s="739">
        <f>Elect!BP19</f>
        <v>130</v>
      </c>
      <c r="AG15" s="739">
        <f>Elect!BR19</f>
        <v>126</v>
      </c>
      <c r="AH15" s="811"/>
      <c r="AI15" s="739">
        <f>Water!C20</f>
        <v>127.6</v>
      </c>
      <c r="AJ15" s="739">
        <f>Water!E20</f>
        <v>174</v>
      </c>
      <c r="AK15" s="739">
        <f>Water!G20</f>
        <v>0</v>
      </c>
      <c r="AL15" s="811"/>
      <c r="AM15" s="739">
        <f>Gas!C20</f>
        <v>0</v>
      </c>
      <c r="AN15" s="739">
        <f>Gas!E20</f>
        <v>317.79999999999995</v>
      </c>
      <c r="AO15" s="739">
        <f>Gas!G20</f>
        <v>101</v>
      </c>
      <c r="AP15" s="746">
        <f>Elect!BT19</f>
        <v>254</v>
      </c>
    </row>
    <row r="16" spans="1:42" ht="12.75" customHeight="1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811"/>
      <c r="F16" s="739">
        <f>Elect!J20</f>
        <v>7459</v>
      </c>
      <c r="G16" s="739">
        <f>Elect!K20</f>
        <v>4496</v>
      </c>
      <c r="H16" s="739">
        <f>Elect!Q20</f>
        <v>780</v>
      </c>
      <c r="I16" s="739">
        <f>Elect!S20</f>
        <v>144</v>
      </c>
      <c r="J16" s="739">
        <f>Elect!U20</f>
        <v>271</v>
      </c>
      <c r="K16" s="739">
        <f>Elect!W20</f>
        <v>856.48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0</v>
      </c>
      <c r="P16" s="739">
        <f>Elect!AG20</f>
        <v>13.25</v>
      </c>
      <c r="Q16" s="739">
        <f>Elect!AI20</f>
        <v>401.21000000000004</v>
      </c>
      <c r="R16" s="739">
        <f>Elect!AK20</f>
        <v>2069.12</v>
      </c>
      <c r="S16" s="739">
        <f>Elect!AM20</f>
        <v>156.35</v>
      </c>
      <c r="T16" s="739">
        <f>Elect!AP20</f>
        <v>4.5</v>
      </c>
      <c r="U16" s="739">
        <f>Elect!AR20</f>
        <v>317</v>
      </c>
      <c r="V16" s="739">
        <f>Elect!AT20</f>
        <v>128</v>
      </c>
      <c r="W16" s="739">
        <f>Elect!AV20</f>
        <v>44</v>
      </c>
      <c r="X16" s="739">
        <f>Elect!AX20</f>
        <v>1000</v>
      </c>
      <c r="Y16" s="739">
        <f>Elect!AZ20</f>
        <v>0</v>
      </c>
      <c r="Z16" s="739">
        <f>Elect!BB20</f>
        <v>4348</v>
      </c>
      <c r="AA16" s="739">
        <f>Elect!BD20</f>
        <v>208</v>
      </c>
      <c r="AB16" s="739">
        <f>Elect!BF20</f>
        <v>49</v>
      </c>
      <c r="AC16" s="739">
        <f>Elect!BH20</f>
        <v>5214.75</v>
      </c>
      <c r="AD16" s="739">
        <f>Elect!BL20</f>
        <v>277</v>
      </c>
      <c r="AE16" s="739">
        <f>Elect!BN20</f>
        <v>813</v>
      </c>
      <c r="AF16" s="739">
        <f>Elect!BP20</f>
        <v>132</v>
      </c>
      <c r="AG16" s="739">
        <f>Elect!BR20</f>
        <v>139</v>
      </c>
      <c r="AH16" s="811"/>
      <c r="AI16" s="739">
        <f>Water!C21</f>
        <v>185.6</v>
      </c>
      <c r="AJ16" s="739">
        <f>Water!E21</f>
        <v>237.79999999999998</v>
      </c>
      <c r="AK16" s="739">
        <f>Water!G21</f>
        <v>0</v>
      </c>
      <c r="AL16" s="811"/>
      <c r="AM16" s="739">
        <f>Gas!C21</f>
        <v>0</v>
      </c>
      <c r="AN16" s="739">
        <f>Gas!E21</f>
        <v>315</v>
      </c>
      <c r="AO16" s="739">
        <f>Gas!G21</f>
        <v>149</v>
      </c>
      <c r="AP16" s="746">
        <f>Elect!BT20</f>
        <v>248</v>
      </c>
    </row>
    <row r="17" spans="1:42" ht="12.75" customHeight="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811"/>
      <c r="F17" s="739">
        <f>Elect!J21</f>
        <v>6938</v>
      </c>
      <c r="G17" s="739">
        <f>Elect!K21</f>
        <v>4319</v>
      </c>
      <c r="H17" s="739">
        <f>Elect!Q21</f>
        <v>570</v>
      </c>
      <c r="I17" s="739">
        <f>Elect!S21</f>
        <v>147</v>
      </c>
      <c r="J17" s="739">
        <f>Elect!U21</f>
        <v>284</v>
      </c>
      <c r="K17" s="739">
        <f>Elect!W21</f>
        <v>1021.3100000000001</v>
      </c>
      <c r="L17" s="739">
        <f>Elect!Y21</f>
        <v>0</v>
      </c>
      <c r="M17" s="739">
        <f>Elect!AA21</f>
        <v>0</v>
      </c>
      <c r="N17" s="739">
        <f>Elect!AC21</f>
        <v>0</v>
      </c>
      <c r="O17" s="739">
        <f>Elect!AE21</f>
        <v>0</v>
      </c>
      <c r="P17" s="739">
        <f>Elect!AG21</f>
        <v>16.96</v>
      </c>
      <c r="Q17" s="739">
        <f>Elect!AI21</f>
        <v>387.43</v>
      </c>
      <c r="R17" s="739">
        <f>Elect!AK21</f>
        <v>2139.08</v>
      </c>
      <c r="S17" s="739">
        <f>Elect!AM21</f>
        <v>154.76000000000002</v>
      </c>
      <c r="T17" s="739">
        <f>Elect!AP21</f>
        <v>4.1625000000000005</v>
      </c>
      <c r="U17" s="739">
        <f>Elect!AR21</f>
        <v>380</v>
      </c>
      <c r="V17" s="739">
        <f>Elect!AT21</f>
        <v>138</v>
      </c>
      <c r="W17" s="739">
        <f>Elect!AV21</f>
        <v>40</v>
      </c>
      <c r="X17" s="739">
        <f>Elect!AX21</f>
        <v>995</v>
      </c>
      <c r="Y17" s="739">
        <f>Elect!AZ21</f>
        <v>0</v>
      </c>
      <c r="Z17" s="739">
        <f>Elect!BB21</f>
        <v>4732</v>
      </c>
      <c r="AA17" s="739">
        <f>Elect!BD21</f>
        <v>229</v>
      </c>
      <c r="AB17" s="739">
        <f>Elect!BF21</f>
        <v>33.333333333299379</v>
      </c>
      <c r="AC17" s="739">
        <f>Elect!BH21</f>
        <v>5303.5</v>
      </c>
      <c r="AD17" s="739">
        <f>Elect!BL21</f>
        <v>286</v>
      </c>
      <c r="AE17" s="739">
        <f>Elect!BN21</f>
        <v>993</v>
      </c>
      <c r="AF17" s="739">
        <f>Elect!BP21</f>
        <v>137</v>
      </c>
      <c r="AG17" s="739">
        <f>Elect!BR21</f>
        <v>136</v>
      </c>
      <c r="AH17" s="811"/>
      <c r="AI17" s="739">
        <f>Water!C22</f>
        <v>81.199999999999989</v>
      </c>
      <c r="AJ17" s="739">
        <f>Water!E22</f>
        <v>104.39999999999999</v>
      </c>
      <c r="AK17" s="739">
        <f>Water!G22</f>
        <v>0</v>
      </c>
      <c r="AL17" s="811"/>
      <c r="AM17" s="739">
        <f>Gas!C22</f>
        <v>0</v>
      </c>
      <c r="AN17" s="739">
        <f>Gas!E22</f>
        <v>319.89999999999998</v>
      </c>
      <c r="AO17" s="739">
        <f>Gas!G22</f>
        <v>57</v>
      </c>
      <c r="AP17" s="746">
        <f>Elect!BT21</f>
        <v>253</v>
      </c>
    </row>
    <row r="18" spans="1:42" ht="12.75" customHeight="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811"/>
      <c r="F18" s="739">
        <f>Elect!J22</f>
        <v>6973</v>
      </c>
      <c r="G18" s="739">
        <f>Elect!K22</f>
        <v>4297</v>
      </c>
      <c r="H18" s="739">
        <f>Elect!Q22</f>
        <v>540</v>
      </c>
      <c r="I18" s="739">
        <f>Elect!S22</f>
        <v>138</v>
      </c>
      <c r="J18" s="739">
        <f>Elect!U22</f>
        <v>270</v>
      </c>
      <c r="K18" s="739">
        <f>Elect!W22</f>
        <v>1052.5800000000002</v>
      </c>
      <c r="L18" s="739">
        <f>Elect!Y22</f>
        <v>0</v>
      </c>
      <c r="M18" s="739">
        <f>Elect!AA22</f>
        <v>0</v>
      </c>
      <c r="N18" s="739">
        <f>Elect!AC22</f>
        <v>0</v>
      </c>
      <c r="O18" s="739">
        <f>Elect!AE22</f>
        <v>0</v>
      </c>
      <c r="P18" s="739">
        <f>Elect!AG22</f>
        <v>11.66</v>
      </c>
      <c r="Q18" s="739">
        <f>Elect!AI22</f>
        <v>297.86</v>
      </c>
      <c r="R18" s="739">
        <f>Elect!AK22</f>
        <v>2016.65</v>
      </c>
      <c r="S18" s="739">
        <f>Elect!AM22</f>
        <v>148.93</v>
      </c>
      <c r="T18" s="739">
        <f>Elect!AP22</f>
        <v>4.3875000000000002</v>
      </c>
      <c r="U18" s="739">
        <f>Elect!AR22</f>
        <v>323</v>
      </c>
      <c r="V18" s="739">
        <f>Elect!AT22</f>
        <v>158</v>
      </c>
      <c r="W18" s="739">
        <f>Elect!AV22</f>
        <v>40</v>
      </c>
      <c r="X18" s="739">
        <f>Elect!AX22</f>
        <v>989</v>
      </c>
      <c r="Y18" s="739">
        <f>Elect!AZ22</f>
        <v>0</v>
      </c>
      <c r="Z18" s="739">
        <f>Elect!BB22</f>
        <v>4399</v>
      </c>
      <c r="AA18" s="739">
        <f>Elect!BD22</f>
        <v>256</v>
      </c>
      <c r="AB18" s="739">
        <f>Elect!BF22</f>
        <v>92.666666666700621</v>
      </c>
      <c r="AC18" s="739">
        <f>Elect!BH22</f>
        <v>5272</v>
      </c>
      <c r="AD18" s="739">
        <f>Elect!BL22</f>
        <v>270</v>
      </c>
      <c r="AE18" s="739">
        <f>Elect!BN22</f>
        <v>970</v>
      </c>
      <c r="AF18" s="739">
        <f>Elect!BP22</f>
        <v>130</v>
      </c>
      <c r="AG18" s="739">
        <f>Elect!BR22</f>
        <v>133</v>
      </c>
      <c r="AH18" s="811"/>
      <c r="AI18" s="739">
        <f>Water!C23</f>
        <v>30.933333333136396</v>
      </c>
      <c r="AJ18" s="739">
        <f>Water!E23</f>
        <v>42.533333333315746</v>
      </c>
      <c r="AK18" s="739">
        <f>Water!G23</f>
        <v>4.0599999999999996</v>
      </c>
      <c r="AL18" s="811"/>
      <c r="AM18" s="739">
        <f>Gas!C23</f>
        <v>0</v>
      </c>
      <c r="AN18" s="739">
        <f>Gas!E23</f>
        <v>319.89999999999998</v>
      </c>
      <c r="AO18" s="739">
        <f>Gas!G23</f>
        <v>77</v>
      </c>
      <c r="AP18" s="746">
        <f>Elect!BT22</f>
        <v>253</v>
      </c>
    </row>
    <row r="19" spans="1:42" ht="12.75" customHeight="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811"/>
      <c r="F19" s="739">
        <f>Elect!J23</f>
        <v>7070</v>
      </c>
      <c r="G19" s="739">
        <f>Elect!K23</f>
        <v>4358</v>
      </c>
      <c r="H19" s="739">
        <f>Elect!Q23</f>
        <v>540</v>
      </c>
      <c r="I19" s="739">
        <f>Elect!S23</f>
        <v>144</v>
      </c>
      <c r="J19" s="739">
        <f>Elect!U23</f>
        <v>292</v>
      </c>
      <c r="K19" s="739">
        <f>Elect!W23</f>
        <v>1435.24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0</v>
      </c>
      <c r="P19" s="739">
        <f>Elect!AG23</f>
        <v>12.190000000000001</v>
      </c>
      <c r="Q19" s="739">
        <f>Elect!AI23</f>
        <v>401.21000000000004</v>
      </c>
      <c r="R19" s="739">
        <f>Elect!AK23</f>
        <v>2369.1</v>
      </c>
      <c r="S19" s="739">
        <f>Elect!AM23</f>
        <v>155.29000000000002</v>
      </c>
      <c r="T19" s="739">
        <f>Elect!AP23</f>
        <v>4.6124999999999998</v>
      </c>
      <c r="U19" s="739">
        <f>Elect!AR23</f>
        <v>327</v>
      </c>
      <c r="V19" s="739">
        <f>Elect!AT23</f>
        <v>127</v>
      </c>
      <c r="W19" s="739">
        <f>Elect!AV23</f>
        <v>42</v>
      </c>
      <c r="X19" s="739">
        <f>Elect!AX23</f>
        <v>920</v>
      </c>
      <c r="Y19" s="739">
        <f>Elect!AZ23</f>
        <v>0</v>
      </c>
      <c r="Z19" s="739">
        <f>Elect!BB23</f>
        <v>5096</v>
      </c>
      <c r="AA19" s="739">
        <f>Elect!BD23</f>
        <v>221</v>
      </c>
      <c r="AB19" s="739">
        <f>Elect!BF23</f>
        <v>58</v>
      </c>
      <c r="AC19" s="739">
        <f>Elect!BH23</f>
        <v>4910.3</v>
      </c>
      <c r="AD19" s="739">
        <f>Elect!BL23</f>
        <v>235</v>
      </c>
      <c r="AE19" s="739">
        <f>Elect!BN23</f>
        <v>720</v>
      </c>
      <c r="AF19" s="739">
        <f>Elect!BP23</f>
        <v>126</v>
      </c>
      <c r="AG19" s="739">
        <f>Elect!BR23</f>
        <v>127</v>
      </c>
      <c r="AH19" s="811"/>
      <c r="AI19" s="739">
        <f>Water!C24</f>
        <v>235.86666666686358</v>
      </c>
      <c r="AJ19" s="739">
        <f>Water!E24</f>
        <v>305.4666666666842</v>
      </c>
      <c r="AK19" s="739">
        <f>Water!G24</f>
        <v>0</v>
      </c>
      <c r="AL19" s="811"/>
      <c r="AM19" s="739">
        <f>Gas!C24</f>
        <v>0</v>
      </c>
      <c r="AN19" s="739">
        <f>Gas!E24</f>
        <v>226.1</v>
      </c>
      <c r="AO19" s="739">
        <f>Gas!G24</f>
        <v>115</v>
      </c>
      <c r="AP19" s="746">
        <f>Elect!BT23</f>
        <v>253</v>
      </c>
    </row>
    <row r="20" spans="1:42" ht="12.75" customHeight="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811"/>
      <c r="F20" s="739">
        <f>Elect!J24</f>
        <v>6871</v>
      </c>
      <c r="G20" s="739">
        <f>Elect!K24</f>
        <v>4108</v>
      </c>
      <c r="H20" s="739">
        <f>Elect!Q24</f>
        <v>510</v>
      </c>
      <c r="I20" s="739">
        <f>Elect!S24</f>
        <v>138</v>
      </c>
      <c r="J20" s="739">
        <f>Elect!U24</f>
        <v>281</v>
      </c>
      <c r="K20" s="739">
        <f>Elect!W24</f>
        <v>1354.68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0</v>
      </c>
      <c r="P20" s="739">
        <f>Elect!AG24</f>
        <v>12.190000000000001</v>
      </c>
      <c r="Q20" s="739">
        <f>Elect!AI24</f>
        <v>368.88</v>
      </c>
      <c r="R20" s="739">
        <f>Elect!AK24</f>
        <v>2186.7800000000002</v>
      </c>
      <c r="S20" s="739">
        <f>Elect!AM24</f>
        <v>144.69</v>
      </c>
      <c r="T20" s="739">
        <f>Elect!AP24</f>
        <v>4.1625000000000005</v>
      </c>
      <c r="U20" s="739">
        <f>Elect!AR24</f>
        <v>325</v>
      </c>
      <c r="V20" s="739">
        <f>Elect!AT24</f>
        <v>138</v>
      </c>
      <c r="W20" s="739">
        <f>Elect!AV24</f>
        <v>39</v>
      </c>
      <c r="X20" s="739">
        <f>Elect!AX24</f>
        <v>830</v>
      </c>
      <c r="Y20" s="739">
        <f>Elect!AZ24</f>
        <v>0</v>
      </c>
      <c r="Z20" s="739">
        <f>Elect!BB24</f>
        <v>4692</v>
      </c>
      <c r="AA20" s="739">
        <f>Elect!BD24</f>
        <v>206</v>
      </c>
      <c r="AB20" s="739">
        <f>Elect!BF24</f>
        <v>110</v>
      </c>
      <c r="AC20" s="739">
        <f>Elect!BH24</f>
        <v>5008.8999999999996</v>
      </c>
      <c r="AD20" s="739">
        <f>Elect!BL24</f>
        <v>269</v>
      </c>
      <c r="AE20" s="739">
        <f>Elect!BN24</f>
        <v>645</v>
      </c>
      <c r="AF20" s="739">
        <f>Elect!BP24</f>
        <v>133</v>
      </c>
      <c r="AG20" s="739">
        <f>Elect!BR24</f>
        <v>154</v>
      </c>
      <c r="AH20" s="811"/>
      <c r="AI20" s="739">
        <f>Water!C25</f>
        <v>150.79999999999998</v>
      </c>
      <c r="AJ20" s="739">
        <f>Water!E25</f>
        <v>197.2</v>
      </c>
      <c r="AK20" s="739">
        <f>Water!G25</f>
        <v>0</v>
      </c>
      <c r="AL20" s="811"/>
      <c r="AM20" s="739">
        <f>Gas!C25</f>
        <v>0</v>
      </c>
      <c r="AN20" s="739">
        <f>Gas!E25</f>
        <v>428.4</v>
      </c>
      <c r="AO20" s="739">
        <f>Gas!G25</f>
        <v>115</v>
      </c>
      <c r="AP20" s="746">
        <f>Elect!BT24</f>
        <v>259</v>
      </c>
    </row>
    <row r="21" spans="1:42" ht="12.75" customHeight="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811"/>
      <c r="F21" s="739">
        <f>Elect!J25</f>
        <v>7585</v>
      </c>
      <c r="G21" s="739">
        <f>Elect!K25</f>
        <v>4778</v>
      </c>
      <c r="H21" s="739">
        <f>Elect!Q25</f>
        <v>540</v>
      </c>
      <c r="I21" s="739">
        <f>Elect!S25</f>
        <v>149</v>
      </c>
      <c r="J21" s="739">
        <f>Elect!U25</f>
        <v>296</v>
      </c>
      <c r="K21" s="739">
        <f>Elect!W25</f>
        <v>1016.0100000000001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0</v>
      </c>
      <c r="P21" s="739">
        <f>Elect!AG25</f>
        <v>12.190000000000001</v>
      </c>
      <c r="Q21" s="739">
        <f>Elect!AI25</f>
        <v>378.42</v>
      </c>
      <c r="R21" s="739">
        <f>Elect!AK25</f>
        <v>2366.4500000000003</v>
      </c>
      <c r="S21" s="739">
        <f>Elect!AM25</f>
        <v>160.06</v>
      </c>
      <c r="T21" s="739">
        <f>Elect!AP25</f>
        <v>3.4875000000000003</v>
      </c>
      <c r="U21" s="739">
        <f>Elect!AR25</f>
        <v>328</v>
      </c>
      <c r="V21" s="739">
        <f>Elect!AT25</f>
        <v>120</v>
      </c>
      <c r="W21" s="739">
        <f>Elect!AV25</f>
        <v>42</v>
      </c>
      <c r="X21" s="739">
        <f>Elect!AX25</f>
        <v>788</v>
      </c>
      <c r="Y21" s="739">
        <f>Elect!AZ25</f>
        <v>0</v>
      </c>
      <c r="Z21" s="739">
        <f>Elect!BB25</f>
        <v>4209</v>
      </c>
      <c r="AA21" s="739">
        <f>Elect!BD25</f>
        <v>220</v>
      </c>
      <c r="AB21" s="739">
        <f>Elect!BF25</f>
        <v>3</v>
      </c>
      <c r="AC21" s="739">
        <f>Elect!BH25</f>
        <v>5133.2</v>
      </c>
      <c r="AD21" s="739">
        <f>Elect!BL25</f>
        <v>268</v>
      </c>
      <c r="AE21" s="739">
        <f>Elect!BN25</f>
        <v>761</v>
      </c>
      <c r="AF21" s="739">
        <f>Elect!BP25</f>
        <v>143</v>
      </c>
      <c r="AG21" s="739">
        <f>Elect!BR25</f>
        <v>154</v>
      </c>
      <c r="AH21" s="811"/>
      <c r="AI21" s="739">
        <f>Water!C26</f>
        <v>278.39999999999998</v>
      </c>
      <c r="AJ21" s="739">
        <f>Water!E26</f>
        <v>359.59999999999997</v>
      </c>
      <c r="AK21" s="739">
        <f>Water!G26</f>
        <v>0</v>
      </c>
      <c r="AL21" s="811"/>
      <c r="AM21" s="739">
        <f>Gas!C26</f>
        <v>0</v>
      </c>
      <c r="AN21" s="739">
        <f>Gas!E26</f>
        <v>293.53333333311599</v>
      </c>
      <c r="AO21" s="739">
        <f>Gas!G26</f>
        <v>115</v>
      </c>
      <c r="AP21" s="746">
        <f>Elect!BT25</f>
        <v>236</v>
      </c>
    </row>
    <row r="22" spans="1:42" ht="12.75" customHeight="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811"/>
      <c r="F22" s="739">
        <f>Elect!J26</f>
        <v>7571</v>
      </c>
      <c r="G22" s="739">
        <f>Elect!K26</f>
        <v>4661</v>
      </c>
      <c r="H22" s="739">
        <f>Elect!Q26</f>
        <v>570</v>
      </c>
      <c r="I22" s="739">
        <f>Elect!S26</f>
        <v>136</v>
      </c>
      <c r="J22" s="739">
        <f>Elect!U26</f>
        <v>265</v>
      </c>
      <c r="K22" s="739">
        <f>Elect!W26</f>
        <v>925.91000000000008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0</v>
      </c>
      <c r="P22" s="739">
        <f>Elect!AG26</f>
        <v>12.190000000000001</v>
      </c>
      <c r="Q22" s="739">
        <f>Elect!AI26</f>
        <v>289.91000000000003</v>
      </c>
      <c r="R22" s="739">
        <f>Elect!AK26</f>
        <v>2310.27</v>
      </c>
      <c r="S22" s="739">
        <f>Elect!AM26</f>
        <v>153.70000000000002</v>
      </c>
      <c r="T22" s="739">
        <f>Elect!AP26</f>
        <v>3.9375</v>
      </c>
      <c r="U22" s="739">
        <f>Elect!AR26</f>
        <v>327</v>
      </c>
      <c r="V22" s="739">
        <f>Elect!AT26</f>
        <v>146</v>
      </c>
      <c r="W22" s="739">
        <f>Elect!AV26</f>
        <v>39</v>
      </c>
      <c r="X22" s="739">
        <f>Elect!AX26</f>
        <v>551</v>
      </c>
      <c r="Y22" s="739">
        <f>Elect!AZ26</f>
        <v>0</v>
      </c>
      <c r="Z22" s="739">
        <f>Elect!BB26</f>
        <v>4748</v>
      </c>
      <c r="AA22" s="739">
        <f>Elect!BD26</f>
        <v>276</v>
      </c>
      <c r="AB22" s="739">
        <f>Elect!BF26</f>
        <v>57</v>
      </c>
      <c r="AC22" s="739">
        <f>Elect!BH26</f>
        <v>5835.5</v>
      </c>
      <c r="AD22" s="739">
        <f>Elect!BL26</f>
        <v>320</v>
      </c>
      <c r="AE22" s="739">
        <f>Elect!BN26</f>
        <v>1006</v>
      </c>
      <c r="AF22" s="739">
        <f>Elect!BP26</f>
        <v>144</v>
      </c>
      <c r="AG22" s="739">
        <f>Elect!BR26</f>
        <v>173</v>
      </c>
      <c r="AH22" s="811"/>
      <c r="AI22" s="739">
        <f>Water!C27</f>
        <v>52.199999999999996</v>
      </c>
      <c r="AJ22" s="739">
        <f>Water!E27</f>
        <v>81.199999999999989</v>
      </c>
      <c r="AK22" s="739">
        <f>Water!G27</f>
        <v>0</v>
      </c>
      <c r="AL22" s="811"/>
      <c r="AM22" s="739">
        <f>Gas!C27</f>
        <v>0</v>
      </c>
      <c r="AN22" s="739">
        <f>Gas!E27</f>
        <v>503.76666666688396</v>
      </c>
      <c r="AO22" s="739">
        <f>Gas!G27</f>
        <v>82</v>
      </c>
      <c r="AP22" s="746">
        <f>Elect!BT26</f>
        <v>245</v>
      </c>
    </row>
    <row r="23" spans="1:42" ht="12.75" customHeight="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811"/>
      <c r="F23" s="739">
        <f>Elect!J27</f>
        <v>7281</v>
      </c>
      <c r="G23" s="739">
        <f>Elect!K27</f>
        <v>4433.3571428570431</v>
      </c>
      <c r="H23" s="739">
        <f>Elect!Q27</f>
        <v>510</v>
      </c>
      <c r="I23" s="739">
        <f>Elect!S27</f>
        <v>136</v>
      </c>
      <c r="J23" s="739">
        <f>Elect!U27</f>
        <v>265</v>
      </c>
      <c r="K23" s="739">
        <f>Elect!W27</f>
        <v>1389.3420000000124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0</v>
      </c>
      <c r="P23" s="739">
        <f>Elect!AG27</f>
        <v>10.07</v>
      </c>
      <c r="Q23" s="739">
        <f>Elect!AI27</f>
        <v>400.46799999999922</v>
      </c>
      <c r="R23" s="739">
        <f>Elect!AK27</f>
        <v>2276.6150000000002</v>
      </c>
      <c r="S23" s="739">
        <f>Elect!AM27</f>
        <v>150.06571428579804</v>
      </c>
      <c r="T23" s="739">
        <f>Elect!AP27</f>
        <v>17.4375</v>
      </c>
      <c r="U23" s="739">
        <f>Elect!AR27</f>
        <v>314</v>
      </c>
      <c r="V23" s="739">
        <f>Elect!AT27</f>
        <v>129</v>
      </c>
      <c r="W23" s="739">
        <f>Elect!AV27</f>
        <v>41.099999999976717</v>
      </c>
      <c r="X23" s="739">
        <f>Elect!AX27</f>
        <v>909.20000000018626</v>
      </c>
      <c r="Y23" s="739">
        <f>Elect!AZ27</f>
        <v>0</v>
      </c>
      <c r="Z23" s="739">
        <f>Elect!BB27</f>
        <v>4943</v>
      </c>
      <c r="AA23" s="739">
        <f>Elect!BD27</f>
        <v>261</v>
      </c>
      <c r="AB23" s="739">
        <f>Elect!BF27</f>
        <v>56.5</v>
      </c>
      <c r="AC23" s="739">
        <f>Elect!BH27</f>
        <v>5722.25</v>
      </c>
      <c r="AD23" s="739">
        <f>Elect!BL27</f>
        <v>334</v>
      </c>
      <c r="AE23" s="739">
        <f>Elect!BN27</f>
        <v>1007</v>
      </c>
      <c r="AF23" s="739">
        <f>Elect!BP27</f>
        <v>148</v>
      </c>
      <c r="AG23" s="739">
        <f>Elect!BR27</f>
        <v>176</v>
      </c>
      <c r="AH23" s="811"/>
      <c r="AI23" s="739">
        <f>Water!C28</f>
        <v>81.199999999999989</v>
      </c>
      <c r="AJ23" s="739">
        <f>Water!E28</f>
        <v>92.8</v>
      </c>
      <c r="AK23" s="739">
        <f>Water!G28</f>
        <v>0</v>
      </c>
      <c r="AL23" s="811"/>
      <c r="AM23" s="739">
        <f>Gas!C28</f>
        <v>0</v>
      </c>
      <c r="AN23" s="739">
        <f>Gas!E28</f>
        <v>372.4</v>
      </c>
      <c r="AO23" s="739">
        <f>Gas!G28</f>
        <v>120</v>
      </c>
      <c r="AP23" s="746">
        <f>Elect!BT27</f>
        <v>250</v>
      </c>
    </row>
    <row r="24" spans="1:42" ht="12.75" customHeight="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811"/>
      <c r="F24" s="739">
        <f>Elect!J28</f>
        <v>7591</v>
      </c>
      <c r="G24" s="739">
        <f>Elect!K28</f>
        <v>4543.2142857139697</v>
      </c>
      <c r="H24" s="739">
        <f>Elect!Q28</f>
        <v>570</v>
      </c>
      <c r="I24" s="739">
        <f>Elect!S28</f>
        <v>151</v>
      </c>
      <c r="J24" s="739">
        <f>Elect!U28</f>
        <v>288</v>
      </c>
      <c r="K24" s="739">
        <f>Elect!W28</f>
        <v>1191.2734285715467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0</v>
      </c>
      <c r="P24" s="739">
        <f>Elect!AG28</f>
        <v>15.370000000000001</v>
      </c>
      <c r="Q24" s="739">
        <f>Elect!AI28</f>
        <v>364.34555555553288</v>
      </c>
      <c r="R24" s="739">
        <f>Elect!AK28</f>
        <v>2066.2049999999999</v>
      </c>
      <c r="S24" s="739">
        <f>Elect!AM28</f>
        <v>154.0028571426368</v>
      </c>
      <c r="T24" s="739">
        <f>Elect!AP28</f>
        <v>3.9375</v>
      </c>
      <c r="U24" s="739">
        <f>Elect!AR28</f>
        <v>334</v>
      </c>
      <c r="V24" s="739">
        <f>Elect!AT28</f>
        <v>163</v>
      </c>
      <c r="W24" s="739">
        <f>Elect!AV28</f>
        <v>40.080000000074506</v>
      </c>
      <c r="X24" s="739">
        <f>Elect!AX28</f>
        <v>669.5</v>
      </c>
      <c r="Y24" s="739">
        <f>Elect!AZ28</f>
        <v>0</v>
      </c>
      <c r="Z24" s="739">
        <f>Elect!BB28</f>
        <v>4935</v>
      </c>
      <c r="AA24" s="739">
        <f>Elect!BD28</f>
        <v>209</v>
      </c>
      <c r="AB24" s="739">
        <f>Elect!BF28</f>
        <v>51.299999999999272</v>
      </c>
      <c r="AC24" s="739">
        <f>Elect!BH28</f>
        <v>4125.6500000000005</v>
      </c>
      <c r="AD24" s="739">
        <f>Elect!BL28</f>
        <v>162</v>
      </c>
      <c r="AE24" s="739">
        <f>Elect!BN28</f>
        <v>702</v>
      </c>
      <c r="AF24" s="739">
        <f>Elect!BP28</f>
        <v>101</v>
      </c>
      <c r="AG24" s="739">
        <f>Elect!BR28</f>
        <v>125</v>
      </c>
      <c r="AH24" s="811"/>
      <c r="AI24" s="739">
        <f>Water!C29</f>
        <v>127.6</v>
      </c>
      <c r="AJ24" s="739">
        <f>Water!E29</f>
        <v>168.2</v>
      </c>
      <c r="AK24" s="739">
        <f>Water!G29</f>
        <v>0</v>
      </c>
      <c r="AL24" s="811"/>
      <c r="AM24" s="739">
        <f>Gas!C29</f>
        <v>0</v>
      </c>
      <c r="AN24" s="739">
        <f>Gas!E29</f>
        <v>434.7</v>
      </c>
      <c r="AO24" s="739">
        <f>Gas!G29</f>
        <v>100</v>
      </c>
      <c r="AP24" s="746">
        <f>Elect!BT28</f>
        <v>242</v>
      </c>
    </row>
    <row r="25" spans="1:42" ht="12.75" customHeight="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811"/>
      <c r="F25" s="739">
        <f>Elect!J29</f>
        <v>7453</v>
      </c>
      <c r="G25" s="739">
        <f>Elect!K29</f>
        <v>4258.5761904759565</v>
      </c>
      <c r="H25" s="739">
        <f>Elect!Q29</f>
        <v>570</v>
      </c>
      <c r="I25" s="739">
        <f>Elect!S29</f>
        <v>136</v>
      </c>
      <c r="J25" s="739">
        <f>Elect!U29</f>
        <v>237</v>
      </c>
      <c r="K25" s="739">
        <f>Elect!W29</f>
        <v>1157.626000000037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0</v>
      </c>
      <c r="P25" s="739">
        <f>Elect!AG29</f>
        <v>11.13</v>
      </c>
      <c r="Q25" s="739">
        <f>Elect!AI29</f>
        <v>301.98584615383817</v>
      </c>
      <c r="R25" s="739">
        <f>Elect!AK29</f>
        <v>2300.2722727276373</v>
      </c>
      <c r="S25" s="739">
        <f>Elect!AM29</f>
        <v>155.0931428573694</v>
      </c>
      <c r="T25" s="739">
        <f>Elect!AP29</f>
        <v>4.3875000000000002</v>
      </c>
      <c r="U25" s="739">
        <f>Elect!AR29</f>
        <v>321</v>
      </c>
      <c r="V25" s="739">
        <f>Elect!AT29</f>
        <v>76</v>
      </c>
      <c r="W25" s="739">
        <f>Elect!AV29</f>
        <v>40.613999999943189</v>
      </c>
      <c r="X25" s="739">
        <f>Elect!AX29</f>
        <v>729.55999999959022</v>
      </c>
      <c r="Y25" s="739">
        <f>Elect!AZ29</f>
        <v>0</v>
      </c>
      <c r="Z25" s="739">
        <f>Elect!BB29</f>
        <v>4320</v>
      </c>
      <c r="AA25" s="739">
        <f>Elect!BD29</f>
        <v>267</v>
      </c>
      <c r="AB25" s="739">
        <f>Elect!BF29</f>
        <v>56.75</v>
      </c>
      <c r="AC25" s="739">
        <f>Elect!BH29</f>
        <v>5191.8499999999995</v>
      </c>
      <c r="AD25" s="739">
        <f>Elect!BL29</f>
        <v>127</v>
      </c>
      <c r="AE25" s="739">
        <f>Elect!BN29</f>
        <v>958</v>
      </c>
      <c r="AF25" s="739">
        <f>Elect!BP29</f>
        <v>129</v>
      </c>
      <c r="AG25" s="739">
        <f>Elect!BR29</f>
        <v>139</v>
      </c>
      <c r="AH25" s="811"/>
      <c r="AI25" s="739">
        <f>Water!C30</f>
        <v>139.19999999999999</v>
      </c>
      <c r="AJ25" s="739">
        <f>Water!E30</f>
        <v>179.79999999999998</v>
      </c>
      <c r="AK25" s="739">
        <f>Water!G30</f>
        <v>0</v>
      </c>
      <c r="AL25" s="811"/>
      <c r="AM25" s="739">
        <f>Gas!C30</f>
        <v>0</v>
      </c>
      <c r="AN25" s="739">
        <f>Gas!E30</f>
        <v>375.9</v>
      </c>
      <c r="AO25" s="739">
        <f>Gas!G30</f>
        <v>100</v>
      </c>
      <c r="AP25" s="746">
        <f>Elect!BT29</f>
        <v>231</v>
      </c>
    </row>
    <row r="26" spans="1:42" ht="12.75" customHeight="1">
      <c r="A26" s="753" t="s">
        <v>11</v>
      </c>
      <c r="B26" s="730">
        <f>B25+1</f>
        <v>25</v>
      </c>
      <c r="C26" s="772">
        <v>3</v>
      </c>
      <c r="D26" s="752">
        <v>2022</v>
      </c>
      <c r="E26" s="811"/>
      <c r="F26" s="739">
        <f>Elect!J30</f>
        <v>7150</v>
      </c>
      <c r="G26" s="739">
        <f>Elect!K30</f>
        <v>4624.8523809530307</v>
      </c>
      <c r="H26" s="739">
        <f>Elect!Q30</f>
        <v>540</v>
      </c>
      <c r="I26" s="739">
        <f>Elect!S30</f>
        <v>143</v>
      </c>
      <c r="J26" s="739">
        <f>Elect!U30</f>
        <v>262</v>
      </c>
      <c r="K26" s="739">
        <f>Elect!W30</f>
        <v>6.7385714284039571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0</v>
      </c>
      <c r="P26" s="739">
        <f>Elect!AG30</f>
        <v>23.85</v>
      </c>
      <c r="Q26" s="739">
        <f>Elect!AI30</f>
        <v>781.31059829062974</v>
      </c>
      <c r="R26" s="739">
        <f>Elect!AK30</f>
        <v>2965.2777272723629</v>
      </c>
      <c r="S26" s="739">
        <f>Elect!AM30</f>
        <v>147.15828571419581</v>
      </c>
      <c r="T26" s="739">
        <f>Elect!AP30</f>
        <v>4.6124999999999998</v>
      </c>
      <c r="U26" s="739">
        <f>Elect!AR30</f>
        <v>315</v>
      </c>
      <c r="V26" s="739">
        <f>Elect!AT30</f>
        <v>152</v>
      </c>
      <c r="W26" s="739">
        <f>Elect!AV30</f>
        <v>22.206000000005588</v>
      </c>
      <c r="X26" s="739">
        <f>Elect!AX30</f>
        <v>471.74000000022352</v>
      </c>
      <c r="Y26" s="739">
        <f>Elect!AZ30</f>
        <v>0</v>
      </c>
      <c r="Z26" s="739">
        <f>Elect!BB30</f>
        <v>4411</v>
      </c>
      <c r="AA26" s="739">
        <f>Elect!BD30</f>
        <v>239</v>
      </c>
      <c r="AB26" s="739">
        <f>Elect!BF30</f>
        <v>64.450000000000728</v>
      </c>
      <c r="AC26" s="739">
        <f>Elect!BH30</f>
        <v>5138.7</v>
      </c>
      <c r="AD26" s="739">
        <f>Elect!BL30</f>
        <v>64</v>
      </c>
      <c r="AE26" s="739">
        <f>Elect!BN30</f>
        <v>1059</v>
      </c>
      <c r="AF26" s="739">
        <f>Elect!BP30</f>
        <v>135</v>
      </c>
      <c r="AG26" s="739">
        <f>Elect!BR30</f>
        <v>138</v>
      </c>
      <c r="AH26" s="811"/>
      <c r="AI26" s="739">
        <f>Water!C31</f>
        <v>162.39999999999998</v>
      </c>
      <c r="AJ26" s="739">
        <f>Water!E31</f>
        <v>203</v>
      </c>
      <c r="AK26" s="739">
        <f>Water!G31</f>
        <v>0</v>
      </c>
      <c r="AL26" s="811"/>
      <c r="AM26" s="739">
        <f>Gas!C31</f>
        <v>0</v>
      </c>
      <c r="AN26" s="739">
        <f>Gas!E31</f>
        <v>413</v>
      </c>
      <c r="AO26" s="739">
        <f>Gas!G31</f>
        <v>111</v>
      </c>
      <c r="AP26" s="746">
        <f>Elect!BT30</f>
        <v>236</v>
      </c>
    </row>
    <row r="27" spans="1:42" ht="12.75" customHeight="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811"/>
      <c r="F27" s="739">
        <f>Elect!J31</f>
        <v>6992</v>
      </c>
      <c r="G27" s="739">
        <f>Elect!K31</f>
        <v>4327</v>
      </c>
      <c r="H27" s="739">
        <f>Elect!Q31</f>
        <v>540</v>
      </c>
      <c r="I27" s="739">
        <f>Elect!S31</f>
        <v>146</v>
      </c>
      <c r="J27" s="739">
        <f>Elect!U31</f>
        <v>262</v>
      </c>
      <c r="K27" s="739">
        <f>Elect!W31</f>
        <v>1329.77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0</v>
      </c>
      <c r="P27" s="739">
        <f>Elect!AG31</f>
        <v>0</v>
      </c>
      <c r="Q27" s="739">
        <f>Elect!AI31</f>
        <v>0</v>
      </c>
      <c r="R27" s="739">
        <f>Elect!AK31</f>
        <v>2796.81</v>
      </c>
      <c r="S27" s="739">
        <f>Elect!AM31</f>
        <v>157.94</v>
      </c>
      <c r="T27" s="739">
        <f>Elect!AP31</f>
        <v>47.925000000000004</v>
      </c>
      <c r="U27" s="739">
        <f>Elect!AR31</f>
        <v>309</v>
      </c>
      <c r="V27" s="739">
        <f>Elect!AT31</f>
        <v>185</v>
      </c>
      <c r="W27" s="739">
        <f>Elect!AV31</f>
        <v>37</v>
      </c>
      <c r="X27" s="739">
        <f>Elect!AX31</f>
        <v>634</v>
      </c>
      <c r="Y27" s="739">
        <f>Elect!AZ31</f>
        <v>0</v>
      </c>
      <c r="Z27" s="739">
        <f>Elect!BB31</f>
        <v>4607</v>
      </c>
      <c r="AA27" s="739">
        <f>Elect!BD31</f>
        <v>220</v>
      </c>
      <c r="AB27" s="739">
        <f>Elect!BF31</f>
        <v>53</v>
      </c>
      <c r="AC27" s="739">
        <f>Elect!BH31</f>
        <v>5181.5</v>
      </c>
      <c r="AD27" s="739">
        <f>Elect!BL31</f>
        <v>145</v>
      </c>
      <c r="AE27" s="739">
        <f>Elect!BN31</f>
        <v>971</v>
      </c>
      <c r="AF27" s="739">
        <f>Elect!BP31</f>
        <v>139</v>
      </c>
      <c r="AG27" s="739">
        <f>Elect!BR31</f>
        <v>139</v>
      </c>
      <c r="AH27" s="811"/>
      <c r="AI27" s="739">
        <f>Water!C32</f>
        <v>121.8</v>
      </c>
      <c r="AJ27" s="739">
        <f>Water!E32</f>
        <v>168.2</v>
      </c>
      <c r="AK27" s="739">
        <f>Water!G32</f>
        <v>0</v>
      </c>
      <c r="AL27" s="811"/>
      <c r="AM27" s="739">
        <f>Gas!C32</f>
        <v>0</v>
      </c>
      <c r="AN27" s="739">
        <f>Gas!E32</f>
        <v>408.79999999999995</v>
      </c>
      <c r="AO27" s="739">
        <f>Gas!G32</f>
        <v>90</v>
      </c>
      <c r="AP27" s="746">
        <f>Elect!BT31</f>
        <v>241</v>
      </c>
    </row>
    <row r="28" spans="1:42" ht="12.75" customHeight="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811"/>
      <c r="F28" s="739">
        <f>Elect!J32</f>
        <v>6423</v>
      </c>
      <c r="G28" s="739">
        <f>Elect!K32</f>
        <v>3828</v>
      </c>
      <c r="H28" s="739">
        <f>Elect!Q32</f>
        <v>570</v>
      </c>
      <c r="I28" s="739">
        <f>Elect!S32</f>
        <v>132</v>
      </c>
      <c r="J28" s="739">
        <f>Elect!U32</f>
        <v>236</v>
      </c>
      <c r="K28" s="739">
        <f>Elect!W32</f>
        <v>1286.3100000000002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0</v>
      </c>
      <c r="P28" s="739">
        <f>Elect!AG32</f>
        <v>15.370000000000001</v>
      </c>
      <c r="Q28" s="739">
        <f>Elect!AI32</f>
        <v>372.59000000000003</v>
      </c>
      <c r="R28" s="739">
        <f>Elect!AK32</f>
        <v>2554.0700000000002</v>
      </c>
      <c r="S28" s="739">
        <f>Elect!AM32</f>
        <v>147.87</v>
      </c>
      <c r="T28" s="739">
        <f>Elect!AP32</f>
        <v>35.212499999999999</v>
      </c>
      <c r="U28" s="739">
        <f>Elect!AR32</f>
        <v>316</v>
      </c>
      <c r="V28" s="739">
        <f>Elect!AT32</f>
        <v>143</v>
      </c>
      <c r="W28" s="739">
        <f>Elect!AV32</f>
        <v>37</v>
      </c>
      <c r="X28" s="739">
        <f>Elect!AX32</f>
        <v>577</v>
      </c>
      <c r="Y28" s="739">
        <f>Elect!AZ32</f>
        <v>0</v>
      </c>
      <c r="Z28" s="739">
        <f>Elect!BB32</f>
        <v>5061</v>
      </c>
      <c r="AA28" s="739">
        <f>Elect!BD32</f>
        <v>198</v>
      </c>
      <c r="AB28" s="739">
        <f>Elect!BF32</f>
        <v>60.599999999998545</v>
      </c>
      <c r="AC28" s="739">
        <f>Elect!BH32</f>
        <v>4728.1499999999996</v>
      </c>
      <c r="AD28" s="739">
        <f>Elect!BL32</f>
        <v>224</v>
      </c>
      <c r="AE28" s="739">
        <f>Elect!BN32</f>
        <v>860</v>
      </c>
      <c r="AF28" s="739">
        <f>Elect!BP32</f>
        <v>133</v>
      </c>
      <c r="AG28" s="739">
        <f>Elect!BR32</f>
        <v>144</v>
      </c>
      <c r="AH28" s="811"/>
      <c r="AI28" s="739">
        <f>Water!C33</f>
        <v>150.79999999999998</v>
      </c>
      <c r="AJ28" s="739">
        <f>Water!E33</f>
        <v>191.39999999999998</v>
      </c>
      <c r="AK28" s="739">
        <f>Water!G33</f>
        <v>0</v>
      </c>
      <c r="AL28" s="811"/>
      <c r="AM28" s="739">
        <f>Gas!C33</f>
        <v>0</v>
      </c>
      <c r="AN28" s="739">
        <f>Gas!E33</f>
        <v>417.2</v>
      </c>
      <c r="AO28" s="739">
        <f>Gas!G33</f>
        <v>92</v>
      </c>
      <c r="AP28" s="746">
        <f>Elect!BT32</f>
        <v>232</v>
      </c>
    </row>
    <row r="29" spans="1:42" ht="12.75" customHeight="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811"/>
      <c r="F29" s="739">
        <f>Elect!J33</f>
        <v>6997</v>
      </c>
      <c r="G29" s="739">
        <f>Elect!K33</f>
        <v>4488</v>
      </c>
      <c r="H29" s="739">
        <f>Elect!Q33</f>
        <v>570</v>
      </c>
      <c r="I29" s="739">
        <f>Elect!S33</f>
        <v>147</v>
      </c>
      <c r="J29" s="739">
        <f>Elect!U33</f>
        <v>272</v>
      </c>
      <c r="K29" s="739">
        <f>Elect!W33</f>
        <v>1516.8600000000001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0</v>
      </c>
      <c r="P29" s="739">
        <f>Elect!AG33</f>
        <v>9.01</v>
      </c>
      <c r="Q29" s="739">
        <f>Elect!AI33</f>
        <v>409.69</v>
      </c>
      <c r="R29" s="739">
        <f>Elect!AK33</f>
        <v>2829.67</v>
      </c>
      <c r="S29" s="739">
        <f>Elect!AM33</f>
        <v>160.06</v>
      </c>
      <c r="T29" s="739">
        <f>Elect!AP33</f>
        <v>70.537500000000009</v>
      </c>
      <c r="U29" s="739">
        <f>Elect!AR33</f>
        <v>459</v>
      </c>
      <c r="V29" s="739">
        <f>Elect!AT33</f>
        <v>159</v>
      </c>
      <c r="W29" s="739">
        <f>Elect!AV33</f>
        <v>44</v>
      </c>
      <c r="X29" s="739">
        <f>Elect!AX33</f>
        <v>602</v>
      </c>
      <c r="Y29" s="739">
        <f>Elect!AZ33</f>
        <v>0</v>
      </c>
      <c r="Z29" s="739">
        <f>Elect!BB33</f>
        <v>4327</v>
      </c>
      <c r="AA29" s="739">
        <f>Elect!BD33</f>
        <v>217</v>
      </c>
      <c r="AB29" s="739">
        <f>Elect!BF33</f>
        <v>58.705000000001746</v>
      </c>
      <c r="AC29" s="739">
        <f>Elect!BH33</f>
        <v>5233.3500000000004</v>
      </c>
      <c r="AD29" s="739">
        <f>Elect!BL33</f>
        <v>229</v>
      </c>
      <c r="AE29" s="739">
        <f>Elect!BN33</f>
        <v>935</v>
      </c>
      <c r="AF29" s="739">
        <f>Elect!BP33</f>
        <v>142</v>
      </c>
      <c r="AG29" s="739">
        <f>Elect!BR33</f>
        <v>139</v>
      </c>
      <c r="AH29" s="811"/>
      <c r="AI29" s="739">
        <f>Water!C34</f>
        <v>156.6</v>
      </c>
      <c r="AJ29" s="739">
        <f>Water!E34</f>
        <v>203</v>
      </c>
      <c r="AK29" s="739">
        <f>Water!G34</f>
        <v>0</v>
      </c>
      <c r="AL29" s="811"/>
      <c r="AM29" s="739">
        <f>Gas!C34</f>
        <v>0</v>
      </c>
      <c r="AN29" s="739">
        <f>Gas!E34</f>
        <v>546.69999999999993</v>
      </c>
      <c r="AO29" s="739">
        <f>Gas!G34</f>
        <v>144</v>
      </c>
      <c r="AP29" s="746">
        <f>Elect!BT33</f>
        <v>202</v>
      </c>
    </row>
    <row r="30" spans="1:42" ht="12.75" customHeight="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811"/>
      <c r="F30" s="739">
        <f>Elect!J34</f>
        <v>6457</v>
      </c>
      <c r="G30" s="739">
        <f>Elect!K34</f>
        <v>4085</v>
      </c>
      <c r="H30" s="739">
        <f>Elect!Q34</f>
        <v>570</v>
      </c>
      <c r="I30" s="739">
        <f>Elect!S34</f>
        <v>141</v>
      </c>
      <c r="J30" s="739">
        <f>Elect!U34</f>
        <v>262</v>
      </c>
      <c r="K30" s="739">
        <f>Elect!W34</f>
        <v>2272.6400000000003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0</v>
      </c>
      <c r="P30" s="739">
        <f>Elect!AG34</f>
        <v>11.66</v>
      </c>
      <c r="Q30" s="739">
        <f>Elect!AI34</f>
        <v>384.25</v>
      </c>
      <c r="R30" s="739">
        <f>Elect!AK34</f>
        <v>2886.38</v>
      </c>
      <c r="S30" s="739">
        <f>Elect!AM34</f>
        <v>151.58000000000001</v>
      </c>
      <c r="T30" s="739">
        <f>Elect!AP34</f>
        <v>42.412500000000001</v>
      </c>
      <c r="U30" s="739">
        <f>Elect!AR34</f>
        <v>340</v>
      </c>
      <c r="V30" s="739">
        <f>Elect!AT34</f>
        <v>159</v>
      </c>
      <c r="W30" s="739">
        <f>Elect!AV34</f>
        <v>43</v>
      </c>
      <c r="X30" s="739">
        <f>Elect!AX34</f>
        <v>588</v>
      </c>
      <c r="Y30" s="739">
        <f>Elect!AZ34</f>
        <v>0</v>
      </c>
      <c r="Z30" s="739">
        <f>Elect!BB34</f>
        <v>4688</v>
      </c>
      <c r="AA30" s="739">
        <f>Elect!BD34</f>
        <v>206</v>
      </c>
      <c r="AB30" s="739">
        <f>Elect!BF34</f>
        <v>54.694999999999709</v>
      </c>
      <c r="AC30" s="739">
        <f>Elect!BH34</f>
        <v>5304.35</v>
      </c>
      <c r="AD30" s="739">
        <f>Elect!BL34</f>
        <v>244</v>
      </c>
      <c r="AE30" s="739">
        <f>Elect!BN34</f>
        <v>871</v>
      </c>
      <c r="AF30" s="739">
        <f>Elect!BP34</f>
        <v>126</v>
      </c>
      <c r="AG30" s="739">
        <f>Elect!BR34</f>
        <v>137</v>
      </c>
      <c r="AH30" s="811"/>
      <c r="AI30" s="739">
        <f>Water!C35</f>
        <v>115.99999999999999</v>
      </c>
      <c r="AJ30" s="739">
        <f>Water!E35</f>
        <v>156.6</v>
      </c>
      <c r="AK30" s="739">
        <f>Water!G35</f>
        <v>0</v>
      </c>
      <c r="AL30" s="811"/>
      <c r="AM30" s="739">
        <f>Gas!C35</f>
        <v>0</v>
      </c>
      <c r="AN30" s="739">
        <f>Gas!E35</f>
        <v>266</v>
      </c>
      <c r="AO30" s="739">
        <f>Gas!G35</f>
        <v>65</v>
      </c>
      <c r="AP30" s="746">
        <f>Elect!BT34</f>
        <v>168</v>
      </c>
    </row>
    <row r="31" spans="1:42" ht="12.75" customHeight="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811"/>
      <c r="F31" s="739">
        <f>Elect!J35</f>
        <v>5615</v>
      </c>
      <c r="G31" s="739">
        <f>Elect!K35</f>
        <v>3695</v>
      </c>
      <c r="H31" s="739">
        <f>Elect!Q35</f>
        <v>510</v>
      </c>
      <c r="I31" s="739">
        <f>Elect!S35</f>
        <v>131</v>
      </c>
      <c r="J31" s="739">
        <f>Elect!U35</f>
        <v>235</v>
      </c>
      <c r="K31" s="739">
        <f>Elect!W35</f>
        <v>2293.31</v>
      </c>
      <c r="L31" s="739">
        <f>Elect!Y35</f>
        <v>0</v>
      </c>
      <c r="M31" s="739">
        <f>Elect!AA35</f>
        <v>0</v>
      </c>
      <c r="N31" s="739">
        <f>Elect!AC35</f>
        <v>0</v>
      </c>
      <c r="O31" s="739">
        <f>Elect!AE35</f>
        <v>0</v>
      </c>
      <c r="P31" s="739">
        <f>Elect!AG35</f>
        <v>11.13</v>
      </c>
      <c r="Q31" s="739">
        <f>Elect!AI35</f>
        <v>354.04</v>
      </c>
      <c r="R31" s="739">
        <f>Elect!AK35</f>
        <v>2818.01</v>
      </c>
      <c r="S31" s="739">
        <f>Elect!AM35</f>
        <v>144.69</v>
      </c>
      <c r="T31" s="739">
        <f>Elect!AP35</f>
        <v>104.28750000000001</v>
      </c>
      <c r="U31" s="739">
        <f>Elect!AR35</f>
        <v>310</v>
      </c>
      <c r="V31" s="739">
        <f>Elect!AT35</f>
        <v>147</v>
      </c>
      <c r="W31" s="739">
        <f>Elect!AV35</f>
        <v>39</v>
      </c>
      <c r="X31" s="739">
        <f>Elect!AX35</f>
        <v>576</v>
      </c>
      <c r="Y31" s="739">
        <f>Elect!AZ35</f>
        <v>0</v>
      </c>
      <c r="Z31" s="739">
        <f>Elect!BB35</f>
        <v>4522</v>
      </c>
      <c r="AA31" s="739">
        <f>Elect!BD35</f>
        <v>181</v>
      </c>
      <c r="AB31" s="739">
        <f>Elect!BF35</f>
        <v>56</v>
      </c>
      <c r="AC31" s="739">
        <f>Elect!BH35</f>
        <v>4815</v>
      </c>
      <c r="AD31" s="739">
        <f>Elect!BL35</f>
        <v>96</v>
      </c>
      <c r="AE31" s="739">
        <f>Elect!BN35</f>
        <v>840</v>
      </c>
      <c r="AF31" s="739">
        <f>Elect!BP35</f>
        <v>120</v>
      </c>
      <c r="AG31" s="739">
        <f>Elect!BR35</f>
        <v>147</v>
      </c>
      <c r="AH31" s="811"/>
      <c r="AI31" s="739">
        <f>Water!C36</f>
        <v>121.8</v>
      </c>
      <c r="AJ31" s="739">
        <f>Water!E36</f>
        <v>156.6</v>
      </c>
      <c r="AK31" s="739">
        <f>Water!G36</f>
        <v>0</v>
      </c>
      <c r="AL31" s="811"/>
      <c r="AM31" s="739">
        <f>Gas!C36</f>
        <v>0</v>
      </c>
      <c r="AN31" s="739">
        <f>Gas!E36</f>
        <v>344.4</v>
      </c>
      <c r="AO31" s="739">
        <f>Gas!G36</f>
        <v>97</v>
      </c>
      <c r="AP31" s="746">
        <f>Elect!BT35</f>
        <v>151</v>
      </c>
    </row>
    <row r="32" spans="1:42" ht="12.75" customHeight="1">
      <c r="A32" s="754" t="s">
        <v>11</v>
      </c>
      <c r="B32" s="755">
        <f>B31+1</f>
        <v>31</v>
      </c>
      <c r="C32" s="772">
        <v>3</v>
      </c>
      <c r="D32" s="752">
        <v>2022</v>
      </c>
      <c r="E32" s="812"/>
      <c r="F32" s="739">
        <f>Elect!J36</f>
        <v>7116</v>
      </c>
      <c r="G32" s="739">
        <f>Elect!K36</f>
        <v>4556</v>
      </c>
      <c r="H32" s="739">
        <f>Elect!Q36</f>
        <v>570</v>
      </c>
      <c r="I32" s="739">
        <f>Elect!S36</f>
        <v>144</v>
      </c>
      <c r="J32" s="739">
        <f>Elect!U36</f>
        <v>267</v>
      </c>
      <c r="K32" s="739">
        <f>Elect!W36</f>
        <v>1495.66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10.07</v>
      </c>
      <c r="Q32" s="739">
        <f>Elect!AI36</f>
        <v>396.97</v>
      </c>
      <c r="R32" s="739">
        <f>Elect!AK36</f>
        <v>2637.81</v>
      </c>
      <c r="S32" s="739">
        <f>Elect!AM36</f>
        <v>155.29000000000002</v>
      </c>
      <c r="T32" s="739">
        <f>Elect!AP36</f>
        <v>41.175000000000004</v>
      </c>
      <c r="U32" s="739">
        <f>Elect!AR36</f>
        <v>395</v>
      </c>
      <c r="V32" s="739">
        <f>Elect!AT36</f>
        <v>166</v>
      </c>
      <c r="W32" s="739">
        <f>Elect!AV36</f>
        <v>64</v>
      </c>
      <c r="X32" s="739">
        <f>Elect!AX36</f>
        <v>602</v>
      </c>
      <c r="Y32" s="739">
        <f>Elect!AZ36</f>
        <v>0</v>
      </c>
      <c r="Z32" s="739">
        <f>Elect!BB36</f>
        <v>4702</v>
      </c>
      <c r="AA32" s="739">
        <f>Elect!BD36</f>
        <v>260</v>
      </c>
      <c r="AB32" s="739">
        <f>Elect!BF36</f>
        <v>60</v>
      </c>
      <c r="AC32" s="739">
        <f>Elect!BH36</f>
        <v>5175.3500000000004</v>
      </c>
      <c r="AD32" s="739">
        <f>Elect!BL36</f>
        <v>200</v>
      </c>
      <c r="AE32" s="739">
        <f>Elect!BN36</f>
        <v>935</v>
      </c>
      <c r="AF32" s="739">
        <f>Elect!BP36</f>
        <v>142</v>
      </c>
      <c r="AG32" s="739">
        <f>Elect!BR36</f>
        <v>136</v>
      </c>
      <c r="AH32" s="812"/>
      <c r="AI32" s="739">
        <f>Water!C37</f>
        <v>133.39999999999998</v>
      </c>
      <c r="AJ32" s="739">
        <f>Water!E37</f>
        <v>203</v>
      </c>
      <c r="AK32" s="739">
        <f>Water!G37</f>
        <v>0</v>
      </c>
      <c r="AL32" s="812"/>
      <c r="AM32" s="739">
        <f>Gas!C37</f>
        <v>0</v>
      </c>
      <c r="AN32" s="739">
        <f>Gas!E37</f>
        <v>378.7</v>
      </c>
      <c r="AO32" s="739">
        <f>Gas!G37</f>
        <v>108</v>
      </c>
      <c r="AP32" s="746">
        <f>Elect!BT36</f>
        <v>150</v>
      </c>
    </row>
    <row r="33" spans="39:41">
      <c r="AM33" s="736"/>
      <c r="AN33" s="736"/>
      <c r="AO33" s="736"/>
    </row>
  </sheetData>
  <sheetProtection algorithmName="SHA-512" hashValue="GEGeQ8YrTmtSWDZrIc7myhunuRFAHqHXnMcwneXhwYTHI1nBK8Oxyu5XjYGeQAIRAT+ZKGkNPtr0acqKYC6bLQ==" saltValue="0eKhh2kYO81HoTvkDUc6k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K5" activePane="bottomRight" state="frozen"/>
      <selection pane="topRight" activeCell="I1" sqref="I1"/>
      <selection pane="bottomLeft" activeCell="A5" sqref="A5"/>
      <selection pane="bottomRight" activeCell="BT10" sqref="BT10"/>
    </sheetView>
  </sheetViews>
  <sheetFormatPr defaultColWidth="10.6640625" defaultRowHeight="30.75" customHeight="1"/>
  <cols>
    <col min="1" max="1" width="20" style="191" customWidth="1"/>
    <col min="2" max="2" width="18.33203125" style="26" hidden="1" customWidth="1"/>
    <col min="3" max="3" width="0.5546875" style="26" hidden="1" customWidth="1"/>
    <col min="4" max="4" width="0.44140625" style="26" hidden="1" customWidth="1"/>
    <col min="5" max="5" width="11.44140625" style="26" hidden="1" customWidth="1"/>
    <col min="6" max="6" width="9.109375" style="26" hidden="1" customWidth="1"/>
    <col min="7" max="7" width="1.33203125" style="26" hidden="1" customWidth="1"/>
    <col min="8" max="8" width="0.6640625" style="26" hidden="1" customWidth="1"/>
    <col min="9" max="9" width="20.109375" style="26" customWidth="1"/>
    <col min="10" max="10" width="18" style="205" customWidth="1"/>
    <col min="11" max="11" width="15.88671875" style="205" customWidth="1"/>
    <col min="12" max="12" width="20.44140625" style="26" customWidth="1"/>
    <col min="13" max="13" width="13.88671875" style="26" customWidth="1"/>
    <col min="14" max="14" width="21" style="26" customWidth="1"/>
    <col min="15" max="15" width="13" style="26" customWidth="1"/>
    <col min="16" max="16" width="20.44140625" style="26" customWidth="1"/>
    <col min="17" max="17" width="23.88671875" style="26" customWidth="1"/>
    <col min="18" max="18" width="20.44140625" style="26" customWidth="1"/>
    <col min="19" max="19" width="17.109375" style="26" customWidth="1"/>
    <col min="20" max="20" width="20.44140625" style="26" customWidth="1"/>
    <col min="21" max="21" width="13.88671875" style="26" customWidth="1"/>
    <col min="22" max="22" width="21" style="26" customWidth="1"/>
    <col min="23" max="23" width="16.88671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54687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09375" style="26" customWidth="1"/>
    <col min="41" max="41" width="21" style="26" customWidth="1"/>
    <col min="42" max="42" width="14.109375" style="26" customWidth="1"/>
    <col min="43" max="43" width="21" style="26" customWidth="1"/>
    <col min="44" max="44" width="12.5546875" style="26" customWidth="1"/>
    <col min="45" max="45" width="21" style="26" customWidth="1"/>
    <col min="46" max="46" width="12.5546875" style="26" customWidth="1"/>
    <col min="47" max="47" width="21" style="26" customWidth="1"/>
    <col min="48" max="48" width="12.5546875" style="26" customWidth="1"/>
    <col min="49" max="49" width="21" style="26" customWidth="1"/>
    <col min="50" max="50" width="12.5546875" style="26" customWidth="1"/>
    <col min="51" max="51" width="24.441406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8671875" style="26" customWidth="1"/>
    <col min="63" max="63" width="21" style="26" customWidth="1"/>
    <col min="64" max="64" width="15.33203125" style="26" bestFit="1" customWidth="1"/>
    <col min="65" max="65" width="21" style="26" customWidth="1"/>
    <col min="66" max="66" width="13" style="26" customWidth="1"/>
    <col min="67" max="67" width="25.5546875" style="26" customWidth="1"/>
    <col min="68" max="68" width="13" style="26" customWidth="1"/>
    <col min="69" max="69" width="17.88671875" style="26" bestFit="1" customWidth="1"/>
    <col min="70" max="70" width="13" style="26" customWidth="1"/>
    <col min="71" max="71" width="21.33203125" style="26" bestFit="1" customWidth="1"/>
    <col min="72" max="72" width="12.33203125" style="26" customWidth="1"/>
    <col min="73" max="73" width="12.44140625" style="29" customWidth="1"/>
    <col min="74" max="74" width="11" style="26" customWidth="1"/>
    <col min="75" max="75" width="12.5546875" style="29" customWidth="1"/>
    <col min="76" max="76" width="15.109375" style="532" customWidth="1"/>
    <col min="77" max="77" width="14.44140625" style="26" customWidth="1"/>
    <col min="78" max="78" width="12.6640625" style="26" customWidth="1"/>
    <col min="79" max="79" width="9.33203125" style="26" bestFit="1" customWidth="1"/>
    <col min="80" max="80" width="26.33203125" style="26" customWidth="1"/>
    <col min="81" max="81" width="13" style="26" customWidth="1"/>
    <col min="82" max="124" width="10.6640625" style="26" customWidth="1"/>
    <col min="125" max="125" width="3" style="26" bestFit="1" customWidth="1"/>
    <col min="126" max="16384" width="10.6640625" style="26"/>
  </cols>
  <sheetData>
    <row r="1" spans="1:78" ht="30.75" customHeight="1" thickBot="1">
      <c r="A1" s="835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7" t="s">
        <v>14</v>
      </c>
      <c r="N1" s="837"/>
      <c r="O1" s="837"/>
      <c r="Q1" s="837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809">
        <f>SUM(BJ6:BJ27)</f>
        <v>351398.27571428602</v>
      </c>
      <c r="BK1" s="530"/>
      <c r="BL1" s="530"/>
      <c r="BM1" s="787"/>
      <c r="BN1" s="787"/>
      <c r="BO1" s="528"/>
      <c r="BP1" s="813" t="s">
        <v>52</v>
      </c>
      <c r="BQ1" s="814"/>
      <c r="BR1" s="565">
        <v>1.6</v>
      </c>
      <c r="BS1" s="562" t="s">
        <v>53</v>
      </c>
      <c r="BT1" s="563"/>
      <c r="BU1" s="815" t="s">
        <v>54</v>
      </c>
      <c r="BV1" s="816"/>
      <c r="BW1" s="565">
        <v>500</v>
      </c>
      <c r="BX1" s="813" t="s">
        <v>55</v>
      </c>
      <c r="BY1" s="814"/>
      <c r="BZ1" s="565">
        <v>1.1499999999999999</v>
      </c>
    </row>
    <row r="2" spans="1:78" ht="28.5" hidden="1" customHeight="1" thickBot="1">
      <c r="A2" s="836"/>
      <c r="B2" s="114"/>
      <c r="C2" s="28"/>
      <c r="D2" s="28"/>
      <c r="E2" s="189"/>
      <c r="F2" s="189"/>
      <c r="I2" s="190"/>
      <c r="M2" s="838"/>
      <c r="N2" s="838"/>
      <c r="O2" s="838"/>
      <c r="Q2" s="838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13"/>
      <c r="BQ2" s="814"/>
      <c r="BR2" s="565"/>
      <c r="BS2" s="567" t="s">
        <v>56</v>
      </c>
      <c r="BT2" s="568"/>
      <c r="BU2" s="815" t="s">
        <v>57</v>
      </c>
      <c r="BV2" s="816"/>
      <c r="BW2" s="569"/>
      <c r="BX2" s="813" t="s">
        <v>58</v>
      </c>
      <c r="BY2" s="814"/>
      <c r="BZ2" s="565">
        <v>30</v>
      </c>
    </row>
    <row r="3" spans="1:78" s="205" customFormat="1" ht="37.5" customHeight="1">
      <c r="A3" s="820" t="s">
        <v>59</v>
      </c>
      <c r="B3" s="822" t="s">
        <v>60</v>
      </c>
      <c r="C3" s="823"/>
      <c r="D3" s="817" t="s">
        <v>61</v>
      </c>
      <c r="E3" s="817"/>
      <c r="F3" s="817" t="s">
        <v>62</v>
      </c>
      <c r="G3" s="817"/>
      <c r="H3" s="839" t="s">
        <v>63</v>
      </c>
      <c r="I3" s="570" t="s">
        <v>64</v>
      </c>
      <c r="J3" s="536"/>
      <c r="K3" s="790"/>
      <c r="L3" s="817"/>
      <c r="M3" s="817"/>
      <c r="N3" s="817"/>
      <c r="O3" s="817"/>
      <c r="P3" s="817"/>
      <c r="Q3" s="817"/>
      <c r="R3" s="826" t="s">
        <v>65</v>
      </c>
      <c r="S3" s="826"/>
      <c r="T3" s="826"/>
      <c r="U3" s="827"/>
      <c r="V3" s="828" t="s">
        <v>66</v>
      </c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829"/>
      <c r="AJ3" s="829"/>
      <c r="AK3" s="829"/>
      <c r="AL3" s="829"/>
      <c r="AM3" s="829"/>
      <c r="AN3" s="830"/>
      <c r="AO3" s="834" t="s">
        <v>67</v>
      </c>
      <c r="AP3" s="826"/>
      <c r="AQ3" s="826"/>
      <c r="AR3" s="826"/>
      <c r="AS3" s="826"/>
      <c r="AT3" s="826"/>
      <c r="AU3" s="826"/>
      <c r="AV3" s="826"/>
      <c r="AW3" s="826"/>
      <c r="AX3" s="826"/>
      <c r="AY3" s="826"/>
      <c r="AZ3" s="826"/>
      <c r="BA3" s="826"/>
      <c r="BB3" s="826"/>
      <c r="BC3" s="826"/>
      <c r="BD3" s="826"/>
      <c r="BE3" s="826"/>
      <c r="BF3" s="826"/>
      <c r="BG3" s="826"/>
      <c r="BH3" s="826"/>
      <c r="BI3" s="826"/>
      <c r="BJ3" s="827"/>
      <c r="BK3" s="831" t="s">
        <v>68</v>
      </c>
      <c r="BL3" s="832"/>
      <c r="BM3" s="832"/>
      <c r="BN3" s="832"/>
      <c r="BO3" s="832"/>
      <c r="BP3" s="832"/>
      <c r="BQ3" s="832"/>
      <c r="BR3" s="833"/>
      <c r="BS3" s="824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7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1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40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5"/>
      <c r="BT4" s="537" t="s">
        <v>115</v>
      </c>
      <c r="BU4" s="537" t="s">
        <v>116</v>
      </c>
      <c r="BV4" s="537" t="s">
        <v>117</v>
      </c>
      <c r="BW4" s="537" t="s">
        <v>117</v>
      </c>
      <c r="BX4" s="818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24120719</v>
      </c>
      <c r="J5" s="636">
        <f>IF(I5&gt;=I4,I5-I4,0)</f>
        <v>0</v>
      </c>
      <c r="K5" s="636">
        <f>M5+O5</f>
        <v>0</v>
      </c>
      <c r="L5" s="770">
        <v>753252</v>
      </c>
      <c r="M5" s="636">
        <f t="shared" ref="M5:M36" si="0">IF(L5&gt;=L4,L5-L4,0)</f>
        <v>0</v>
      </c>
      <c r="N5" s="770">
        <v>614213</v>
      </c>
      <c r="O5" s="636">
        <f t="shared" ref="O5:O36" si="1">IF(N5&gt;=N4,N5-N4,0)</f>
        <v>0</v>
      </c>
      <c r="P5" s="770">
        <v>222231</v>
      </c>
      <c r="Q5" s="636">
        <f t="shared" ref="Q5:Q18" si="2">IF(P5&gt;=P4,P5-P4,0)*30</f>
        <v>0</v>
      </c>
      <c r="R5" s="769">
        <v>186239</v>
      </c>
      <c r="S5" s="636">
        <f t="shared" ref="S5:S20" si="3">IF(R5&gt;=R4,R5-R4,0)</f>
        <v>0</v>
      </c>
      <c r="T5" s="769">
        <v>340453</v>
      </c>
      <c r="U5" s="636">
        <f t="shared" ref="U5:U27" si="4">IF(T5&gt;=T4,T5-T4,0)</f>
        <v>0</v>
      </c>
      <c r="V5" s="769">
        <v>864060</v>
      </c>
      <c r="W5" s="636">
        <f t="shared" ref="W5:W36" si="5">IF(V5&gt;=V4,V5-V4,0)*0.53</f>
        <v>0</v>
      </c>
      <c r="X5" s="770">
        <v>121213</v>
      </c>
      <c r="Y5" s="636">
        <f t="shared" ref="Y5:Y36" si="6">IF(X5&gt;=X4,X5-X4,0)*0.53</f>
        <v>0</v>
      </c>
      <c r="Z5" s="769">
        <v>134949</v>
      </c>
      <c r="AA5" s="636">
        <f t="shared" ref="AA5:AA36" si="7">IF(Z5&gt;=Z4,Z5-Z4,0)*0.53</f>
        <v>0</v>
      </c>
      <c r="AB5" s="769">
        <v>488643</v>
      </c>
      <c r="AC5" s="636">
        <f>IF(AB5&gt;=AB4,AB5-AB4,0)*0.53</f>
        <v>0</v>
      </c>
      <c r="AD5" s="769">
        <v>1562</v>
      </c>
      <c r="AE5" s="636">
        <f>IF(AD5&gt;=AD4,AD5-AD4,0)*0.53</f>
        <v>0</v>
      </c>
      <c r="AF5" s="769">
        <v>836318</v>
      </c>
      <c r="AG5" s="636">
        <f t="shared" ref="AG5:AG12" si="8">IF(AF5&gt;=AF4,AF5-AF4,0)*0.53</f>
        <v>0</v>
      </c>
      <c r="AH5" s="770">
        <v>9065</v>
      </c>
      <c r="AI5" s="636">
        <f t="shared" ref="AI5:AI36" si="9">IF(AH5&gt;=AH4,AH5-AH4,0)*0.53</f>
        <v>0</v>
      </c>
      <c r="AJ5" s="769">
        <v>858266</v>
      </c>
      <c r="AK5" s="636">
        <f t="shared" ref="AK5:AK12" si="10">IF(AJ5&gt;=AJ4,AJ5-AJ4,0)*0.53</f>
        <v>0</v>
      </c>
      <c r="AL5" s="769">
        <v>501158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7657202</v>
      </c>
      <c r="AP5" s="636">
        <f>IF(AO5&gt;=AO4,AO5-AO4,0)*0.1125</f>
        <v>0</v>
      </c>
      <c r="AQ5" s="769">
        <v>686724</v>
      </c>
      <c r="AR5" s="636">
        <f t="shared" ref="AR5:AR36" si="12">IF(AQ5&gt;=AQ4,AQ5-AQ4,0)</f>
        <v>0</v>
      </c>
      <c r="AS5" s="769">
        <v>970212</v>
      </c>
      <c r="AT5" s="636">
        <f>IF(AS5&gt;=AS4,AS5-AS4,0)</f>
        <v>0</v>
      </c>
      <c r="AU5" s="769">
        <v>811396</v>
      </c>
      <c r="AV5" s="636">
        <f t="shared" ref="AV5:AV36" si="13">IF(AU5&gt;=AU4,AU5-AU4,0)</f>
        <v>0</v>
      </c>
      <c r="AW5" s="769">
        <v>2637349</v>
      </c>
      <c r="AX5" s="636">
        <f t="shared" ref="AX5:AX36" si="14">IF(AW5&gt;=AW4,AW5-AW4,0)</f>
        <v>0</v>
      </c>
      <c r="AY5" s="769">
        <v>229718</v>
      </c>
      <c r="AZ5" s="636">
        <f t="shared" ref="AZ5:AZ18" si="15">IF(AY5&gt;=AY4,AY5-AY4,0)</f>
        <v>0</v>
      </c>
      <c r="BA5" s="769">
        <v>19418549</v>
      </c>
      <c r="BB5" s="636">
        <f t="shared" ref="BB5:BF36" si="16">IF(BA5&gt;=BA4,BA5-BA4,0)</f>
        <v>0</v>
      </c>
      <c r="BC5" s="769">
        <v>573740</v>
      </c>
      <c r="BD5" s="636">
        <f t="shared" si="16"/>
        <v>0</v>
      </c>
      <c r="BE5" s="769">
        <v>28262</v>
      </c>
      <c r="BF5" s="636">
        <f t="shared" si="16"/>
        <v>0</v>
      </c>
      <c r="BG5" s="770">
        <v>24283472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1430109</v>
      </c>
      <c r="BL5" s="636">
        <f t="shared" ref="BL5:BL36" si="17">IF(BK5&gt;=BK4,BK5-BK4,0)</f>
        <v>0</v>
      </c>
      <c r="BM5" s="769">
        <v>3956355</v>
      </c>
      <c r="BN5" s="636">
        <f t="shared" ref="BN5:BN36" si="18">IF(BM5&gt;=BM4,BM5-BM4,0)</f>
        <v>0</v>
      </c>
      <c r="BO5" s="707">
        <v>417327</v>
      </c>
      <c r="BP5" s="636">
        <f t="shared" ref="BP5:BP36" si="19">IF(BO5&gt;=BO4,BO5-BO4,0)</f>
        <v>0</v>
      </c>
      <c r="BQ5" s="769">
        <v>521809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24127328</v>
      </c>
      <c r="J6" s="636">
        <f t="shared" ref="J6:J36" si="21">IF(I6&gt;=I5,I6-I5,0)</f>
        <v>6609</v>
      </c>
      <c r="K6" s="636">
        <f t="shared" ref="K6:K36" si="22">M6+O6</f>
        <v>4347</v>
      </c>
      <c r="L6" s="770">
        <v>755602</v>
      </c>
      <c r="M6" s="636">
        <f t="shared" si="0"/>
        <v>2350</v>
      </c>
      <c r="N6" s="770">
        <v>616210</v>
      </c>
      <c r="O6" s="636">
        <f>IF(N6&gt;=N5,N6-N5,0)</f>
        <v>1997</v>
      </c>
      <c r="P6" s="770">
        <v>222251</v>
      </c>
      <c r="Q6" s="636">
        <f t="shared" si="2"/>
        <v>600</v>
      </c>
      <c r="R6" s="769">
        <v>186377</v>
      </c>
      <c r="S6" s="636">
        <f t="shared" si="3"/>
        <v>138</v>
      </c>
      <c r="T6" s="769">
        <v>340718</v>
      </c>
      <c r="U6" s="636">
        <f t="shared" si="4"/>
        <v>265</v>
      </c>
      <c r="V6" s="769">
        <v>868822</v>
      </c>
      <c r="W6" s="636">
        <f t="shared" si="5"/>
        <v>2523.86</v>
      </c>
      <c r="X6" s="770">
        <v>121468</v>
      </c>
      <c r="Y6" s="636">
        <f t="shared" si="6"/>
        <v>135.15</v>
      </c>
      <c r="Z6" s="770">
        <v>135484</v>
      </c>
      <c r="AA6" s="636">
        <f t="shared" si="7"/>
        <v>283.55</v>
      </c>
      <c r="AB6" s="769">
        <v>488524</v>
      </c>
      <c r="AC6" s="636">
        <f>IF(AB6&gt;=AB5,AB6-AB5,0)*0.53</f>
        <v>0</v>
      </c>
      <c r="AD6" s="769">
        <v>1562</v>
      </c>
      <c r="AE6" s="636">
        <f t="shared" ref="AE6:AE36" si="23">IF(AD6&gt;=AD5,AD6-AD5,0)*0.53</f>
        <v>0</v>
      </c>
      <c r="AF6" s="769">
        <v>836345</v>
      </c>
      <c r="AG6" s="636">
        <f t="shared" si="8"/>
        <v>14.31</v>
      </c>
      <c r="AH6" s="770">
        <v>9924</v>
      </c>
      <c r="AI6" s="636">
        <f t="shared" si="9"/>
        <v>455.27000000000004</v>
      </c>
      <c r="AJ6" s="770">
        <v>862994</v>
      </c>
      <c r="AK6" s="636">
        <f t="shared" si="10"/>
        <v>2505.84</v>
      </c>
      <c r="AL6" s="769">
        <v>501553</v>
      </c>
      <c r="AM6" s="636">
        <f t="shared" si="11"/>
        <v>209.35000000000002</v>
      </c>
      <c r="AN6" s="636">
        <f t="shared" ref="AN6:AN36" si="24">W6+Y6+AA6+AC6+AE6+AG6+AI6+AK6+AM6</f>
        <v>6127.3300000000008</v>
      </c>
      <c r="AO6" s="769">
        <v>7657798</v>
      </c>
      <c r="AP6" s="636">
        <f t="shared" ref="AP6:AP36" si="25">IF(AO6&gt;=AO5,AO6-AO5,0)*0.1125</f>
        <v>67.05</v>
      </c>
      <c r="AQ6" s="769">
        <v>687017</v>
      </c>
      <c r="AR6" s="636">
        <f t="shared" si="12"/>
        <v>293</v>
      </c>
      <c r="AS6" s="769">
        <v>970409</v>
      </c>
      <c r="AT6" s="636">
        <f t="shared" ref="AT6:AT34" si="26">IF(AS6&gt;=AS5,AS6-AS5,0)</f>
        <v>197</v>
      </c>
      <c r="AU6" s="710">
        <v>811454</v>
      </c>
      <c r="AV6" s="636">
        <f t="shared" si="13"/>
        <v>58</v>
      </c>
      <c r="AW6" s="770">
        <v>2638012</v>
      </c>
      <c r="AX6" s="636">
        <f t="shared" si="14"/>
        <v>663</v>
      </c>
      <c r="AY6" s="770">
        <v>229724</v>
      </c>
      <c r="AZ6" s="636">
        <f t="shared" si="15"/>
        <v>6</v>
      </c>
      <c r="BA6" s="770">
        <v>19423527</v>
      </c>
      <c r="BB6" s="636">
        <f t="shared" si="16"/>
        <v>4978</v>
      </c>
      <c r="BC6" s="769">
        <v>573998</v>
      </c>
      <c r="BD6" s="636">
        <f t="shared" si="16"/>
        <v>258</v>
      </c>
      <c r="BE6" s="769">
        <v>28317</v>
      </c>
      <c r="BF6" s="636">
        <f t="shared" si="16"/>
        <v>55</v>
      </c>
      <c r="BG6" s="769">
        <v>24288922</v>
      </c>
      <c r="BH6" s="636">
        <f t="shared" ref="BH6:BH36" si="27">IF(BG6&gt;=BG5,BG6-BG5,0)-(0.45*BN6)-(0.45*BP6)-BR6</f>
        <v>4769.3</v>
      </c>
      <c r="BI6" s="636">
        <f t="shared" ref="BI6:BI36" si="28">AP6+AR6+AT6+AV6+AX6+AZ6+BB6+BD6+BF6+BH6</f>
        <v>11344.35</v>
      </c>
      <c r="BJ6" s="636">
        <f t="shared" ref="BJ6:BJ36" si="29">BI6+AN6</f>
        <v>17471.68</v>
      </c>
      <c r="BK6" s="770">
        <v>1430363</v>
      </c>
      <c r="BL6" s="636">
        <f t="shared" si="17"/>
        <v>254</v>
      </c>
      <c r="BM6" s="770">
        <v>3957454</v>
      </c>
      <c r="BN6" s="636">
        <f t="shared" si="18"/>
        <v>1099</v>
      </c>
      <c r="BO6" s="770">
        <v>417454</v>
      </c>
      <c r="BP6" s="636">
        <f t="shared" si="19"/>
        <v>127</v>
      </c>
      <c r="BQ6" s="769">
        <v>521938</v>
      </c>
      <c r="BR6" s="636">
        <f t="shared" si="20"/>
        <v>129</v>
      </c>
      <c r="BS6" s="692">
        <f t="shared" ref="BS6:BS36" si="30">J6+Q6+AN6+BI6</f>
        <v>24680.68</v>
      </c>
      <c r="BT6" s="693">
        <v>230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28652.781999999999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24133043</v>
      </c>
      <c r="J7" s="636">
        <f t="shared" si="21"/>
        <v>5715</v>
      </c>
      <c r="K7" s="636">
        <f t="shared" si="22"/>
        <v>3700</v>
      </c>
      <c r="L7" s="770">
        <v>757511</v>
      </c>
      <c r="M7" s="636">
        <f>IF(L7&gt;=L6,L7-L6,0)</f>
        <v>1909</v>
      </c>
      <c r="N7" s="770">
        <v>618001</v>
      </c>
      <c r="O7" s="636">
        <f>IF(N7&gt;=N6,N7-N6,0)</f>
        <v>1791</v>
      </c>
      <c r="P7" s="770">
        <v>222270</v>
      </c>
      <c r="Q7" s="636">
        <f t="shared" si="2"/>
        <v>570</v>
      </c>
      <c r="R7" s="769">
        <v>186529</v>
      </c>
      <c r="S7" s="636">
        <f t="shared" si="3"/>
        <v>152</v>
      </c>
      <c r="T7" s="769">
        <v>341003</v>
      </c>
      <c r="U7" s="636">
        <f t="shared" si="4"/>
        <v>285</v>
      </c>
      <c r="V7" s="769">
        <v>874026</v>
      </c>
      <c r="W7" s="636">
        <f t="shared" si="5"/>
        <v>2758.1200000000003</v>
      </c>
      <c r="X7" s="770">
        <v>121486</v>
      </c>
      <c r="Y7" s="636">
        <f t="shared" si="6"/>
        <v>9.5400000000000009</v>
      </c>
      <c r="Z7" s="769">
        <v>135484</v>
      </c>
      <c r="AA7" s="636">
        <f t="shared" si="7"/>
        <v>0</v>
      </c>
      <c r="AB7" s="769">
        <v>488524</v>
      </c>
      <c r="AC7" s="636">
        <f t="shared" ref="AC7:AC36" si="34">IF(AB7&gt;=AB6,AB7-AB6,0)*0.53</f>
        <v>0</v>
      </c>
      <c r="AD7" s="769">
        <v>1562</v>
      </c>
      <c r="AE7" s="636">
        <f t="shared" si="23"/>
        <v>0</v>
      </c>
      <c r="AF7" s="769">
        <v>836369</v>
      </c>
      <c r="AG7" s="636">
        <f t="shared" si="8"/>
        <v>12.72</v>
      </c>
      <c r="AH7" s="770">
        <v>10614</v>
      </c>
      <c r="AI7" s="636">
        <f t="shared" si="9"/>
        <v>365.70000000000005</v>
      </c>
      <c r="AJ7" s="770">
        <v>867139</v>
      </c>
      <c r="AK7" s="636">
        <f t="shared" si="10"/>
        <v>2196.85</v>
      </c>
      <c r="AL7" s="769">
        <v>501829</v>
      </c>
      <c r="AM7" s="636">
        <f t="shared" si="11"/>
        <v>146.28</v>
      </c>
      <c r="AN7" s="636">
        <f t="shared" si="24"/>
        <v>5489.21</v>
      </c>
      <c r="AO7" s="769">
        <v>7658972</v>
      </c>
      <c r="AP7" s="636">
        <f t="shared" si="25"/>
        <v>132.07500000000002</v>
      </c>
      <c r="AQ7" s="769">
        <v>687392</v>
      </c>
      <c r="AR7" s="636">
        <f t="shared" si="12"/>
        <v>375</v>
      </c>
      <c r="AS7" s="769">
        <v>970563</v>
      </c>
      <c r="AT7" s="636">
        <f t="shared" si="26"/>
        <v>154</v>
      </c>
      <c r="AU7" s="710">
        <v>811502</v>
      </c>
      <c r="AV7" s="636">
        <f t="shared" si="13"/>
        <v>48</v>
      </c>
      <c r="AW7" s="770">
        <v>2638608</v>
      </c>
      <c r="AX7" s="636">
        <f t="shared" si="14"/>
        <v>596</v>
      </c>
      <c r="AY7" s="769">
        <v>229730</v>
      </c>
      <c r="AZ7" s="636">
        <f t="shared" si="15"/>
        <v>6</v>
      </c>
      <c r="BA7" s="770">
        <v>19428758</v>
      </c>
      <c r="BB7" s="636">
        <f t="shared" si="16"/>
        <v>5231</v>
      </c>
      <c r="BC7" s="769">
        <v>574325</v>
      </c>
      <c r="BD7" s="636">
        <f t="shared" si="16"/>
        <v>327</v>
      </c>
      <c r="BE7" s="769">
        <v>28372</v>
      </c>
      <c r="BF7" s="636">
        <f t="shared" si="16"/>
        <v>55</v>
      </c>
      <c r="BG7" s="770">
        <v>24295115</v>
      </c>
      <c r="BH7" s="636">
        <f t="shared" si="27"/>
        <v>5574.8499999999995</v>
      </c>
      <c r="BI7" s="636">
        <f t="shared" si="28"/>
        <v>12498.924999999999</v>
      </c>
      <c r="BJ7" s="636">
        <f t="shared" si="29"/>
        <v>17988.134999999998</v>
      </c>
      <c r="BK7" s="770">
        <v>1430639</v>
      </c>
      <c r="BL7" s="636">
        <f t="shared" si="17"/>
        <v>276</v>
      </c>
      <c r="BM7" s="770">
        <v>3958383</v>
      </c>
      <c r="BN7" s="636">
        <f t="shared" si="18"/>
        <v>929</v>
      </c>
      <c r="BO7" s="770">
        <v>417592</v>
      </c>
      <c r="BP7" s="636">
        <f t="shared" si="19"/>
        <v>138</v>
      </c>
      <c r="BQ7" s="769">
        <v>522076</v>
      </c>
      <c r="BR7" s="636">
        <f t="shared" si="20"/>
        <v>138</v>
      </c>
      <c r="BS7" s="692">
        <f t="shared" si="30"/>
        <v>24273.134999999998</v>
      </c>
      <c r="BT7" s="693">
        <v>217</v>
      </c>
      <c r="BU7" s="692">
        <f t="shared" si="31"/>
        <v>105.53536956521738</v>
      </c>
      <c r="BV7" s="693"/>
      <c r="BW7" s="692" t="e">
        <f t="shared" si="32"/>
        <v>#DIV/0!</v>
      </c>
      <c r="BX7" s="692">
        <f t="shared" ref="BX7:BX36" si="35">((BS7-Q7)*$BZ$1)+(Q7*$BR$1)</f>
        <v>28170.605249999997</v>
      </c>
      <c r="BY7" s="692">
        <f t="shared" si="33"/>
        <v>122.48089239130434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24139287</v>
      </c>
      <c r="J8" s="636">
        <f t="shared" si="21"/>
        <v>6244</v>
      </c>
      <c r="K8" s="636">
        <f t="shared" si="22"/>
        <v>4033</v>
      </c>
      <c r="L8" s="770">
        <v>759633</v>
      </c>
      <c r="M8" s="636">
        <f>IF(L8&gt;=L7,L8-L7,0)</f>
        <v>2122</v>
      </c>
      <c r="N8" s="770">
        <v>619912</v>
      </c>
      <c r="O8" s="636">
        <f t="shared" ref="O8:O27" si="40">IF(N8&gt;=N7,N8-N7,0)</f>
        <v>1911</v>
      </c>
      <c r="P8" s="770">
        <v>222287</v>
      </c>
      <c r="Q8" s="636">
        <f t="shared" si="2"/>
        <v>510</v>
      </c>
      <c r="R8" s="770">
        <v>186661</v>
      </c>
      <c r="S8" s="636">
        <f t="shared" si="3"/>
        <v>132</v>
      </c>
      <c r="T8" s="769">
        <v>341239</v>
      </c>
      <c r="U8" s="636">
        <f t="shared" si="4"/>
        <v>236</v>
      </c>
      <c r="V8" s="769">
        <v>878452</v>
      </c>
      <c r="W8" s="636">
        <f t="shared" si="5"/>
        <v>2345.7800000000002</v>
      </c>
      <c r="X8" s="770">
        <v>121468</v>
      </c>
      <c r="Y8" s="636">
        <f t="shared" si="6"/>
        <v>0</v>
      </c>
      <c r="Z8" s="769">
        <v>135484</v>
      </c>
      <c r="AA8" s="636">
        <f t="shared" si="7"/>
        <v>0</v>
      </c>
      <c r="AB8" s="769">
        <v>488524</v>
      </c>
      <c r="AC8" s="636">
        <f t="shared" si="34"/>
        <v>0</v>
      </c>
      <c r="AD8" s="769">
        <v>1562</v>
      </c>
      <c r="AE8" s="636">
        <f t="shared" si="23"/>
        <v>0</v>
      </c>
      <c r="AF8" s="769">
        <v>836390</v>
      </c>
      <c r="AG8" s="636">
        <f t="shared" si="8"/>
        <v>11.13</v>
      </c>
      <c r="AH8" s="769">
        <v>11313</v>
      </c>
      <c r="AI8" s="636">
        <f t="shared" si="9"/>
        <v>370.47</v>
      </c>
      <c r="AJ8" s="769">
        <v>871258</v>
      </c>
      <c r="AK8" s="636">
        <f t="shared" si="10"/>
        <v>2183.0700000000002</v>
      </c>
      <c r="AL8" s="769">
        <v>502105</v>
      </c>
      <c r="AM8" s="636">
        <f t="shared" si="11"/>
        <v>146.28</v>
      </c>
      <c r="AN8" s="636">
        <f t="shared" si="24"/>
        <v>5056.7300000000005</v>
      </c>
      <c r="AO8" s="769">
        <v>7659073</v>
      </c>
      <c r="AP8" s="636">
        <f t="shared" si="25"/>
        <v>11.362500000000001</v>
      </c>
      <c r="AQ8" s="770">
        <v>687716</v>
      </c>
      <c r="AR8" s="636">
        <f t="shared" si="12"/>
        <v>324</v>
      </c>
      <c r="AS8" s="770">
        <v>970708</v>
      </c>
      <c r="AT8" s="636">
        <f t="shared" si="26"/>
        <v>145</v>
      </c>
      <c r="AU8" s="769">
        <v>811549</v>
      </c>
      <c r="AV8" s="636">
        <f>IF(AU8&gt;=AU7,AU8-AU7,0)</f>
        <v>47</v>
      </c>
      <c r="AW8" s="769">
        <v>2639264</v>
      </c>
      <c r="AX8" s="636">
        <f t="shared" si="14"/>
        <v>656</v>
      </c>
      <c r="AY8" s="769">
        <v>229733</v>
      </c>
      <c r="AZ8" s="636">
        <f t="shared" si="15"/>
        <v>3</v>
      </c>
      <c r="BA8" s="769">
        <v>19433395</v>
      </c>
      <c r="BB8" s="636">
        <f t="shared" si="16"/>
        <v>4637</v>
      </c>
      <c r="BC8" s="769">
        <v>574579</v>
      </c>
      <c r="BD8" s="636">
        <f t="shared" si="16"/>
        <v>254</v>
      </c>
      <c r="BE8" s="769">
        <v>28429</v>
      </c>
      <c r="BF8" s="636">
        <f t="shared" si="16"/>
        <v>57</v>
      </c>
      <c r="BG8" s="770">
        <v>24300735</v>
      </c>
      <c r="BH8" s="636">
        <f t="shared" si="27"/>
        <v>4968.4500000000007</v>
      </c>
      <c r="BI8" s="636">
        <f t="shared" si="28"/>
        <v>11102.8125</v>
      </c>
      <c r="BJ8" s="636">
        <f t="shared" si="29"/>
        <v>16159.5425</v>
      </c>
      <c r="BK8" s="770">
        <v>1430886</v>
      </c>
      <c r="BL8" s="636">
        <f t="shared" si="17"/>
        <v>247</v>
      </c>
      <c r="BM8" s="769">
        <v>3959420</v>
      </c>
      <c r="BN8" s="636">
        <f t="shared" si="18"/>
        <v>1037</v>
      </c>
      <c r="BO8" s="769">
        <v>417714</v>
      </c>
      <c r="BP8" s="636">
        <f t="shared" si="19"/>
        <v>122</v>
      </c>
      <c r="BQ8" s="769">
        <v>522206</v>
      </c>
      <c r="BR8" s="636">
        <f t="shared" si="20"/>
        <v>130</v>
      </c>
      <c r="BS8" s="692">
        <f t="shared" si="30"/>
        <v>22913.5425</v>
      </c>
      <c r="BT8" s="693">
        <v>256</v>
      </c>
      <c r="BU8" s="692">
        <f t="shared" si="31"/>
        <v>105.59236175115207</v>
      </c>
      <c r="BV8" s="693"/>
      <c r="BW8" s="692" t="e">
        <f t="shared" si="32"/>
        <v>#DIV/0!</v>
      </c>
      <c r="BX8" s="692">
        <f t="shared" si="35"/>
        <v>26580.073874999998</v>
      </c>
      <c r="BY8" s="692">
        <f t="shared" si="33"/>
        <v>122.48881970046082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24145496</v>
      </c>
      <c r="J9" s="636">
        <f>IF(I9&gt;=I8,I9-I8,0)</f>
        <v>6209</v>
      </c>
      <c r="K9" s="636">
        <f t="shared" si="22"/>
        <v>3939</v>
      </c>
      <c r="L9" s="770">
        <v>761853</v>
      </c>
      <c r="M9" s="636">
        <f t="shared" ref="M9:M28" si="41">IF(L9&gt;=L8,L9-L8,0)</f>
        <v>2220</v>
      </c>
      <c r="N9" s="770">
        <v>621631</v>
      </c>
      <c r="O9" s="636">
        <f t="shared" si="40"/>
        <v>1719</v>
      </c>
      <c r="P9" s="770">
        <v>222300</v>
      </c>
      <c r="Q9" s="636">
        <f t="shared" si="2"/>
        <v>390</v>
      </c>
      <c r="R9" s="769">
        <v>186802</v>
      </c>
      <c r="S9" s="636">
        <f t="shared" si="3"/>
        <v>141</v>
      </c>
      <c r="T9" s="769">
        <v>341493</v>
      </c>
      <c r="U9" s="636">
        <f t="shared" si="4"/>
        <v>254</v>
      </c>
      <c r="V9" s="769">
        <v>882713</v>
      </c>
      <c r="W9" s="636">
        <f t="shared" si="5"/>
        <v>2258.33</v>
      </c>
      <c r="X9" s="770">
        <v>121468</v>
      </c>
      <c r="Y9" s="636">
        <f t="shared" si="6"/>
        <v>0</v>
      </c>
      <c r="Z9" s="769">
        <v>135484</v>
      </c>
      <c r="AA9" s="636">
        <f t="shared" si="7"/>
        <v>0</v>
      </c>
      <c r="AB9" s="769">
        <v>488524</v>
      </c>
      <c r="AC9" s="636">
        <f t="shared" si="34"/>
        <v>0</v>
      </c>
      <c r="AD9" s="769">
        <v>1562</v>
      </c>
      <c r="AE9" s="636">
        <f t="shared" si="23"/>
        <v>0</v>
      </c>
      <c r="AF9" s="769">
        <v>836413</v>
      </c>
      <c r="AG9" s="636">
        <f t="shared" si="8"/>
        <v>12.190000000000001</v>
      </c>
      <c r="AH9" s="770">
        <v>12050</v>
      </c>
      <c r="AI9" s="636">
        <f t="shared" si="9"/>
        <v>390.61</v>
      </c>
      <c r="AJ9" s="770">
        <v>875535</v>
      </c>
      <c r="AK9" s="636">
        <f t="shared" si="10"/>
        <v>2266.81</v>
      </c>
      <c r="AL9" s="769">
        <v>502388</v>
      </c>
      <c r="AM9" s="636">
        <f t="shared" si="11"/>
        <v>149.99</v>
      </c>
      <c r="AN9" s="636">
        <f t="shared" si="24"/>
        <v>5077.93</v>
      </c>
      <c r="AO9" s="769">
        <v>7659112</v>
      </c>
      <c r="AP9" s="636">
        <f t="shared" si="25"/>
        <v>4.3875000000000002</v>
      </c>
      <c r="AQ9" s="769">
        <v>688052</v>
      </c>
      <c r="AR9" s="636">
        <f t="shared" si="12"/>
        <v>336</v>
      </c>
      <c r="AS9" s="770">
        <v>970851</v>
      </c>
      <c r="AT9" s="636">
        <f t="shared" si="26"/>
        <v>143</v>
      </c>
      <c r="AU9" s="710">
        <v>811584</v>
      </c>
      <c r="AV9" s="636">
        <f>IF(AU9&gt;=AU8,AU9-AU8,0)</f>
        <v>35</v>
      </c>
      <c r="AW9" s="770">
        <v>2640001</v>
      </c>
      <c r="AX9" s="636">
        <f t="shared" si="14"/>
        <v>737</v>
      </c>
      <c r="AY9" s="769">
        <v>229733</v>
      </c>
      <c r="AZ9" s="636">
        <f t="shared" si="15"/>
        <v>0</v>
      </c>
      <c r="BA9" s="770">
        <v>19438160</v>
      </c>
      <c r="BB9" s="636">
        <f t="shared" si="16"/>
        <v>4765</v>
      </c>
      <c r="BC9" s="769">
        <v>574889</v>
      </c>
      <c r="BD9" s="636">
        <f t="shared" si="16"/>
        <v>310</v>
      </c>
      <c r="BE9" s="769">
        <v>28477</v>
      </c>
      <c r="BF9" s="636">
        <f t="shared" si="16"/>
        <v>48</v>
      </c>
      <c r="BG9" s="770">
        <v>24306638</v>
      </c>
      <c r="BH9" s="636">
        <f t="shared" si="27"/>
        <v>5246.55</v>
      </c>
      <c r="BI9" s="636">
        <f t="shared" si="28"/>
        <v>11624.9375</v>
      </c>
      <c r="BJ9" s="636">
        <f t="shared" si="29"/>
        <v>16702.8675</v>
      </c>
      <c r="BK9" s="770">
        <v>1431120</v>
      </c>
      <c r="BL9" s="636">
        <f t="shared" si="17"/>
        <v>234</v>
      </c>
      <c r="BM9" s="770">
        <v>3960411</v>
      </c>
      <c r="BN9" s="636">
        <f t="shared" si="18"/>
        <v>991</v>
      </c>
      <c r="BO9" s="770">
        <v>417844</v>
      </c>
      <c r="BP9" s="636">
        <f t="shared" si="19"/>
        <v>130</v>
      </c>
      <c r="BQ9" s="769">
        <v>522358</v>
      </c>
      <c r="BR9" s="636">
        <f t="shared" si="20"/>
        <v>152</v>
      </c>
      <c r="BS9" s="692">
        <f t="shared" si="30"/>
        <v>23301.8675</v>
      </c>
      <c r="BT9" s="693">
        <v>237</v>
      </c>
      <c r="BU9" s="692">
        <f t="shared" si="31"/>
        <v>91.022919921875001</v>
      </c>
      <c r="BV9" s="693"/>
      <c r="BW9" s="692" t="e">
        <f t="shared" si="32"/>
        <v>#DIV/0!</v>
      </c>
      <c r="BX9" s="692">
        <f t="shared" si="35"/>
        <v>26972.647624999998</v>
      </c>
      <c r="BY9" s="692">
        <f t="shared" si="33"/>
        <v>105.36190478515624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24151382</v>
      </c>
      <c r="J10" s="636">
        <f>IF(I10&gt;=I9,I10-I9,0)</f>
        <v>5886</v>
      </c>
      <c r="K10" s="636">
        <f t="shared" si="22"/>
        <v>3997</v>
      </c>
      <c r="L10" s="770">
        <v>763976</v>
      </c>
      <c r="M10" s="636">
        <f t="shared" si="41"/>
        <v>2123</v>
      </c>
      <c r="N10" s="770">
        <v>623505</v>
      </c>
      <c r="O10" s="636">
        <f t="shared" si="40"/>
        <v>1874</v>
      </c>
      <c r="P10" s="770">
        <v>222320</v>
      </c>
      <c r="Q10" s="636">
        <f t="shared" si="2"/>
        <v>600</v>
      </c>
      <c r="R10" s="769">
        <v>186938</v>
      </c>
      <c r="S10" s="636">
        <f t="shared" si="3"/>
        <v>136</v>
      </c>
      <c r="T10" s="769">
        <v>341750</v>
      </c>
      <c r="U10" s="636">
        <f t="shared" si="4"/>
        <v>257</v>
      </c>
      <c r="V10" s="769">
        <v>888728</v>
      </c>
      <c r="W10" s="636">
        <f t="shared" si="5"/>
        <v>3187.9500000000003</v>
      </c>
      <c r="X10" s="770">
        <v>121468</v>
      </c>
      <c r="Y10" s="636">
        <f t="shared" si="6"/>
        <v>0</v>
      </c>
      <c r="Z10" s="769">
        <v>135484</v>
      </c>
      <c r="AA10" s="636">
        <f t="shared" si="7"/>
        <v>0</v>
      </c>
      <c r="AB10" s="769">
        <v>488524</v>
      </c>
      <c r="AC10" s="636">
        <f t="shared" si="34"/>
        <v>0</v>
      </c>
      <c r="AD10" s="769">
        <v>1562</v>
      </c>
      <c r="AE10" s="636">
        <f t="shared" si="23"/>
        <v>0</v>
      </c>
      <c r="AF10" s="769">
        <v>836435</v>
      </c>
      <c r="AG10" s="636">
        <f t="shared" si="8"/>
        <v>11.66</v>
      </c>
      <c r="AH10" s="770">
        <v>12772</v>
      </c>
      <c r="AI10" s="636">
        <f t="shared" si="9"/>
        <v>382.66</v>
      </c>
      <c r="AJ10" s="770">
        <v>879481</v>
      </c>
      <c r="AK10" s="636">
        <f t="shared" si="10"/>
        <v>2091.38</v>
      </c>
      <c r="AL10" s="769">
        <v>502672</v>
      </c>
      <c r="AM10" s="636">
        <f t="shared" si="11"/>
        <v>150.52000000000001</v>
      </c>
      <c r="AN10" s="636">
        <f t="shared" si="24"/>
        <v>5824.17</v>
      </c>
      <c r="AO10" s="769">
        <v>7659271</v>
      </c>
      <c r="AP10" s="636">
        <f t="shared" si="25"/>
        <v>17.887499999999999</v>
      </c>
      <c r="AQ10" s="769">
        <v>688363</v>
      </c>
      <c r="AR10" s="636">
        <f t="shared" si="12"/>
        <v>311</v>
      </c>
      <c r="AS10" s="769">
        <v>970984</v>
      </c>
      <c r="AT10" s="636">
        <f t="shared" si="26"/>
        <v>133</v>
      </c>
      <c r="AU10" s="710">
        <v>811623</v>
      </c>
      <c r="AV10" s="636">
        <f>IF(AU10&gt;=AU9,AU10-AU9,0)</f>
        <v>39</v>
      </c>
      <c r="AW10" s="770">
        <v>2640747</v>
      </c>
      <c r="AX10" s="636">
        <f t="shared" si="14"/>
        <v>746</v>
      </c>
      <c r="AY10" s="770">
        <v>229733</v>
      </c>
      <c r="AZ10" s="636">
        <f t="shared" si="15"/>
        <v>0</v>
      </c>
      <c r="BA10" s="769">
        <v>19442632</v>
      </c>
      <c r="BB10" s="636">
        <f t="shared" si="16"/>
        <v>4472</v>
      </c>
      <c r="BC10" s="769">
        <v>575144</v>
      </c>
      <c r="BD10" s="636">
        <f t="shared" si="16"/>
        <v>255</v>
      </c>
      <c r="BE10" s="769">
        <v>28539</v>
      </c>
      <c r="BF10" s="636">
        <f t="shared" si="16"/>
        <v>62</v>
      </c>
      <c r="BG10" s="770">
        <v>24311973</v>
      </c>
      <c r="BH10" s="636">
        <f t="shared" si="27"/>
        <v>4731.7</v>
      </c>
      <c r="BI10" s="636">
        <f t="shared" si="28"/>
        <v>10767.5875</v>
      </c>
      <c r="BJ10" s="636">
        <f t="shared" si="29"/>
        <v>16591.7575</v>
      </c>
      <c r="BK10" s="770">
        <v>1431173</v>
      </c>
      <c r="BL10" s="636">
        <f t="shared" si="17"/>
        <v>53</v>
      </c>
      <c r="BM10" s="770">
        <v>3961342</v>
      </c>
      <c r="BN10" s="636">
        <f t="shared" si="18"/>
        <v>931</v>
      </c>
      <c r="BO10" s="707">
        <v>417967</v>
      </c>
      <c r="BP10" s="636">
        <f t="shared" si="19"/>
        <v>123</v>
      </c>
      <c r="BQ10" s="769">
        <v>522487</v>
      </c>
      <c r="BR10" s="636">
        <f t="shared" si="20"/>
        <v>129</v>
      </c>
      <c r="BS10" s="692">
        <f t="shared" si="30"/>
        <v>23077.7575</v>
      </c>
      <c r="BT10" s="693">
        <v>245</v>
      </c>
      <c r="BU10" s="692">
        <f t="shared" si="31"/>
        <v>97.374504219409275</v>
      </c>
      <c r="BV10" s="693"/>
      <c r="BW10" s="692" t="e">
        <f t="shared" si="32"/>
        <v>#DIV/0!</v>
      </c>
      <c r="BX10" s="692">
        <f t="shared" si="35"/>
        <v>26809.421124999997</v>
      </c>
      <c r="BY10" s="692">
        <f t="shared" si="33"/>
        <v>113.11992035864978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24157764</v>
      </c>
      <c r="J11" s="636">
        <f>IF(I11&gt;=I10,I11-I10,0)</f>
        <v>6382</v>
      </c>
      <c r="K11" s="636">
        <f t="shared" si="22"/>
        <v>4152</v>
      </c>
      <c r="L11" s="769">
        <v>766145</v>
      </c>
      <c r="M11" s="636">
        <f t="shared" si="41"/>
        <v>2169</v>
      </c>
      <c r="N11" s="769">
        <v>625488</v>
      </c>
      <c r="O11" s="636">
        <f t="shared" si="40"/>
        <v>1983</v>
      </c>
      <c r="P11" s="770">
        <v>222340</v>
      </c>
      <c r="Q11" s="636">
        <f t="shared" si="2"/>
        <v>600</v>
      </c>
      <c r="R11" s="769">
        <v>187080</v>
      </c>
      <c r="S11" s="636">
        <f t="shared" si="3"/>
        <v>142</v>
      </c>
      <c r="T11" s="769">
        <v>342021</v>
      </c>
      <c r="U11" s="636">
        <f t="shared" si="4"/>
        <v>271</v>
      </c>
      <c r="V11" s="769">
        <v>891429</v>
      </c>
      <c r="W11" s="636">
        <f t="shared" si="5"/>
        <v>1431.53</v>
      </c>
      <c r="X11" s="770">
        <v>121468</v>
      </c>
      <c r="Y11" s="636">
        <f t="shared" si="6"/>
        <v>0</v>
      </c>
      <c r="Z11" s="773">
        <v>135484</v>
      </c>
      <c r="AA11" s="636">
        <f t="shared" si="7"/>
        <v>0</v>
      </c>
      <c r="AB11" s="769">
        <v>488524</v>
      </c>
      <c r="AC11" s="636">
        <f>IF(AB11&gt;=AB10,AB11-AB10,0)*0.53</f>
        <v>0</v>
      </c>
      <c r="AD11" s="769">
        <v>1562</v>
      </c>
      <c r="AE11" s="636">
        <f t="shared" si="23"/>
        <v>0</v>
      </c>
      <c r="AF11" s="769">
        <v>836457</v>
      </c>
      <c r="AG11" s="636">
        <f t="shared" si="8"/>
        <v>11.66</v>
      </c>
      <c r="AH11" s="769">
        <v>13562</v>
      </c>
      <c r="AI11" s="636">
        <f t="shared" si="9"/>
        <v>418.70000000000005</v>
      </c>
      <c r="AJ11" s="769">
        <v>883943</v>
      </c>
      <c r="AK11" s="636">
        <f t="shared" si="10"/>
        <v>2364.86</v>
      </c>
      <c r="AL11" s="769">
        <v>502969</v>
      </c>
      <c r="AM11" s="636">
        <f t="shared" si="11"/>
        <v>157.41</v>
      </c>
      <c r="AN11" s="636">
        <f t="shared" si="24"/>
        <v>4384.16</v>
      </c>
      <c r="AO11" s="707">
        <v>7660532</v>
      </c>
      <c r="AP11" s="636">
        <f t="shared" si="25"/>
        <v>141.86250000000001</v>
      </c>
      <c r="AQ11" s="769">
        <v>688688</v>
      </c>
      <c r="AR11" s="636">
        <f t="shared" si="12"/>
        <v>325</v>
      </c>
      <c r="AS11" s="770">
        <v>971132</v>
      </c>
      <c r="AT11" s="636">
        <f t="shared" si="26"/>
        <v>148</v>
      </c>
      <c r="AU11" s="770">
        <v>811676</v>
      </c>
      <c r="AV11" s="636">
        <f t="shared" si="13"/>
        <v>53</v>
      </c>
      <c r="AW11" s="769">
        <v>2641517</v>
      </c>
      <c r="AX11" s="636">
        <f t="shared" si="14"/>
        <v>770</v>
      </c>
      <c r="AY11" s="770">
        <v>229733</v>
      </c>
      <c r="AZ11" s="636">
        <f t="shared" si="15"/>
        <v>0</v>
      </c>
      <c r="BA11" s="770">
        <v>19447116</v>
      </c>
      <c r="BB11" s="636">
        <f t="shared" si="16"/>
        <v>4484</v>
      </c>
      <c r="BC11" s="769">
        <v>575367</v>
      </c>
      <c r="BD11" s="636">
        <f t="shared" si="16"/>
        <v>223</v>
      </c>
      <c r="BE11" s="769">
        <v>28582</v>
      </c>
      <c r="BF11" s="636">
        <f t="shared" si="16"/>
        <v>43</v>
      </c>
      <c r="BG11" s="770">
        <v>24317686</v>
      </c>
      <c r="BH11" s="636">
        <f t="shared" si="27"/>
        <v>5143.05</v>
      </c>
      <c r="BI11" s="636">
        <f t="shared" si="28"/>
        <v>11330.9125</v>
      </c>
      <c r="BJ11" s="636">
        <f t="shared" si="29"/>
        <v>15715.0725</v>
      </c>
      <c r="BK11" s="770">
        <v>1431233</v>
      </c>
      <c r="BL11" s="636">
        <f t="shared" si="17"/>
        <v>60</v>
      </c>
      <c r="BM11" s="770">
        <v>3962184</v>
      </c>
      <c r="BN11" s="636">
        <f t="shared" si="18"/>
        <v>842</v>
      </c>
      <c r="BO11" s="769">
        <v>418096</v>
      </c>
      <c r="BP11" s="636">
        <f t="shared" si="19"/>
        <v>129</v>
      </c>
      <c r="BQ11" s="770">
        <v>522620</v>
      </c>
      <c r="BR11" s="636">
        <f t="shared" si="20"/>
        <v>133</v>
      </c>
      <c r="BS11" s="692">
        <f t="shared" si="30"/>
        <v>22697.072500000002</v>
      </c>
      <c r="BT11" s="693">
        <v>200</v>
      </c>
      <c r="BU11" s="692">
        <f t="shared" si="31"/>
        <v>92.641112244897968</v>
      </c>
      <c r="BV11" s="693"/>
      <c r="BW11" s="692" t="e">
        <f t="shared" si="32"/>
        <v>#DIV/0!</v>
      </c>
      <c r="BX11" s="692">
        <f t="shared" si="35"/>
        <v>26371.633375000001</v>
      </c>
      <c r="BY11" s="692">
        <f t="shared" si="33"/>
        <v>107.63931989795918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24164421</v>
      </c>
      <c r="J12" s="636">
        <f>IF(I12&gt;=I11,I12-I11,0)</f>
        <v>6657</v>
      </c>
      <c r="K12" s="636">
        <f t="shared" si="22"/>
        <v>4158</v>
      </c>
      <c r="L12" s="770">
        <v>768413</v>
      </c>
      <c r="M12" s="636">
        <f t="shared" si="41"/>
        <v>2268</v>
      </c>
      <c r="N12" s="770">
        <v>627378</v>
      </c>
      <c r="O12" s="636">
        <f t="shared" si="40"/>
        <v>1890</v>
      </c>
      <c r="P12" s="770">
        <v>222351</v>
      </c>
      <c r="Q12" s="636">
        <f t="shared" si="2"/>
        <v>330</v>
      </c>
      <c r="R12" s="769">
        <v>187224</v>
      </c>
      <c r="S12" s="636">
        <f t="shared" si="3"/>
        <v>144</v>
      </c>
      <c r="T12" s="769">
        <v>342296</v>
      </c>
      <c r="U12" s="636">
        <f t="shared" si="4"/>
        <v>275</v>
      </c>
      <c r="V12" s="769">
        <v>895636</v>
      </c>
      <c r="W12" s="636">
        <f t="shared" si="5"/>
        <v>2229.71</v>
      </c>
      <c r="X12" s="770">
        <v>121504</v>
      </c>
      <c r="Y12" s="636">
        <f t="shared" si="6"/>
        <v>19.080000000000002</v>
      </c>
      <c r="Z12" s="769">
        <v>135511</v>
      </c>
      <c r="AA12" s="636">
        <f t="shared" si="7"/>
        <v>14.31</v>
      </c>
      <c r="AB12" s="769">
        <v>488566</v>
      </c>
      <c r="AC12" s="636">
        <f t="shared" si="34"/>
        <v>22.26</v>
      </c>
      <c r="AD12" s="769">
        <v>1562</v>
      </c>
      <c r="AE12" s="636">
        <f t="shared" si="23"/>
        <v>0</v>
      </c>
      <c r="AF12" s="769">
        <v>836480</v>
      </c>
      <c r="AG12" s="636">
        <f t="shared" si="8"/>
        <v>12.190000000000001</v>
      </c>
      <c r="AH12" s="769">
        <v>14457</v>
      </c>
      <c r="AI12" s="636">
        <f t="shared" si="9"/>
        <v>474.35</v>
      </c>
      <c r="AJ12" s="770">
        <v>888429</v>
      </c>
      <c r="AK12" s="636">
        <f t="shared" si="10"/>
        <v>2377.58</v>
      </c>
      <c r="AL12" s="769">
        <v>503268</v>
      </c>
      <c r="AM12" s="636">
        <f t="shared" si="11"/>
        <v>158.47</v>
      </c>
      <c r="AN12" s="636">
        <f t="shared" si="24"/>
        <v>5307.95</v>
      </c>
      <c r="AO12" s="769">
        <v>7661574</v>
      </c>
      <c r="AP12" s="636">
        <f t="shared" si="25"/>
        <v>117.22500000000001</v>
      </c>
      <c r="AQ12" s="770">
        <v>689013</v>
      </c>
      <c r="AR12" s="636">
        <f t="shared" si="12"/>
        <v>325</v>
      </c>
      <c r="AS12" s="769">
        <v>971289</v>
      </c>
      <c r="AT12" s="636">
        <f t="shared" si="26"/>
        <v>157</v>
      </c>
      <c r="AU12" s="710">
        <v>811728</v>
      </c>
      <c r="AV12" s="636">
        <f t="shared" si="13"/>
        <v>52</v>
      </c>
      <c r="AW12" s="770">
        <v>2642237</v>
      </c>
      <c r="AX12" s="636">
        <f t="shared" si="14"/>
        <v>720</v>
      </c>
      <c r="AY12" s="769">
        <v>229733</v>
      </c>
      <c r="AZ12" s="636">
        <f t="shared" si="15"/>
        <v>0</v>
      </c>
      <c r="BA12" s="770">
        <v>19452077</v>
      </c>
      <c r="BB12" s="636">
        <f t="shared" si="16"/>
        <v>4961</v>
      </c>
      <c r="BC12" s="769">
        <v>575610</v>
      </c>
      <c r="BD12" s="636">
        <f t="shared" si="16"/>
        <v>243</v>
      </c>
      <c r="BE12" s="769">
        <v>28655</v>
      </c>
      <c r="BF12" s="636">
        <f t="shared" si="16"/>
        <v>73</v>
      </c>
      <c r="BG12" s="770">
        <v>24323385</v>
      </c>
      <c r="BH12" s="636">
        <f t="shared" si="27"/>
        <v>5105</v>
      </c>
      <c r="BI12" s="636">
        <f t="shared" si="28"/>
        <v>11753.225</v>
      </c>
      <c r="BJ12" s="636">
        <f t="shared" si="29"/>
        <v>17061.174999999999</v>
      </c>
      <c r="BK12" s="770">
        <v>1431295</v>
      </c>
      <c r="BL12" s="636">
        <f t="shared" si="17"/>
        <v>62</v>
      </c>
      <c r="BM12" s="770">
        <v>3963074</v>
      </c>
      <c r="BN12" s="636">
        <f t="shared" si="18"/>
        <v>890</v>
      </c>
      <c r="BO12" s="770">
        <v>418226</v>
      </c>
      <c r="BP12" s="636">
        <f t="shared" si="19"/>
        <v>130</v>
      </c>
      <c r="BQ12" s="769">
        <v>522755</v>
      </c>
      <c r="BR12" s="636">
        <f t="shared" ref="BR12:BR36" si="42">IF(BQ12&gt;=BQ11,BQ12-BQ11,0)</f>
        <v>135</v>
      </c>
      <c r="BS12" s="692">
        <f t="shared" si="30"/>
        <v>24048.175000000003</v>
      </c>
      <c r="BT12" s="693">
        <v>184</v>
      </c>
      <c r="BU12" s="692">
        <f t="shared" si="31"/>
        <v>120.24087500000002</v>
      </c>
      <c r="BV12" s="693"/>
      <c r="BW12" s="692" t="e">
        <f t="shared" si="32"/>
        <v>#DIV/0!</v>
      </c>
      <c r="BX12" s="692">
        <f t="shared" si="35"/>
        <v>27803.901250000003</v>
      </c>
      <c r="BY12" s="692">
        <f t="shared" si="33"/>
        <v>139.01950625000001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24170756</v>
      </c>
      <c r="J13" s="636">
        <f t="shared" si="21"/>
        <v>6335</v>
      </c>
      <c r="K13" s="636">
        <f t="shared" si="22"/>
        <v>3912</v>
      </c>
      <c r="L13" s="770">
        <v>770582</v>
      </c>
      <c r="M13" s="636">
        <f t="shared" si="41"/>
        <v>2169</v>
      </c>
      <c r="N13" s="770">
        <v>629121</v>
      </c>
      <c r="O13" s="636">
        <f t="shared" si="40"/>
        <v>1743</v>
      </c>
      <c r="P13" s="770">
        <v>222371</v>
      </c>
      <c r="Q13" s="636">
        <f t="shared" si="2"/>
        <v>600</v>
      </c>
      <c r="R13" s="769">
        <v>187362</v>
      </c>
      <c r="S13" s="636">
        <f t="shared" si="3"/>
        <v>138</v>
      </c>
      <c r="T13" s="769">
        <v>342558</v>
      </c>
      <c r="U13" s="636">
        <f t="shared" si="4"/>
        <v>262</v>
      </c>
      <c r="V13" s="769">
        <v>899226</v>
      </c>
      <c r="W13" s="636">
        <f t="shared" si="5"/>
        <v>1902.7</v>
      </c>
      <c r="X13" s="770">
        <v>121504</v>
      </c>
      <c r="Y13" s="636">
        <f t="shared" si="6"/>
        <v>0</v>
      </c>
      <c r="Z13" s="769">
        <v>135511</v>
      </c>
      <c r="AA13" s="636">
        <f t="shared" si="7"/>
        <v>0</v>
      </c>
      <c r="AB13" s="769">
        <v>488566</v>
      </c>
      <c r="AC13" s="636">
        <f t="shared" si="34"/>
        <v>0</v>
      </c>
      <c r="AD13" s="769">
        <v>1562</v>
      </c>
      <c r="AE13" s="636">
        <f t="shared" si="23"/>
        <v>0</v>
      </c>
      <c r="AF13" s="769">
        <v>836501</v>
      </c>
      <c r="AG13" s="636">
        <f t="shared" ref="AG13:AG36" si="43">IF(AF13&gt;=AF12,AF13-AF12,0)*0.53</f>
        <v>11.13</v>
      </c>
      <c r="AH13" s="770">
        <v>15319</v>
      </c>
      <c r="AI13" s="636">
        <f t="shared" si="9"/>
        <v>456.86</v>
      </c>
      <c r="AJ13" s="770">
        <v>892733</v>
      </c>
      <c r="AK13" s="636">
        <f t="shared" ref="AK13" si="44">IF(AJ13&gt;=AJ12,AJ13-AJ12,0)*0.53</f>
        <v>2281.12</v>
      </c>
      <c r="AL13" s="769">
        <v>503553</v>
      </c>
      <c r="AM13" s="636">
        <f t="shared" si="11"/>
        <v>151.05000000000001</v>
      </c>
      <c r="AN13" s="636">
        <f t="shared" si="24"/>
        <v>4802.8599999999997</v>
      </c>
      <c r="AO13" s="769">
        <v>7662767</v>
      </c>
      <c r="AP13" s="636">
        <f t="shared" si="25"/>
        <v>134.21250000000001</v>
      </c>
      <c r="AQ13" s="769">
        <v>689328</v>
      </c>
      <c r="AR13" s="636">
        <f t="shared" si="12"/>
        <v>315</v>
      </c>
      <c r="AS13" s="770">
        <v>971442</v>
      </c>
      <c r="AT13" s="636">
        <f t="shared" si="26"/>
        <v>153</v>
      </c>
      <c r="AU13" s="770">
        <v>811777</v>
      </c>
      <c r="AV13" s="636">
        <f t="shared" si="13"/>
        <v>49</v>
      </c>
      <c r="AW13" s="770">
        <v>2642939</v>
      </c>
      <c r="AX13" s="636">
        <f t="shared" si="14"/>
        <v>702</v>
      </c>
      <c r="AY13" s="770">
        <v>229733</v>
      </c>
      <c r="AZ13" s="636">
        <f t="shared" si="15"/>
        <v>0</v>
      </c>
      <c r="BA13" s="770">
        <v>19456586</v>
      </c>
      <c r="BB13" s="636">
        <f t="shared" si="16"/>
        <v>4509</v>
      </c>
      <c r="BC13" s="769">
        <v>575842</v>
      </c>
      <c r="BD13" s="636">
        <f t="shared" si="16"/>
        <v>232</v>
      </c>
      <c r="BE13" s="769">
        <v>28709</v>
      </c>
      <c r="BF13" s="636">
        <f t="shared" si="16"/>
        <v>54</v>
      </c>
      <c r="BG13" s="770">
        <v>24329034</v>
      </c>
      <c r="BH13" s="636">
        <f t="shared" si="27"/>
        <v>5007.3999999999996</v>
      </c>
      <c r="BI13" s="636">
        <f t="shared" si="28"/>
        <v>11155.612499999999</v>
      </c>
      <c r="BJ13" s="636">
        <f t="shared" si="29"/>
        <v>15958.4725</v>
      </c>
      <c r="BK13" s="770">
        <v>1431467</v>
      </c>
      <c r="BL13" s="636">
        <f t="shared" si="17"/>
        <v>172</v>
      </c>
      <c r="BM13" s="770">
        <v>3964034</v>
      </c>
      <c r="BN13" s="636">
        <f t="shared" si="18"/>
        <v>960</v>
      </c>
      <c r="BO13" s="770">
        <v>418354</v>
      </c>
      <c r="BP13" s="636">
        <f t="shared" si="19"/>
        <v>128</v>
      </c>
      <c r="BQ13" s="770">
        <v>522907</v>
      </c>
      <c r="BR13" s="636">
        <f t="shared" si="42"/>
        <v>152</v>
      </c>
      <c r="BS13" s="692">
        <f t="shared" si="30"/>
        <v>22893.4725</v>
      </c>
      <c r="BT13" s="693">
        <v>155</v>
      </c>
      <c r="BU13" s="692">
        <f t="shared" ref="BU13:BU19" si="45">IF(BS13&gt;0,BS13/BT12,0)</f>
        <v>124.42104619565217</v>
      </c>
      <c r="BV13" s="693"/>
      <c r="BW13" s="692" t="e">
        <f t="shared" si="32"/>
        <v>#DIV/0!</v>
      </c>
      <c r="BX13" s="692">
        <f t="shared" si="35"/>
        <v>26597.493374999998</v>
      </c>
      <c r="BY13" s="692">
        <f t="shared" si="33"/>
        <v>144.55159442934783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24177611</v>
      </c>
      <c r="J14" s="636">
        <f t="shared" si="21"/>
        <v>6855</v>
      </c>
      <c r="K14" s="636">
        <f t="shared" si="22"/>
        <v>4268</v>
      </c>
      <c r="L14" s="770">
        <v>772923</v>
      </c>
      <c r="M14" s="636">
        <f t="shared" si="41"/>
        <v>2341</v>
      </c>
      <c r="N14" s="770">
        <v>631048</v>
      </c>
      <c r="O14" s="636">
        <f t="shared" si="40"/>
        <v>1927</v>
      </c>
      <c r="P14" s="770">
        <v>222391</v>
      </c>
      <c r="Q14" s="636">
        <f t="shared" si="2"/>
        <v>600</v>
      </c>
      <c r="R14" s="769">
        <v>187506</v>
      </c>
      <c r="S14" s="636">
        <f t="shared" si="3"/>
        <v>144</v>
      </c>
      <c r="T14" s="769">
        <v>342829</v>
      </c>
      <c r="U14" s="636">
        <f t="shared" si="4"/>
        <v>271</v>
      </c>
      <c r="V14" s="769">
        <v>903156</v>
      </c>
      <c r="W14" s="636">
        <f t="shared" si="5"/>
        <v>2082.9</v>
      </c>
      <c r="X14" s="770">
        <v>121574</v>
      </c>
      <c r="Y14" s="636">
        <f t="shared" si="6"/>
        <v>37.1</v>
      </c>
      <c r="Z14" s="770">
        <v>135511</v>
      </c>
      <c r="AA14" s="636">
        <f t="shared" si="7"/>
        <v>0</v>
      </c>
      <c r="AB14" s="769">
        <v>488566</v>
      </c>
      <c r="AC14" s="636">
        <f t="shared" si="34"/>
        <v>0</v>
      </c>
      <c r="AD14" s="769">
        <v>1562</v>
      </c>
      <c r="AE14" s="636">
        <f t="shared" si="23"/>
        <v>0</v>
      </c>
      <c r="AF14" s="769">
        <v>836525</v>
      </c>
      <c r="AG14" s="636">
        <f t="shared" si="43"/>
        <v>12.72</v>
      </c>
      <c r="AH14" s="769">
        <v>16218</v>
      </c>
      <c r="AI14" s="636">
        <f t="shared" si="9"/>
        <v>476.47</v>
      </c>
      <c r="AJ14" s="769">
        <v>897578</v>
      </c>
      <c r="AK14" s="636">
        <f t="shared" ref="AK14:AK36" si="46">IF(AJ14&gt;=AJ13,AJ14-AJ13,0)*0.53</f>
        <v>2567.85</v>
      </c>
      <c r="AL14" s="769">
        <v>503856</v>
      </c>
      <c r="AM14" s="636">
        <f t="shared" si="11"/>
        <v>160.59</v>
      </c>
      <c r="AN14" s="636">
        <f t="shared" si="24"/>
        <v>5337.6299999999992</v>
      </c>
      <c r="AO14" s="769">
        <v>7663503</v>
      </c>
      <c r="AP14" s="636">
        <f t="shared" si="25"/>
        <v>82.8</v>
      </c>
      <c r="AQ14" s="770">
        <v>689651</v>
      </c>
      <c r="AR14" s="636">
        <f t="shared" si="12"/>
        <v>323</v>
      </c>
      <c r="AS14" s="770">
        <v>971605</v>
      </c>
      <c r="AT14" s="636">
        <f t="shared" si="26"/>
        <v>163</v>
      </c>
      <c r="AU14" s="770">
        <v>811828</v>
      </c>
      <c r="AV14" s="636">
        <f t="shared" si="13"/>
        <v>51</v>
      </c>
      <c r="AW14" s="769">
        <v>2643585</v>
      </c>
      <c r="AX14" s="636">
        <f t="shared" si="14"/>
        <v>646</v>
      </c>
      <c r="AY14" s="770">
        <v>229733</v>
      </c>
      <c r="AZ14" s="636">
        <f t="shared" si="15"/>
        <v>0</v>
      </c>
      <c r="BA14" s="770">
        <v>19461536</v>
      </c>
      <c r="BB14" s="636">
        <f t="shared" si="16"/>
        <v>4950</v>
      </c>
      <c r="BC14" s="769">
        <v>576088</v>
      </c>
      <c r="BD14" s="636">
        <f t="shared" si="16"/>
        <v>246</v>
      </c>
      <c r="BE14" s="769">
        <v>28767</v>
      </c>
      <c r="BF14" s="636">
        <f t="shared" si="16"/>
        <v>58</v>
      </c>
      <c r="BG14" s="770">
        <v>24334760</v>
      </c>
      <c r="BH14" s="636">
        <f t="shared" si="27"/>
        <v>5095.1499999999996</v>
      </c>
      <c r="BI14" s="636">
        <f t="shared" si="28"/>
        <v>11614.95</v>
      </c>
      <c r="BJ14" s="636">
        <f t="shared" si="29"/>
        <v>16952.580000000002</v>
      </c>
      <c r="BK14" s="770">
        <v>1431716</v>
      </c>
      <c r="BL14" s="636">
        <f t="shared" si="17"/>
        <v>249</v>
      </c>
      <c r="BM14" s="770">
        <v>3965019</v>
      </c>
      <c r="BN14" s="636">
        <f t="shared" si="18"/>
        <v>985</v>
      </c>
      <c r="BO14" s="770">
        <v>418482</v>
      </c>
      <c r="BP14" s="636">
        <f t="shared" si="19"/>
        <v>128</v>
      </c>
      <c r="BQ14" s="770">
        <v>523037</v>
      </c>
      <c r="BR14" s="636">
        <f t="shared" si="42"/>
        <v>130</v>
      </c>
      <c r="BS14" s="692">
        <f t="shared" si="30"/>
        <v>24407.58</v>
      </c>
      <c r="BT14" s="693">
        <v>186</v>
      </c>
      <c r="BU14" s="692">
        <f t="shared" si="45"/>
        <v>157.46825806451614</v>
      </c>
      <c r="BV14" s="693"/>
      <c r="BW14" s="692" t="e">
        <f t="shared" si="32"/>
        <v>#DIV/0!</v>
      </c>
      <c r="BX14" s="692">
        <f t="shared" si="35"/>
        <v>28338.717000000001</v>
      </c>
      <c r="BY14" s="692">
        <f t="shared" si="33"/>
        <v>182.83043225806452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24184424</v>
      </c>
      <c r="J15" s="636">
        <f t="shared" si="21"/>
        <v>6813</v>
      </c>
      <c r="K15" s="636">
        <f t="shared" si="22"/>
        <v>4241</v>
      </c>
      <c r="L15" s="770">
        <v>775311</v>
      </c>
      <c r="M15" s="636">
        <f t="shared" si="41"/>
        <v>2388</v>
      </c>
      <c r="N15" s="770">
        <v>632901</v>
      </c>
      <c r="O15" s="636">
        <f t="shared" si="40"/>
        <v>1853</v>
      </c>
      <c r="P15" s="770">
        <v>222411</v>
      </c>
      <c r="Q15" s="636">
        <f t="shared" si="2"/>
        <v>600</v>
      </c>
      <c r="R15" s="769">
        <v>187643</v>
      </c>
      <c r="S15" s="636">
        <f t="shared" si="3"/>
        <v>137</v>
      </c>
      <c r="T15" s="769">
        <v>343080</v>
      </c>
      <c r="U15" s="636">
        <f t="shared" si="4"/>
        <v>251</v>
      </c>
      <c r="V15" s="769">
        <v>905969</v>
      </c>
      <c r="W15" s="636">
        <f t="shared" si="5"/>
        <v>1490.89</v>
      </c>
      <c r="X15" s="770">
        <v>121574</v>
      </c>
      <c r="Y15" s="636">
        <f t="shared" si="6"/>
        <v>0</v>
      </c>
      <c r="Z15" s="770">
        <v>135511</v>
      </c>
      <c r="AA15" s="636">
        <f t="shared" si="7"/>
        <v>0</v>
      </c>
      <c r="AB15" s="769">
        <v>488566</v>
      </c>
      <c r="AC15" s="636">
        <f t="shared" si="34"/>
        <v>0</v>
      </c>
      <c r="AD15" s="769">
        <v>1562</v>
      </c>
      <c r="AE15" s="636">
        <f t="shared" si="23"/>
        <v>0</v>
      </c>
      <c r="AF15" s="769">
        <v>836548</v>
      </c>
      <c r="AG15" s="636">
        <f t="shared" si="43"/>
        <v>12.190000000000001</v>
      </c>
      <c r="AH15" s="770">
        <v>17024</v>
      </c>
      <c r="AI15" s="636">
        <f t="shared" si="9"/>
        <v>427.18</v>
      </c>
      <c r="AJ15" s="770">
        <v>901951</v>
      </c>
      <c r="AK15" s="636">
        <f t="shared" si="46"/>
        <v>2317.69</v>
      </c>
      <c r="AL15" s="769">
        <v>504137</v>
      </c>
      <c r="AM15" s="636">
        <f t="shared" si="11"/>
        <v>148.93</v>
      </c>
      <c r="AN15" s="636">
        <f t="shared" si="24"/>
        <v>4396.880000000001</v>
      </c>
      <c r="AO15" s="769">
        <v>7664069</v>
      </c>
      <c r="AP15" s="636">
        <f t="shared" si="25"/>
        <v>63.675000000000004</v>
      </c>
      <c r="AQ15" s="769">
        <v>689951</v>
      </c>
      <c r="AR15" s="636">
        <f t="shared" si="12"/>
        <v>300</v>
      </c>
      <c r="AS15" s="770">
        <v>971780</v>
      </c>
      <c r="AT15" s="636">
        <f t="shared" si="26"/>
        <v>175</v>
      </c>
      <c r="AU15" s="769">
        <v>811875</v>
      </c>
      <c r="AV15" s="636">
        <f t="shared" si="13"/>
        <v>47</v>
      </c>
      <c r="AW15" s="770">
        <v>2644076</v>
      </c>
      <c r="AX15" s="636">
        <f t="shared" si="14"/>
        <v>491</v>
      </c>
      <c r="AY15" s="770">
        <v>229733</v>
      </c>
      <c r="AZ15" s="636">
        <f t="shared" si="15"/>
        <v>0</v>
      </c>
      <c r="BA15" s="770">
        <v>19466274</v>
      </c>
      <c r="BB15" s="636">
        <f t="shared" si="16"/>
        <v>4738</v>
      </c>
      <c r="BC15" s="769">
        <v>576331</v>
      </c>
      <c r="BD15" s="636">
        <f t="shared" si="16"/>
        <v>243</v>
      </c>
      <c r="BE15" s="769">
        <v>28821</v>
      </c>
      <c r="BF15" s="636">
        <f t="shared" si="16"/>
        <v>54</v>
      </c>
      <c r="BG15" s="770">
        <v>24340335</v>
      </c>
      <c r="BH15" s="636">
        <f t="shared" si="27"/>
        <v>4950.75</v>
      </c>
      <c r="BI15" s="636">
        <f t="shared" si="28"/>
        <v>11062.424999999999</v>
      </c>
      <c r="BJ15" s="636">
        <f t="shared" si="29"/>
        <v>15459.305</v>
      </c>
      <c r="BK15" s="770">
        <v>1431962</v>
      </c>
      <c r="BL15" s="636">
        <f t="shared" si="17"/>
        <v>246</v>
      </c>
      <c r="BM15" s="770">
        <v>3965997</v>
      </c>
      <c r="BN15" s="636">
        <f t="shared" si="18"/>
        <v>978</v>
      </c>
      <c r="BO15" s="770">
        <v>418609</v>
      </c>
      <c r="BP15" s="636">
        <f t="shared" si="19"/>
        <v>127</v>
      </c>
      <c r="BQ15" s="770">
        <v>523164</v>
      </c>
      <c r="BR15" s="636">
        <f t="shared" si="42"/>
        <v>127</v>
      </c>
      <c r="BS15" s="692">
        <f t="shared" si="30"/>
        <v>22872.305</v>
      </c>
      <c r="BT15" s="693">
        <v>239</v>
      </c>
      <c r="BU15" s="692">
        <f t="shared" si="45"/>
        <v>122.96938172043011</v>
      </c>
      <c r="BV15" s="693"/>
      <c r="BW15" s="692" t="e">
        <f t="shared" si="32"/>
        <v>#DIV/0!</v>
      </c>
      <c r="BX15" s="692">
        <f t="shared" si="35"/>
        <v>26573.150749999997</v>
      </c>
      <c r="BY15" s="692">
        <f t="shared" si="33"/>
        <v>142.86640188172041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24191743</v>
      </c>
      <c r="J16" s="636">
        <f t="shared" si="21"/>
        <v>7319</v>
      </c>
      <c r="K16" s="636">
        <f t="shared" si="22"/>
        <v>4365</v>
      </c>
      <c r="L16" s="770">
        <v>777787</v>
      </c>
      <c r="M16" s="636">
        <f t="shared" si="41"/>
        <v>2476</v>
      </c>
      <c r="N16" s="769">
        <v>634790</v>
      </c>
      <c r="O16" s="636">
        <f t="shared" si="40"/>
        <v>1889</v>
      </c>
      <c r="P16" s="770">
        <v>222431</v>
      </c>
      <c r="Q16" s="636">
        <f t="shared" si="2"/>
        <v>600</v>
      </c>
      <c r="R16" s="769">
        <v>187784</v>
      </c>
      <c r="S16" s="636">
        <f t="shared" si="3"/>
        <v>141</v>
      </c>
      <c r="T16" s="769">
        <v>343332</v>
      </c>
      <c r="U16" s="636">
        <f t="shared" si="4"/>
        <v>252</v>
      </c>
      <c r="V16" s="769">
        <v>908154</v>
      </c>
      <c r="W16" s="636">
        <f t="shared" si="5"/>
        <v>1158.05</v>
      </c>
      <c r="X16" s="770">
        <v>121574</v>
      </c>
      <c r="Y16" s="636">
        <f t="shared" si="6"/>
        <v>0</v>
      </c>
      <c r="Z16" s="770">
        <v>135511</v>
      </c>
      <c r="AA16" s="636">
        <f t="shared" si="7"/>
        <v>0</v>
      </c>
      <c r="AB16" s="769">
        <v>488566</v>
      </c>
      <c r="AC16" s="636">
        <f t="shared" si="34"/>
        <v>0</v>
      </c>
      <c r="AD16" s="769">
        <v>1562</v>
      </c>
      <c r="AE16" s="636">
        <f t="shared" si="23"/>
        <v>0</v>
      </c>
      <c r="AF16" s="769">
        <v>836573</v>
      </c>
      <c r="AG16" s="636">
        <f t="shared" si="43"/>
        <v>13.25</v>
      </c>
      <c r="AH16" s="769">
        <v>17863</v>
      </c>
      <c r="AI16" s="636">
        <f t="shared" si="9"/>
        <v>444.67</v>
      </c>
      <c r="AJ16" s="769">
        <v>906233</v>
      </c>
      <c r="AK16" s="636">
        <f t="shared" si="46"/>
        <v>2269.46</v>
      </c>
      <c r="AL16" s="769">
        <v>504423</v>
      </c>
      <c r="AM16" s="636">
        <f t="shared" si="11"/>
        <v>151.58000000000001</v>
      </c>
      <c r="AN16" s="636">
        <f t="shared" si="24"/>
        <v>4037.01</v>
      </c>
      <c r="AO16" s="769">
        <v>7664732</v>
      </c>
      <c r="AP16" s="636">
        <f t="shared" si="25"/>
        <v>74.587500000000006</v>
      </c>
      <c r="AQ16" s="769">
        <v>690274</v>
      </c>
      <c r="AR16" s="636">
        <f t="shared" si="12"/>
        <v>323</v>
      </c>
      <c r="AS16" s="769">
        <v>971951</v>
      </c>
      <c r="AT16" s="636">
        <f t="shared" si="26"/>
        <v>171</v>
      </c>
      <c r="AU16" s="769">
        <v>811917</v>
      </c>
      <c r="AV16" s="636">
        <f t="shared" si="13"/>
        <v>42</v>
      </c>
      <c r="AW16" s="769">
        <v>2644869</v>
      </c>
      <c r="AX16" s="636">
        <f t="shared" si="14"/>
        <v>793</v>
      </c>
      <c r="AY16" s="769">
        <v>229733</v>
      </c>
      <c r="AZ16" s="636">
        <f t="shared" si="15"/>
        <v>0</v>
      </c>
      <c r="BA16" s="769">
        <v>19470870</v>
      </c>
      <c r="BB16" s="636">
        <f t="shared" si="16"/>
        <v>4596</v>
      </c>
      <c r="BC16" s="769">
        <v>576566</v>
      </c>
      <c r="BD16" s="636">
        <f t="shared" si="16"/>
        <v>235</v>
      </c>
      <c r="BE16" s="769">
        <v>28878</v>
      </c>
      <c r="BF16" s="636">
        <f t="shared" si="16"/>
        <v>57</v>
      </c>
      <c r="BG16" s="770">
        <v>24346073</v>
      </c>
      <c r="BH16" s="636">
        <f t="shared" si="27"/>
        <v>5101.8500000000004</v>
      </c>
      <c r="BI16" s="636">
        <f t="shared" si="28"/>
        <v>11393.4375</v>
      </c>
      <c r="BJ16" s="636">
        <f t="shared" si="29"/>
        <v>15430.4475</v>
      </c>
      <c r="BK16" s="770">
        <v>1432219</v>
      </c>
      <c r="BL16" s="636">
        <f t="shared" si="17"/>
        <v>257</v>
      </c>
      <c r="BM16" s="770">
        <v>3966994</v>
      </c>
      <c r="BN16" s="636">
        <f t="shared" si="18"/>
        <v>997</v>
      </c>
      <c r="BO16" s="769">
        <v>418739</v>
      </c>
      <c r="BP16" s="636">
        <f t="shared" si="19"/>
        <v>130</v>
      </c>
      <c r="BQ16" s="769">
        <v>523293</v>
      </c>
      <c r="BR16" s="636">
        <f t="shared" si="42"/>
        <v>129</v>
      </c>
      <c r="BS16" s="692">
        <f t="shared" si="30"/>
        <v>23349.447500000002</v>
      </c>
      <c r="BT16" s="693">
        <v>239</v>
      </c>
      <c r="BU16" s="692">
        <f t="shared" si="45"/>
        <v>97.69643305439331</v>
      </c>
      <c r="BV16" s="693"/>
      <c r="BW16" s="692" t="e">
        <f t="shared" si="32"/>
        <v>#DIV/0!</v>
      </c>
      <c r="BX16" s="692">
        <f t="shared" si="35"/>
        <v>27121.864625000002</v>
      </c>
      <c r="BY16" s="692">
        <f>IF(BX16&gt;0,BX16/BT15,0)</f>
        <v>113.48060512552303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24198924</v>
      </c>
      <c r="J17" s="636">
        <f>IF(I17&gt;=I16,I17-I16,0)</f>
        <v>7181</v>
      </c>
      <c r="K17" s="636">
        <f t="shared" si="22"/>
        <v>4425</v>
      </c>
      <c r="L17" s="769">
        <v>780511</v>
      </c>
      <c r="M17" s="636">
        <f t="shared" si="41"/>
        <v>2724</v>
      </c>
      <c r="N17" s="769">
        <v>636491</v>
      </c>
      <c r="O17" s="636">
        <f t="shared" si="40"/>
        <v>1701</v>
      </c>
      <c r="P17" s="770">
        <v>222450</v>
      </c>
      <c r="Q17" s="636">
        <f t="shared" si="2"/>
        <v>570</v>
      </c>
      <c r="R17" s="769">
        <v>187928</v>
      </c>
      <c r="S17" s="636">
        <f t="shared" si="3"/>
        <v>144</v>
      </c>
      <c r="T17" s="769">
        <v>343596</v>
      </c>
      <c r="U17" s="636">
        <f t="shared" si="4"/>
        <v>264</v>
      </c>
      <c r="V17" s="769">
        <v>909976</v>
      </c>
      <c r="W17" s="636">
        <f t="shared" si="5"/>
        <v>965.66000000000008</v>
      </c>
      <c r="X17" s="770">
        <v>121574</v>
      </c>
      <c r="Y17" s="636">
        <f t="shared" si="6"/>
        <v>0</v>
      </c>
      <c r="Z17" s="773">
        <v>135511</v>
      </c>
      <c r="AA17" s="636">
        <f t="shared" si="7"/>
        <v>0</v>
      </c>
      <c r="AB17" s="769">
        <v>488566</v>
      </c>
      <c r="AC17" s="636">
        <f t="shared" si="34"/>
        <v>0</v>
      </c>
      <c r="AD17" s="769">
        <v>1562</v>
      </c>
      <c r="AE17" s="636">
        <f t="shared" si="23"/>
        <v>0</v>
      </c>
      <c r="AF17" s="769">
        <v>836598</v>
      </c>
      <c r="AG17" s="636">
        <f t="shared" si="43"/>
        <v>13.25</v>
      </c>
      <c r="AH17" s="769">
        <v>18736</v>
      </c>
      <c r="AI17" s="636">
        <f t="shared" si="9"/>
        <v>462.69</v>
      </c>
      <c r="AJ17" s="769">
        <v>910679</v>
      </c>
      <c r="AK17" s="636">
        <f t="shared" si="46"/>
        <v>2356.38</v>
      </c>
      <c r="AL17" s="769">
        <v>504723</v>
      </c>
      <c r="AM17" s="636">
        <f t="shared" si="11"/>
        <v>159</v>
      </c>
      <c r="AN17" s="636">
        <f t="shared" si="24"/>
        <v>3956.9800000000005</v>
      </c>
      <c r="AO17" s="707">
        <v>7665385</v>
      </c>
      <c r="AP17" s="636">
        <f t="shared" si="25"/>
        <v>73.462500000000006</v>
      </c>
      <c r="AQ17" s="769">
        <v>690593</v>
      </c>
      <c r="AR17" s="636">
        <f t="shared" si="12"/>
        <v>319</v>
      </c>
      <c r="AS17" s="769">
        <v>972091</v>
      </c>
      <c r="AT17" s="636">
        <f t="shared" si="26"/>
        <v>140</v>
      </c>
      <c r="AU17" s="769">
        <v>811961</v>
      </c>
      <c r="AV17" s="636">
        <f t="shared" si="13"/>
        <v>44</v>
      </c>
      <c r="AW17" s="769">
        <v>2645898</v>
      </c>
      <c r="AX17" s="636">
        <f t="shared" si="14"/>
        <v>1029</v>
      </c>
      <c r="AY17" s="769">
        <v>229733</v>
      </c>
      <c r="AZ17" s="636">
        <f t="shared" si="15"/>
        <v>0</v>
      </c>
      <c r="BA17" s="769">
        <v>19475310</v>
      </c>
      <c r="BB17" s="636">
        <f t="shared" si="16"/>
        <v>4440</v>
      </c>
      <c r="BC17" s="769">
        <v>576801</v>
      </c>
      <c r="BD17" s="636">
        <f t="shared" si="16"/>
        <v>235</v>
      </c>
      <c r="BE17" s="769">
        <v>28937</v>
      </c>
      <c r="BF17" s="636">
        <f t="shared" si="16"/>
        <v>59</v>
      </c>
      <c r="BG17" s="770">
        <v>24351636</v>
      </c>
      <c r="BH17" s="636">
        <f t="shared" si="27"/>
        <v>4982.6500000000005</v>
      </c>
      <c r="BI17" s="636">
        <f t="shared" si="28"/>
        <v>11322.112499999999</v>
      </c>
      <c r="BJ17" s="636">
        <f t="shared" si="29"/>
        <v>15279.092499999999</v>
      </c>
      <c r="BK17" s="770">
        <v>1432477</v>
      </c>
      <c r="BL17" s="636">
        <f t="shared" si="17"/>
        <v>258</v>
      </c>
      <c r="BM17" s="769">
        <v>3967806</v>
      </c>
      <c r="BN17" s="636">
        <f t="shared" si="18"/>
        <v>812</v>
      </c>
      <c r="BO17" s="707">
        <v>418870</v>
      </c>
      <c r="BP17" s="636">
        <f t="shared" si="19"/>
        <v>131</v>
      </c>
      <c r="BQ17" s="769">
        <v>523449</v>
      </c>
      <c r="BR17" s="636">
        <f t="shared" si="42"/>
        <v>156</v>
      </c>
      <c r="BS17" s="692">
        <f t="shared" si="30"/>
        <v>23030.092499999999</v>
      </c>
      <c r="BT17" s="693">
        <v>247</v>
      </c>
      <c r="BU17" s="692">
        <f t="shared" si="45"/>
        <v>96.360219665271956</v>
      </c>
      <c r="BV17" s="693"/>
      <c r="BW17" s="692" t="e">
        <f t="shared" si="32"/>
        <v>#DIV/0!</v>
      </c>
      <c r="BX17" s="692">
        <f t="shared" si="35"/>
        <v>26741.106374999996</v>
      </c>
      <c r="BY17" s="692">
        <f>IF(BX17&gt;0,BX17/BT16,0)</f>
        <v>111.88747437238492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24205800</v>
      </c>
      <c r="J18" s="636">
        <f t="shared" si="21"/>
        <v>6876</v>
      </c>
      <c r="K18" s="636">
        <f t="shared" si="22"/>
        <v>4287</v>
      </c>
      <c r="L18" s="770">
        <v>783221</v>
      </c>
      <c r="M18" s="636">
        <f t="shared" si="41"/>
        <v>2710</v>
      </c>
      <c r="N18" s="770">
        <v>638068</v>
      </c>
      <c r="O18" s="636">
        <f t="shared" si="40"/>
        <v>1577</v>
      </c>
      <c r="P18" s="770">
        <v>222471</v>
      </c>
      <c r="Q18" s="636">
        <f t="shared" si="2"/>
        <v>630</v>
      </c>
      <c r="R18" s="769">
        <v>188065</v>
      </c>
      <c r="S18" s="636">
        <f t="shared" si="3"/>
        <v>137</v>
      </c>
      <c r="T18" s="769">
        <v>343864</v>
      </c>
      <c r="U18" s="636">
        <f t="shared" si="4"/>
        <v>268</v>
      </c>
      <c r="V18" s="769">
        <v>913386</v>
      </c>
      <c r="W18" s="636">
        <f t="shared" si="5"/>
        <v>1807.3000000000002</v>
      </c>
      <c r="X18" s="770">
        <v>121574</v>
      </c>
      <c r="Y18" s="636">
        <f t="shared" si="6"/>
        <v>0</v>
      </c>
      <c r="Z18" s="769">
        <v>135511</v>
      </c>
      <c r="AA18" s="636">
        <f t="shared" si="7"/>
        <v>0</v>
      </c>
      <c r="AB18" s="769">
        <v>488566</v>
      </c>
      <c r="AC18" s="636">
        <f t="shared" si="34"/>
        <v>0</v>
      </c>
      <c r="AD18" s="769">
        <v>1562</v>
      </c>
      <c r="AE18" s="636">
        <f t="shared" si="23"/>
        <v>0</v>
      </c>
      <c r="AF18" s="769">
        <v>836622</v>
      </c>
      <c r="AG18" s="636">
        <f t="shared" si="43"/>
        <v>12.72</v>
      </c>
      <c r="AH18" s="769">
        <v>19137</v>
      </c>
      <c r="AI18" s="636">
        <f t="shared" si="9"/>
        <v>212.53</v>
      </c>
      <c r="AJ18" s="769">
        <v>914932</v>
      </c>
      <c r="AK18" s="636">
        <f t="shared" si="46"/>
        <v>2254.09</v>
      </c>
      <c r="AL18" s="769">
        <v>505014</v>
      </c>
      <c r="AM18" s="636">
        <f t="shared" si="11"/>
        <v>154.23000000000002</v>
      </c>
      <c r="AN18" s="636">
        <f t="shared" si="24"/>
        <v>4440.8700000000008</v>
      </c>
      <c r="AO18" s="769">
        <v>7665531</v>
      </c>
      <c r="AP18" s="636">
        <f t="shared" si="25"/>
        <v>16.425000000000001</v>
      </c>
      <c r="AQ18" s="770">
        <v>690899</v>
      </c>
      <c r="AR18" s="636">
        <f t="shared" si="12"/>
        <v>306</v>
      </c>
      <c r="AS18" s="770">
        <v>972230</v>
      </c>
      <c r="AT18" s="636">
        <f t="shared" si="26"/>
        <v>139</v>
      </c>
      <c r="AU18" s="770">
        <v>812003</v>
      </c>
      <c r="AV18" s="636">
        <f t="shared" si="13"/>
        <v>42</v>
      </c>
      <c r="AW18" s="770">
        <v>2646891</v>
      </c>
      <c r="AX18" s="636">
        <f t="shared" si="14"/>
        <v>993</v>
      </c>
      <c r="AY18" s="769">
        <v>229733</v>
      </c>
      <c r="AZ18" s="636">
        <f t="shared" si="15"/>
        <v>0</v>
      </c>
      <c r="BA18" s="769">
        <v>19479800</v>
      </c>
      <c r="BB18" s="636">
        <f t="shared" si="16"/>
        <v>4490</v>
      </c>
      <c r="BC18" s="769">
        <v>577026</v>
      </c>
      <c r="BD18" s="636">
        <f t="shared" si="16"/>
        <v>225</v>
      </c>
      <c r="BE18" s="769">
        <v>28994</v>
      </c>
      <c r="BF18" s="636">
        <f t="shared" si="16"/>
        <v>57</v>
      </c>
      <c r="BG18" s="770">
        <v>24356852</v>
      </c>
      <c r="BH18" s="636">
        <f t="shared" si="27"/>
        <v>4703.55</v>
      </c>
      <c r="BI18" s="636">
        <f t="shared" si="28"/>
        <v>10971.975</v>
      </c>
      <c r="BJ18" s="636">
        <f t="shared" si="29"/>
        <v>15412.845000000001</v>
      </c>
      <c r="BK18" s="770">
        <v>1432724</v>
      </c>
      <c r="BL18" s="636">
        <f t="shared" si="17"/>
        <v>247</v>
      </c>
      <c r="BM18" s="769">
        <v>3968542</v>
      </c>
      <c r="BN18" s="636">
        <f t="shared" si="18"/>
        <v>736</v>
      </c>
      <c r="BO18" s="769">
        <v>418995</v>
      </c>
      <c r="BP18" s="636">
        <f t="shared" si="19"/>
        <v>125</v>
      </c>
      <c r="BQ18" s="769">
        <v>523574</v>
      </c>
      <c r="BR18" s="636">
        <f t="shared" si="42"/>
        <v>125</v>
      </c>
      <c r="BS18" s="692">
        <f t="shared" si="30"/>
        <v>22918.845000000001</v>
      </c>
      <c r="BT18" s="693">
        <v>244</v>
      </c>
      <c r="BU18" s="692">
        <f t="shared" si="45"/>
        <v>92.788846153846166</v>
      </c>
      <c r="BV18" s="693"/>
      <c r="BW18" s="692" t="e">
        <f t="shared" si="32"/>
        <v>#DIV/0!</v>
      </c>
      <c r="BX18" s="692">
        <f t="shared" si="35"/>
        <v>26640.171749999998</v>
      </c>
      <c r="BY18" s="692">
        <f>IF(BX18&gt;0,BX18/BT17,0)</f>
        <v>107.85494635627529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24213380</v>
      </c>
      <c r="J19" s="636">
        <f t="shared" si="21"/>
        <v>7580</v>
      </c>
      <c r="K19" s="636">
        <f t="shared" si="22"/>
        <v>4647</v>
      </c>
      <c r="L19" s="770">
        <v>786016</v>
      </c>
      <c r="M19" s="636">
        <f t="shared" si="41"/>
        <v>2795</v>
      </c>
      <c r="N19" s="770">
        <v>639920</v>
      </c>
      <c r="O19" s="636">
        <f t="shared" si="40"/>
        <v>1852</v>
      </c>
      <c r="P19" s="770">
        <v>222482</v>
      </c>
      <c r="Q19" s="636">
        <f t="shared" ref="Q19:Q36" si="47">IF(P19&gt;=P18,P19-P18,0)*30</f>
        <v>330</v>
      </c>
      <c r="R19" s="769">
        <v>188207</v>
      </c>
      <c r="S19" s="636">
        <f t="shared" si="3"/>
        <v>142</v>
      </c>
      <c r="T19" s="769">
        <v>344132</v>
      </c>
      <c r="U19" s="636">
        <f t="shared" si="4"/>
        <v>268</v>
      </c>
      <c r="V19" s="769">
        <v>915774</v>
      </c>
      <c r="W19" s="636">
        <f t="shared" si="5"/>
        <v>1265.6400000000001</v>
      </c>
      <c r="X19" s="770">
        <v>121574</v>
      </c>
      <c r="Y19" s="636">
        <f t="shared" si="6"/>
        <v>0</v>
      </c>
      <c r="Z19" s="769">
        <v>135511</v>
      </c>
      <c r="AA19" s="636">
        <f t="shared" si="7"/>
        <v>0</v>
      </c>
      <c r="AB19" s="769">
        <v>488566</v>
      </c>
      <c r="AC19" s="636">
        <f t="shared" si="34"/>
        <v>0</v>
      </c>
      <c r="AD19" s="769">
        <v>1562</v>
      </c>
      <c r="AE19" s="636">
        <f t="shared" si="23"/>
        <v>0</v>
      </c>
      <c r="AF19" s="769">
        <v>836646</v>
      </c>
      <c r="AG19" s="636">
        <f t="shared" si="43"/>
        <v>12.72</v>
      </c>
      <c r="AH19" s="770">
        <v>19572</v>
      </c>
      <c r="AI19" s="636">
        <f t="shared" si="9"/>
        <v>230.55</v>
      </c>
      <c r="AJ19" s="770">
        <v>918729</v>
      </c>
      <c r="AK19" s="636">
        <f t="shared" si="46"/>
        <v>2012.41</v>
      </c>
      <c r="AL19" s="769">
        <v>505313</v>
      </c>
      <c r="AM19" s="636">
        <f t="shared" si="11"/>
        <v>158.47</v>
      </c>
      <c r="AN19" s="636">
        <f t="shared" si="24"/>
        <v>3679.79</v>
      </c>
      <c r="AO19" s="769">
        <v>7666081</v>
      </c>
      <c r="AP19" s="636">
        <f t="shared" si="25"/>
        <v>61.875</v>
      </c>
      <c r="AQ19" s="769">
        <v>691210</v>
      </c>
      <c r="AR19" s="636">
        <f t="shared" si="12"/>
        <v>311</v>
      </c>
      <c r="AS19" s="770">
        <v>972366</v>
      </c>
      <c r="AT19" s="636">
        <f t="shared" si="26"/>
        <v>136</v>
      </c>
      <c r="AU19" s="769">
        <v>812047</v>
      </c>
      <c r="AV19" s="636">
        <f t="shared" si="13"/>
        <v>44</v>
      </c>
      <c r="AW19" s="770">
        <v>2647869</v>
      </c>
      <c r="AX19" s="636">
        <f t="shared" si="14"/>
        <v>978</v>
      </c>
      <c r="AY19" s="769">
        <v>229733</v>
      </c>
      <c r="AZ19" s="636">
        <f t="shared" ref="AZ19:AZ36" si="48">IF(AY19&gt;=AY18,AY19-AY18,0)</f>
        <v>0</v>
      </c>
      <c r="BA19" s="770">
        <v>19484377</v>
      </c>
      <c r="BB19" s="636">
        <f t="shared" si="16"/>
        <v>4577</v>
      </c>
      <c r="BC19" s="769">
        <v>577254</v>
      </c>
      <c r="BD19" s="636">
        <f t="shared" si="16"/>
        <v>228</v>
      </c>
      <c r="BE19" s="769">
        <v>29050</v>
      </c>
      <c r="BF19" s="636">
        <f t="shared" si="16"/>
        <v>56</v>
      </c>
      <c r="BG19" s="770">
        <v>24362490</v>
      </c>
      <c r="BH19" s="636">
        <f t="shared" si="27"/>
        <v>5123.2</v>
      </c>
      <c r="BI19" s="636">
        <f t="shared" si="28"/>
        <v>11515.075000000001</v>
      </c>
      <c r="BJ19" s="636">
        <f t="shared" si="29"/>
        <v>15194.865000000002</v>
      </c>
      <c r="BK19" s="770">
        <v>1433001</v>
      </c>
      <c r="BL19" s="636">
        <f t="shared" si="17"/>
        <v>277</v>
      </c>
      <c r="BM19" s="769">
        <v>3969276</v>
      </c>
      <c r="BN19" s="636">
        <f t="shared" si="18"/>
        <v>734</v>
      </c>
      <c r="BO19" s="707">
        <v>419125</v>
      </c>
      <c r="BP19" s="636">
        <f t="shared" si="19"/>
        <v>130</v>
      </c>
      <c r="BQ19" s="770">
        <v>523700</v>
      </c>
      <c r="BR19" s="636">
        <f t="shared" si="42"/>
        <v>126</v>
      </c>
      <c r="BS19" s="692">
        <f t="shared" si="30"/>
        <v>23104.865000000002</v>
      </c>
      <c r="BT19" s="693">
        <v>254</v>
      </c>
      <c r="BU19" s="692">
        <f t="shared" si="45"/>
        <v>94.692069672131154</v>
      </c>
      <c r="BV19" s="693"/>
      <c r="BW19" s="692" t="e">
        <f t="shared" si="32"/>
        <v>#DIV/0!</v>
      </c>
      <c r="BX19" s="692">
        <f t="shared" si="35"/>
        <v>26719.09475</v>
      </c>
      <c r="BY19" s="692">
        <f>IF(BX19&gt;0,BX19/BT18,0)</f>
        <v>109.50448668032787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24220839</v>
      </c>
      <c r="J20" s="636">
        <f>IF(I20&gt;=I19,I20-I19,0)</f>
        <v>7459</v>
      </c>
      <c r="K20" s="636">
        <f t="shared" si="22"/>
        <v>4496</v>
      </c>
      <c r="L20" s="770">
        <v>788825</v>
      </c>
      <c r="M20" s="636">
        <f t="shared" si="41"/>
        <v>2809</v>
      </c>
      <c r="N20" s="770">
        <v>641607</v>
      </c>
      <c r="O20" s="636">
        <f t="shared" si="40"/>
        <v>1687</v>
      </c>
      <c r="P20" s="770">
        <v>222508</v>
      </c>
      <c r="Q20" s="636">
        <f t="shared" si="47"/>
        <v>780</v>
      </c>
      <c r="R20" s="769">
        <v>188351</v>
      </c>
      <c r="S20" s="636">
        <f t="shared" si="3"/>
        <v>144</v>
      </c>
      <c r="T20" s="769">
        <v>344403</v>
      </c>
      <c r="U20" s="636">
        <f t="shared" si="4"/>
        <v>271</v>
      </c>
      <c r="V20" s="769">
        <v>917390</v>
      </c>
      <c r="W20" s="636">
        <f t="shared" si="5"/>
        <v>856.48</v>
      </c>
      <c r="X20" s="770">
        <v>121574</v>
      </c>
      <c r="Y20" s="636">
        <f t="shared" si="6"/>
        <v>0</v>
      </c>
      <c r="Z20" s="770">
        <v>135511</v>
      </c>
      <c r="AA20" s="636">
        <f t="shared" si="7"/>
        <v>0</v>
      </c>
      <c r="AB20" s="769">
        <v>488566</v>
      </c>
      <c r="AC20" s="636">
        <f t="shared" si="34"/>
        <v>0</v>
      </c>
      <c r="AD20" s="769">
        <v>1562</v>
      </c>
      <c r="AE20" s="636">
        <f t="shared" si="23"/>
        <v>0</v>
      </c>
      <c r="AF20" s="769">
        <v>836671</v>
      </c>
      <c r="AG20" s="636">
        <f t="shared" si="43"/>
        <v>13.25</v>
      </c>
      <c r="AH20" s="769">
        <v>20329</v>
      </c>
      <c r="AI20" s="636">
        <f t="shared" si="9"/>
        <v>401.21000000000004</v>
      </c>
      <c r="AJ20" s="769">
        <v>922633</v>
      </c>
      <c r="AK20" s="636">
        <f t="shared" si="46"/>
        <v>2069.12</v>
      </c>
      <c r="AL20" s="769">
        <v>505608</v>
      </c>
      <c r="AM20" s="636">
        <f t="shared" si="11"/>
        <v>156.35</v>
      </c>
      <c r="AN20" s="636">
        <f t="shared" si="24"/>
        <v>3496.41</v>
      </c>
      <c r="AO20" s="769">
        <v>7666121</v>
      </c>
      <c r="AP20" s="636">
        <f t="shared" si="25"/>
        <v>4.5</v>
      </c>
      <c r="AQ20" s="770">
        <v>691527</v>
      </c>
      <c r="AR20" s="636">
        <f t="shared" si="12"/>
        <v>317</v>
      </c>
      <c r="AS20" s="770">
        <v>972494</v>
      </c>
      <c r="AT20" s="636">
        <f>IF(AS20&gt;=AS19,AS20-AS19,0)</f>
        <v>128</v>
      </c>
      <c r="AU20" s="769">
        <v>812091</v>
      </c>
      <c r="AV20" s="636">
        <f>IF(AU20&gt;=AU19,AU20-AU19,0)</f>
        <v>44</v>
      </c>
      <c r="AW20" s="769">
        <v>2648869</v>
      </c>
      <c r="AX20" s="636">
        <f t="shared" si="14"/>
        <v>1000</v>
      </c>
      <c r="AY20" s="769">
        <v>229733</v>
      </c>
      <c r="AZ20" s="636">
        <f t="shared" si="48"/>
        <v>0</v>
      </c>
      <c r="BA20" s="769">
        <v>19488725</v>
      </c>
      <c r="BB20" s="636">
        <f t="shared" si="16"/>
        <v>4348</v>
      </c>
      <c r="BC20" s="769">
        <v>577462</v>
      </c>
      <c r="BD20" s="636">
        <f t="shared" si="16"/>
        <v>208</v>
      </c>
      <c r="BE20" s="769">
        <v>29099</v>
      </c>
      <c r="BF20" s="636">
        <f t="shared" si="16"/>
        <v>49</v>
      </c>
      <c r="BG20" s="770">
        <v>24368269</v>
      </c>
      <c r="BH20" s="636">
        <f t="shared" si="27"/>
        <v>5214.75</v>
      </c>
      <c r="BI20" s="636">
        <f t="shared" si="28"/>
        <v>11313.25</v>
      </c>
      <c r="BJ20" s="636">
        <f t="shared" si="29"/>
        <v>14809.66</v>
      </c>
      <c r="BK20" s="770">
        <v>1433278</v>
      </c>
      <c r="BL20" s="636">
        <f t="shared" si="17"/>
        <v>277</v>
      </c>
      <c r="BM20" s="769">
        <v>3970089</v>
      </c>
      <c r="BN20" s="636">
        <f t="shared" si="18"/>
        <v>813</v>
      </c>
      <c r="BO20" s="769">
        <v>419257</v>
      </c>
      <c r="BP20" s="636">
        <f t="shared" si="19"/>
        <v>132</v>
      </c>
      <c r="BQ20" s="769">
        <v>523839</v>
      </c>
      <c r="BR20" s="636">
        <f t="shared" si="42"/>
        <v>139</v>
      </c>
      <c r="BS20" s="692">
        <f t="shared" si="30"/>
        <v>23048.66</v>
      </c>
      <c r="BT20" s="693">
        <v>248</v>
      </c>
      <c r="BU20" s="692">
        <f>IF(BS20&gt;0,BS20/BT20,0)</f>
        <v>92.938145161290322</v>
      </c>
      <c r="BV20" s="693"/>
      <c r="BW20" s="692" t="e">
        <f t="shared" si="32"/>
        <v>#DIV/0!</v>
      </c>
      <c r="BX20" s="692">
        <f t="shared" si="35"/>
        <v>26856.958999999999</v>
      </c>
      <c r="BY20" s="692">
        <f t="shared" ref="BY20:BY36" si="49">IF(BX20&gt;0,BX20/BT20,0)</f>
        <v>108.29418951612902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24227777</v>
      </c>
      <c r="J21" s="636">
        <f>IF(I21&gt;=I20,I21-I20,0)</f>
        <v>6938</v>
      </c>
      <c r="K21" s="636">
        <f t="shared" si="22"/>
        <v>4319</v>
      </c>
      <c r="L21" s="770">
        <v>791535</v>
      </c>
      <c r="M21" s="636">
        <f t="shared" si="41"/>
        <v>2710</v>
      </c>
      <c r="N21" s="770">
        <v>643216</v>
      </c>
      <c r="O21" s="636">
        <f t="shared" si="40"/>
        <v>1609</v>
      </c>
      <c r="P21" s="770">
        <v>222527</v>
      </c>
      <c r="Q21" s="636">
        <f t="shared" si="47"/>
        <v>570</v>
      </c>
      <c r="R21" s="769">
        <v>188498</v>
      </c>
      <c r="S21" s="636">
        <f t="shared" ref="S21:S36" si="50">IF(R21&gt;=R20,R21-R20,0)</f>
        <v>147</v>
      </c>
      <c r="T21" s="769">
        <v>344687</v>
      </c>
      <c r="U21" s="636">
        <f t="shared" si="4"/>
        <v>284</v>
      </c>
      <c r="V21" s="769">
        <v>919317</v>
      </c>
      <c r="W21" s="636">
        <f t="shared" si="5"/>
        <v>1021.3100000000001</v>
      </c>
      <c r="X21" s="770">
        <v>121574</v>
      </c>
      <c r="Y21" s="636">
        <f t="shared" si="6"/>
        <v>0</v>
      </c>
      <c r="Z21" s="770">
        <v>135511</v>
      </c>
      <c r="AA21" s="636">
        <f t="shared" si="7"/>
        <v>0</v>
      </c>
      <c r="AB21" s="769">
        <v>488566</v>
      </c>
      <c r="AC21" s="636">
        <f t="shared" si="34"/>
        <v>0</v>
      </c>
      <c r="AD21" s="769">
        <v>1562</v>
      </c>
      <c r="AE21" s="636">
        <f t="shared" si="23"/>
        <v>0</v>
      </c>
      <c r="AF21" s="769">
        <v>836703</v>
      </c>
      <c r="AG21" s="636">
        <f t="shared" si="43"/>
        <v>16.96</v>
      </c>
      <c r="AH21" s="770">
        <v>21060</v>
      </c>
      <c r="AI21" s="636">
        <f t="shared" si="9"/>
        <v>387.43</v>
      </c>
      <c r="AJ21" s="770">
        <v>926669</v>
      </c>
      <c r="AK21" s="636">
        <f t="shared" si="46"/>
        <v>2139.08</v>
      </c>
      <c r="AL21" s="769">
        <v>505900</v>
      </c>
      <c r="AM21" s="636">
        <f t="shared" si="11"/>
        <v>154.76000000000002</v>
      </c>
      <c r="AN21" s="636">
        <f t="shared" si="24"/>
        <v>3719.54</v>
      </c>
      <c r="AO21" s="769">
        <v>7666158</v>
      </c>
      <c r="AP21" s="636">
        <f t="shared" si="25"/>
        <v>4.1625000000000005</v>
      </c>
      <c r="AQ21" s="769">
        <v>691907</v>
      </c>
      <c r="AR21" s="636">
        <f t="shared" si="12"/>
        <v>380</v>
      </c>
      <c r="AS21" s="770">
        <v>972632</v>
      </c>
      <c r="AT21" s="636">
        <f>IF(AS21&gt;=AS20,AS21-AS20,0)</f>
        <v>138</v>
      </c>
      <c r="AU21" s="769">
        <v>812131</v>
      </c>
      <c r="AV21" s="636">
        <f>IF(AU21&gt;=AU20,AU21-AU20,0)</f>
        <v>40</v>
      </c>
      <c r="AW21" s="769">
        <v>2649864</v>
      </c>
      <c r="AX21" s="636">
        <f t="shared" si="14"/>
        <v>995</v>
      </c>
      <c r="AY21" s="770">
        <v>229733</v>
      </c>
      <c r="AZ21" s="636">
        <f t="shared" si="48"/>
        <v>0</v>
      </c>
      <c r="BA21" s="770">
        <v>19493457</v>
      </c>
      <c r="BB21" s="636">
        <f t="shared" si="16"/>
        <v>4732</v>
      </c>
      <c r="BC21" s="769">
        <v>577691</v>
      </c>
      <c r="BD21" s="636">
        <f t="shared" si="16"/>
        <v>229</v>
      </c>
      <c r="BE21" s="769">
        <v>29132.333333333299</v>
      </c>
      <c r="BF21" s="636">
        <f t="shared" si="16"/>
        <v>33.333333333299379</v>
      </c>
      <c r="BG21" s="770">
        <v>24374217</v>
      </c>
      <c r="BH21" s="636">
        <f t="shared" si="27"/>
        <v>5303.5</v>
      </c>
      <c r="BI21" s="636">
        <f t="shared" si="28"/>
        <v>11854.9958333333</v>
      </c>
      <c r="BJ21" s="636">
        <f t="shared" si="29"/>
        <v>15574.535833333299</v>
      </c>
      <c r="BK21" s="770">
        <v>1433564</v>
      </c>
      <c r="BL21" s="636">
        <f t="shared" si="17"/>
        <v>286</v>
      </c>
      <c r="BM21" s="769">
        <v>3971082</v>
      </c>
      <c r="BN21" s="636">
        <f t="shared" si="18"/>
        <v>993</v>
      </c>
      <c r="BO21" s="769">
        <v>419394</v>
      </c>
      <c r="BP21" s="636">
        <f t="shared" si="19"/>
        <v>137</v>
      </c>
      <c r="BQ21" s="769">
        <v>523975</v>
      </c>
      <c r="BR21" s="636">
        <f t="shared" si="42"/>
        <v>136</v>
      </c>
      <c r="BS21" s="692">
        <f t="shared" si="30"/>
        <v>23082.535833333299</v>
      </c>
      <c r="BT21" s="693">
        <v>253</v>
      </c>
      <c r="BU21" s="692">
        <f t="shared" ref="BU21:BU36" si="51">IF(BS21&gt;0,BS21/BT21,0)</f>
        <v>91.235319499341102</v>
      </c>
      <c r="BV21" s="693"/>
      <c r="BW21" s="692" t="e">
        <f t="shared" si="32"/>
        <v>#DIV/0!</v>
      </c>
      <c r="BX21" s="692">
        <f t="shared" si="35"/>
        <v>26801.416208333292</v>
      </c>
      <c r="BY21" s="692">
        <f t="shared" si="49"/>
        <v>105.93445141633713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24234750</v>
      </c>
      <c r="J22" s="636">
        <f t="shared" ref="J22:J31" si="52">IF(I22&gt;=I21,I22-I21,0)</f>
        <v>6973</v>
      </c>
      <c r="K22" s="636">
        <f t="shared" si="22"/>
        <v>4297</v>
      </c>
      <c r="L22" s="770">
        <v>794012</v>
      </c>
      <c r="M22" s="636">
        <f t="shared" si="41"/>
        <v>2477</v>
      </c>
      <c r="N22" s="770">
        <v>645036</v>
      </c>
      <c r="O22" s="636">
        <f t="shared" si="40"/>
        <v>1820</v>
      </c>
      <c r="P22" s="770">
        <v>222545</v>
      </c>
      <c r="Q22" s="636">
        <f t="shared" si="47"/>
        <v>540</v>
      </c>
      <c r="R22" s="769">
        <v>188636</v>
      </c>
      <c r="S22" s="636">
        <f t="shared" si="50"/>
        <v>138</v>
      </c>
      <c r="T22" s="769">
        <v>344957</v>
      </c>
      <c r="U22" s="636">
        <f t="shared" si="4"/>
        <v>270</v>
      </c>
      <c r="V22" s="769">
        <v>921303</v>
      </c>
      <c r="W22" s="636">
        <f t="shared" ref="W22:W28" si="53">IF(V22&gt;=V21,V22-V21,0)*0.53</f>
        <v>1052.5800000000002</v>
      </c>
      <c r="X22" s="770">
        <v>121574</v>
      </c>
      <c r="Y22" s="636">
        <f t="shared" si="6"/>
        <v>0</v>
      </c>
      <c r="Z22" s="770">
        <v>135511</v>
      </c>
      <c r="AA22" s="636">
        <f t="shared" si="7"/>
        <v>0</v>
      </c>
      <c r="AB22" s="769">
        <v>488566</v>
      </c>
      <c r="AC22" s="636">
        <f t="shared" si="34"/>
        <v>0</v>
      </c>
      <c r="AD22" s="769">
        <v>1562</v>
      </c>
      <c r="AE22" s="636">
        <f t="shared" si="23"/>
        <v>0</v>
      </c>
      <c r="AF22" s="769">
        <v>836725</v>
      </c>
      <c r="AG22" s="636">
        <f t="shared" si="43"/>
        <v>11.66</v>
      </c>
      <c r="AH22" s="769">
        <v>21622</v>
      </c>
      <c r="AI22" s="636">
        <f t="shared" si="9"/>
        <v>297.86</v>
      </c>
      <c r="AJ22" s="769">
        <v>930474</v>
      </c>
      <c r="AK22" s="636">
        <f t="shared" si="46"/>
        <v>2016.65</v>
      </c>
      <c r="AL22" s="769">
        <v>506181</v>
      </c>
      <c r="AM22" s="636">
        <f t="shared" si="11"/>
        <v>148.93</v>
      </c>
      <c r="AN22" s="636">
        <f t="shared" si="24"/>
        <v>3527.6800000000003</v>
      </c>
      <c r="AO22" s="769">
        <v>7666197</v>
      </c>
      <c r="AP22" s="636">
        <f t="shared" si="25"/>
        <v>4.3875000000000002</v>
      </c>
      <c r="AQ22" s="770">
        <v>692230</v>
      </c>
      <c r="AR22" s="636">
        <f t="shared" si="12"/>
        <v>323</v>
      </c>
      <c r="AS22" s="769">
        <v>972790</v>
      </c>
      <c r="AT22" s="636">
        <f t="shared" si="26"/>
        <v>158</v>
      </c>
      <c r="AU22" s="769">
        <v>812171</v>
      </c>
      <c r="AV22" s="636">
        <f t="shared" si="13"/>
        <v>40</v>
      </c>
      <c r="AW22" s="769">
        <v>2650853</v>
      </c>
      <c r="AX22" s="636">
        <f t="shared" si="14"/>
        <v>989</v>
      </c>
      <c r="AY22" s="769">
        <v>229733</v>
      </c>
      <c r="AZ22" s="636">
        <f t="shared" si="48"/>
        <v>0</v>
      </c>
      <c r="BA22" s="769">
        <v>19497856</v>
      </c>
      <c r="BB22" s="636">
        <f t="shared" si="16"/>
        <v>4399</v>
      </c>
      <c r="BC22" s="769">
        <v>577947</v>
      </c>
      <c r="BD22" s="636">
        <f t="shared" si="16"/>
        <v>256</v>
      </c>
      <c r="BE22" s="769">
        <v>29225</v>
      </c>
      <c r="BF22" s="636">
        <f t="shared" si="16"/>
        <v>92.666666666700621</v>
      </c>
      <c r="BG22" s="770">
        <v>24380117</v>
      </c>
      <c r="BH22" s="636">
        <f t="shared" si="27"/>
        <v>5272</v>
      </c>
      <c r="BI22" s="636">
        <f t="shared" si="28"/>
        <v>11534.054166666701</v>
      </c>
      <c r="BJ22" s="636">
        <f t="shared" si="29"/>
        <v>15061.734166666702</v>
      </c>
      <c r="BK22" s="770">
        <v>1433834</v>
      </c>
      <c r="BL22" s="636">
        <f t="shared" si="17"/>
        <v>270</v>
      </c>
      <c r="BM22" s="770">
        <v>3972052</v>
      </c>
      <c r="BN22" s="636">
        <f t="shared" si="18"/>
        <v>970</v>
      </c>
      <c r="BO22" s="769">
        <v>419524</v>
      </c>
      <c r="BP22" s="636">
        <f t="shared" si="19"/>
        <v>130</v>
      </c>
      <c r="BQ22" s="769">
        <v>524108</v>
      </c>
      <c r="BR22" s="636">
        <f t="shared" si="42"/>
        <v>133</v>
      </c>
      <c r="BS22" s="692">
        <f t="shared" si="30"/>
        <v>22574.734166666702</v>
      </c>
      <c r="BT22" s="693">
        <v>253</v>
      </c>
      <c r="BU22" s="692">
        <f t="shared" si="51"/>
        <v>89.228198287220167</v>
      </c>
      <c r="BV22" s="693"/>
      <c r="BW22" s="692" t="e">
        <f t="shared" si="32"/>
        <v>#DIV/0!</v>
      </c>
      <c r="BX22" s="692">
        <f t="shared" si="35"/>
        <v>26203.944291666707</v>
      </c>
      <c r="BY22" s="692">
        <f t="shared" si="49"/>
        <v>103.57290233860358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24241820</v>
      </c>
      <c r="J23" s="636">
        <f t="shared" si="52"/>
        <v>7070</v>
      </c>
      <c r="K23" s="636">
        <f t="shared" si="22"/>
        <v>4358</v>
      </c>
      <c r="L23" s="770">
        <v>796473</v>
      </c>
      <c r="M23" s="636">
        <f t="shared" si="41"/>
        <v>2461</v>
      </c>
      <c r="N23" s="770">
        <v>646933</v>
      </c>
      <c r="O23" s="636">
        <f t="shared" si="40"/>
        <v>1897</v>
      </c>
      <c r="P23" s="770">
        <v>222563</v>
      </c>
      <c r="Q23" s="636">
        <f t="shared" si="47"/>
        <v>540</v>
      </c>
      <c r="R23" s="769">
        <v>188780</v>
      </c>
      <c r="S23" s="636">
        <f t="shared" si="50"/>
        <v>144</v>
      </c>
      <c r="T23" s="769">
        <v>345249</v>
      </c>
      <c r="U23" s="636">
        <f t="shared" si="4"/>
        <v>292</v>
      </c>
      <c r="V23" s="769">
        <v>924011</v>
      </c>
      <c r="W23" s="636">
        <f t="shared" si="53"/>
        <v>1435.24</v>
      </c>
      <c r="X23" s="770">
        <v>121574</v>
      </c>
      <c r="Y23" s="636">
        <f t="shared" si="6"/>
        <v>0</v>
      </c>
      <c r="Z23" s="773">
        <v>135511</v>
      </c>
      <c r="AA23" s="636">
        <f t="shared" si="7"/>
        <v>0</v>
      </c>
      <c r="AB23" s="769">
        <v>488566</v>
      </c>
      <c r="AC23" s="636">
        <f t="shared" si="34"/>
        <v>0</v>
      </c>
      <c r="AD23" s="769">
        <v>1562</v>
      </c>
      <c r="AE23" s="636">
        <f t="shared" si="23"/>
        <v>0</v>
      </c>
      <c r="AF23" s="769">
        <v>836748</v>
      </c>
      <c r="AG23" s="636">
        <f t="shared" si="43"/>
        <v>12.190000000000001</v>
      </c>
      <c r="AH23" s="769">
        <v>22379</v>
      </c>
      <c r="AI23" s="636">
        <f t="shared" si="9"/>
        <v>401.21000000000004</v>
      </c>
      <c r="AJ23" s="769">
        <v>934944</v>
      </c>
      <c r="AK23" s="636">
        <f t="shared" si="46"/>
        <v>2369.1</v>
      </c>
      <c r="AL23" s="769">
        <v>506474</v>
      </c>
      <c r="AM23" s="636">
        <f t="shared" si="11"/>
        <v>155.29000000000002</v>
      </c>
      <c r="AN23" s="636">
        <f t="shared" si="24"/>
        <v>4373.03</v>
      </c>
      <c r="AO23" s="707">
        <v>7666238</v>
      </c>
      <c r="AP23" s="636">
        <f t="shared" si="25"/>
        <v>4.6124999999999998</v>
      </c>
      <c r="AQ23" s="769">
        <v>692557</v>
      </c>
      <c r="AR23" s="636">
        <f t="shared" si="12"/>
        <v>327</v>
      </c>
      <c r="AS23" s="769">
        <v>972917</v>
      </c>
      <c r="AT23" s="636">
        <f t="shared" si="26"/>
        <v>127</v>
      </c>
      <c r="AU23" s="769">
        <v>812213</v>
      </c>
      <c r="AV23" s="636">
        <f t="shared" si="13"/>
        <v>42</v>
      </c>
      <c r="AW23" s="769">
        <v>2651773</v>
      </c>
      <c r="AX23" s="636">
        <f t="shared" si="14"/>
        <v>920</v>
      </c>
      <c r="AY23" s="770">
        <v>229733</v>
      </c>
      <c r="AZ23" s="636">
        <f t="shared" si="48"/>
        <v>0</v>
      </c>
      <c r="BA23" s="770">
        <v>19502952</v>
      </c>
      <c r="BB23" s="636">
        <f t="shared" si="16"/>
        <v>5096</v>
      </c>
      <c r="BC23" s="769">
        <v>578168</v>
      </c>
      <c r="BD23" s="636">
        <f t="shared" si="16"/>
        <v>221</v>
      </c>
      <c r="BE23" s="769">
        <v>29283</v>
      </c>
      <c r="BF23" s="636">
        <f t="shared" si="16"/>
        <v>58</v>
      </c>
      <c r="BG23" s="770">
        <v>24385535</v>
      </c>
      <c r="BH23" s="636">
        <f t="shared" si="27"/>
        <v>4910.3</v>
      </c>
      <c r="BI23" s="636">
        <f t="shared" si="28"/>
        <v>11705.9125</v>
      </c>
      <c r="BJ23" s="636">
        <f t="shared" si="29"/>
        <v>16078.942500000001</v>
      </c>
      <c r="BK23" s="770">
        <v>1434069</v>
      </c>
      <c r="BL23" s="636">
        <f t="shared" si="17"/>
        <v>235</v>
      </c>
      <c r="BM23" s="769">
        <v>3972772</v>
      </c>
      <c r="BN23" s="636">
        <f t="shared" si="18"/>
        <v>720</v>
      </c>
      <c r="BO23" s="769">
        <v>419650</v>
      </c>
      <c r="BP23" s="636">
        <f t="shared" si="19"/>
        <v>126</v>
      </c>
      <c r="BQ23" s="770">
        <v>524235</v>
      </c>
      <c r="BR23" s="636">
        <f t="shared" si="42"/>
        <v>127</v>
      </c>
      <c r="BS23" s="692">
        <f t="shared" si="30"/>
        <v>23688.942499999997</v>
      </c>
      <c r="BT23" s="693">
        <v>253</v>
      </c>
      <c r="BU23" s="692">
        <f t="shared" si="51"/>
        <v>93.6321837944664</v>
      </c>
      <c r="BV23" s="693"/>
      <c r="BW23" s="692" t="e">
        <f t="shared" si="32"/>
        <v>#DIV/0!</v>
      </c>
      <c r="BX23" s="692">
        <f t="shared" si="35"/>
        <v>27485.283874999994</v>
      </c>
      <c r="BY23" s="692">
        <f t="shared" si="49"/>
        <v>108.63748567193673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24248691</v>
      </c>
      <c r="J24" s="636">
        <f t="shared" si="52"/>
        <v>6871</v>
      </c>
      <c r="K24" s="636">
        <f t="shared" si="22"/>
        <v>4108</v>
      </c>
      <c r="L24" s="770">
        <v>798834</v>
      </c>
      <c r="M24" s="636">
        <f t="shared" si="41"/>
        <v>2361</v>
      </c>
      <c r="N24" s="770">
        <v>648680</v>
      </c>
      <c r="O24" s="636">
        <f t="shared" si="40"/>
        <v>1747</v>
      </c>
      <c r="P24" s="770">
        <v>222580</v>
      </c>
      <c r="Q24" s="636">
        <f>IF(P24&gt;=P23,P24-P23,0)*30</f>
        <v>510</v>
      </c>
      <c r="R24" s="769">
        <v>188918</v>
      </c>
      <c r="S24" s="636">
        <f t="shared" si="50"/>
        <v>138</v>
      </c>
      <c r="T24" s="769">
        <v>345530</v>
      </c>
      <c r="U24" s="636">
        <f t="shared" si="4"/>
        <v>281</v>
      </c>
      <c r="V24" s="769">
        <v>926567</v>
      </c>
      <c r="W24" s="636">
        <f t="shared" si="53"/>
        <v>1354.68</v>
      </c>
      <c r="X24" s="770">
        <v>121574</v>
      </c>
      <c r="Y24" s="636">
        <f t="shared" si="6"/>
        <v>0</v>
      </c>
      <c r="Z24" s="769">
        <v>135511</v>
      </c>
      <c r="AA24" s="636">
        <f t="shared" si="7"/>
        <v>0</v>
      </c>
      <c r="AB24" s="769">
        <v>488566</v>
      </c>
      <c r="AC24" s="636">
        <f t="shared" si="34"/>
        <v>0</v>
      </c>
      <c r="AD24" s="769">
        <v>1562</v>
      </c>
      <c r="AE24" s="636">
        <f t="shared" si="23"/>
        <v>0</v>
      </c>
      <c r="AF24" s="769">
        <v>836771</v>
      </c>
      <c r="AG24" s="636">
        <f t="shared" si="43"/>
        <v>12.190000000000001</v>
      </c>
      <c r="AH24" s="769">
        <v>23075</v>
      </c>
      <c r="AI24" s="636">
        <f t="shared" si="9"/>
        <v>368.88</v>
      </c>
      <c r="AJ24" s="769">
        <v>939070</v>
      </c>
      <c r="AK24" s="636">
        <f t="shared" si="46"/>
        <v>2186.7800000000002</v>
      </c>
      <c r="AL24" s="769">
        <v>506747</v>
      </c>
      <c r="AM24" s="636">
        <f t="shared" si="11"/>
        <v>144.69</v>
      </c>
      <c r="AN24" s="636">
        <f t="shared" si="24"/>
        <v>4067.2200000000003</v>
      </c>
      <c r="AO24" s="769">
        <v>7666275</v>
      </c>
      <c r="AP24" s="636">
        <f t="shared" si="25"/>
        <v>4.1625000000000005</v>
      </c>
      <c r="AQ24" s="770">
        <v>692882</v>
      </c>
      <c r="AR24" s="636">
        <f t="shared" si="12"/>
        <v>325</v>
      </c>
      <c r="AS24" s="770">
        <v>973055</v>
      </c>
      <c r="AT24" s="636">
        <f t="shared" si="26"/>
        <v>138</v>
      </c>
      <c r="AU24" s="769">
        <v>812252</v>
      </c>
      <c r="AV24" s="636">
        <f t="shared" si="13"/>
        <v>39</v>
      </c>
      <c r="AW24" s="769">
        <v>2652603</v>
      </c>
      <c r="AX24" s="636">
        <f t="shared" si="14"/>
        <v>830</v>
      </c>
      <c r="AY24" s="770">
        <v>229733</v>
      </c>
      <c r="AZ24" s="636">
        <f t="shared" si="48"/>
        <v>0</v>
      </c>
      <c r="BA24" s="769">
        <v>19507644</v>
      </c>
      <c r="BB24" s="636">
        <f t="shared" si="16"/>
        <v>4692</v>
      </c>
      <c r="BC24" s="769">
        <v>578374</v>
      </c>
      <c r="BD24" s="636">
        <f t="shared" si="16"/>
        <v>206</v>
      </c>
      <c r="BE24" s="769">
        <v>29393</v>
      </c>
      <c r="BF24" s="636">
        <f t="shared" si="16"/>
        <v>110</v>
      </c>
      <c r="BG24" s="770">
        <v>24391048</v>
      </c>
      <c r="BH24" s="636">
        <f t="shared" si="27"/>
        <v>5008.8999999999996</v>
      </c>
      <c r="BI24" s="636">
        <f t="shared" si="28"/>
        <v>11353.0625</v>
      </c>
      <c r="BJ24" s="636">
        <f t="shared" si="29"/>
        <v>15420.282500000001</v>
      </c>
      <c r="BK24" s="770">
        <v>1434338</v>
      </c>
      <c r="BL24" s="636">
        <f t="shared" si="17"/>
        <v>269</v>
      </c>
      <c r="BM24" s="770">
        <v>3973417</v>
      </c>
      <c r="BN24" s="636">
        <f t="shared" si="18"/>
        <v>645</v>
      </c>
      <c r="BO24" s="769">
        <v>419783</v>
      </c>
      <c r="BP24" s="636">
        <f t="shared" si="19"/>
        <v>133</v>
      </c>
      <c r="BQ24" s="770">
        <v>524389</v>
      </c>
      <c r="BR24" s="636">
        <f t="shared" si="42"/>
        <v>154</v>
      </c>
      <c r="BS24" s="692">
        <f t="shared" si="30"/>
        <v>22801.282500000001</v>
      </c>
      <c r="BT24" s="693">
        <v>259</v>
      </c>
      <c r="BU24" s="692">
        <f t="shared" si="51"/>
        <v>88.03583976833977</v>
      </c>
      <c r="BV24" s="693"/>
      <c r="BW24" s="692" t="e">
        <f t="shared" si="32"/>
        <v>#DIV/0!</v>
      </c>
      <c r="BX24" s="692">
        <f t="shared" si="35"/>
        <v>26450.974875</v>
      </c>
      <c r="BY24" s="692">
        <f t="shared" si="49"/>
        <v>102.12731611969112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24256276</v>
      </c>
      <c r="J25" s="636">
        <f t="shared" si="52"/>
        <v>7585</v>
      </c>
      <c r="K25" s="636">
        <f t="shared" si="22"/>
        <v>4778</v>
      </c>
      <c r="L25" s="770">
        <v>801718</v>
      </c>
      <c r="M25" s="636">
        <f t="shared" si="41"/>
        <v>2884</v>
      </c>
      <c r="N25" s="770">
        <v>650574</v>
      </c>
      <c r="O25" s="636">
        <f t="shared" si="40"/>
        <v>1894</v>
      </c>
      <c r="P25" s="770">
        <v>222598</v>
      </c>
      <c r="Q25" s="636">
        <f t="shared" si="47"/>
        <v>540</v>
      </c>
      <c r="R25" s="769">
        <v>189067</v>
      </c>
      <c r="S25" s="636">
        <f t="shared" si="50"/>
        <v>149</v>
      </c>
      <c r="T25" s="769">
        <v>345826</v>
      </c>
      <c r="U25" s="636">
        <f t="shared" si="4"/>
        <v>296</v>
      </c>
      <c r="V25" s="769">
        <v>928484</v>
      </c>
      <c r="W25" s="636">
        <f t="shared" si="53"/>
        <v>1016.0100000000001</v>
      </c>
      <c r="X25" s="770">
        <v>121574</v>
      </c>
      <c r="Y25" s="636">
        <f t="shared" si="6"/>
        <v>0</v>
      </c>
      <c r="Z25" s="769">
        <v>135511</v>
      </c>
      <c r="AA25" s="636">
        <f t="shared" si="7"/>
        <v>0</v>
      </c>
      <c r="AB25" s="769">
        <v>488566</v>
      </c>
      <c r="AC25" s="636">
        <f t="shared" si="34"/>
        <v>0</v>
      </c>
      <c r="AD25" s="769">
        <v>1562</v>
      </c>
      <c r="AE25" s="636">
        <f t="shared" si="23"/>
        <v>0</v>
      </c>
      <c r="AF25" s="769">
        <v>836794</v>
      </c>
      <c r="AG25" s="636">
        <f t="shared" si="43"/>
        <v>12.190000000000001</v>
      </c>
      <c r="AH25" s="769">
        <v>23789</v>
      </c>
      <c r="AI25" s="636">
        <f t="shared" si="9"/>
        <v>378.42</v>
      </c>
      <c r="AJ25" s="769">
        <v>943535</v>
      </c>
      <c r="AK25" s="636">
        <f t="shared" si="46"/>
        <v>2366.4500000000003</v>
      </c>
      <c r="AL25" s="769">
        <v>507049</v>
      </c>
      <c r="AM25" s="636">
        <f t="shared" si="11"/>
        <v>160.06</v>
      </c>
      <c r="AN25" s="636">
        <f t="shared" si="24"/>
        <v>3933.1300000000006</v>
      </c>
      <c r="AO25" s="769">
        <v>7666306</v>
      </c>
      <c r="AP25" s="636">
        <f t="shared" si="25"/>
        <v>3.4875000000000003</v>
      </c>
      <c r="AQ25" s="769">
        <v>693210</v>
      </c>
      <c r="AR25" s="636">
        <f>IF(AQ25&gt;=AQ24,AQ25-AQ24,0)</f>
        <v>328</v>
      </c>
      <c r="AS25" s="770">
        <v>973175</v>
      </c>
      <c r="AT25" s="636">
        <f t="shared" si="26"/>
        <v>120</v>
      </c>
      <c r="AU25" s="769">
        <v>812294</v>
      </c>
      <c r="AV25" s="636">
        <f t="shared" si="13"/>
        <v>42</v>
      </c>
      <c r="AW25" s="769">
        <v>2653391</v>
      </c>
      <c r="AX25" s="636">
        <f t="shared" si="14"/>
        <v>788</v>
      </c>
      <c r="AY25" s="770">
        <v>229733</v>
      </c>
      <c r="AZ25" s="636">
        <f t="shared" si="48"/>
        <v>0</v>
      </c>
      <c r="BA25" s="769">
        <v>19511853</v>
      </c>
      <c r="BB25" s="636">
        <f t="shared" si="16"/>
        <v>4209</v>
      </c>
      <c r="BC25" s="769">
        <v>578594</v>
      </c>
      <c r="BD25" s="636">
        <f t="shared" si="16"/>
        <v>220</v>
      </c>
      <c r="BE25" s="769">
        <v>29396</v>
      </c>
      <c r="BF25" s="636">
        <f t="shared" si="16"/>
        <v>3</v>
      </c>
      <c r="BG25" s="770">
        <v>24396742</v>
      </c>
      <c r="BH25" s="636">
        <f t="shared" si="27"/>
        <v>5133.2</v>
      </c>
      <c r="BI25" s="636">
        <f t="shared" si="28"/>
        <v>10846.6875</v>
      </c>
      <c r="BJ25" s="636">
        <f t="shared" si="29"/>
        <v>14779.817500000001</v>
      </c>
      <c r="BK25" s="770">
        <v>1434606</v>
      </c>
      <c r="BL25" s="636">
        <f t="shared" si="17"/>
        <v>268</v>
      </c>
      <c r="BM25" s="770">
        <v>3974178</v>
      </c>
      <c r="BN25" s="636">
        <f t="shared" si="18"/>
        <v>761</v>
      </c>
      <c r="BO25" s="707">
        <v>419926</v>
      </c>
      <c r="BP25" s="636">
        <f t="shared" si="19"/>
        <v>143</v>
      </c>
      <c r="BQ25" s="769">
        <v>524543</v>
      </c>
      <c r="BR25" s="636">
        <f t="shared" si="42"/>
        <v>154</v>
      </c>
      <c r="BS25" s="692">
        <f t="shared" si="30"/>
        <v>22904.817500000001</v>
      </c>
      <c r="BT25" s="693">
        <v>236</v>
      </c>
      <c r="BU25" s="692">
        <f t="shared" si="51"/>
        <v>97.054311440677964</v>
      </c>
      <c r="BV25" s="693"/>
      <c r="BW25" s="692" t="e">
        <f t="shared" si="32"/>
        <v>#DIV/0!</v>
      </c>
      <c r="BX25" s="692">
        <f t="shared" si="35"/>
        <v>26583.540125</v>
      </c>
      <c r="BY25" s="692">
        <f t="shared" si="49"/>
        <v>112.64211917372882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24263847</v>
      </c>
      <c r="J26" s="636">
        <f t="shared" si="52"/>
        <v>7571</v>
      </c>
      <c r="K26" s="636">
        <f t="shared" si="22"/>
        <v>4661</v>
      </c>
      <c r="L26" s="770">
        <v>804650</v>
      </c>
      <c r="M26" s="636">
        <f t="shared" si="41"/>
        <v>2932</v>
      </c>
      <c r="N26" s="770">
        <v>652303</v>
      </c>
      <c r="O26" s="636">
        <f t="shared" si="40"/>
        <v>1729</v>
      </c>
      <c r="P26" s="770">
        <v>222617</v>
      </c>
      <c r="Q26" s="636">
        <f t="shared" si="47"/>
        <v>570</v>
      </c>
      <c r="R26" s="769">
        <v>189203</v>
      </c>
      <c r="S26" s="636">
        <f t="shared" si="50"/>
        <v>136</v>
      </c>
      <c r="T26" s="769">
        <v>346091</v>
      </c>
      <c r="U26" s="636">
        <f t="shared" si="4"/>
        <v>265</v>
      </c>
      <c r="V26" s="769">
        <v>930231</v>
      </c>
      <c r="W26" s="636">
        <f t="shared" si="53"/>
        <v>925.91000000000008</v>
      </c>
      <c r="X26" s="770">
        <v>121574</v>
      </c>
      <c r="Y26" s="636">
        <f t="shared" si="6"/>
        <v>0</v>
      </c>
      <c r="Z26" s="769">
        <v>135511</v>
      </c>
      <c r="AA26" s="636">
        <f t="shared" si="7"/>
        <v>0</v>
      </c>
      <c r="AB26" s="769">
        <v>488566</v>
      </c>
      <c r="AC26" s="636">
        <f t="shared" si="34"/>
        <v>0</v>
      </c>
      <c r="AD26" s="769">
        <v>1562</v>
      </c>
      <c r="AE26" s="636">
        <f t="shared" si="23"/>
        <v>0</v>
      </c>
      <c r="AF26" s="769">
        <v>836817</v>
      </c>
      <c r="AG26" s="636">
        <f t="shared" si="43"/>
        <v>12.190000000000001</v>
      </c>
      <c r="AH26" s="769">
        <v>24336</v>
      </c>
      <c r="AI26" s="636">
        <f t="shared" si="9"/>
        <v>289.91000000000003</v>
      </c>
      <c r="AJ26" s="769">
        <v>947894</v>
      </c>
      <c r="AK26" s="636">
        <f t="shared" si="46"/>
        <v>2310.27</v>
      </c>
      <c r="AL26" s="769">
        <v>507339</v>
      </c>
      <c r="AM26" s="636">
        <f t="shared" si="11"/>
        <v>153.70000000000002</v>
      </c>
      <c r="AN26" s="636">
        <f t="shared" si="24"/>
        <v>3691.98</v>
      </c>
      <c r="AO26" s="769">
        <v>7666341</v>
      </c>
      <c r="AP26" s="636">
        <f t="shared" si="25"/>
        <v>3.9375</v>
      </c>
      <c r="AQ26" s="770">
        <v>693537</v>
      </c>
      <c r="AR26" s="636">
        <f>IF(AQ26&gt;=AQ25,AQ26-AQ25,0)</f>
        <v>327</v>
      </c>
      <c r="AS26" s="770">
        <v>973321</v>
      </c>
      <c r="AT26" s="636">
        <f t="shared" si="26"/>
        <v>146</v>
      </c>
      <c r="AU26" s="769">
        <v>812333</v>
      </c>
      <c r="AV26" s="636">
        <f t="shared" si="13"/>
        <v>39</v>
      </c>
      <c r="AW26" s="769">
        <v>2653942</v>
      </c>
      <c r="AX26" s="636">
        <f t="shared" si="14"/>
        <v>551</v>
      </c>
      <c r="AY26" s="770">
        <v>229733</v>
      </c>
      <c r="AZ26" s="636">
        <f t="shared" si="48"/>
        <v>0</v>
      </c>
      <c r="BA26" s="769">
        <v>19516601</v>
      </c>
      <c r="BB26" s="636">
        <f t="shared" si="16"/>
        <v>4748</v>
      </c>
      <c r="BC26" s="769">
        <v>578870</v>
      </c>
      <c r="BD26" s="636">
        <f t="shared" si="16"/>
        <v>276</v>
      </c>
      <c r="BE26" s="769">
        <v>29453</v>
      </c>
      <c r="BF26" s="636">
        <f t="shared" si="16"/>
        <v>57</v>
      </c>
      <c r="BG26" s="770">
        <v>24403268</v>
      </c>
      <c r="BH26" s="636">
        <f t="shared" si="27"/>
        <v>5835.5</v>
      </c>
      <c r="BI26" s="636">
        <f t="shared" si="28"/>
        <v>11983.4375</v>
      </c>
      <c r="BJ26" s="636">
        <f t="shared" si="29"/>
        <v>15675.4175</v>
      </c>
      <c r="BK26" s="770">
        <v>1434926</v>
      </c>
      <c r="BL26" s="636">
        <f t="shared" si="17"/>
        <v>320</v>
      </c>
      <c r="BM26" s="769">
        <v>3975184</v>
      </c>
      <c r="BN26" s="636">
        <f t="shared" si="18"/>
        <v>1006</v>
      </c>
      <c r="BO26" s="769">
        <v>420070</v>
      </c>
      <c r="BP26" s="636">
        <f t="shared" si="19"/>
        <v>144</v>
      </c>
      <c r="BQ26" s="769">
        <v>524716</v>
      </c>
      <c r="BR26" s="636">
        <f t="shared" si="42"/>
        <v>173</v>
      </c>
      <c r="BS26" s="692">
        <f t="shared" si="30"/>
        <v>23816.4175</v>
      </c>
      <c r="BT26" s="693">
        <v>245</v>
      </c>
      <c r="BU26" s="692">
        <f t="shared" si="51"/>
        <v>97.209867346938779</v>
      </c>
      <c r="BV26" s="693"/>
      <c r="BW26" s="692" t="e">
        <f t="shared" si="32"/>
        <v>#DIV/0!</v>
      </c>
      <c r="BX26" s="692">
        <f t="shared" si="35"/>
        <v>27645.380124999996</v>
      </c>
      <c r="BY26" s="692">
        <f t="shared" si="49"/>
        <v>112.83828622448978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24271128</v>
      </c>
      <c r="J27" s="636">
        <f t="shared" si="52"/>
        <v>7281</v>
      </c>
      <c r="K27" s="636">
        <f t="shared" si="22"/>
        <v>4433.3571428570431</v>
      </c>
      <c r="L27" s="770">
        <v>807272.5</v>
      </c>
      <c r="M27" s="636">
        <f t="shared" si="41"/>
        <v>2622.5</v>
      </c>
      <c r="N27" s="770">
        <v>654113.85714285704</v>
      </c>
      <c r="O27" s="636">
        <f t="shared" si="40"/>
        <v>1810.8571428570431</v>
      </c>
      <c r="P27" s="770">
        <v>222634</v>
      </c>
      <c r="Q27" s="636">
        <f>IF(P27&gt;=P26,P27-P26,0)*30</f>
        <v>510</v>
      </c>
      <c r="R27" s="769">
        <v>189339</v>
      </c>
      <c r="S27" s="636">
        <f>IF(R27&gt;=R26,R27-R26,0)</f>
        <v>136</v>
      </c>
      <c r="T27" s="769">
        <v>346356</v>
      </c>
      <c r="U27" s="636">
        <f t="shared" si="4"/>
        <v>265</v>
      </c>
      <c r="V27" s="769">
        <v>932852.4</v>
      </c>
      <c r="W27" s="636">
        <f t="shared" si="53"/>
        <v>1389.3420000000124</v>
      </c>
      <c r="X27" s="770">
        <v>121574</v>
      </c>
      <c r="Y27" s="636">
        <f t="shared" si="6"/>
        <v>0</v>
      </c>
      <c r="Z27" s="769">
        <v>135511</v>
      </c>
      <c r="AA27" s="636">
        <f t="shared" si="7"/>
        <v>0</v>
      </c>
      <c r="AB27" s="769">
        <v>488566</v>
      </c>
      <c r="AC27" s="636">
        <f t="shared" si="34"/>
        <v>0</v>
      </c>
      <c r="AD27" s="769">
        <v>1562</v>
      </c>
      <c r="AE27" s="636">
        <f t="shared" si="23"/>
        <v>0</v>
      </c>
      <c r="AF27" s="769">
        <v>836836</v>
      </c>
      <c r="AG27" s="636">
        <f t="shared" si="43"/>
        <v>10.07</v>
      </c>
      <c r="AH27" s="769">
        <v>25091.599999999999</v>
      </c>
      <c r="AI27" s="636">
        <f t="shared" si="9"/>
        <v>400.46799999999922</v>
      </c>
      <c r="AJ27" s="769">
        <v>952189.5</v>
      </c>
      <c r="AK27" s="636">
        <f t="shared" si="46"/>
        <v>2276.6150000000002</v>
      </c>
      <c r="AL27" s="769">
        <v>507622.14285714302</v>
      </c>
      <c r="AM27" s="636">
        <f t="shared" si="11"/>
        <v>150.06571428579804</v>
      </c>
      <c r="AN27" s="636">
        <f t="shared" si="24"/>
        <v>4226.5607142858098</v>
      </c>
      <c r="AO27" s="769">
        <v>7666496</v>
      </c>
      <c r="AP27" s="636">
        <f t="shared" si="25"/>
        <v>17.4375</v>
      </c>
      <c r="AQ27" s="769">
        <v>693851</v>
      </c>
      <c r="AR27" s="636">
        <f>IF(AQ27&gt;=AQ26,AQ27-AQ26,0)</f>
        <v>314</v>
      </c>
      <c r="AS27" s="770">
        <v>973450</v>
      </c>
      <c r="AT27" s="636">
        <f t="shared" si="26"/>
        <v>129</v>
      </c>
      <c r="AU27" s="769">
        <v>812374.1</v>
      </c>
      <c r="AV27" s="636">
        <f t="shared" si="13"/>
        <v>41.099999999976717</v>
      </c>
      <c r="AW27" s="769">
        <v>2654851.2000000002</v>
      </c>
      <c r="AX27" s="636">
        <f t="shared" si="14"/>
        <v>909.20000000018626</v>
      </c>
      <c r="AY27" s="770">
        <v>229733</v>
      </c>
      <c r="AZ27" s="636">
        <f t="shared" si="48"/>
        <v>0</v>
      </c>
      <c r="BA27" s="769">
        <v>19521544</v>
      </c>
      <c r="BB27" s="636">
        <f t="shared" si="16"/>
        <v>4943</v>
      </c>
      <c r="BC27" s="769">
        <v>579131</v>
      </c>
      <c r="BD27" s="636">
        <f t="shared" si="16"/>
        <v>261</v>
      </c>
      <c r="BE27" s="769">
        <v>29509.5</v>
      </c>
      <c r="BF27" s="636">
        <f t="shared" si="16"/>
        <v>56.5</v>
      </c>
      <c r="BG27" s="770">
        <v>24409686</v>
      </c>
      <c r="BH27" s="636">
        <f t="shared" si="27"/>
        <v>5722.25</v>
      </c>
      <c r="BI27" s="636">
        <f t="shared" si="28"/>
        <v>12393.487500000163</v>
      </c>
      <c r="BJ27" s="636">
        <f t="shared" si="29"/>
        <v>16620.048214285973</v>
      </c>
      <c r="BK27" s="770">
        <v>1435260</v>
      </c>
      <c r="BL27" s="636">
        <f t="shared" si="17"/>
        <v>334</v>
      </c>
      <c r="BM27" s="769">
        <v>3976191</v>
      </c>
      <c r="BN27" s="636">
        <f t="shared" si="18"/>
        <v>1007</v>
      </c>
      <c r="BO27" s="769">
        <v>420218</v>
      </c>
      <c r="BP27" s="636">
        <f t="shared" si="19"/>
        <v>148</v>
      </c>
      <c r="BQ27" s="769">
        <v>524892</v>
      </c>
      <c r="BR27" s="636">
        <f t="shared" si="42"/>
        <v>176</v>
      </c>
      <c r="BS27" s="692">
        <f t="shared" si="30"/>
        <v>24411.048214285973</v>
      </c>
      <c r="BT27" s="693">
        <v>250</v>
      </c>
      <c r="BU27" s="692">
        <f t="shared" si="51"/>
        <v>97.644192857143892</v>
      </c>
      <c r="BV27" s="693"/>
      <c r="BW27" s="692" t="e">
        <f t="shared" si="32"/>
        <v>#DIV/0!</v>
      </c>
      <c r="BX27" s="692">
        <f t="shared" si="35"/>
        <v>28302.205446428867</v>
      </c>
      <c r="BY27" s="692">
        <f t="shared" si="49"/>
        <v>113.20882178571547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24278719</v>
      </c>
      <c r="J28" s="636">
        <f t="shared" si="52"/>
        <v>7591</v>
      </c>
      <c r="K28" s="636">
        <f t="shared" si="22"/>
        <v>4543.2142857139697</v>
      </c>
      <c r="L28" s="770">
        <v>810014</v>
      </c>
      <c r="M28" s="636">
        <f t="shared" si="41"/>
        <v>2741.5</v>
      </c>
      <c r="N28" s="770">
        <v>655915.57142857101</v>
      </c>
      <c r="O28" s="636">
        <f t="shared" si="1"/>
        <v>1801.7142857139697</v>
      </c>
      <c r="P28" s="770">
        <v>222653</v>
      </c>
      <c r="Q28" s="636">
        <f t="shared" si="47"/>
        <v>570</v>
      </c>
      <c r="R28" s="769">
        <v>189490</v>
      </c>
      <c r="S28" s="636">
        <f>IF(R28&gt;=R27,R28-R27,0)</f>
        <v>151</v>
      </c>
      <c r="T28" s="769">
        <v>346644</v>
      </c>
      <c r="U28" s="636">
        <f>IF(T28&gt;=T27,T28-T27,0)</f>
        <v>288</v>
      </c>
      <c r="V28" s="769">
        <v>935100.08571428596</v>
      </c>
      <c r="W28" s="636">
        <f t="shared" si="53"/>
        <v>1191.2734285715467</v>
      </c>
      <c r="X28" s="770">
        <v>121574</v>
      </c>
      <c r="Y28" s="636">
        <f t="shared" si="6"/>
        <v>0</v>
      </c>
      <c r="Z28" s="769">
        <v>135511</v>
      </c>
      <c r="AA28" s="636">
        <f t="shared" si="7"/>
        <v>0</v>
      </c>
      <c r="AB28" s="769">
        <v>488566</v>
      </c>
      <c r="AC28" s="636">
        <f t="shared" si="34"/>
        <v>0</v>
      </c>
      <c r="AD28" s="769">
        <v>1562</v>
      </c>
      <c r="AE28" s="636">
        <f t="shared" si="23"/>
        <v>0</v>
      </c>
      <c r="AF28" s="769">
        <v>836865</v>
      </c>
      <c r="AG28" s="636">
        <f t="shared" si="43"/>
        <v>15.370000000000001</v>
      </c>
      <c r="AH28" s="770">
        <v>25779.0444444444</v>
      </c>
      <c r="AI28" s="636">
        <f t="shared" si="9"/>
        <v>364.34555555553288</v>
      </c>
      <c r="AJ28" s="770">
        <v>956088</v>
      </c>
      <c r="AK28" s="636">
        <f t="shared" si="46"/>
        <v>2066.2049999999999</v>
      </c>
      <c r="AL28" s="769">
        <v>507912.71428571403</v>
      </c>
      <c r="AM28" s="636">
        <f t="shared" si="11"/>
        <v>154.0028571426368</v>
      </c>
      <c r="AN28" s="636">
        <f t="shared" si="24"/>
        <v>3791.1968412697165</v>
      </c>
      <c r="AO28" s="769">
        <v>7666531</v>
      </c>
      <c r="AP28" s="636">
        <f t="shared" si="25"/>
        <v>3.9375</v>
      </c>
      <c r="AQ28" s="769">
        <v>694185</v>
      </c>
      <c r="AR28" s="636">
        <f>IF(AQ28&gt;=AQ27,AQ28-AQ27,0)</f>
        <v>334</v>
      </c>
      <c r="AS28" s="770">
        <v>973613</v>
      </c>
      <c r="AT28" s="636">
        <f t="shared" si="26"/>
        <v>163</v>
      </c>
      <c r="AU28" s="769">
        <v>812414.18</v>
      </c>
      <c r="AV28" s="636">
        <f t="shared" si="13"/>
        <v>40.080000000074506</v>
      </c>
      <c r="AW28" s="769">
        <v>2655520.7000000002</v>
      </c>
      <c r="AX28" s="636">
        <f t="shared" si="14"/>
        <v>669.5</v>
      </c>
      <c r="AY28" s="769">
        <v>229733</v>
      </c>
      <c r="AZ28" s="636">
        <f t="shared" si="48"/>
        <v>0</v>
      </c>
      <c r="BA28" s="769">
        <v>19526479</v>
      </c>
      <c r="BB28" s="636">
        <f t="shared" si="16"/>
        <v>4935</v>
      </c>
      <c r="BC28" s="769">
        <v>579340</v>
      </c>
      <c r="BD28" s="636">
        <f t="shared" si="16"/>
        <v>209</v>
      </c>
      <c r="BE28" s="769">
        <v>29560.799999999999</v>
      </c>
      <c r="BF28" s="636">
        <f t="shared" si="16"/>
        <v>51.299999999999272</v>
      </c>
      <c r="BG28" s="769">
        <v>24414298</v>
      </c>
      <c r="BH28" s="636">
        <f t="shared" si="27"/>
        <v>4125.6500000000005</v>
      </c>
      <c r="BI28" s="636">
        <f t="shared" si="28"/>
        <v>10531.467500000075</v>
      </c>
      <c r="BJ28" s="636">
        <f t="shared" si="29"/>
        <v>14322.664341269792</v>
      </c>
      <c r="BK28" s="770">
        <v>1435422</v>
      </c>
      <c r="BL28" s="636">
        <f t="shared" si="17"/>
        <v>162</v>
      </c>
      <c r="BM28" s="769">
        <v>3976893</v>
      </c>
      <c r="BN28" s="636">
        <f t="shared" si="18"/>
        <v>702</v>
      </c>
      <c r="BO28" s="769">
        <v>420319</v>
      </c>
      <c r="BP28" s="636">
        <f t="shared" si="19"/>
        <v>101</v>
      </c>
      <c r="BQ28" s="769">
        <v>525017</v>
      </c>
      <c r="BR28" s="636">
        <f t="shared" si="42"/>
        <v>125</v>
      </c>
      <c r="BS28" s="692">
        <f t="shared" si="30"/>
        <v>22483.664341269792</v>
      </c>
      <c r="BT28" s="693">
        <v>242</v>
      </c>
      <c r="BU28" s="692">
        <f t="shared" si="51"/>
        <v>92.907703889544592</v>
      </c>
      <c r="BV28" s="693"/>
      <c r="BW28" s="692" t="e">
        <f t="shared" si="32"/>
        <v>#DIV/0!</v>
      </c>
      <c r="BX28" s="692">
        <f t="shared" si="35"/>
        <v>26112.71399246026</v>
      </c>
      <c r="BY28" s="692">
        <f t="shared" si="49"/>
        <v>107.90377682834819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24286172</v>
      </c>
      <c r="J29" s="636">
        <f t="shared" si="52"/>
        <v>7453</v>
      </c>
      <c r="K29" s="636">
        <f t="shared" si="22"/>
        <v>4258.5761904759565</v>
      </c>
      <c r="L29" s="770">
        <v>812473.9</v>
      </c>
      <c r="M29" s="636">
        <f t="shared" si="0"/>
        <v>2459.9000000000233</v>
      </c>
      <c r="N29" s="770">
        <v>657714.24761904695</v>
      </c>
      <c r="O29" s="636">
        <f t="shared" si="1"/>
        <v>1798.6761904759333</v>
      </c>
      <c r="P29" s="770">
        <v>222672</v>
      </c>
      <c r="Q29" s="636">
        <f t="shared" si="47"/>
        <v>570</v>
      </c>
      <c r="R29" s="769">
        <v>189626</v>
      </c>
      <c r="S29" s="636">
        <f>IF(R29&gt;=R28,R29-R28,0)</f>
        <v>136</v>
      </c>
      <c r="T29" s="769">
        <v>346881</v>
      </c>
      <c r="U29" s="636">
        <f t="shared" ref="U29:U36" si="54">IF(T29&gt;=T28,T29-T28,0)</f>
        <v>237</v>
      </c>
      <c r="V29" s="769">
        <v>937284.28571428603</v>
      </c>
      <c r="W29" s="636">
        <f t="shared" si="5"/>
        <v>1157.626000000037</v>
      </c>
      <c r="X29" s="770">
        <v>121574</v>
      </c>
      <c r="Y29" s="636">
        <f t="shared" si="6"/>
        <v>0</v>
      </c>
      <c r="Z29" s="769">
        <v>135511</v>
      </c>
      <c r="AA29" s="636">
        <f t="shared" si="7"/>
        <v>0</v>
      </c>
      <c r="AB29" s="769">
        <v>488566</v>
      </c>
      <c r="AC29" s="636">
        <f t="shared" si="34"/>
        <v>0</v>
      </c>
      <c r="AD29" s="769">
        <v>1562</v>
      </c>
      <c r="AE29" s="636">
        <f t="shared" si="23"/>
        <v>0</v>
      </c>
      <c r="AF29" s="769">
        <v>836886</v>
      </c>
      <c r="AG29" s="636">
        <f t="shared" si="43"/>
        <v>11.13</v>
      </c>
      <c r="AH29" s="769">
        <v>26348.829059829</v>
      </c>
      <c r="AI29" s="636">
        <f t="shared" si="9"/>
        <v>301.98584615383817</v>
      </c>
      <c r="AJ29" s="769">
        <v>960428.13636363705</v>
      </c>
      <c r="AK29" s="636">
        <f t="shared" si="46"/>
        <v>2300.2722727276373</v>
      </c>
      <c r="AL29" s="769">
        <v>508205.34285714303</v>
      </c>
      <c r="AM29" s="636">
        <f t="shared" si="11"/>
        <v>155.0931428573694</v>
      </c>
      <c r="AN29" s="636">
        <f t="shared" si="24"/>
        <v>3926.1072617388818</v>
      </c>
      <c r="AO29" s="769">
        <v>7666570</v>
      </c>
      <c r="AP29" s="636">
        <f t="shared" si="25"/>
        <v>4.3875000000000002</v>
      </c>
      <c r="AQ29" s="769">
        <v>694506</v>
      </c>
      <c r="AR29" s="636">
        <f t="shared" si="12"/>
        <v>321</v>
      </c>
      <c r="AS29" s="769">
        <v>973689</v>
      </c>
      <c r="AT29" s="636">
        <f t="shared" si="26"/>
        <v>76</v>
      </c>
      <c r="AU29" s="769">
        <v>812454.79399999999</v>
      </c>
      <c r="AV29" s="636">
        <f t="shared" si="13"/>
        <v>40.613999999943189</v>
      </c>
      <c r="AW29" s="769">
        <v>2656250.2599999998</v>
      </c>
      <c r="AX29" s="636">
        <f t="shared" si="14"/>
        <v>729.55999999959022</v>
      </c>
      <c r="AY29" s="769">
        <v>229733</v>
      </c>
      <c r="AZ29" s="636">
        <f t="shared" si="48"/>
        <v>0</v>
      </c>
      <c r="BA29" s="769">
        <v>19530799</v>
      </c>
      <c r="BB29" s="636">
        <f t="shared" si="16"/>
        <v>4320</v>
      </c>
      <c r="BC29" s="769">
        <v>579607</v>
      </c>
      <c r="BD29" s="636">
        <f t="shared" si="16"/>
        <v>267</v>
      </c>
      <c r="BE29" s="769">
        <v>29617.55</v>
      </c>
      <c r="BF29" s="636">
        <f t="shared" si="16"/>
        <v>56.75</v>
      </c>
      <c r="BG29" s="770">
        <v>24420118</v>
      </c>
      <c r="BH29" s="636">
        <f t="shared" si="27"/>
        <v>5191.8499999999995</v>
      </c>
      <c r="BI29" s="636">
        <f t="shared" si="28"/>
        <v>11007.161499999533</v>
      </c>
      <c r="BJ29" s="636">
        <f t="shared" si="29"/>
        <v>14933.268761738414</v>
      </c>
      <c r="BK29" s="770">
        <v>1435549</v>
      </c>
      <c r="BL29" s="636">
        <f t="shared" si="17"/>
        <v>127</v>
      </c>
      <c r="BM29" s="769">
        <v>3977851</v>
      </c>
      <c r="BN29" s="636">
        <f t="shared" si="18"/>
        <v>958</v>
      </c>
      <c r="BO29" s="808">
        <v>420448</v>
      </c>
      <c r="BP29" s="636">
        <f t="shared" si="19"/>
        <v>129</v>
      </c>
      <c r="BQ29" s="770">
        <v>525156</v>
      </c>
      <c r="BR29" s="636">
        <f t="shared" si="42"/>
        <v>139</v>
      </c>
      <c r="BS29" s="692">
        <f t="shared" si="30"/>
        <v>22956.268761738414</v>
      </c>
      <c r="BT29" s="693">
        <v>231</v>
      </c>
      <c r="BU29" s="692">
        <f t="shared" si="51"/>
        <v>99.377786847352439</v>
      </c>
      <c r="BV29" s="693"/>
      <c r="BW29" s="692" t="e">
        <f t="shared" si="32"/>
        <v>#DIV/0!</v>
      </c>
      <c r="BX29" s="692">
        <f t="shared" si="35"/>
        <v>26656.209075999173</v>
      </c>
      <c r="BY29" s="692">
        <f t="shared" si="49"/>
        <v>115.39484448484491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24293322</v>
      </c>
      <c r="J30" s="636">
        <f t="shared" si="52"/>
        <v>7150</v>
      </c>
      <c r="K30" s="636">
        <f t="shared" si="22"/>
        <v>4624.8523809530307</v>
      </c>
      <c r="L30" s="770">
        <v>815056</v>
      </c>
      <c r="M30" s="636">
        <f t="shared" si="0"/>
        <v>2582.0999999999767</v>
      </c>
      <c r="N30" s="770">
        <v>659757</v>
      </c>
      <c r="O30" s="636">
        <f t="shared" si="1"/>
        <v>2042.7523809530539</v>
      </c>
      <c r="P30" s="770">
        <v>222690</v>
      </c>
      <c r="Q30" s="636">
        <f t="shared" si="47"/>
        <v>540</v>
      </c>
      <c r="R30" s="769">
        <v>189769</v>
      </c>
      <c r="S30" s="636">
        <f>IF(R30&gt;=R29,R30-R29,0)</f>
        <v>143</v>
      </c>
      <c r="T30" s="769">
        <v>347143</v>
      </c>
      <c r="U30" s="636">
        <f t="shared" si="54"/>
        <v>262</v>
      </c>
      <c r="V30" s="769">
        <v>937297</v>
      </c>
      <c r="W30" s="636">
        <f>IF(V30&gt;=V29,V30-V29,0)*0.53</f>
        <v>6.7385714284039571</v>
      </c>
      <c r="X30" s="770">
        <v>121574</v>
      </c>
      <c r="Y30" s="636">
        <f t="shared" si="6"/>
        <v>0</v>
      </c>
      <c r="Z30" s="769">
        <v>135511</v>
      </c>
      <c r="AA30" s="636">
        <f t="shared" si="7"/>
        <v>0</v>
      </c>
      <c r="AB30" s="769">
        <v>488566</v>
      </c>
      <c r="AC30" s="636">
        <f t="shared" si="34"/>
        <v>0</v>
      </c>
      <c r="AD30" s="769">
        <v>1562</v>
      </c>
      <c r="AE30" s="636">
        <f t="shared" si="23"/>
        <v>0</v>
      </c>
      <c r="AF30" s="769">
        <v>836931</v>
      </c>
      <c r="AG30" s="636">
        <f t="shared" si="43"/>
        <v>23.85</v>
      </c>
      <c r="AH30" s="769">
        <v>27823</v>
      </c>
      <c r="AI30" s="636">
        <f t="shared" si="9"/>
        <v>781.31059829062974</v>
      </c>
      <c r="AJ30" s="769">
        <v>966023</v>
      </c>
      <c r="AK30" s="636">
        <f t="shared" si="46"/>
        <v>2965.2777272723629</v>
      </c>
      <c r="AL30" s="769">
        <v>508483</v>
      </c>
      <c r="AM30" s="636">
        <f t="shared" si="11"/>
        <v>147.15828571419581</v>
      </c>
      <c r="AN30" s="636">
        <f t="shared" si="24"/>
        <v>3924.3351827055922</v>
      </c>
      <c r="AO30" s="769">
        <v>7666611</v>
      </c>
      <c r="AP30" s="636">
        <f t="shared" si="25"/>
        <v>4.6124999999999998</v>
      </c>
      <c r="AQ30" s="770">
        <v>694821</v>
      </c>
      <c r="AR30" s="636">
        <f t="shared" si="12"/>
        <v>315</v>
      </c>
      <c r="AS30" s="769">
        <v>973841</v>
      </c>
      <c r="AT30" s="636">
        <f t="shared" si="26"/>
        <v>152</v>
      </c>
      <c r="AU30" s="769">
        <v>812477</v>
      </c>
      <c r="AV30" s="636">
        <f t="shared" si="13"/>
        <v>22.206000000005588</v>
      </c>
      <c r="AW30" s="769">
        <v>2656722</v>
      </c>
      <c r="AX30" s="636">
        <f t="shared" si="14"/>
        <v>471.74000000022352</v>
      </c>
      <c r="AY30" s="769">
        <v>229733</v>
      </c>
      <c r="AZ30" s="636">
        <f t="shared" si="48"/>
        <v>0</v>
      </c>
      <c r="BA30" s="769">
        <v>19535210</v>
      </c>
      <c r="BB30" s="636">
        <f t="shared" si="16"/>
        <v>4411</v>
      </c>
      <c r="BC30" s="769">
        <v>579846</v>
      </c>
      <c r="BD30" s="636">
        <f t="shared" si="16"/>
        <v>239</v>
      </c>
      <c r="BE30" s="769">
        <v>29682</v>
      </c>
      <c r="BF30" s="636">
        <f t="shared" si="16"/>
        <v>64.450000000000728</v>
      </c>
      <c r="BG30" s="770">
        <v>24425932</v>
      </c>
      <c r="BH30" s="636">
        <f t="shared" si="27"/>
        <v>5138.7</v>
      </c>
      <c r="BI30" s="636">
        <f t="shared" si="28"/>
        <v>10818.70850000023</v>
      </c>
      <c r="BJ30" s="636">
        <f t="shared" si="29"/>
        <v>14743.043682705822</v>
      </c>
      <c r="BK30" s="770">
        <v>1435613</v>
      </c>
      <c r="BL30" s="636">
        <f t="shared" si="17"/>
        <v>64</v>
      </c>
      <c r="BM30" s="769">
        <v>3978910</v>
      </c>
      <c r="BN30" s="806">
        <f t="shared" si="18"/>
        <v>1059</v>
      </c>
      <c r="BO30" s="804">
        <v>420583</v>
      </c>
      <c r="BP30" s="807">
        <f t="shared" si="19"/>
        <v>135</v>
      </c>
      <c r="BQ30" s="769">
        <v>525294</v>
      </c>
      <c r="BR30" s="636">
        <f t="shared" si="42"/>
        <v>138</v>
      </c>
      <c r="BS30" s="692">
        <f t="shared" si="30"/>
        <v>22433.043682705822</v>
      </c>
      <c r="BT30" s="693">
        <v>236</v>
      </c>
      <c r="BU30" s="692">
        <f t="shared" si="51"/>
        <v>95.055269841973825</v>
      </c>
      <c r="BV30" s="693"/>
      <c r="BW30" s="692" t="e">
        <f t="shared" si="32"/>
        <v>#DIV/0!</v>
      </c>
      <c r="BX30" s="692">
        <f t="shared" si="35"/>
        <v>26041.000235111693</v>
      </c>
      <c r="BY30" s="692">
        <f t="shared" si="49"/>
        <v>110.34322133521904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24300314</v>
      </c>
      <c r="J31" s="636">
        <f t="shared" si="52"/>
        <v>6992</v>
      </c>
      <c r="K31" s="636">
        <f t="shared" si="22"/>
        <v>4327</v>
      </c>
      <c r="L31" s="770">
        <v>817507</v>
      </c>
      <c r="M31" s="636">
        <f t="shared" si="0"/>
        <v>2451</v>
      </c>
      <c r="N31" s="770">
        <v>661633</v>
      </c>
      <c r="O31" s="636">
        <f t="shared" si="1"/>
        <v>1876</v>
      </c>
      <c r="P31" s="770">
        <v>222708</v>
      </c>
      <c r="Q31" s="636">
        <f t="shared" si="47"/>
        <v>540</v>
      </c>
      <c r="R31" s="769">
        <v>189915</v>
      </c>
      <c r="S31" s="636">
        <f t="shared" si="50"/>
        <v>146</v>
      </c>
      <c r="T31" s="769">
        <v>347405</v>
      </c>
      <c r="U31" s="636">
        <f t="shared" si="54"/>
        <v>262</v>
      </c>
      <c r="V31" s="769">
        <v>939806</v>
      </c>
      <c r="W31" s="636">
        <f>IF(V31&gt;=V30,V31-V30,0)*0.53</f>
        <v>1329.77</v>
      </c>
      <c r="X31" s="770">
        <v>121574</v>
      </c>
      <c r="Y31" s="636">
        <f t="shared" si="6"/>
        <v>0</v>
      </c>
      <c r="Z31" s="769">
        <v>135511</v>
      </c>
      <c r="AA31" s="636">
        <f t="shared" si="7"/>
        <v>0</v>
      </c>
      <c r="AB31" s="769">
        <v>488566</v>
      </c>
      <c r="AC31" s="636">
        <f t="shared" si="34"/>
        <v>0</v>
      </c>
      <c r="AD31" s="769">
        <v>1562</v>
      </c>
      <c r="AE31" s="636">
        <f t="shared" si="23"/>
        <v>0</v>
      </c>
      <c r="AF31" s="769">
        <v>836931</v>
      </c>
      <c r="AG31" s="636">
        <f t="shared" si="43"/>
        <v>0</v>
      </c>
      <c r="AH31" s="770">
        <v>27823</v>
      </c>
      <c r="AI31" s="636">
        <f t="shared" si="9"/>
        <v>0</v>
      </c>
      <c r="AJ31" s="770">
        <v>971300</v>
      </c>
      <c r="AK31" s="636">
        <f t="shared" si="46"/>
        <v>2796.81</v>
      </c>
      <c r="AL31" s="769">
        <v>508781</v>
      </c>
      <c r="AM31" s="636">
        <f t="shared" si="11"/>
        <v>157.94</v>
      </c>
      <c r="AN31" s="636">
        <f t="shared" si="24"/>
        <v>4284.5199999999995</v>
      </c>
      <c r="AO31" s="769">
        <v>7667037</v>
      </c>
      <c r="AP31" s="636">
        <f t="shared" si="25"/>
        <v>47.925000000000004</v>
      </c>
      <c r="AQ31" s="769">
        <v>695130</v>
      </c>
      <c r="AR31" s="636">
        <f t="shared" si="12"/>
        <v>309</v>
      </c>
      <c r="AS31" s="769">
        <v>974026</v>
      </c>
      <c r="AT31" s="636">
        <f t="shared" si="26"/>
        <v>185</v>
      </c>
      <c r="AU31" s="769">
        <v>812514</v>
      </c>
      <c r="AV31" s="636">
        <f t="shared" si="13"/>
        <v>37</v>
      </c>
      <c r="AW31" s="769">
        <v>2657356</v>
      </c>
      <c r="AX31" s="636">
        <f t="shared" si="14"/>
        <v>634</v>
      </c>
      <c r="AY31" s="770">
        <v>229733</v>
      </c>
      <c r="AZ31" s="636">
        <f t="shared" si="48"/>
        <v>0</v>
      </c>
      <c r="BA31" s="769">
        <v>19539817</v>
      </c>
      <c r="BB31" s="636">
        <f t="shared" si="16"/>
        <v>4607</v>
      </c>
      <c r="BC31" s="769">
        <v>580066</v>
      </c>
      <c r="BD31" s="636">
        <f t="shared" si="16"/>
        <v>220</v>
      </c>
      <c r="BE31" s="769">
        <v>29735</v>
      </c>
      <c r="BF31" s="636">
        <f t="shared" si="16"/>
        <v>53</v>
      </c>
      <c r="BG31" s="769">
        <v>24431752</v>
      </c>
      <c r="BH31" s="636">
        <f t="shared" si="27"/>
        <v>5181.5</v>
      </c>
      <c r="BI31" s="636">
        <f t="shared" si="28"/>
        <v>11274.424999999999</v>
      </c>
      <c r="BJ31" s="636">
        <f t="shared" si="29"/>
        <v>15558.945</v>
      </c>
      <c r="BK31" s="770">
        <v>1435758</v>
      </c>
      <c r="BL31" s="636">
        <f t="shared" si="17"/>
        <v>145</v>
      </c>
      <c r="BM31" s="770">
        <v>3979881</v>
      </c>
      <c r="BN31" s="806">
        <f t="shared" si="18"/>
        <v>971</v>
      </c>
      <c r="BO31" s="805">
        <v>420722</v>
      </c>
      <c r="BP31" s="807">
        <f t="shared" si="19"/>
        <v>139</v>
      </c>
      <c r="BQ31" s="769">
        <v>525433</v>
      </c>
      <c r="BR31" s="636">
        <f t="shared" si="42"/>
        <v>139</v>
      </c>
      <c r="BS31" s="692">
        <f t="shared" si="30"/>
        <v>23090.945</v>
      </c>
      <c r="BT31" s="693">
        <v>241</v>
      </c>
      <c r="BU31" s="692">
        <f t="shared" si="51"/>
        <v>95.813049792531118</v>
      </c>
      <c r="BV31" s="693"/>
      <c r="BW31" s="692" t="e">
        <f t="shared" si="32"/>
        <v>#DIV/0!</v>
      </c>
      <c r="BX31" s="692">
        <f t="shared" si="35"/>
        <v>26797.586749999999</v>
      </c>
      <c r="BY31" s="692">
        <f t="shared" si="49"/>
        <v>111.1933060165975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24306737</v>
      </c>
      <c r="J32" s="636">
        <f t="shared" si="21"/>
        <v>6423</v>
      </c>
      <c r="K32" s="636">
        <f t="shared" si="22"/>
        <v>3828</v>
      </c>
      <c r="L32" s="770">
        <v>819672</v>
      </c>
      <c r="M32" s="636">
        <f t="shared" si="0"/>
        <v>2165</v>
      </c>
      <c r="N32" s="770">
        <v>663296</v>
      </c>
      <c r="O32" s="636">
        <f t="shared" si="1"/>
        <v>1663</v>
      </c>
      <c r="P32" s="770">
        <v>222727</v>
      </c>
      <c r="Q32" s="636">
        <f t="shared" si="47"/>
        <v>570</v>
      </c>
      <c r="R32" s="769">
        <v>190047</v>
      </c>
      <c r="S32" s="636">
        <f t="shared" si="50"/>
        <v>132</v>
      </c>
      <c r="T32" s="769">
        <v>347641</v>
      </c>
      <c r="U32" s="636">
        <f t="shared" si="54"/>
        <v>236</v>
      </c>
      <c r="V32" s="769">
        <v>942233</v>
      </c>
      <c r="W32" s="636">
        <f>IF(V32&gt;=V31,V32-V31,0)*0.53</f>
        <v>1286.3100000000002</v>
      </c>
      <c r="X32" s="770">
        <v>121574</v>
      </c>
      <c r="Y32" s="636">
        <f t="shared" si="6"/>
        <v>0</v>
      </c>
      <c r="Z32" s="769">
        <v>135511</v>
      </c>
      <c r="AA32" s="636">
        <f t="shared" si="7"/>
        <v>0</v>
      </c>
      <c r="AB32" s="769">
        <v>488566</v>
      </c>
      <c r="AC32" s="636">
        <f t="shared" si="34"/>
        <v>0</v>
      </c>
      <c r="AD32" s="769">
        <v>1562</v>
      </c>
      <c r="AE32" s="636">
        <f t="shared" si="23"/>
        <v>0</v>
      </c>
      <c r="AF32" s="769">
        <v>836960</v>
      </c>
      <c r="AG32" s="636">
        <f t="shared" si="43"/>
        <v>15.370000000000001</v>
      </c>
      <c r="AH32" s="769">
        <v>28526</v>
      </c>
      <c r="AI32" s="636">
        <f t="shared" si="9"/>
        <v>372.59000000000003</v>
      </c>
      <c r="AJ32" s="769">
        <v>976119</v>
      </c>
      <c r="AK32" s="636">
        <f t="shared" si="46"/>
        <v>2554.0700000000002</v>
      </c>
      <c r="AL32" s="769">
        <v>509060</v>
      </c>
      <c r="AM32" s="636">
        <f t="shared" si="11"/>
        <v>147.87</v>
      </c>
      <c r="AN32" s="636">
        <f t="shared" si="24"/>
        <v>4376.21</v>
      </c>
      <c r="AO32" s="769">
        <v>7667350</v>
      </c>
      <c r="AP32" s="636">
        <f t="shared" si="25"/>
        <v>35.212499999999999</v>
      </c>
      <c r="AQ32" s="770">
        <v>695446</v>
      </c>
      <c r="AR32" s="636">
        <f t="shared" si="12"/>
        <v>316</v>
      </c>
      <c r="AS32" s="769">
        <v>974169</v>
      </c>
      <c r="AT32" s="636">
        <f t="shared" si="26"/>
        <v>143</v>
      </c>
      <c r="AU32" s="769">
        <v>812551</v>
      </c>
      <c r="AV32" s="636">
        <f t="shared" si="13"/>
        <v>37</v>
      </c>
      <c r="AW32" s="769">
        <v>2657933</v>
      </c>
      <c r="AX32" s="636">
        <f t="shared" si="14"/>
        <v>577</v>
      </c>
      <c r="AY32" s="770">
        <v>229733</v>
      </c>
      <c r="AZ32" s="636">
        <f t="shared" si="48"/>
        <v>0</v>
      </c>
      <c r="BA32" s="769">
        <v>19544878</v>
      </c>
      <c r="BB32" s="636">
        <f t="shared" si="16"/>
        <v>5061</v>
      </c>
      <c r="BC32" s="769">
        <v>580264</v>
      </c>
      <c r="BD32" s="636">
        <f t="shared" si="16"/>
        <v>198</v>
      </c>
      <c r="BE32" s="769">
        <v>29795.599999999999</v>
      </c>
      <c r="BF32" s="636">
        <f t="shared" si="16"/>
        <v>60.599999999998545</v>
      </c>
      <c r="BG32" s="770">
        <v>24437071</v>
      </c>
      <c r="BH32" s="636">
        <f t="shared" si="27"/>
        <v>4728.1499999999996</v>
      </c>
      <c r="BI32" s="636">
        <f t="shared" si="28"/>
        <v>11155.962499999998</v>
      </c>
      <c r="BJ32" s="636">
        <f t="shared" si="29"/>
        <v>15532.172499999997</v>
      </c>
      <c r="BK32" s="770">
        <v>1435982</v>
      </c>
      <c r="BL32" s="636">
        <f t="shared" si="17"/>
        <v>224</v>
      </c>
      <c r="BM32" s="770">
        <v>3980741</v>
      </c>
      <c r="BN32" s="806">
        <f t="shared" si="18"/>
        <v>860</v>
      </c>
      <c r="BO32" s="805">
        <v>420855</v>
      </c>
      <c r="BP32" s="807">
        <f t="shared" si="19"/>
        <v>133</v>
      </c>
      <c r="BQ32" s="769">
        <v>525577</v>
      </c>
      <c r="BR32" s="636">
        <f t="shared" si="42"/>
        <v>144</v>
      </c>
      <c r="BS32" s="692">
        <f t="shared" si="30"/>
        <v>22525.172499999997</v>
      </c>
      <c r="BT32" s="693">
        <v>232</v>
      </c>
      <c r="BU32" s="692">
        <f t="shared" si="51"/>
        <v>97.091260775862054</v>
      </c>
      <c r="BV32" s="695"/>
      <c r="BW32" s="692" t="e">
        <f t="shared" si="32"/>
        <v>#DIV/0!</v>
      </c>
      <c r="BX32" s="692">
        <f t="shared" si="35"/>
        <v>26160.448374999996</v>
      </c>
      <c r="BY32" s="692">
        <f t="shared" si="49"/>
        <v>112.76055334051722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24313734</v>
      </c>
      <c r="J33" s="636">
        <f t="shared" si="21"/>
        <v>6997</v>
      </c>
      <c r="K33" s="636">
        <f t="shared" si="22"/>
        <v>4488</v>
      </c>
      <c r="L33" s="770">
        <v>822160</v>
      </c>
      <c r="M33" s="636">
        <f t="shared" si="0"/>
        <v>2488</v>
      </c>
      <c r="N33" s="770">
        <v>665296</v>
      </c>
      <c r="O33" s="636">
        <f t="shared" si="1"/>
        <v>2000</v>
      </c>
      <c r="P33" s="770">
        <v>222746</v>
      </c>
      <c r="Q33" s="636">
        <f t="shared" si="47"/>
        <v>570</v>
      </c>
      <c r="R33" s="769">
        <v>190194</v>
      </c>
      <c r="S33" s="636">
        <f t="shared" si="50"/>
        <v>147</v>
      </c>
      <c r="T33" s="769">
        <v>347913</v>
      </c>
      <c r="U33" s="636">
        <f t="shared" si="54"/>
        <v>272</v>
      </c>
      <c r="V33" s="769">
        <v>945095</v>
      </c>
      <c r="W33" s="636">
        <f t="shared" si="5"/>
        <v>1516.8600000000001</v>
      </c>
      <c r="X33" s="770">
        <v>121574</v>
      </c>
      <c r="Y33" s="636">
        <f t="shared" si="6"/>
        <v>0</v>
      </c>
      <c r="Z33" s="769">
        <v>135511</v>
      </c>
      <c r="AA33" s="636">
        <f t="shared" si="7"/>
        <v>0</v>
      </c>
      <c r="AB33" s="769">
        <v>488566</v>
      </c>
      <c r="AC33" s="636">
        <f t="shared" si="34"/>
        <v>0</v>
      </c>
      <c r="AD33" s="769">
        <v>1562</v>
      </c>
      <c r="AE33" s="636">
        <f t="shared" si="23"/>
        <v>0</v>
      </c>
      <c r="AF33" s="769">
        <v>836977</v>
      </c>
      <c r="AG33" s="636">
        <f t="shared" si="43"/>
        <v>9.01</v>
      </c>
      <c r="AH33" s="770">
        <v>29299</v>
      </c>
      <c r="AI33" s="636">
        <f t="shared" si="9"/>
        <v>409.69</v>
      </c>
      <c r="AJ33" s="770">
        <v>981458</v>
      </c>
      <c r="AK33" s="636">
        <f t="shared" si="46"/>
        <v>2829.67</v>
      </c>
      <c r="AL33" s="769">
        <v>509362</v>
      </c>
      <c r="AM33" s="636">
        <f t="shared" si="11"/>
        <v>160.06</v>
      </c>
      <c r="AN33" s="636">
        <f t="shared" si="24"/>
        <v>4925.2900000000009</v>
      </c>
      <c r="AO33" s="769">
        <v>7667977</v>
      </c>
      <c r="AP33" s="636">
        <f t="shared" si="25"/>
        <v>70.537500000000009</v>
      </c>
      <c r="AQ33" s="769">
        <v>695905</v>
      </c>
      <c r="AR33" s="636">
        <f t="shared" si="12"/>
        <v>459</v>
      </c>
      <c r="AS33" s="769">
        <v>974328</v>
      </c>
      <c r="AT33" s="636">
        <f t="shared" si="26"/>
        <v>159</v>
      </c>
      <c r="AU33" s="769">
        <v>812595</v>
      </c>
      <c r="AV33" s="636">
        <f t="shared" si="13"/>
        <v>44</v>
      </c>
      <c r="AW33" s="769">
        <v>2658535</v>
      </c>
      <c r="AX33" s="636">
        <f t="shared" si="14"/>
        <v>602</v>
      </c>
      <c r="AY33" s="770">
        <v>229733</v>
      </c>
      <c r="AZ33" s="636">
        <f t="shared" si="48"/>
        <v>0</v>
      </c>
      <c r="BA33" s="769">
        <v>19549205</v>
      </c>
      <c r="BB33" s="636">
        <f t="shared" si="16"/>
        <v>4327</v>
      </c>
      <c r="BC33" s="769">
        <v>580481</v>
      </c>
      <c r="BD33" s="636">
        <f t="shared" si="16"/>
        <v>217</v>
      </c>
      <c r="BE33" s="769">
        <v>29854.305</v>
      </c>
      <c r="BF33" s="636">
        <f t="shared" si="16"/>
        <v>58.705000000001746</v>
      </c>
      <c r="BG33" s="769">
        <v>24442928</v>
      </c>
      <c r="BH33" s="636">
        <f t="shared" si="27"/>
        <v>5233.3500000000004</v>
      </c>
      <c r="BI33" s="636">
        <f t="shared" si="28"/>
        <v>11170.592500000002</v>
      </c>
      <c r="BJ33" s="636">
        <f t="shared" si="29"/>
        <v>16095.882500000003</v>
      </c>
      <c r="BK33" s="770">
        <v>1436211</v>
      </c>
      <c r="BL33" s="636">
        <f t="shared" si="17"/>
        <v>229</v>
      </c>
      <c r="BM33" s="770">
        <v>3981676</v>
      </c>
      <c r="BN33" s="806">
        <f t="shared" si="18"/>
        <v>935</v>
      </c>
      <c r="BO33" s="805">
        <v>420997</v>
      </c>
      <c r="BP33" s="807">
        <f t="shared" si="19"/>
        <v>142</v>
      </c>
      <c r="BQ33" s="769">
        <v>525716</v>
      </c>
      <c r="BR33" s="636">
        <f t="shared" si="42"/>
        <v>139</v>
      </c>
      <c r="BS33" s="692">
        <f t="shared" si="30"/>
        <v>23662.882500000003</v>
      </c>
      <c r="BT33" s="693">
        <v>202</v>
      </c>
      <c r="BU33" s="692">
        <f t="shared" si="51"/>
        <v>117.14298267326734</v>
      </c>
      <c r="BV33" s="693"/>
      <c r="BW33" s="692" t="e">
        <f t="shared" si="32"/>
        <v>#DIV/0!</v>
      </c>
      <c r="BX33" s="692">
        <f t="shared" si="35"/>
        <v>27468.814875</v>
      </c>
      <c r="BY33" s="692">
        <f t="shared" si="49"/>
        <v>135.98423205445545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24320191</v>
      </c>
      <c r="J34" s="636">
        <f t="shared" si="21"/>
        <v>6457</v>
      </c>
      <c r="K34" s="636">
        <f t="shared" si="22"/>
        <v>4085</v>
      </c>
      <c r="L34" s="770">
        <v>824334</v>
      </c>
      <c r="M34" s="636">
        <f t="shared" si="0"/>
        <v>2174</v>
      </c>
      <c r="N34" s="770">
        <v>667207</v>
      </c>
      <c r="O34" s="636">
        <f t="shared" si="1"/>
        <v>1911</v>
      </c>
      <c r="P34" s="770">
        <v>222765</v>
      </c>
      <c r="Q34" s="636">
        <f t="shared" si="47"/>
        <v>570</v>
      </c>
      <c r="R34" s="769">
        <v>190335</v>
      </c>
      <c r="S34" s="636">
        <f t="shared" si="50"/>
        <v>141</v>
      </c>
      <c r="T34" s="769">
        <v>348175</v>
      </c>
      <c r="U34" s="636">
        <f t="shared" si="54"/>
        <v>262</v>
      </c>
      <c r="V34" s="769">
        <v>949383</v>
      </c>
      <c r="W34" s="636">
        <f t="shared" si="5"/>
        <v>2272.6400000000003</v>
      </c>
      <c r="X34" s="770">
        <v>121574</v>
      </c>
      <c r="Y34" s="636">
        <f t="shared" si="6"/>
        <v>0</v>
      </c>
      <c r="Z34" s="769">
        <v>135511</v>
      </c>
      <c r="AA34" s="636">
        <f t="shared" si="7"/>
        <v>0</v>
      </c>
      <c r="AB34" s="769">
        <v>488566</v>
      </c>
      <c r="AC34" s="636">
        <f t="shared" si="34"/>
        <v>0</v>
      </c>
      <c r="AD34" s="769">
        <v>1562</v>
      </c>
      <c r="AE34" s="636">
        <f t="shared" si="23"/>
        <v>0</v>
      </c>
      <c r="AF34" s="769">
        <v>836999</v>
      </c>
      <c r="AG34" s="636">
        <f t="shared" si="43"/>
        <v>11.66</v>
      </c>
      <c r="AH34" s="770">
        <v>30024</v>
      </c>
      <c r="AI34" s="636">
        <f t="shared" si="9"/>
        <v>384.25</v>
      </c>
      <c r="AJ34" s="770">
        <v>986904</v>
      </c>
      <c r="AK34" s="636">
        <f t="shared" si="46"/>
        <v>2886.38</v>
      </c>
      <c r="AL34" s="769">
        <v>509648</v>
      </c>
      <c r="AM34" s="636">
        <f t="shared" si="11"/>
        <v>151.58000000000001</v>
      </c>
      <c r="AN34" s="636">
        <f t="shared" si="24"/>
        <v>5706.51</v>
      </c>
      <c r="AO34" s="769">
        <v>7668354</v>
      </c>
      <c r="AP34" s="636">
        <f t="shared" si="25"/>
        <v>42.412500000000001</v>
      </c>
      <c r="AQ34" s="769">
        <v>696245</v>
      </c>
      <c r="AR34" s="636">
        <f t="shared" si="12"/>
        <v>340</v>
      </c>
      <c r="AS34" s="769">
        <v>974487</v>
      </c>
      <c r="AT34" s="636">
        <f t="shared" si="26"/>
        <v>159</v>
      </c>
      <c r="AU34" s="769">
        <v>812638</v>
      </c>
      <c r="AV34" s="636">
        <f t="shared" si="13"/>
        <v>43</v>
      </c>
      <c r="AW34" s="769">
        <v>2659123</v>
      </c>
      <c r="AX34" s="636">
        <f t="shared" si="14"/>
        <v>588</v>
      </c>
      <c r="AY34" s="770">
        <v>229733</v>
      </c>
      <c r="AZ34" s="636">
        <f t="shared" si="48"/>
        <v>0</v>
      </c>
      <c r="BA34" s="769">
        <v>19553893</v>
      </c>
      <c r="BB34" s="636">
        <f t="shared" si="16"/>
        <v>4688</v>
      </c>
      <c r="BC34" s="769">
        <v>580687</v>
      </c>
      <c r="BD34" s="636">
        <f t="shared" si="16"/>
        <v>206</v>
      </c>
      <c r="BE34" s="769">
        <v>29909</v>
      </c>
      <c r="BF34" s="636">
        <f t="shared" si="16"/>
        <v>54.694999999999709</v>
      </c>
      <c r="BG34" s="769">
        <v>24448818</v>
      </c>
      <c r="BH34" s="636">
        <f t="shared" si="27"/>
        <v>5304.35</v>
      </c>
      <c r="BI34" s="636">
        <f t="shared" si="28"/>
        <v>11425.4575</v>
      </c>
      <c r="BJ34" s="636">
        <f t="shared" si="29"/>
        <v>17131.967499999999</v>
      </c>
      <c r="BK34" s="770">
        <v>1436455</v>
      </c>
      <c r="BL34" s="636">
        <f t="shared" si="17"/>
        <v>244</v>
      </c>
      <c r="BM34" s="770">
        <v>3982547</v>
      </c>
      <c r="BN34" s="806">
        <f t="shared" si="18"/>
        <v>871</v>
      </c>
      <c r="BO34" s="805">
        <v>421123</v>
      </c>
      <c r="BP34" s="807">
        <f t="shared" si="19"/>
        <v>126</v>
      </c>
      <c r="BQ34" s="769">
        <v>525853</v>
      </c>
      <c r="BR34" s="636">
        <f t="shared" si="42"/>
        <v>137</v>
      </c>
      <c r="BS34" s="692">
        <f t="shared" si="30"/>
        <v>24158.967499999999</v>
      </c>
      <c r="BT34" s="693">
        <v>168</v>
      </c>
      <c r="BU34" s="692">
        <f t="shared" si="51"/>
        <v>143.80337797619046</v>
      </c>
      <c r="BV34" s="693"/>
      <c r="BW34" s="692" t="e">
        <f t="shared" si="32"/>
        <v>#DIV/0!</v>
      </c>
      <c r="BX34" s="692">
        <f t="shared" si="35"/>
        <v>28039.312624999995</v>
      </c>
      <c r="BY34" s="692">
        <f t="shared" si="49"/>
        <v>166.90067038690472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24325806</v>
      </c>
      <c r="J35" s="636">
        <f t="shared" si="21"/>
        <v>5615</v>
      </c>
      <c r="K35" s="636">
        <f t="shared" si="22"/>
        <v>3695</v>
      </c>
      <c r="L35" s="770">
        <v>826324</v>
      </c>
      <c r="M35" s="636">
        <f t="shared" si="0"/>
        <v>1990</v>
      </c>
      <c r="N35" s="770">
        <v>668912</v>
      </c>
      <c r="O35" s="636">
        <f t="shared" si="1"/>
        <v>1705</v>
      </c>
      <c r="P35" s="770">
        <v>222782</v>
      </c>
      <c r="Q35" s="636">
        <f t="shared" si="47"/>
        <v>510</v>
      </c>
      <c r="R35" s="769">
        <v>190466</v>
      </c>
      <c r="S35" s="636">
        <f t="shared" si="50"/>
        <v>131</v>
      </c>
      <c r="T35" s="769">
        <v>348410</v>
      </c>
      <c r="U35" s="636">
        <f t="shared" si="54"/>
        <v>235</v>
      </c>
      <c r="V35" s="769">
        <v>953710</v>
      </c>
      <c r="W35" s="636">
        <f t="shared" si="5"/>
        <v>2293.31</v>
      </c>
      <c r="X35" s="770">
        <v>121574</v>
      </c>
      <c r="Y35" s="636">
        <f t="shared" si="6"/>
        <v>0</v>
      </c>
      <c r="Z35" s="769">
        <v>135511</v>
      </c>
      <c r="AA35" s="636">
        <f t="shared" si="7"/>
        <v>0</v>
      </c>
      <c r="AB35" s="769">
        <v>488566</v>
      </c>
      <c r="AC35" s="636">
        <f t="shared" si="34"/>
        <v>0</v>
      </c>
      <c r="AD35" s="769">
        <v>1562</v>
      </c>
      <c r="AE35" s="636">
        <f t="shared" si="23"/>
        <v>0</v>
      </c>
      <c r="AF35" s="769">
        <v>837020</v>
      </c>
      <c r="AG35" s="636">
        <f t="shared" si="43"/>
        <v>11.13</v>
      </c>
      <c r="AH35" s="770">
        <v>30692</v>
      </c>
      <c r="AI35" s="636">
        <f t="shared" si="9"/>
        <v>354.04</v>
      </c>
      <c r="AJ35" s="770">
        <v>992221</v>
      </c>
      <c r="AK35" s="636">
        <f t="shared" si="46"/>
        <v>2818.01</v>
      </c>
      <c r="AL35" s="769">
        <v>509921</v>
      </c>
      <c r="AM35" s="636">
        <f t="shared" si="11"/>
        <v>144.69</v>
      </c>
      <c r="AN35" s="636">
        <f t="shared" si="24"/>
        <v>5621.1799999999994</v>
      </c>
      <c r="AO35" s="769">
        <v>7669281</v>
      </c>
      <c r="AP35" s="636">
        <f t="shared" si="25"/>
        <v>104.28750000000001</v>
      </c>
      <c r="AQ35" s="769">
        <v>696555</v>
      </c>
      <c r="AR35" s="636">
        <f t="shared" si="12"/>
        <v>310</v>
      </c>
      <c r="AS35" s="769">
        <v>974634</v>
      </c>
      <c r="AT35" s="636">
        <f>IF(AS35&gt;=AS34,AS35-AS34,0)</f>
        <v>147</v>
      </c>
      <c r="AU35" s="769">
        <v>812677</v>
      </c>
      <c r="AV35" s="636">
        <f t="shared" si="13"/>
        <v>39</v>
      </c>
      <c r="AW35" s="769">
        <v>2659699</v>
      </c>
      <c r="AX35" s="636">
        <f t="shared" si="14"/>
        <v>576</v>
      </c>
      <c r="AY35" s="770">
        <v>229733</v>
      </c>
      <c r="AZ35" s="636">
        <f t="shared" si="48"/>
        <v>0</v>
      </c>
      <c r="BA35" s="769">
        <v>19558415</v>
      </c>
      <c r="BB35" s="636">
        <f t="shared" si="16"/>
        <v>4522</v>
      </c>
      <c r="BC35" s="769">
        <v>580868</v>
      </c>
      <c r="BD35" s="636">
        <f t="shared" si="16"/>
        <v>181</v>
      </c>
      <c r="BE35" s="769">
        <v>29965</v>
      </c>
      <c r="BF35" s="636">
        <f t="shared" si="16"/>
        <v>56</v>
      </c>
      <c r="BG35" s="769">
        <v>24454212</v>
      </c>
      <c r="BH35" s="636">
        <f t="shared" si="27"/>
        <v>4815</v>
      </c>
      <c r="BI35" s="636">
        <f t="shared" si="28"/>
        <v>10750.2875</v>
      </c>
      <c r="BJ35" s="636">
        <f t="shared" si="29"/>
        <v>16371.467499999999</v>
      </c>
      <c r="BK35" s="770">
        <v>1436551</v>
      </c>
      <c r="BL35" s="636">
        <f t="shared" si="17"/>
        <v>96</v>
      </c>
      <c r="BM35" s="770">
        <v>3983387</v>
      </c>
      <c r="BN35" s="806">
        <f t="shared" si="18"/>
        <v>840</v>
      </c>
      <c r="BO35" s="805">
        <v>421243</v>
      </c>
      <c r="BP35" s="807">
        <f t="shared" si="19"/>
        <v>120</v>
      </c>
      <c r="BQ35" s="769">
        <v>526000</v>
      </c>
      <c r="BR35" s="636">
        <f t="shared" si="42"/>
        <v>147</v>
      </c>
      <c r="BS35" s="692">
        <f t="shared" si="30"/>
        <v>22496.467499999999</v>
      </c>
      <c r="BT35" s="693">
        <v>151</v>
      </c>
      <c r="BU35" s="692">
        <f t="shared" si="51"/>
        <v>148.98322847682118</v>
      </c>
      <c r="BV35" s="693"/>
      <c r="BW35" s="692" t="e">
        <f t="shared" si="32"/>
        <v>#DIV/0!</v>
      </c>
      <c r="BX35" s="692">
        <f t="shared" si="35"/>
        <v>26100.437624999995</v>
      </c>
      <c r="BY35" s="692">
        <f t="shared" si="49"/>
        <v>172.8505802980132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24332922</v>
      </c>
      <c r="J36" s="636">
        <f t="shared" si="21"/>
        <v>7116</v>
      </c>
      <c r="K36" s="636">
        <f t="shared" si="22"/>
        <v>4556</v>
      </c>
      <c r="L36" s="770">
        <v>828993</v>
      </c>
      <c r="M36" s="636">
        <f t="shared" si="0"/>
        <v>2669</v>
      </c>
      <c r="N36" s="770">
        <v>670799</v>
      </c>
      <c r="O36" s="636">
        <f t="shared" si="1"/>
        <v>1887</v>
      </c>
      <c r="P36" s="770">
        <v>222801</v>
      </c>
      <c r="Q36" s="636">
        <f t="shared" si="47"/>
        <v>570</v>
      </c>
      <c r="R36" s="769">
        <v>190610</v>
      </c>
      <c r="S36" s="636">
        <f t="shared" si="50"/>
        <v>144</v>
      </c>
      <c r="T36" s="769">
        <v>348677</v>
      </c>
      <c r="U36" s="636">
        <f t="shared" si="54"/>
        <v>267</v>
      </c>
      <c r="V36" s="769">
        <v>956532</v>
      </c>
      <c r="W36" s="636">
        <f t="shared" si="5"/>
        <v>1495.66</v>
      </c>
      <c r="X36" s="770">
        <v>121574</v>
      </c>
      <c r="Y36" s="636">
        <f t="shared" si="6"/>
        <v>0</v>
      </c>
      <c r="Z36" s="769">
        <v>135511</v>
      </c>
      <c r="AA36" s="636">
        <f t="shared" si="7"/>
        <v>0</v>
      </c>
      <c r="AB36" s="769">
        <v>488566</v>
      </c>
      <c r="AC36" s="636">
        <f t="shared" si="34"/>
        <v>0</v>
      </c>
      <c r="AD36" s="769">
        <v>1562</v>
      </c>
      <c r="AE36" s="636">
        <f t="shared" si="23"/>
        <v>0</v>
      </c>
      <c r="AF36" s="769">
        <v>837039</v>
      </c>
      <c r="AG36" s="636">
        <f t="shared" si="43"/>
        <v>10.07</v>
      </c>
      <c r="AH36" s="769">
        <v>31441</v>
      </c>
      <c r="AI36" s="636">
        <f t="shared" si="9"/>
        <v>396.97</v>
      </c>
      <c r="AJ36" s="770">
        <v>997198</v>
      </c>
      <c r="AK36" s="636">
        <f t="shared" si="46"/>
        <v>2637.81</v>
      </c>
      <c r="AL36" s="769">
        <v>510214</v>
      </c>
      <c r="AM36" s="636">
        <f t="shared" si="11"/>
        <v>155.29000000000002</v>
      </c>
      <c r="AN36" s="636">
        <f t="shared" si="24"/>
        <v>4695.8</v>
      </c>
      <c r="AO36" s="769">
        <v>7669647</v>
      </c>
      <c r="AP36" s="636">
        <f t="shared" si="25"/>
        <v>41.175000000000004</v>
      </c>
      <c r="AQ36" s="769">
        <v>696950</v>
      </c>
      <c r="AR36" s="636">
        <f t="shared" si="12"/>
        <v>395</v>
      </c>
      <c r="AS36" s="769">
        <v>974800</v>
      </c>
      <c r="AT36" s="636">
        <f>IF(AS36&gt;=AS35,AS36-AS35,0)</f>
        <v>166</v>
      </c>
      <c r="AU36" s="710">
        <v>812741</v>
      </c>
      <c r="AV36" s="636">
        <f t="shared" si="13"/>
        <v>64</v>
      </c>
      <c r="AW36" s="769">
        <v>2660301</v>
      </c>
      <c r="AX36" s="636">
        <f t="shared" si="14"/>
        <v>602</v>
      </c>
      <c r="AY36" s="770">
        <v>229733</v>
      </c>
      <c r="AZ36" s="636">
        <f t="shared" si="48"/>
        <v>0</v>
      </c>
      <c r="BA36" s="769">
        <v>19563117</v>
      </c>
      <c r="BB36" s="636">
        <f t="shared" si="16"/>
        <v>4702</v>
      </c>
      <c r="BC36" s="769">
        <v>581128</v>
      </c>
      <c r="BD36" s="636">
        <f t="shared" si="16"/>
        <v>260</v>
      </c>
      <c r="BE36" s="769">
        <v>30025</v>
      </c>
      <c r="BF36" s="636">
        <f t="shared" si="16"/>
        <v>60</v>
      </c>
      <c r="BG36" s="770">
        <v>24460008</v>
      </c>
      <c r="BH36" s="636">
        <f t="shared" si="27"/>
        <v>5175.3500000000004</v>
      </c>
      <c r="BI36" s="636">
        <f t="shared" si="28"/>
        <v>11465.525000000001</v>
      </c>
      <c r="BJ36" s="636">
        <f t="shared" si="29"/>
        <v>16161.325000000001</v>
      </c>
      <c r="BK36" s="770">
        <v>1436751</v>
      </c>
      <c r="BL36" s="636">
        <f t="shared" si="17"/>
        <v>200</v>
      </c>
      <c r="BM36" s="769">
        <v>3984322</v>
      </c>
      <c r="BN36" s="806">
        <f t="shared" si="18"/>
        <v>935</v>
      </c>
      <c r="BO36" s="804">
        <v>421385</v>
      </c>
      <c r="BP36" s="807">
        <f t="shared" si="19"/>
        <v>142</v>
      </c>
      <c r="BQ36" s="769">
        <v>526136</v>
      </c>
      <c r="BR36" s="636">
        <f t="shared" si="42"/>
        <v>136</v>
      </c>
      <c r="BS36" s="692">
        <f t="shared" si="30"/>
        <v>23847.325000000001</v>
      </c>
      <c r="BT36" s="693">
        <v>150</v>
      </c>
      <c r="BU36" s="692">
        <f t="shared" si="51"/>
        <v>158.98216666666667</v>
      </c>
      <c r="BV36" s="721"/>
      <c r="BW36" s="692" t="e">
        <f t="shared" si="32"/>
        <v>#DIV/0!</v>
      </c>
      <c r="BX36" s="692">
        <f t="shared" si="35"/>
        <v>27680.923749999998</v>
      </c>
      <c r="BY36" s="692">
        <f t="shared" si="49"/>
        <v>184.53949166666666</v>
      </c>
      <c r="BZ36" s="694" t="e">
        <f t="shared" si="36"/>
        <v>#DIV/0!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212203</v>
      </c>
      <c r="K37" s="712">
        <f>SUM(K6:K36)</f>
        <v>132327</v>
      </c>
      <c r="L37" s="696"/>
      <c r="M37" s="552">
        <f>SUM(M6:M36)</f>
        <v>75741</v>
      </c>
      <c r="N37" s="696"/>
      <c r="O37" s="552">
        <f>SUM(O6:O36)</f>
        <v>56586</v>
      </c>
      <c r="P37" s="696"/>
      <c r="Q37" s="552">
        <f>SUM(Q6:Q36)</f>
        <v>17100</v>
      </c>
      <c r="R37" s="716"/>
      <c r="S37" s="552">
        <f>SUM(S6:S36)</f>
        <v>4371</v>
      </c>
      <c r="T37" s="716"/>
      <c r="U37" s="552">
        <f>SUM(U6:U36)</f>
        <v>8224</v>
      </c>
      <c r="V37" s="696"/>
      <c r="W37" s="552">
        <f>SUM(W6:W36)</f>
        <v>49010.160000000011</v>
      </c>
      <c r="X37" s="769"/>
      <c r="Y37" s="552">
        <f>SUM(Y5:Y36)</f>
        <v>200.87</v>
      </c>
      <c r="Z37" s="713"/>
      <c r="AA37" s="712">
        <f>SUM(AA6:AA36)</f>
        <v>297.86</v>
      </c>
      <c r="AB37" s="696"/>
      <c r="AC37" s="552">
        <f>SUM(AC6:AC36)</f>
        <v>22.26</v>
      </c>
      <c r="AD37" s="785"/>
      <c r="AE37" s="712">
        <f>SUM(AE6:AE36)</f>
        <v>0</v>
      </c>
      <c r="AF37" s="785"/>
      <c r="AG37" s="712">
        <f>SUM(AG6:AG36)</f>
        <v>382.13</v>
      </c>
      <c r="AH37" s="697"/>
      <c r="AI37" s="552">
        <f>SUM(AI6:AI36)</f>
        <v>11859.28</v>
      </c>
      <c r="AJ37" s="697"/>
      <c r="AK37" s="552">
        <f>SUM(AK6:AK36)</f>
        <v>73633.959999999977</v>
      </c>
      <c r="AL37" s="712"/>
      <c r="AM37" s="552">
        <f>SUM(AM6:AM36)</f>
        <v>4799.6799999999994</v>
      </c>
      <c r="AN37" s="712">
        <f>SUM(AN6:AN36)</f>
        <v>140206.20000000001</v>
      </c>
      <c r="AO37" s="774"/>
      <c r="AP37" s="552">
        <f>SUM(AP6:AP36)</f>
        <v>1400.0624999999995</v>
      </c>
      <c r="AQ37" s="697"/>
      <c r="AR37" s="552">
        <f>SUM(AR6:AR36)</f>
        <v>10226</v>
      </c>
      <c r="AS37" s="697"/>
      <c r="AT37" s="552">
        <f>SUM(AT6:AT36)</f>
        <v>4588</v>
      </c>
      <c r="AU37" s="697"/>
      <c r="AV37" s="552">
        <f>SUM(AV6:AV36)</f>
        <v>1345</v>
      </c>
      <c r="AW37" s="697"/>
      <c r="AX37" s="552">
        <f>SUM(AX6:AX36)</f>
        <v>22952</v>
      </c>
      <c r="AY37" s="697"/>
      <c r="AZ37" s="552">
        <f>SUM(AZ6:AZ36)</f>
        <v>15</v>
      </c>
      <c r="BA37" s="697"/>
      <c r="BB37" s="552">
        <f>SUM(BB6:BB36)</f>
        <v>144568</v>
      </c>
      <c r="BC37" s="785"/>
      <c r="BD37" s="552">
        <f>SUM(BD6:BD36)</f>
        <v>7388</v>
      </c>
      <c r="BE37" s="785"/>
      <c r="BF37" s="552">
        <f>SUM(BF6:BF36)</f>
        <v>1763</v>
      </c>
      <c r="BG37" s="697"/>
      <c r="BH37" s="712">
        <f>SUM(BH6:BH36)</f>
        <v>157797.75</v>
      </c>
      <c r="BI37" s="712">
        <f>SUM(BI6:BI36)</f>
        <v>352042.81250000006</v>
      </c>
      <c r="BJ37" s="712">
        <f>SUM(BJ6:BJ36)</f>
        <v>492249.01250000013</v>
      </c>
      <c r="BK37" s="696"/>
      <c r="BL37" s="552">
        <f>SUM(BL6:BL36)</f>
        <v>6642</v>
      </c>
      <c r="BM37" s="697"/>
      <c r="BN37" s="552">
        <f>SUM(BN6:BN36)</f>
        <v>27967</v>
      </c>
      <c r="BO37" s="774"/>
      <c r="BP37" s="552">
        <f>SUM(BP6:BP36)</f>
        <v>4058</v>
      </c>
      <c r="BQ37" s="697"/>
      <c r="BR37" s="552">
        <f>SUM(BR6:BR36)</f>
        <v>4327</v>
      </c>
      <c r="BS37" s="552">
        <f>SUM(BS6:BS36)</f>
        <v>721552.01249999995</v>
      </c>
      <c r="BT37" s="698">
        <f>SUM(BT6:BT36)</f>
        <v>6983</v>
      </c>
      <c r="BU37" s="699">
        <f>IF(BS37&gt;0,BS37/BT37,0)</f>
        <v>103.32980273521409</v>
      </c>
      <c r="BV37" s="698">
        <f>SUM(BV6:BV35)</f>
        <v>0</v>
      </c>
      <c r="BW37" s="699" t="e">
        <f>IF(BS37&gt;0,BS37/BV37,0)</f>
        <v>#DIV/0!</v>
      </c>
      <c r="BX37" s="544">
        <f>SUM(BX6:BX35)</f>
        <v>809798.89062500012</v>
      </c>
      <c r="BY37" s="699">
        <f>IF(BX37&gt;0,BX37/BT37,0)</f>
        <v>115.96719040885009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7073.4333333333334</v>
      </c>
      <c r="K38" s="701">
        <f>K37/J39</f>
        <v>4410.8999999999996</v>
      </c>
      <c r="L38" s="702"/>
      <c r="M38" s="701">
        <f>M37/J39</f>
        <v>2524.6999999999998</v>
      </c>
      <c r="N38" s="702"/>
      <c r="O38" s="701">
        <f>O37/J39</f>
        <v>1886.2</v>
      </c>
      <c r="P38" s="702"/>
      <c r="Q38" s="701">
        <f>Q37/J39</f>
        <v>570</v>
      </c>
      <c r="R38" s="717"/>
      <c r="S38" s="701">
        <f>S37/J39</f>
        <v>145.69999999999999</v>
      </c>
      <c r="T38" s="717"/>
      <c r="U38" s="701">
        <f>U37/J39</f>
        <v>274.13333333333333</v>
      </c>
      <c r="V38" s="702"/>
      <c r="W38" s="701">
        <f>W37/J39</f>
        <v>1633.6720000000003</v>
      </c>
      <c r="X38" s="702"/>
      <c r="Y38" s="701">
        <f>Y37/J39</f>
        <v>6.6956666666666669</v>
      </c>
      <c r="Z38" s="703"/>
      <c r="AA38" s="701">
        <f>AA37/J39</f>
        <v>9.9286666666666665</v>
      </c>
      <c r="AB38" s="702"/>
      <c r="AC38" s="701">
        <f>AC37/J39</f>
        <v>0.7420000000000001</v>
      </c>
      <c r="AD38" s="784"/>
      <c r="AE38" s="701">
        <f>AE37/J39</f>
        <v>0</v>
      </c>
      <c r="AF38" s="784"/>
      <c r="AG38" s="701">
        <f>AG37/J39</f>
        <v>12.737666666666666</v>
      </c>
      <c r="AH38" s="704"/>
      <c r="AI38" s="701">
        <f>AI37/J39</f>
        <v>395.30933333333337</v>
      </c>
      <c r="AJ38" s="704"/>
      <c r="AK38" s="701">
        <f>AK37/J39</f>
        <v>2454.4653333333326</v>
      </c>
      <c r="AL38" s="701"/>
      <c r="AM38" s="701">
        <f>AM37/J39</f>
        <v>159.98933333333332</v>
      </c>
      <c r="AN38" s="701">
        <f>AN37/J39</f>
        <v>4673.54</v>
      </c>
      <c r="AO38" s="704"/>
      <c r="AP38" s="701">
        <f>AP37/J39</f>
        <v>46.668749999999982</v>
      </c>
      <c r="AQ38" s="704"/>
      <c r="AR38" s="701">
        <f>AR37/J39</f>
        <v>340.86666666666667</v>
      </c>
      <c r="AS38" s="704"/>
      <c r="AT38" s="701">
        <f>AT37/J39</f>
        <v>152.93333333333334</v>
      </c>
      <c r="AU38" s="704"/>
      <c r="AV38" s="701">
        <f>AV37/J39</f>
        <v>44.833333333333336</v>
      </c>
      <c r="AW38" s="704"/>
      <c r="AX38" s="701">
        <f>AX37/J39</f>
        <v>765.06666666666672</v>
      </c>
      <c r="AY38" s="704"/>
      <c r="AZ38" s="701">
        <f>AZ37/J39</f>
        <v>0.5</v>
      </c>
      <c r="BA38" s="704"/>
      <c r="BB38" s="701">
        <f>BB37/J39</f>
        <v>4818.9333333333334</v>
      </c>
      <c r="BC38" s="784"/>
      <c r="BD38" s="701">
        <f>BD37/J39</f>
        <v>246.26666666666668</v>
      </c>
      <c r="BE38" s="784"/>
      <c r="BF38" s="701">
        <f>BF37/J39</f>
        <v>58.766666666666666</v>
      </c>
      <c r="BG38" s="704"/>
      <c r="BH38" s="701">
        <f>BH37/J39</f>
        <v>5259.9250000000002</v>
      </c>
      <c r="BI38" s="701"/>
      <c r="BJ38" s="701"/>
      <c r="BK38" s="702"/>
      <c r="BL38" s="701">
        <f>BL37/J39</f>
        <v>221.4</v>
      </c>
      <c r="BM38" s="704"/>
      <c r="BN38" s="701">
        <f>BN37/J39</f>
        <v>932.23333333333335</v>
      </c>
      <c r="BO38" s="704"/>
      <c r="BP38" s="701">
        <f>BP37/J39</f>
        <v>135.26666666666668</v>
      </c>
      <c r="BQ38" s="704"/>
      <c r="BR38" s="701">
        <f>BR37/J39</f>
        <v>144.23333333333332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9"/>
      <c r="B45" s="819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7" activePane="bottomRight" state="frozen"/>
      <selection pane="topRight" activeCell="D22" sqref="D22"/>
      <selection pane="bottomLeft" activeCell="D22" sqref="D22"/>
      <selection pane="bottomRight" activeCell="E37" sqref="E37"/>
    </sheetView>
  </sheetViews>
  <sheetFormatPr defaultColWidth="9.10937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09375" style="23" customWidth="1"/>
    <col min="6" max="6" width="20.88671875" style="23" customWidth="1"/>
    <col min="7" max="7" width="19.33203125" style="23" customWidth="1"/>
    <col min="8" max="8" width="16.109375" style="23" customWidth="1"/>
    <col min="9" max="9" width="23.88671875" style="23" customWidth="1"/>
    <col min="10" max="10" width="16" style="24" customWidth="1"/>
    <col min="11" max="11" width="27.5546875" style="23" customWidth="1"/>
    <col min="12" max="12" width="14.109375" style="107" customWidth="1"/>
    <col min="13" max="13" width="11.109375" style="112" customWidth="1"/>
    <col min="14" max="16384" width="9.109375" style="23"/>
  </cols>
  <sheetData>
    <row r="1" spans="1:13" ht="24.75" customHeight="1" thickBot="1">
      <c r="A1" s="841" t="str">
        <f>Elect!A1</f>
        <v>March</v>
      </c>
      <c r="E1" s="837" t="s">
        <v>47</v>
      </c>
      <c r="H1" s="564" t="s">
        <v>125</v>
      </c>
      <c r="I1" s="667"/>
      <c r="J1" s="565">
        <v>3.9</v>
      </c>
    </row>
    <row r="2" spans="1:13" ht="23.25" customHeight="1">
      <c r="A2" s="841"/>
      <c r="C2" s="27"/>
      <c r="E2" s="837"/>
      <c r="G2" s="27"/>
      <c r="H2" s="27"/>
      <c r="I2" s="27"/>
      <c r="K2" s="529"/>
      <c r="L2" s="528"/>
      <c r="M2" s="385"/>
    </row>
    <row r="3" spans="1:13" ht="21" customHeight="1" thickBot="1">
      <c r="A3" s="842"/>
      <c r="B3" s="27"/>
      <c r="C3" s="27"/>
      <c r="D3" s="27"/>
      <c r="E3" s="838"/>
      <c r="F3" s="27"/>
      <c r="G3" s="27"/>
      <c r="H3" s="27"/>
      <c r="I3" s="27"/>
    </row>
    <row r="4" spans="1:13" ht="53.25" customHeight="1">
      <c r="A4" s="660" t="s">
        <v>126</v>
      </c>
      <c r="B4" s="843" t="s">
        <v>127</v>
      </c>
      <c r="C4" s="844"/>
      <c r="D4" s="843" t="s">
        <v>128</v>
      </c>
      <c r="E4" s="844"/>
      <c r="F4" s="843" t="s">
        <v>129</v>
      </c>
      <c r="G4" s="844"/>
      <c r="H4" s="534" t="s">
        <v>130</v>
      </c>
      <c r="I4" s="534" t="s">
        <v>131</v>
      </c>
      <c r="J4" s="533" t="s">
        <v>132</v>
      </c>
      <c r="K4" s="734" t="s">
        <v>133</v>
      </c>
      <c r="L4" s="23"/>
      <c r="M4" s="23"/>
    </row>
    <row r="5" spans="1:13" ht="26.25" customHeight="1" thickBot="1">
      <c r="A5" s="661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2"/>
      <c r="B6" s="764"/>
      <c r="C6" s="636">
        <f t="shared" ref="C6:C14" si="0">IF(B6&gt;=B5,B6-B5,0)*1.06</f>
        <v>0</v>
      </c>
      <c r="D6" s="771">
        <v>478383</v>
      </c>
      <c r="E6" s="636">
        <f>IF(D6&gt;=D5,D6-D5,0)*0.7</f>
        <v>0</v>
      </c>
      <c r="F6" s="771">
        <v>604472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/>
      <c r="C7" s="636">
        <f t="shared" si="0"/>
        <v>0</v>
      </c>
      <c r="D7" s="771">
        <v>478935</v>
      </c>
      <c r="E7" s="636">
        <f t="shared" ref="E7:E37" si="2">IF(D7&gt;=D6,D7-D6,0)*0.7</f>
        <v>386.4</v>
      </c>
      <c r="F7" s="771">
        <v>604573</v>
      </c>
      <c r="G7" s="636">
        <f t="shared" si="1"/>
        <v>101</v>
      </c>
      <c r="H7" s="636">
        <f>(E7*0.55)*1.61</f>
        <v>342.15720000000005</v>
      </c>
      <c r="I7" s="636">
        <f>C7*J1</f>
        <v>0</v>
      </c>
      <c r="J7" s="636">
        <f>G7*J1</f>
        <v>393.9</v>
      </c>
      <c r="K7" s="692">
        <f t="shared" ref="K7:K37" si="3">C7+E7</f>
        <v>386.4</v>
      </c>
    </row>
    <row r="8" spans="1:13" s="3" customFormat="1" ht="41.25" customHeight="1">
      <c r="A8" s="662">
        <v>2</v>
      </c>
      <c r="B8" s="764"/>
      <c r="C8" s="636">
        <f t="shared" si="0"/>
        <v>0</v>
      </c>
      <c r="D8" s="771">
        <v>479425</v>
      </c>
      <c r="E8" s="636">
        <f t="shared" si="2"/>
        <v>343</v>
      </c>
      <c r="F8" s="771">
        <v>604675</v>
      </c>
      <c r="G8" s="636">
        <f t="shared" si="1"/>
        <v>102</v>
      </c>
      <c r="H8" s="636">
        <f t="shared" ref="H8:H37" si="4">(E8*0.55)*1.61</f>
        <v>303.72650000000004</v>
      </c>
      <c r="I8" s="636">
        <f>C8*J1</f>
        <v>0</v>
      </c>
      <c r="J8" s="636">
        <f>G8*J1</f>
        <v>397.8</v>
      </c>
      <c r="K8" s="692">
        <f t="shared" si="3"/>
        <v>343</v>
      </c>
    </row>
    <row r="9" spans="1:13" s="3" customFormat="1" ht="41.25" customHeight="1">
      <c r="A9" s="662">
        <v>3</v>
      </c>
      <c r="B9" s="764"/>
      <c r="C9" s="636">
        <f t="shared" si="0"/>
        <v>0</v>
      </c>
      <c r="D9" s="771">
        <v>479888</v>
      </c>
      <c r="E9" s="636">
        <f t="shared" si="2"/>
        <v>324.09999999999997</v>
      </c>
      <c r="F9" s="771">
        <v>604783</v>
      </c>
      <c r="G9" s="636">
        <f t="shared" si="1"/>
        <v>108</v>
      </c>
      <c r="H9" s="636">
        <f>(E9*0.55)*1.61</f>
        <v>286.99054999999998</v>
      </c>
      <c r="I9" s="636">
        <f>C9*J1</f>
        <v>0</v>
      </c>
      <c r="J9" s="636">
        <f>G9*J1</f>
        <v>421.2</v>
      </c>
      <c r="K9" s="692">
        <f>C9+E9</f>
        <v>324.09999999999997</v>
      </c>
    </row>
    <row r="10" spans="1:13" s="3" customFormat="1" ht="41.25" customHeight="1">
      <c r="A10" s="662">
        <v>4</v>
      </c>
      <c r="B10" s="764"/>
      <c r="C10" s="636">
        <f>IF(B10&gt;=B9,B10-B9,0)*1.06</f>
        <v>0</v>
      </c>
      <c r="D10" s="771">
        <v>480326</v>
      </c>
      <c r="E10" s="636">
        <f t="shared" si="2"/>
        <v>306.59999999999997</v>
      </c>
      <c r="F10" s="771">
        <v>604884</v>
      </c>
      <c r="G10" s="636">
        <f t="shared" si="1"/>
        <v>101</v>
      </c>
      <c r="H10" s="636">
        <f>(E10*0.55)*1.61</f>
        <v>271.49430000000001</v>
      </c>
      <c r="I10" s="636">
        <f>C10*J1</f>
        <v>0</v>
      </c>
      <c r="J10" s="636">
        <f>G10*J1</f>
        <v>393.9</v>
      </c>
      <c r="K10" s="692">
        <f t="shared" si="3"/>
        <v>306.59999999999997</v>
      </c>
    </row>
    <row r="11" spans="1:13" s="3" customFormat="1" ht="41.25" customHeight="1">
      <c r="A11" s="662">
        <v>5</v>
      </c>
      <c r="B11" s="764"/>
      <c r="C11" s="636">
        <f>IF(B11&gt;=B10,B11-B10,0)*1.06</f>
        <v>0</v>
      </c>
      <c r="D11" s="771">
        <v>480793</v>
      </c>
      <c r="E11" s="636">
        <f t="shared" si="2"/>
        <v>326.89999999999998</v>
      </c>
      <c r="F11" s="771">
        <v>604982</v>
      </c>
      <c r="G11" s="636">
        <f t="shared" si="1"/>
        <v>98</v>
      </c>
      <c r="H11" s="636">
        <f t="shared" si="4"/>
        <v>289.46995000000004</v>
      </c>
      <c r="I11" s="636">
        <f>C11*J1</f>
        <v>0</v>
      </c>
      <c r="J11" s="636">
        <f>G11*J1</f>
        <v>382.2</v>
      </c>
      <c r="K11" s="692">
        <f t="shared" si="3"/>
        <v>326.89999999999998</v>
      </c>
    </row>
    <row r="12" spans="1:13" s="3" customFormat="1" ht="41.25" customHeight="1">
      <c r="A12" s="662">
        <v>6</v>
      </c>
      <c r="B12" s="764"/>
      <c r="C12" s="636">
        <f>IF(B12&gt;=B11,B12-B11,0)*1.06</f>
        <v>0</v>
      </c>
      <c r="D12" s="771">
        <v>481260</v>
      </c>
      <c r="E12" s="636">
        <f t="shared" si="2"/>
        <v>326.89999999999998</v>
      </c>
      <c r="F12" s="771">
        <v>605080</v>
      </c>
      <c r="G12" s="636">
        <f t="shared" si="1"/>
        <v>98</v>
      </c>
      <c r="H12" s="636">
        <f t="shared" si="4"/>
        <v>289.46995000000004</v>
      </c>
      <c r="I12" s="636">
        <f>C12*J1</f>
        <v>0</v>
      </c>
      <c r="J12" s="636">
        <f>G12*J1</f>
        <v>382.2</v>
      </c>
      <c r="K12" s="692">
        <f t="shared" si="3"/>
        <v>326.89999999999998</v>
      </c>
    </row>
    <row r="13" spans="1:13" s="3" customFormat="1" ht="41.25" customHeight="1">
      <c r="A13" s="662">
        <v>7</v>
      </c>
      <c r="B13" s="764"/>
      <c r="C13" s="636">
        <f>IF(B13&gt;=B12,B13-B12,0)*1.06</f>
        <v>0</v>
      </c>
      <c r="D13" s="771">
        <v>481738</v>
      </c>
      <c r="E13" s="636">
        <f t="shared" si="2"/>
        <v>334.59999999999997</v>
      </c>
      <c r="F13" s="771">
        <v>605196</v>
      </c>
      <c r="G13" s="636">
        <f t="shared" si="1"/>
        <v>116</v>
      </c>
      <c r="H13" s="636">
        <f t="shared" si="4"/>
        <v>296.28829999999999</v>
      </c>
      <c r="I13" s="636">
        <f>C13*J1</f>
        <v>0</v>
      </c>
      <c r="J13" s="636">
        <f>G13*J1</f>
        <v>452.4</v>
      </c>
      <c r="K13" s="692">
        <f t="shared" si="3"/>
        <v>334.59999999999997</v>
      </c>
    </row>
    <row r="14" spans="1:13" s="3" customFormat="1" ht="41.25" customHeight="1">
      <c r="A14" s="662">
        <v>8</v>
      </c>
      <c r="B14" s="764"/>
      <c r="C14" s="636">
        <f t="shared" si="0"/>
        <v>0</v>
      </c>
      <c r="D14" s="771">
        <v>482169</v>
      </c>
      <c r="E14" s="636">
        <f t="shared" si="2"/>
        <v>301.7</v>
      </c>
      <c r="F14" s="771">
        <v>605302</v>
      </c>
      <c r="G14" s="636">
        <f t="shared" si="1"/>
        <v>106</v>
      </c>
      <c r="H14" s="636">
        <f t="shared" si="4"/>
        <v>267.15535</v>
      </c>
      <c r="I14" s="636">
        <f>C14*J1</f>
        <v>0</v>
      </c>
      <c r="J14" s="636">
        <f>G14*J1</f>
        <v>413.4</v>
      </c>
      <c r="K14" s="692">
        <f t="shared" si="3"/>
        <v>301.7</v>
      </c>
    </row>
    <row r="15" spans="1:13" s="3" customFormat="1" ht="41.25" customHeight="1">
      <c r="A15" s="662">
        <v>9</v>
      </c>
      <c r="B15" s="764"/>
      <c r="C15" s="636">
        <f t="shared" ref="C15:C27" si="5">IF(B15&gt;=B14,B15-B14,0)*1.06</f>
        <v>0</v>
      </c>
      <c r="D15" s="771">
        <v>482604</v>
      </c>
      <c r="E15" s="636">
        <f t="shared" si="2"/>
        <v>304.5</v>
      </c>
      <c r="F15" s="771">
        <v>605408</v>
      </c>
      <c r="G15" s="636">
        <f t="shared" si="1"/>
        <v>106</v>
      </c>
      <c r="H15" s="636">
        <f t="shared" si="4"/>
        <v>269.63475000000005</v>
      </c>
      <c r="I15" s="636">
        <f>C15*J1</f>
        <v>0</v>
      </c>
      <c r="J15" s="636">
        <f>G15*J1</f>
        <v>413.4</v>
      </c>
      <c r="K15" s="692">
        <f t="shared" si="3"/>
        <v>304.5</v>
      </c>
    </row>
    <row r="16" spans="1:13" s="3" customFormat="1" ht="41.25" customHeight="1">
      <c r="A16" s="662">
        <v>10</v>
      </c>
      <c r="B16" s="764"/>
      <c r="C16" s="636">
        <f t="shared" si="5"/>
        <v>0</v>
      </c>
      <c r="D16" s="771">
        <v>483034</v>
      </c>
      <c r="E16" s="636">
        <f t="shared" si="2"/>
        <v>301</v>
      </c>
      <c r="F16" s="771">
        <v>605508</v>
      </c>
      <c r="G16" s="636">
        <f t="shared" si="1"/>
        <v>100</v>
      </c>
      <c r="H16" s="636">
        <f t="shared" si="4"/>
        <v>266.53550000000001</v>
      </c>
      <c r="I16" s="636">
        <f>C16*J1</f>
        <v>0</v>
      </c>
      <c r="J16" s="636">
        <f>G16*J1</f>
        <v>390</v>
      </c>
      <c r="K16" s="692">
        <f t="shared" si="3"/>
        <v>301</v>
      </c>
    </row>
    <row r="17" spans="1:11" s="3" customFormat="1" ht="41.25" customHeight="1">
      <c r="A17" s="662">
        <v>11</v>
      </c>
      <c r="B17" s="764"/>
      <c r="C17" s="636">
        <f t="shared" si="5"/>
        <v>0</v>
      </c>
      <c r="D17" s="771">
        <v>483464</v>
      </c>
      <c r="E17" s="636">
        <f t="shared" si="2"/>
        <v>301</v>
      </c>
      <c r="F17" s="771">
        <v>605608</v>
      </c>
      <c r="G17" s="636">
        <f t="shared" si="1"/>
        <v>100</v>
      </c>
      <c r="H17" s="636">
        <f t="shared" si="4"/>
        <v>266.53550000000001</v>
      </c>
      <c r="I17" s="636">
        <f>C17*J1</f>
        <v>0</v>
      </c>
      <c r="J17" s="636">
        <f>G17*J1</f>
        <v>390</v>
      </c>
      <c r="K17" s="692">
        <f t="shared" si="3"/>
        <v>301</v>
      </c>
    </row>
    <row r="18" spans="1:11" s="3" customFormat="1" ht="41.25" customHeight="1">
      <c r="A18" s="662">
        <v>12</v>
      </c>
      <c r="B18" s="764"/>
      <c r="C18" s="636">
        <f t="shared" si="5"/>
        <v>0</v>
      </c>
      <c r="D18" s="771">
        <v>483901.66666666698</v>
      </c>
      <c r="E18" s="636">
        <f t="shared" si="2"/>
        <v>306.36666666688393</v>
      </c>
      <c r="F18" s="771">
        <v>605667</v>
      </c>
      <c r="G18" s="636">
        <f t="shared" ref="G18:G20" si="6">IF(F18&gt;=F17,F18-F17,0)</f>
        <v>59</v>
      </c>
      <c r="H18" s="636">
        <f t="shared" si="4"/>
        <v>271.28768333352576</v>
      </c>
      <c r="I18" s="636">
        <f>C18*J1</f>
        <v>0</v>
      </c>
      <c r="J18" s="636">
        <f>G18*J1</f>
        <v>230.1</v>
      </c>
      <c r="K18" s="692">
        <f t="shared" si="3"/>
        <v>306.36666666688393</v>
      </c>
    </row>
    <row r="19" spans="1:11" s="3" customFormat="1" ht="41.25" customHeight="1">
      <c r="A19" s="662">
        <v>13</v>
      </c>
      <c r="B19" s="764"/>
      <c r="C19" s="636">
        <f>IF(B19&gt;=B18,B19-B18,0)*1.06</f>
        <v>0</v>
      </c>
      <c r="D19" s="771">
        <v>484353</v>
      </c>
      <c r="E19" s="636">
        <f>IF(D19&gt;=D18,D19-D18,0)*0.7</f>
        <v>315.93333333311602</v>
      </c>
      <c r="F19" s="771">
        <v>605800</v>
      </c>
      <c r="G19" s="636">
        <f t="shared" si="6"/>
        <v>133</v>
      </c>
      <c r="H19" s="636">
        <f t="shared" si="4"/>
        <v>279.75896666647429</v>
      </c>
      <c r="I19" s="636">
        <f>C19*J1</f>
        <v>0</v>
      </c>
      <c r="J19" s="636">
        <f>G19*J1</f>
        <v>518.69999999999993</v>
      </c>
      <c r="K19" s="692">
        <f t="shared" si="3"/>
        <v>315.93333333311602</v>
      </c>
    </row>
    <row r="20" spans="1:11" s="3" customFormat="1" ht="41.25" customHeight="1">
      <c r="A20" s="662">
        <v>14</v>
      </c>
      <c r="B20" s="764"/>
      <c r="C20" s="636">
        <f>IF(B20&gt;=B19,B20-B19,0)*1.06</f>
        <v>0</v>
      </c>
      <c r="D20" s="771">
        <v>484807</v>
      </c>
      <c r="E20" s="636">
        <f>IF(D20&gt;=D19,D20-D19,0)*0.7</f>
        <v>317.79999999999995</v>
      </c>
      <c r="F20" s="771">
        <v>605901</v>
      </c>
      <c r="G20" s="636">
        <f t="shared" si="6"/>
        <v>101</v>
      </c>
      <c r="H20" s="636">
        <f t="shared" si="4"/>
        <v>281.4119</v>
      </c>
      <c r="I20" s="636">
        <f>C20*J1</f>
        <v>0</v>
      </c>
      <c r="J20" s="636">
        <f>G20*J1</f>
        <v>393.9</v>
      </c>
      <c r="K20" s="692">
        <f t="shared" si="3"/>
        <v>317.79999999999995</v>
      </c>
    </row>
    <row r="21" spans="1:11" s="3" customFormat="1" ht="41.25" customHeight="1">
      <c r="A21" s="662">
        <v>15</v>
      </c>
      <c r="B21" s="764"/>
      <c r="C21" s="636">
        <f>IF(B21&gt;=B20,B21-B20,0)*1.06</f>
        <v>0</v>
      </c>
      <c r="D21" s="771">
        <v>485257</v>
      </c>
      <c r="E21" s="636">
        <f>IF(D21&gt;=D20,D21-D20,0)*0.7</f>
        <v>315</v>
      </c>
      <c r="F21" s="771">
        <v>606050</v>
      </c>
      <c r="G21" s="636">
        <f t="shared" ref="G21:G37" si="7">IF(F21&gt;=F20,F21-F20,0)</f>
        <v>149</v>
      </c>
      <c r="H21" s="636">
        <f t="shared" si="4"/>
        <v>278.9325</v>
      </c>
      <c r="I21" s="636">
        <f>C21*J1</f>
        <v>0</v>
      </c>
      <c r="J21" s="636">
        <f>G21*J1</f>
        <v>581.1</v>
      </c>
      <c r="K21" s="692">
        <f t="shared" si="3"/>
        <v>315</v>
      </c>
    </row>
    <row r="22" spans="1:11" s="3" customFormat="1" ht="41.25" customHeight="1">
      <c r="A22" s="662">
        <v>16</v>
      </c>
      <c r="B22" s="764"/>
      <c r="C22" s="636">
        <f t="shared" si="5"/>
        <v>0</v>
      </c>
      <c r="D22" s="771">
        <v>485714</v>
      </c>
      <c r="E22" s="636">
        <f t="shared" si="2"/>
        <v>319.89999999999998</v>
      </c>
      <c r="F22" s="771">
        <v>606107</v>
      </c>
      <c r="G22" s="636">
        <f t="shared" si="7"/>
        <v>57</v>
      </c>
      <c r="H22" s="636">
        <f t="shared" si="4"/>
        <v>283.27145000000002</v>
      </c>
      <c r="I22" s="636">
        <f>C22*J1</f>
        <v>0</v>
      </c>
      <c r="J22" s="636">
        <f>G22*J1</f>
        <v>222.29999999999998</v>
      </c>
      <c r="K22" s="692">
        <f t="shared" si="3"/>
        <v>319.89999999999998</v>
      </c>
    </row>
    <row r="23" spans="1:11" s="3" customFormat="1" ht="41.25" customHeight="1">
      <c r="A23" s="662">
        <v>17</v>
      </c>
      <c r="B23" s="764"/>
      <c r="C23" s="636">
        <f t="shared" si="5"/>
        <v>0</v>
      </c>
      <c r="D23" s="771">
        <v>486171</v>
      </c>
      <c r="E23" s="636">
        <f t="shared" si="2"/>
        <v>319.89999999999998</v>
      </c>
      <c r="F23" s="771">
        <v>606184</v>
      </c>
      <c r="G23" s="636">
        <f t="shared" si="7"/>
        <v>77</v>
      </c>
      <c r="H23" s="636">
        <f t="shared" si="4"/>
        <v>283.27145000000002</v>
      </c>
      <c r="I23" s="636">
        <f>C23*J1</f>
        <v>0</v>
      </c>
      <c r="J23" s="636">
        <f>G23*J1</f>
        <v>300.3</v>
      </c>
      <c r="K23" s="692">
        <f t="shared" si="3"/>
        <v>319.89999999999998</v>
      </c>
    </row>
    <row r="24" spans="1:11" s="3" customFormat="1" ht="41.25" customHeight="1">
      <c r="A24" s="662">
        <v>18</v>
      </c>
      <c r="B24" s="764"/>
      <c r="C24" s="636">
        <f t="shared" si="5"/>
        <v>0</v>
      </c>
      <c r="D24" s="771">
        <v>486494</v>
      </c>
      <c r="E24" s="636">
        <f t="shared" si="2"/>
        <v>226.1</v>
      </c>
      <c r="F24" s="771">
        <v>606299</v>
      </c>
      <c r="G24" s="636">
        <f t="shared" si="7"/>
        <v>115</v>
      </c>
      <c r="H24" s="636">
        <f t="shared" si="4"/>
        <v>200.21155000000002</v>
      </c>
      <c r="I24" s="636">
        <f>C24*J1</f>
        <v>0</v>
      </c>
      <c r="J24" s="636">
        <f>G24*J1</f>
        <v>448.5</v>
      </c>
      <c r="K24" s="692">
        <f t="shared" si="3"/>
        <v>226.1</v>
      </c>
    </row>
    <row r="25" spans="1:11" s="3" customFormat="1" ht="41.25" customHeight="1">
      <c r="A25" s="662">
        <v>19</v>
      </c>
      <c r="B25" s="764"/>
      <c r="C25" s="636">
        <f t="shared" si="5"/>
        <v>0</v>
      </c>
      <c r="D25" s="771">
        <v>487106</v>
      </c>
      <c r="E25" s="636">
        <f t="shared" si="2"/>
        <v>428.4</v>
      </c>
      <c r="F25" s="771">
        <v>606414</v>
      </c>
      <c r="G25" s="636">
        <f t="shared" si="7"/>
        <v>115</v>
      </c>
      <c r="H25" s="636">
        <f t="shared" si="4"/>
        <v>379.34820000000002</v>
      </c>
      <c r="I25" s="636">
        <f>C25*J1</f>
        <v>0</v>
      </c>
      <c r="J25" s="636">
        <f>G25*J1</f>
        <v>448.5</v>
      </c>
      <c r="K25" s="692">
        <f t="shared" si="3"/>
        <v>428.4</v>
      </c>
    </row>
    <row r="26" spans="1:11" s="3" customFormat="1" ht="41.25" customHeight="1">
      <c r="A26" s="662">
        <v>20</v>
      </c>
      <c r="B26" s="764"/>
      <c r="C26" s="636">
        <f t="shared" si="5"/>
        <v>0</v>
      </c>
      <c r="D26" s="771">
        <v>487525.33333333302</v>
      </c>
      <c r="E26" s="636">
        <f t="shared" si="2"/>
        <v>293.53333333311599</v>
      </c>
      <c r="F26" s="771">
        <v>606529</v>
      </c>
      <c r="G26" s="636">
        <f t="shared" si="7"/>
        <v>115</v>
      </c>
      <c r="H26" s="636">
        <f t="shared" si="4"/>
        <v>259.92376666647425</v>
      </c>
      <c r="I26" s="636">
        <f>C26*J1</f>
        <v>0</v>
      </c>
      <c r="J26" s="636">
        <f>G26*J1</f>
        <v>448.5</v>
      </c>
      <c r="K26" s="692">
        <f t="shared" si="3"/>
        <v>293.53333333311599</v>
      </c>
    </row>
    <row r="27" spans="1:11" s="3" customFormat="1" ht="41.25" customHeight="1">
      <c r="A27" s="662">
        <v>21</v>
      </c>
      <c r="B27" s="764"/>
      <c r="C27" s="636">
        <f t="shared" si="5"/>
        <v>0</v>
      </c>
      <c r="D27" s="771">
        <v>488245</v>
      </c>
      <c r="E27" s="636">
        <f t="shared" si="2"/>
        <v>503.76666666688396</v>
      </c>
      <c r="F27" s="771">
        <v>606611</v>
      </c>
      <c r="G27" s="636">
        <f t="shared" si="7"/>
        <v>82</v>
      </c>
      <c r="H27" s="636">
        <f t="shared" si="4"/>
        <v>446.08538333352578</v>
      </c>
      <c r="I27" s="636">
        <f>C27*J1</f>
        <v>0</v>
      </c>
      <c r="J27" s="636">
        <f>G27*J1</f>
        <v>319.8</v>
      </c>
      <c r="K27" s="692">
        <f t="shared" si="3"/>
        <v>503.76666666688396</v>
      </c>
    </row>
    <row r="28" spans="1:11" s="3" customFormat="1" ht="41.25" customHeight="1">
      <c r="A28" s="662">
        <v>22</v>
      </c>
      <c r="B28" s="764"/>
      <c r="C28" s="636">
        <f t="shared" ref="C28:C37" si="8">IF(B28&gt;=B27,B28-B27,0)*1.06</f>
        <v>0</v>
      </c>
      <c r="D28" s="771">
        <v>488777</v>
      </c>
      <c r="E28" s="636">
        <f t="shared" si="2"/>
        <v>372.4</v>
      </c>
      <c r="F28" s="771">
        <v>606731</v>
      </c>
      <c r="G28" s="636">
        <f t="shared" si="7"/>
        <v>120</v>
      </c>
      <c r="H28" s="636">
        <f>(E28*0.55)*1.61</f>
        <v>329.7602</v>
      </c>
      <c r="I28" s="636">
        <f>C28*J1</f>
        <v>0</v>
      </c>
      <c r="J28" s="636">
        <f>G28*J1</f>
        <v>468</v>
      </c>
      <c r="K28" s="692"/>
    </row>
    <row r="29" spans="1:11" s="3" customFormat="1" ht="41.25" customHeight="1">
      <c r="A29" s="662">
        <v>23</v>
      </c>
      <c r="B29" s="764"/>
      <c r="C29" s="636">
        <f t="shared" si="8"/>
        <v>0</v>
      </c>
      <c r="D29" s="771">
        <v>489398</v>
      </c>
      <c r="E29" s="636">
        <f t="shared" si="2"/>
        <v>434.7</v>
      </c>
      <c r="F29" s="771">
        <v>606831</v>
      </c>
      <c r="G29" s="636">
        <f t="shared" si="7"/>
        <v>100</v>
      </c>
      <c r="H29" s="636">
        <f>(E29*0.55)*1.61</f>
        <v>384.92685000000006</v>
      </c>
      <c r="I29" s="636">
        <f>C29*J1</f>
        <v>0</v>
      </c>
      <c r="J29" s="636">
        <f>G29*J1</f>
        <v>390</v>
      </c>
      <c r="K29" s="692">
        <f t="shared" si="3"/>
        <v>434.7</v>
      </c>
    </row>
    <row r="30" spans="1:11" s="3" customFormat="1" ht="41.25" customHeight="1">
      <c r="A30" s="662">
        <v>24</v>
      </c>
      <c r="B30" s="764"/>
      <c r="C30" s="636">
        <f t="shared" si="8"/>
        <v>0</v>
      </c>
      <c r="D30" s="771">
        <v>489935</v>
      </c>
      <c r="E30" s="636">
        <f t="shared" si="2"/>
        <v>375.9</v>
      </c>
      <c r="F30" s="771">
        <v>606931</v>
      </c>
      <c r="G30" s="636">
        <f t="shared" si="7"/>
        <v>100</v>
      </c>
      <c r="H30" s="636">
        <f>(E30*0.55)*1.61</f>
        <v>332.85945000000004</v>
      </c>
      <c r="I30" s="636">
        <f>C30*J1</f>
        <v>0</v>
      </c>
      <c r="J30" s="636">
        <f>G30*J1</f>
        <v>390</v>
      </c>
      <c r="K30" s="692">
        <f t="shared" si="3"/>
        <v>375.9</v>
      </c>
    </row>
    <row r="31" spans="1:11" s="3" customFormat="1" ht="41.25" customHeight="1">
      <c r="A31" s="662">
        <v>25</v>
      </c>
      <c r="B31" s="764"/>
      <c r="C31" s="636">
        <f t="shared" si="8"/>
        <v>0</v>
      </c>
      <c r="D31" s="771">
        <v>490525</v>
      </c>
      <c r="E31" s="636">
        <f t="shared" si="2"/>
        <v>413</v>
      </c>
      <c r="F31" s="771">
        <v>607042</v>
      </c>
      <c r="G31" s="636">
        <f t="shared" si="7"/>
        <v>111</v>
      </c>
      <c r="H31" s="636">
        <f t="shared" si="4"/>
        <v>365.71150000000006</v>
      </c>
      <c r="I31" s="636">
        <f>C31*J3</f>
        <v>0</v>
      </c>
      <c r="J31" s="636">
        <f>G31*J1</f>
        <v>432.9</v>
      </c>
      <c r="K31" s="692">
        <f t="shared" si="3"/>
        <v>413</v>
      </c>
    </row>
    <row r="32" spans="1:11" s="3" customFormat="1" ht="41.25" customHeight="1">
      <c r="A32" s="662">
        <v>26</v>
      </c>
      <c r="B32" s="764"/>
      <c r="C32" s="636">
        <f t="shared" si="8"/>
        <v>0</v>
      </c>
      <c r="D32" s="771">
        <v>491109</v>
      </c>
      <c r="E32" s="636">
        <f t="shared" si="2"/>
        <v>408.79999999999995</v>
      </c>
      <c r="F32" s="771">
        <v>607132</v>
      </c>
      <c r="G32" s="636">
        <f t="shared" si="7"/>
        <v>90</v>
      </c>
      <c r="H32" s="636">
        <f t="shared" si="4"/>
        <v>361.99240000000003</v>
      </c>
      <c r="I32" s="636">
        <f>C32*J1</f>
        <v>0</v>
      </c>
      <c r="J32" s="636">
        <f>G32*J1</f>
        <v>351</v>
      </c>
      <c r="K32" s="692">
        <f t="shared" si="3"/>
        <v>408.79999999999995</v>
      </c>
    </row>
    <row r="33" spans="1:13" s="205" customFormat="1" ht="41.25" customHeight="1">
      <c r="A33" s="663">
        <v>27</v>
      </c>
      <c r="B33" s="764"/>
      <c r="C33" s="636">
        <f t="shared" si="8"/>
        <v>0</v>
      </c>
      <c r="D33" s="771">
        <v>491705</v>
      </c>
      <c r="E33" s="636">
        <f t="shared" si="2"/>
        <v>417.2</v>
      </c>
      <c r="F33" s="771">
        <v>607224</v>
      </c>
      <c r="G33" s="636">
        <f t="shared" si="7"/>
        <v>92</v>
      </c>
      <c r="H33" s="636">
        <f t="shared" si="4"/>
        <v>369.43060000000003</v>
      </c>
      <c r="I33" s="636">
        <f>C33*J1</f>
        <v>0</v>
      </c>
      <c r="J33" s="636">
        <f>G33*J1</f>
        <v>358.8</v>
      </c>
      <c r="K33" s="692">
        <f t="shared" si="3"/>
        <v>417.2</v>
      </c>
    </row>
    <row r="34" spans="1:13" s="205" customFormat="1" ht="41.25" customHeight="1">
      <c r="A34" s="663">
        <v>28</v>
      </c>
      <c r="B34" s="764"/>
      <c r="C34" s="636">
        <f t="shared" si="8"/>
        <v>0</v>
      </c>
      <c r="D34" s="771">
        <v>492486</v>
      </c>
      <c r="E34" s="636">
        <f t="shared" si="2"/>
        <v>546.69999999999993</v>
      </c>
      <c r="F34" s="771">
        <v>607368</v>
      </c>
      <c r="G34" s="636">
        <f t="shared" si="7"/>
        <v>144</v>
      </c>
      <c r="H34" s="636">
        <f t="shared" si="4"/>
        <v>484.10285000000005</v>
      </c>
      <c r="I34" s="636">
        <f>C34*J1</f>
        <v>0</v>
      </c>
      <c r="J34" s="636">
        <f>G34*J1</f>
        <v>561.6</v>
      </c>
      <c r="K34" s="692">
        <f t="shared" si="3"/>
        <v>546.69999999999993</v>
      </c>
    </row>
    <row r="35" spans="1:13" s="205" customFormat="1" ht="41.25" customHeight="1">
      <c r="A35" s="662">
        <v>29</v>
      </c>
      <c r="B35" s="764"/>
      <c r="C35" s="636">
        <f t="shared" si="8"/>
        <v>0</v>
      </c>
      <c r="D35" s="771">
        <v>492866</v>
      </c>
      <c r="E35" s="636">
        <f t="shared" si="2"/>
        <v>266</v>
      </c>
      <c r="F35" s="771">
        <v>607433</v>
      </c>
      <c r="G35" s="636">
        <f t="shared" si="7"/>
        <v>65</v>
      </c>
      <c r="H35" s="636">
        <f t="shared" si="4"/>
        <v>235.54300000000003</v>
      </c>
      <c r="I35" s="636">
        <f>C35*J1</f>
        <v>0</v>
      </c>
      <c r="J35" s="636">
        <f>G35*J1</f>
        <v>253.5</v>
      </c>
      <c r="K35" s="692">
        <f t="shared" si="3"/>
        <v>266</v>
      </c>
    </row>
    <row r="36" spans="1:13" s="205" customFormat="1" ht="41.25" customHeight="1">
      <c r="A36" s="663">
        <v>30</v>
      </c>
      <c r="B36" s="764"/>
      <c r="C36" s="636">
        <f t="shared" si="8"/>
        <v>0</v>
      </c>
      <c r="D36" s="771">
        <v>493358</v>
      </c>
      <c r="E36" s="636">
        <f t="shared" si="2"/>
        <v>344.4</v>
      </c>
      <c r="F36" s="771">
        <v>607530</v>
      </c>
      <c r="G36" s="636">
        <f t="shared" si="7"/>
        <v>97</v>
      </c>
      <c r="H36" s="636">
        <f t="shared" si="4"/>
        <v>304.96620000000007</v>
      </c>
      <c r="I36" s="636">
        <f>C36*J1</f>
        <v>0</v>
      </c>
      <c r="J36" s="636">
        <f>G36*J1</f>
        <v>378.3</v>
      </c>
      <c r="K36" s="692">
        <f t="shared" si="3"/>
        <v>344.4</v>
      </c>
    </row>
    <row r="37" spans="1:13" s="205" customFormat="1" ht="41.25" customHeight="1" thickBot="1">
      <c r="A37" s="663">
        <v>31</v>
      </c>
      <c r="B37" s="764"/>
      <c r="C37" s="636">
        <f t="shared" si="8"/>
        <v>0</v>
      </c>
      <c r="D37" s="771">
        <v>493899</v>
      </c>
      <c r="E37" s="636">
        <f t="shared" si="2"/>
        <v>378.7</v>
      </c>
      <c r="F37" s="771">
        <v>607638</v>
      </c>
      <c r="G37" s="636">
        <f t="shared" si="7"/>
        <v>108</v>
      </c>
      <c r="H37" s="636">
        <f t="shared" si="4"/>
        <v>335.33885000000004</v>
      </c>
      <c r="I37" s="636">
        <f>C37*J1</f>
        <v>0</v>
      </c>
      <c r="J37" s="636">
        <f>G37*J1</f>
        <v>421.2</v>
      </c>
      <c r="K37" s="692">
        <f t="shared" si="3"/>
        <v>378.7</v>
      </c>
    </row>
    <row r="38" spans="1:13" s="205" customFormat="1" ht="41.25" customHeight="1">
      <c r="A38" s="664" t="s">
        <v>121</v>
      </c>
      <c r="B38" s="687"/>
      <c r="C38" s="688">
        <f>SUM(C7:C37)</f>
        <v>0</v>
      </c>
      <c r="D38" s="687"/>
      <c r="E38" s="688">
        <f>SUM(E7:E37)</f>
        <v>10861.199999999999</v>
      </c>
      <c r="F38" s="687"/>
      <c r="G38" s="688">
        <f>SUM(G7:G37)</f>
        <v>3166</v>
      </c>
      <c r="H38" s="689">
        <f>SUM(H6:H37)</f>
        <v>9617.5926000000018</v>
      </c>
      <c r="I38" s="689">
        <f>SUM(I6:I37)</f>
        <v>0</v>
      </c>
      <c r="J38" s="689">
        <f>SUM(J6:J37)</f>
        <v>12347.4</v>
      </c>
      <c r="K38" s="735">
        <f>SUM(K6:K37)</f>
        <v>10488.800000000001</v>
      </c>
    </row>
    <row r="39" spans="1:13" s="205" customFormat="1" ht="41.25" customHeight="1" thickBot="1">
      <c r="A39" s="665" t="s">
        <v>137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C7:C37 E7:E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C7:C37 E7:E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09375" defaultRowHeight="30.75" customHeight="1"/>
  <cols>
    <col min="1" max="1" width="65.44140625" style="139" customWidth="1"/>
    <col min="2" max="2" width="31.109375" style="139" customWidth="1"/>
    <col min="3" max="3" width="33.44140625" style="139" customWidth="1"/>
    <col min="4" max="4" width="22" style="139" customWidth="1"/>
    <col min="5" max="5" width="28.109375" style="139" customWidth="1"/>
    <col min="6" max="6" width="22" style="139" customWidth="1"/>
    <col min="7" max="7" width="27.109375" style="139" customWidth="1"/>
    <col min="8" max="8" width="22" style="167" customWidth="1"/>
    <col min="9" max="9" width="26.5546875" style="167" customWidth="1"/>
    <col min="10" max="10" width="22" style="167" customWidth="1"/>
    <col min="11" max="11" width="27.10937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4140625" style="167" customWidth="1"/>
    <col min="17" max="17" width="22" style="166" customWidth="1"/>
    <col min="18" max="18" width="27.109375" style="167" customWidth="1"/>
    <col min="19" max="19" width="22" style="167" customWidth="1"/>
    <col min="20" max="20" width="25.44140625" style="167" customWidth="1"/>
    <col min="21" max="21" width="22" style="167" customWidth="1"/>
    <col min="22" max="22" width="24.88671875" style="167" customWidth="1"/>
    <col min="23" max="23" width="22" style="167" customWidth="1"/>
    <col min="24" max="24" width="25.44140625" style="167" customWidth="1"/>
    <col min="25" max="25" width="22" style="167" customWidth="1"/>
    <col min="26" max="26" width="25.44140625" style="167" customWidth="1"/>
    <col min="27" max="27" width="22" style="167" customWidth="1"/>
    <col min="28" max="28" width="28.109375" style="167" customWidth="1"/>
    <col min="29" max="29" width="22" style="167" customWidth="1"/>
    <col min="30" max="31" width="26.5546875" style="167" customWidth="1"/>
    <col min="32" max="32" width="27.109375" style="167" customWidth="1"/>
    <col min="33" max="33" width="22" style="144" customWidth="1"/>
    <col min="34" max="34" width="24.33203125" style="144" customWidth="1"/>
    <col min="35" max="35" width="28.33203125" style="144" customWidth="1"/>
    <col min="36" max="36" width="24.88671875" style="145" customWidth="1"/>
    <col min="37" max="37" width="29.44140625" style="144" customWidth="1"/>
    <col min="38" max="38" width="27.109375" style="145" customWidth="1"/>
    <col min="39" max="39" width="25.44140625" style="145" customWidth="1"/>
    <col min="40" max="40" width="25.6640625" style="144" customWidth="1"/>
    <col min="41" max="41" width="27.6640625" style="144" customWidth="1"/>
    <col min="42" max="42" width="27.109375" style="145" customWidth="1"/>
    <col min="43" max="43" width="19.109375" style="144" customWidth="1"/>
    <col min="44" max="44" width="31.33203125" style="144" customWidth="1"/>
    <col min="45" max="45" width="26" style="144" customWidth="1"/>
    <col min="46" max="46" width="26.5546875" style="167" customWidth="1"/>
    <col min="47" max="47" width="27.109375" style="167" customWidth="1"/>
    <col min="48" max="49" width="15.109375" style="167" hidden="1" customWidth="1"/>
    <col min="50" max="50" width="22.5546875" style="167" customWidth="1"/>
    <col min="51" max="51" width="20.33203125" style="167" customWidth="1"/>
    <col min="52" max="52" width="28.33203125" style="167" customWidth="1"/>
    <col min="53" max="53" width="18.5546875" style="167" customWidth="1"/>
    <col min="54" max="54" width="19.109375" style="167" customWidth="1"/>
    <col min="55" max="55" width="25.5546875" style="167" customWidth="1"/>
    <col min="56" max="57" width="26" style="167" customWidth="1"/>
    <col min="58" max="58" width="28.33203125" style="167" customWidth="1"/>
    <col min="59" max="59" width="26" style="167" customWidth="1"/>
    <col min="60" max="60" width="21" style="167" customWidth="1"/>
    <col min="61" max="61" width="20.44140625" style="167" customWidth="1"/>
    <col min="62" max="62" width="22.6640625" style="167" customWidth="1"/>
    <col min="63" max="64" width="20.44140625" style="167" customWidth="1"/>
    <col min="65" max="65" width="25" style="167" customWidth="1"/>
    <col min="66" max="66" width="27.88671875" style="167" customWidth="1"/>
    <col min="67" max="67" width="25.44140625" style="167" customWidth="1"/>
    <col min="68" max="68" width="26.6640625" style="167" customWidth="1"/>
    <col min="69" max="69" width="27.88671875" style="167" customWidth="1"/>
    <col min="70" max="16384" width="15.109375" style="139"/>
  </cols>
  <sheetData>
    <row r="1" spans="1:69" ht="60" customHeight="1" thickBot="1">
      <c r="A1" s="873" t="str">
        <f>Elect!A1</f>
        <v>March</v>
      </c>
      <c r="B1" s="168"/>
      <c r="C1" s="168"/>
      <c r="H1" s="139"/>
      <c r="I1" s="140"/>
      <c r="J1" s="141"/>
      <c r="K1" s="141"/>
      <c r="L1" s="875" t="s">
        <v>138</v>
      </c>
      <c r="M1" s="875"/>
      <c r="N1" s="875"/>
      <c r="P1" s="876" t="str">
        <f>Elect!A1</f>
        <v>March</v>
      </c>
      <c r="Q1" s="876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4"/>
      <c r="B2" s="859" t="s">
        <v>139</v>
      </c>
      <c r="C2" s="860"/>
      <c r="D2" s="860"/>
      <c r="E2" s="860"/>
      <c r="F2" s="860"/>
      <c r="G2" s="877"/>
      <c r="H2" s="859" t="s">
        <v>140</v>
      </c>
      <c r="I2" s="860"/>
      <c r="J2" s="860"/>
      <c r="K2" s="860"/>
      <c r="L2" s="860"/>
      <c r="M2" s="860"/>
      <c r="N2" s="860"/>
      <c r="O2" s="860"/>
      <c r="P2" s="877"/>
      <c r="Q2" s="147"/>
      <c r="R2" s="794"/>
      <c r="S2" s="148"/>
      <c r="T2" s="149"/>
      <c r="U2" s="150" t="s">
        <v>141</v>
      </c>
      <c r="V2" s="149"/>
      <c r="W2" s="149"/>
      <c r="X2" s="149"/>
      <c r="Y2" s="149"/>
      <c r="Z2" s="797"/>
      <c r="AA2" s="796"/>
      <c r="AB2" s="151"/>
      <c r="AC2" s="169" t="s">
        <v>142</v>
      </c>
      <c r="AD2" s="795"/>
      <c r="AE2" s="798"/>
      <c r="AF2" s="152"/>
      <c r="AG2" s="847" t="s">
        <v>47</v>
      </c>
      <c r="AH2" s="848"/>
      <c r="AI2" s="848"/>
      <c r="AJ2" s="354" t="s">
        <v>143</v>
      </c>
      <c r="AK2" s="853" t="s">
        <v>144</v>
      </c>
      <c r="AL2" s="855" t="s">
        <v>145</v>
      </c>
      <c r="AM2" s="855" t="s">
        <v>146</v>
      </c>
      <c r="AN2" s="845" t="s">
        <v>147</v>
      </c>
      <c r="AO2" s="863" t="s">
        <v>148</v>
      </c>
      <c r="AP2" s="865" t="s">
        <v>149</v>
      </c>
      <c r="AQ2" s="867" t="s">
        <v>150</v>
      </c>
      <c r="AR2" s="869" t="s">
        <v>151</v>
      </c>
      <c r="AS2" s="871" t="s">
        <v>149</v>
      </c>
      <c r="AT2" s="861" t="s">
        <v>152</v>
      </c>
      <c r="AU2" s="862"/>
      <c r="AV2" s="859" t="s">
        <v>153</v>
      </c>
      <c r="AW2" s="860"/>
      <c r="AX2" s="172"/>
      <c r="AY2" s="173"/>
      <c r="AZ2" s="174" t="s">
        <v>154</v>
      </c>
      <c r="BA2" s="174"/>
      <c r="BB2" s="175"/>
      <c r="BC2" s="155"/>
      <c r="BD2" s="153"/>
      <c r="BE2" s="794" t="s">
        <v>155</v>
      </c>
      <c r="BF2" s="794"/>
      <c r="BG2" s="154"/>
      <c r="BH2" s="174"/>
      <c r="BI2" s="174"/>
      <c r="BJ2" s="174" t="s">
        <v>156</v>
      </c>
      <c r="BK2" s="174"/>
      <c r="BL2" s="175"/>
      <c r="BM2" s="794"/>
      <c r="BN2" s="794"/>
      <c r="BO2" s="794" t="s">
        <v>157</v>
      </c>
      <c r="BP2" s="794"/>
      <c r="BQ2" s="154"/>
    </row>
    <row r="3" spans="1:69" ht="174.75" customHeight="1" thickBot="1">
      <c r="A3" s="156" t="s">
        <v>59</v>
      </c>
      <c r="B3" s="878" t="s">
        <v>158</v>
      </c>
      <c r="C3" s="879"/>
      <c r="D3" s="880" t="s">
        <v>61</v>
      </c>
      <c r="E3" s="881"/>
      <c r="F3" s="882" t="s">
        <v>62</v>
      </c>
      <c r="G3" s="883"/>
      <c r="H3" s="882" t="s">
        <v>159</v>
      </c>
      <c r="I3" s="883"/>
      <c r="J3" s="884" t="s">
        <v>160</v>
      </c>
      <c r="K3" s="885"/>
      <c r="L3" s="886" t="s">
        <v>161</v>
      </c>
      <c r="M3" s="887"/>
      <c r="N3" s="152" t="s">
        <v>162</v>
      </c>
      <c r="O3" s="849" t="s">
        <v>163</v>
      </c>
      <c r="P3" s="850"/>
      <c r="Q3" s="849" t="s">
        <v>164</v>
      </c>
      <c r="R3" s="850"/>
      <c r="S3" s="851" t="s">
        <v>165</v>
      </c>
      <c r="T3" s="852"/>
      <c r="U3" s="851" t="s">
        <v>166</v>
      </c>
      <c r="V3" s="852"/>
      <c r="W3" s="857" t="s">
        <v>167</v>
      </c>
      <c r="X3" s="858"/>
      <c r="Y3" s="851" t="s">
        <v>168</v>
      </c>
      <c r="Z3" s="852"/>
      <c r="AA3" s="857" t="s">
        <v>169</v>
      </c>
      <c r="AB3" s="858"/>
      <c r="AC3" s="851" t="s">
        <v>170</v>
      </c>
      <c r="AD3" s="852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54"/>
      <c r="AL3" s="856"/>
      <c r="AM3" s="856"/>
      <c r="AN3" s="846"/>
      <c r="AO3" s="864"/>
      <c r="AP3" s="866"/>
      <c r="AQ3" s="868"/>
      <c r="AR3" s="870"/>
      <c r="AS3" s="872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6609</v>
      </c>
      <c r="D5" s="461">
        <v>0</v>
      </c>
      <c r="E5" s="460">
        <f>Elect!M6</f>
        <v>2350</v>
      </c>
      <c r="F5" s="461">
        <v>20</v>
      </c>
      <c r="G5" s="460">
        <f>Elect!O6</f>
        <v>1997</v>
      </c>
      <c r="H5" s="461">
        <v>800</v>
      </c>
      <c r="I5" s="460">
        <f>Water!C7</f>
        <v>145</v>
      </c>
      <c r="J5" s="461">
        <v>0</v>
      </c>
      <c r="K5" s="460">
        <f>Water!E7</f>
        <v>197.2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342.78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198.81239999999997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393.9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129</v>
      </c>
      <c r="AU5" s="460">
        <f>Elect!BP6</f>
        <v>127</v>
      </c>
      <c r="AV5" s="460" t="e">
        <f>Elect!#REF!</f>
        <v>#REF!</v>
      </c>
      <c r="AW5" s="460">
        <f>Elect!BR6</f>
        <v>129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1.4903478260869565</v>
      </c>
      <c r="BN5" s="477" t="e">
        <f>Water!W7</f>
        <v>#DIV/0!</v>
      </c>
      <c r="BO5" s="472">
        <f>Water!X7</f>
        <v>1371.12</v>
      </c>
      <c r="BP5" s="477">
        <f>Water!Y7</f>
        <v>5.9613913043478259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5715</v>
      </c>
      <c r="D6" s="461">
        <v>0</v>
      </c>
      <c r="E6" s="460">
        <f>Elect!M7</f>
        <v>1909</v>
      </c>
      <c r="F6" s="461">
        <v>20</v>
      </c>
      <c r="G6" s="460">
        <f>Elect!O7</f>
        <v>1791</v>
      </c>
      <c r="H6" s="461">
        <v>936</v>
      </c>
      <c r="I6" s="460">
        <f>Water!C8</f>
        <v>150.79999999999998</v>
      </c>
      <c r="J6" s="461">
        <v>0</v>
      </c>
      <c r="K6" s="460">
        <f>Water!E8</f>
        <v>197.2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348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201.83999999999997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397.8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138</v>
      </c>
      <c r="AU6" s="460">
        <f>Elect!BP7</f>
        <v>138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522076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1.6036866359447004</v>
      </c>
      <c r="BN6" s="477" t="e">
        <f>Water!W8</f>
        <v>#DIV/0!</v>
      </c>
      <c r="BO6" s="472">
        <f>Water!X8</f>
        <v>1392</v>
      </c>
      <c r="BP6" s="477">
        <f>Water!Y8</f>
        <v>6.4147465437788016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6244</v>
      </c>
      <c r="D7" s="461">
        <v>0</v>
      </c>
      <c r="E7" s="460">
        <f>Elect!M8</f>
        <v>2122</v>
      </c>
      <c r="F7" s="461">
        <v>20</v>
      </c>
      <c r="G7" s="460">
        <f>Elect!O8</f>
        <v>1911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421.2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130</v>
      </c>
      <c r="AU7" s="460">
        <f>Elect!BP8</f>
        <v>122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522206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1.359375</v>
      </c>
      <c r="BN7" s="477" t="e">
        <f>Water!W9</f>
        <v>#DIV/0!</v>
      </c>
      <c r="BO7" s="472">
        <f>Water!X9</f>
        <v>1392</v>
      </c>
      <c r="BP7" s="477">
        <f>Water!Y9</f>
        <v>5.4375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6209</v>
      </c>
      <c r="D8" s="461">
        <v>0</v>
      </c>
      <c r="E8" s="460">
        <f>Elect!M9</f>
        <v>2220</v>
      </c>
      <c r="F8" s="461">
        <v>20</v>
      </c>
      <c r="G8" s="460">
        <f>Elect!O9</f>
        <v>1719</v>
      </c>
      <c r="H8" s="461">
        <v>786</v>
      </c>
      <c r="I8" s="460">
        <f>Water!C10</f>
        <v>179.79999999999998</v>
      </c>
      <c r="J8" s="461">
        <v>0</v>
      </c>
      <c r="K8" s="460">
        <f>Water!E10</f>
        <v>237.79999999999998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417.59999999999997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242.20799999999997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393.9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152</v>
      </c>
      <c r="AU8" s="460">
        <f>Elect!BP9</f>
        <v>130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522358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1.762025316455696</v>
      </c>
      <c r="BN8" s="477" t="e">
        <f>Water!W10</f>
        <v>#DIV/0!</v>
      </c>
      <c r="BO8" s="472">
        <f>Water!X10</f>
        <v>1670.3999999999999</v>
      </c>
      <c r="BP8" s="477">
        <f>Water!Y10</f>
        <v>7.0481012658227842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5886</v>
      </c>
      <c r="D9" s="461">
        <v>0</v>
      </c>
      <c r="E9" s="460">
        <f>Elect!M10</f>
        <v>2123</v>
      </c>
      <c r="F9" s="461">
        <v>20</v>
      </c>
      <c r="G9" s="460">
        <f>Elect!O10</f>
        <v>1874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145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371.78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215.63239999999996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382.2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129</v>
      </c>
      <c r="AU9" s="460">
        <f>Elect!BP10</f>
        <v>123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522487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1.517469387755102</v>
      </c>
      <c r="BN9" s="477" t="e">
        <f>Water!W11</f>
        <v>#DIV/0!</v>
      </c>
      <c r="BO9" s="472">
        <f>Water!X11</f>
        <v>1487.12</v>
      </c>
      <c r="BP9" s="477">
        <f>Water!Y11</f>
        <v>6.0698775510204079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6382</v>
      </c>
      <c r="D10" s="461">
        <v>0</v>
      </c>
      <c r="E10" s="460">
        <f>Elect!M11</f>
        <v>2169</v>
      </c>
      <c r="F10" s="461">
        <v>20</v>
      </c>
      <c r="G10" s="460">
        <f>Elect!O11</f>
        <v>1983</v>
      </c>
      <c r="H10" s="461">
        <v>805</v>
      </c>
      <c r="I10" s="460">
        <f>Water!C12</f>
        <v>110.19999999999999</v>
      </c>
      <c r="J10" s="461">
        <v>0</v>
      </c>
      <c r="K10" s="460">
        <f>Water!E12</f>
        <v>145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371.78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215.63239999999996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382.2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133</v>
      </c>
      <c r="AU10" s="460">
        <f>Elect!BP11</f>
        <v>129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522620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1.8588999999999998</v>
      </c>
      <c r="BN10" s="477" t="e">
        <f>Water!W12</f>
        <v>#DIV/0!</v>
      </c>
      <c r="BO10" s="472">
        <f>Water!X12</f>
        <v>1487.12</v>
      </c>
      <c r="BP10" s="477">
        <f>Water!Y12</f>
        <v>7.4355999999999991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6657</v>
      </c>
      <c r="D11" s="461">
        <v>0</v>
      </c>
      <c r="E11" s="460">
        <f>Elect!M12</f>
        <v>2268</v>
      </c>
      <c r="F11" s="461">
        <v>20</v>
      </c>
      <c r="G11" s="460">
        <f>Elect!O12</f>
        <v>1890</v>
      </c>
      <c r="H11" s="461">
        <v>871</v>
      </c>
      <c r="I11" s="460">
        <f>Water!C13</f>
        <v>98.6</v>
      </c>
      <c r="J11" s="461">
        <v>0</v>
      </c>
      <c r="K11" s="460">
        <f>Water!E13</f>
        <v>127.6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342.2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198.47599999999997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452.4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135</v>
      </c>
      <c r="AU11" s="460">
        <f>Elect!BP12</f>
        <v>130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522755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1.8597826086956522</v>
      </c>
      <c r="BN11" s="477" t="e">
        <f>Water!W13</f>
        <v>#DIV/0!</v>
      </c>
      <c r="BO11" s="472">
        <f>Water!X13</f>
        <v>1368.8</v>
      </c>
      <c r="BP11" s="477">
        <f>Water!Y13</f>
        <v>7.4391304347826086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6335</v>
      </c>
      <c r="D12" s="461">
        <v>0</v>
      </c>
      <c r="E12" s="460">
        <f>Elect!M13</f>
        <v>2169</v>
      </c>
      <c r="F12" s="461">
        <v>20</v>
      </c>
      <c r="G12" s="460">
        <f>Elect!O13</f>
        <v>1743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133.39999999999998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354.37999999999994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205.54039999999995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413.4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152</v>
      </c>
      <c r="AU12" s="460">
        <f>Elect!BP13</f>
        <v>128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522907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2.286322580645161</v>
      </c>
      <c r="BN12" s="477" t="e">
        <f>Water!W14</f>
        <v>#DIV/0!</v>
      </c>
      <c r="BO12" s="472">
        <f>Water!X14</f>
        <v>1417.5199999999998</v>
      </c>
      <c r="BP12" s="477">
        <f>Water!Y14</f>
        <v>9.1452903225806441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6855</v>
      </c>
      <c r="D13" s="461">
        <v>0</v>
      </c>
      <c r="E13" s="460">
        <f>Elect!M14</f>
        <v>2341</v>
      </c>
      <c r="F13" s="461">
        <v>20</v>
      </c>
      <c r="G13" s="460">
        <f>Elect!O14</f>
        <v>1927</v>
      </c>
      <c r="H13" s="461">
        <v>790</v>
      </c>
      <c r="I13" s="460">
        <f>Water!C15</f>
        <v>104.39999999999999</v>
      </c>
      <c r="J13" s="461">
        <v>0</v>
      </c>
      <c r="K13" s="460">
        <f>Water!E15</f>
        <v>133.39999999999998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237.79999999999995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137.92399999999998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413.4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130</v>
      </c>
      <c r="AU13" s="460">
        <f>Elect!BP14</f>
        <v>128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523037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1.2784946236559138</v>
      </c>
      <c r="BN13" s="477" t="e">
        <f>Water!W15</f>
        <v>#DIV/0!</v>
      </c>
      <c r="BO13" s="472">
        <f>Water!X15</f>
        <v>951.19999999999982</v>
      </c>
      <c r="BP13" s="477">
        <f>Water!Y15</f>
        <v>5.1139784946236553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6813</v>
      </c>
      <c r="D14" s="461">
        <v>0</v>
      </c>
      <c r="E14" s="460">
        <f>Elect!M15</f>
        <v>2388</v>
      </c>
      <c r="F14" s="461">
        <v>20</v>
      </c>
      <c r="G14" s="460">
        <f>Elect!O15</f>
        <v>1853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150.79999999999998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373.52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216.64159999999998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390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127</v>
      </c>
      <c r="AU14" s="460">
        <f>Elect!BP15</f>
        <v>127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523164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1.5628451882845187</v>
      </c>
      <c r="BN14" s="477" t="e">
        <f>Water!W16</f>
        <v>#DIV/0!</v>
      </c>
      <c r="BO14" s="472">
        <f>Water!X16</f>
        <v>1494.08</v>
      </c>
      <c r="BP14" s="477">
        <f>Water!Y16</f>
        <v>6.2513807531380747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7319</v>
      </c>
      <c r="D15" s="461">
        <v>0</v>
      </c>
      <c r="E15" s="460">
        <f>Elect!M16</f>
        <v>2476</v>
      </c>
      <c r="F15" s="461">
        <v>20</v>
      </c>
      <c r="G15" s="460">
        <f>Elect!O16</f>
        <v>1889</v>
      </c>
      <c r="H15" s="461">
        <v>817</v>
      </c>
      <c r="I15" s="460">
        <f>Water!C17</f>
        <v>139.19999999999999</v>
      </c>
      <c r="J15" s="461">
        <v>0</v>
      </c>
      <c r="K15" s="460">
        <f>Water!E17</f>
        <v>185.6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324.79999999999995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188.38399999999996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390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129</v>
      </c>
      <c r="AU15" s="460">
        <f>Elect!BP16</f>
        <v>130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523293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1.3589958158995814</v>
      </c>
      <c r="BN15" s="477" t="e">
        <f>Water!W17</f>
        <v>#DIV/0!</v>
      </c>
      <c r="BO15" s="472">
        <f>Water!X17</f>
        <v>1299.1999999999998</v>
      </c>
      <c r="BP15" s="477">
        <f>Water!Y17</f>
        <v>5.4359832635983256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7181</v>
      </c>
      <c r="D16" s="461">
        <v>0</v>
      </c>
      <c r="E16" s="460">
        <f>Elect!M17</f>
        <v>2724</v>
      </c>
      <c r="F16" s="461">
        <v>20</v>
      </c>
      <c r="G16" s="460">
        <f>Elect!O17</f>
        <v>1701</v>
      </c>
      <c r="H16" s="461">
        <v>907</v>
      </c>
      <c r="I16" s="460">
        <f>Water!C18</f>
        <v>112.13333333313639</v>
      </c>
      <c r="J16" s="461">
        <v>0</v>
      </c>
      <c r="K16" s="460">
        <f>Water!E18</f>
        <v>154.66666666668425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266.79999999982067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154.74399999989598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230.1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156</v>
      </c>
      <c r="AU16" s="460">
        <f>Elect!BP17</f>
        <v>131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523449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1.0801619433191121</v>
      </c>
      <c r="BN16" s="477" t="e">
        <f>Water!W18</f>
        <v>#DIV/0!</v>
      </c>
      <c r="BO16" s="472">
        <f>Water!X18</f>
        <v>1067.1999999992827</v>
      </c>
      <c r="BP16" s="477">
        <f>Water!Y18</f>
        <v>4.3206477732764483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6876</v>
      </c>
      <c r="D17" s="461">
        <v>0</v>
      </c>
      <c r="E17" s="460">
        <f>Elect!M18</f>
        <v>2710</v>
      </c>
      <c r="F17" s="461">
        <v>20</v>
      </c>
      <c r="G17" s="460">
        <f>Elect!O18</f>
        <v>1577</v>
      </c>
      <c r="H17" s="461">
        <v>812</v>
      </c>
      <c r="I17" s="460">
        <f>Water!C19</f>
        <v>166.26666666686359</v>
      </c>
      <c r="J17" s="461">
        <v>0</v>
      </c>
      <c r="K17" s="460">
        <f>Water!E19</f>
        <v>216.53333333331574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382.80000000017935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222.024000000104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518.69999999999993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125</v>
      </c>
      <c r="AU17" s="460">
        <f>Elect!BP18</f>
        <v>125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523574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1.5688524590171284</v>
      </c>
      <c r="BN17" s="477" t="e">
        <f>Water!W19</f>
        <v>#DIV/0!</v>
      </c>
      <c r="BO17" s="472">
        <f>Water!X19</f>
        <v>1531.2000000007174</v>
      </c>
      <c r="BP17" s="477">
        <f>Water!Y19</f>
        <v>6.2754098360685138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7580</v>
      </c>
      <c r="D18" s="461">
        <v>0</v>
      </c>
      <c r="E18" s="460">
        <f>Elect!M19</f>
        <v>2795</v>
      </c>
      <c r="F18" s="461">
        <v>30</v>
      </c>
      <c r="G18" s="460">
        <f>Elect!O19</f>
        <v>1852</v>
      </c>
      <c r="H18" s="461">
        <v>810</v>
      </c>
      <c r="I18" s="460">
        <f>Water!C20</f>
        <v>127.6</v>
      </c>
      <c r="J18" s="461">
        <v>0</v>
      </c>
      <c r="K18" s="460">
        <f>Water!E20</f>
        <v>174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301.60000000000002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174.928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393.9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126</v>
      </c>
      <c r="AU18" s="460">
        <f>Elect!BP19</f>
        <v>130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521938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1.1874015748031497</v>
      </c>
      <c r="BN18" s="477" t="e">
        <f>Water!W20</f>
        <v>#DIV/0!</v>
      </c>
      <c r="BO18" s="472">
        <f>Water!X20</f>
        <v>1206.4000000000001</v>
      </c>
      <c r="BP18" s="477">
        <f>Water!Y20</f>
        <v>4.7496062992125987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7459</v>
      </c>
      <c r="D19" s="461">
        <v>0</v>
      </c>
      <c r="E19" s="460">
        <f>Elect!M20</f>
        <v>2809</v>
      </c>
      <c r="F19" s="461">
        <v>20</v>
      </c>
      <c r="G19" s="460">
        <f>Elect!O20</f>
        <v>1687</v>
      </c>
      <c r="H19" s="461">
        <v>841</v>
      </c>
      <c r="I19" s="460">
        <f>Water!C21</f>
        <v>185.6</v>
      </c>
      <c r="J19" s="461">
        <v>0</v>
      </c>
      <c r="K19" s="460">
        <f>Water!E21</f>
        <v>237.79999999999998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423.4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245.57199999999997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581.1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139</v>
      </c>
      <c r="AU19" s="460">
        <f>Elect!BP20</f>
        <v>132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523839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1.707258064516129</v>
      </c>
      <c r="BN19" s="477" t="e">
        <f>Water!W21</f>
        <v>#DIV/0!</v>
      </c>
      <c r="BO19" s="472">
        <f>Water!X21</f>
        <v>1693.6</v>
      </c>
      <c r="BP19" s="477">
        <f>Water!Y21</f>
        <v>6.8290322580645162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6938</v>
      </c>
      <c r="D20" s="461">
        <v>0</v>
      </c>
      <c r="E20" s="460">
        <f>Elect!M21</f>
        <v>2710</v>
      </c>
      <c r="F20" s="461">
        <v>20</v>
      </c>
      <c r="G20" s="460">
        <f>Elect!O21</f>
        <v>1609</v>
      </c>
      <c r="H20" s="461">
        <v>932</v>
      </c>
      <c r="I20" s="460">
        <f>Water!C22</f>
        <v>81.199999999999989</v>
      </c>
      <c r="J20" s="461">
        <v>0</v>
      </c>
      <c r="K20" s="460">
        <f>Water!E22</f>
        <v>104.39999999999999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185.59999999999997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107.64799999999997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222.29999999999998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136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523975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0.7335968379446639</v>
      </c>
      <c r="BN20" s="477" t="e">
        <f>Water!W22</f>
        <v>#DIV/0!</v>
      </c>
      <c r="BO20" s="472">
        <f>Water!X22</f>
        <v>742.39999999999986</v>
      </c>
      <c r="BP20" s="477">
        <f>Water!Y22</f>
        <v>2.9343873517786556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6973</v>
      </c>
      <c r="D21" s="461">
        <v>0</v>
      </c>
      <c r="E21" s="460">
        <f>Elect!M22</f>
        <v>2477</v>
      </c>
      <c r="F21" s="461">
        <v>20</v>
      </c>
      <c r="G21" s="460">
        <f>Elect!O22</f>
        <v>1820</v>
      </c>
      <c r="H21" s="461">
        <v>972</v>
      </c>
      <c r="I21" s="460">
        <f>Water!C23</f>
        <v>30.933333333136396</v>
      </c>
      <c r="J21" s="461">
        <v>0</v>
      </c>
      <c r="K21" s="460">
        <f>Water!E23</f>
        <v>42.533333333315746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77.526666666452144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44.965466666542241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300.3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133</v>
      </c>
      <c r="AU21" s="460">
        <f>Elect!BP22</f>
        <v>130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0.30642951251562112</v>
      </c>
      <c r="BN21" s="477" t="e">
        <f>Water!W23</f>
        <v>#DIV/0!</v>
      </c>
      <c r="BO21" s="472">
        <f>Water!X23</f>
        <v>310.10666666580858</v>
      </c>
      <c r="BP21" s="477">
        <f>Water!Y23</f>
        <v>1.2257180500624845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7070</v>
      </c>
      <c r="D22" s="461">
        <v>0</v>
      </c>
      <c r="E22" s="460">
        <f>Elect!M23</f>
        <v>2461</v>
      </c>
      <c r="F22" s="461">
        <v>20</v>
      </c>
      <c r="G22" s="460">
        <f>Elect!O23</f>
        <v>1897</v>
      </c>
      <c r="H22" s="461">
        <v>864</v>
      </c>
      <c r="I22" s="460">
        <f>Water!C24</f>
        <v>235.86666666686358</v>
      </c>
      <c r="J22" s="461">
        <v>0</v>
      </c>
      <c r="K22" s="460">
        <f>Water!E24</f>
        <v>305.4666666666842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541.33333333354778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313.97333333345767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448.5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127</v>
      </c>
      <c r="AU22" s="460">
        <f>Elect!BP23</f>
        <v>126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524235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2.1396574440061178</v>
      </c>
      <c r="BN22" s="477" t="e">
        <f>Water!W24</f>
        <v>#DIV/0!</v>
      </c>
      <c r="BO22" s="472">
        <f>Water!X24</f>
        <v>2165.3333333341911</v>
      </c>
      <c r="BP22" s="477">
        <f>Water!Y24</f>
        <v>8.5586297760244712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6871</v>
      </c>
      <c r="D23" s="461">
        <v>0</v>
      </c>
      <c r="E23" s="460">
        <f>Elect!M24</f>
        <v>2361</v>
      </c>
      <c r="F23" s="461">
        <v>30</v>
      </c>
      <c r="G23" s="460">
        <f>Elect!O24</f>
        <v>1747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197.2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348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201.83999999999997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448.5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154</v>
      </c>
      <c r="AU23" s="460">
        <f>Elect!BP24</f>
        <v>133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524389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1.3436293436293436</v>
      </c>
      <c r="BN23" s="477" t="e">
        <f>Water!W25</f>
        <v>#DIV/0!</v>
      </c>
      <c r="BO23" s="472">
        <f>Water!X25</f>
        <v>1392</v>
      </c>
      <c r="BP23" s="477">
        <f>Water!Y25</f>
        <v>5.3745173745173744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7585</v>
      </c>
      <c r="D24" s="461">
        <v>0</v>
      </c>
      <c r="E24" s="460">
        <f>Elect!M25</f>
        <v>2884</v>
      </c>
      <c r="F24" s="461">
        <v>20</v>
      </c>
      <c r="G24" s="460">
        <f>Elect!O25</f>
        <v>1894</v>
      </c>
      <c r="H24" s="461">
        <v>944</v>
      </c>
      <c r="I24" s="460">
        <f>Water!C26</f>
        <v>278.39999999999998</v>
      </c>
      <c r="J24" s="461">
        <v>0</v>
      </c>
      <c r="K24" s="460">
        <f>Water!E26</f>
        <v>359.59999999999997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638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370.03999999999996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448.5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154</v>
      </c>
      <c r="AU24" s="460">
        <f>Elect!BP25</f>
        <v>143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524543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2.7033898305084745</v>
      </c>
      <c r="BN24" s="477" t="e">
        <f>Water!W26</f>
        <v>#DIV/0!</v>
      </c>
      <c r="BO24" s="472">
        <f>Water!X26</f>
        <v>2552</v>
      </c>
      <c r="BP24" s="477">
        <f>Water!Y26</f>
        <v>10.813559322033898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7571</v>
      </c>
      <c r="D25" s="461">
        <v>0</v>
      </c>
      <c r="E25" s="460">
        <f>Elect!M26</f>
        <v>2932</v>
      </c>
      <c r="F25" s="461">
        <v>20</v>
      </c>
      <c r="G25" s="460">
        <f>Elect!O26</f>
        <v>1729</v>
      </c>
      <c r="H25" s="461">
        <v>916</v>
      </c>
      <c r="I25" s="460">
        <f>Water!C27</f>
        <v>52.199999999999996</v>
      </c>
      <c r="J25" s="461">
        <v>0</v>
      </c>
      <c r="K25" s="460">
        <f>Water!E27</f>
        <v>81.199999999999989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133.39999999999998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77.371999999999986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319.8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173</v>
      </c>
      <c r="AU25" s="460">
        <f>Elect!BP26</f>
        <v>144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524716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0.54448979591836721</v>
      </c>
      <c r="BN25" s="477" t="e">
        <f>Water!W27</f>
        <v>#DIV/0!</v>
      </c>
      <c r="BO25" s="472">
        <f>Water!X27</f>
        <v>533.59999999999991</v>
      </c>
      <c r="BP25" s="477">
        <f>Water!Y27</f>
        <v>2.1779591836734689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7281</v>
      </c>
      <c r="D26" s="461">
        <v>0</v>
      </c>
      <c r="E26" s="460">
        <f>Elect!M27</f>
        <v>2622.5</v>
      </c>
      <c r="F26" s="461">
        <v>20</v>
      </c>
      <c r="G26" s="460">
        <f>Elect!O27</f>
        <v>1810.8571428570431</v>
      </c>
      <c r="H26" s="461">
        <v>931</v>
      </c>
      <c r="I26" s="460">
        <f>Water!C28</f>
        <v>81.199999999999989</v>
      </c>
      <c r="J26" s="461">
        <v>0</v>
      </c>
      <c r="K26" s="460">
        <f>Water!E28</f>
        <v>92.8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174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100.91999999999999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468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176</v>
      </c>
      <c r="AU26" s="460">
        <f>Elect!BP27</f>
        <v>148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524892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0.69599999999999995</v>
      </c>
      <c r="BN26" s="477" t="e">
        <f>Water!W28</f>
        <v>#DIV/0!</v>
      </c>
      <c r="BO26" s="472">
        <f>Water!X28</f>
        <v>696</v>
      </c>
      <c r="BP26" s="477">
        <f>Water!Y28</f>
        <v>2.7839999999999998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7591</v>
      </c>
      <c r="D27" s="461">
        <v>0</v>
      </c>
      <c r="E27" s="460">
        <f>Elect!M28</f>
        <v>2741.5</v>
      </c>
      <c r="F27" s="461">
        <v>30</v>
      </c>
      <c r="G27" s="460">
        <f>Elect!O28</f>
        <v>1801.7142857139697</v>
      </c>
      <c r="H27" s="461">
        <v>1009</v>
      </c>
      <c r="I27" s="460">
        <f>Water!C29</f>
        <v>127.6</v>
      </c>
      <c r="J27" s="461">
        <v>0</v>
      </c>
      <c r="K27" s="460">
        <f>Water!E29</f>
        <v>168.2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295.79999999999995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171.56399999999996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390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125</v>
      </c>
      <c r="AU27" s="460">
        <f>Elect!BP28</f>
        <v>101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525017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1.2223140495867766</v>
      </c>
      <c r="BN27" s="477" t="e">
        <f>Water!W29</f>
        <v>#DIV/0!</v>
      </c>
      <c r="BO27" s="472">
        <f>Water!X29</f>
        <v>1183.1999999999998</v>
      </c>
      <c r="BP27" s="477">
        <f>Water!Y29</f>
        <v>4.8892561983471063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7453</v>
      </c>
      <c r="D28" s="461">
        <v>0</v>
      </c>
      <c r="E28" s="460">
        <f>Elect!M29</f>
        <v>2459.9000000000233</v>
      </c>
      <c r="F28" s="461">
        <v>20</v>
      </c>
      <c r="G28" s="460">
        <f>Elect!O29</f>
        <v>1798.6761904759333</v>
      </c>
      <c r="H28" s="461">
        <v>891</v>
      </c>
      <c r="I28" s="460">
        <f>Water!C30</f>
        <v>139.19999999999999</v>
      </c>
      <c r="J28" s="461">
        <v>0</v>
      </c>
      <c r="K28" s="460">
        <f>Water!E30</f>
        <v>179.79999999999998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319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185.01999999999998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390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139</v>
      </c>
      <c r="AU28" s="460">
        <f>Elect!BP29</f>
        <v>129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525156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1.3809523809523809</v>
      </c>
      <c r="BN28" s="477" t="e">
        <f>Water!W30</f>
        <v>#DIV/0!</v>
      </c>
      <c r="BO28" s="472">
        <f>Water!X30</f>
        <v>1276</v>
      </c>
      <c r="BP28" s="477">
        <f>Water!Y30</f>
        <v>5.5238095238095237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7150</v>
      </c>
      <c r="D29" s="461">
        <v>0</v>
      </c>
      <c r="E29" s="460">
        <f>Elect!M30</f>
        <v>2582.0999999999767</v>
      </c>
      <c r="F29" s="461">
        <v>20</v>
      </c>
      <c r="G29" s="460">
        <f>Elect!O30</f>
        <v>2042.7523809530539</v>
      </c>
      <c r="H29" s="461">
        <v>1008</v>
      </c>
      <c r="I29" s="460">
        <f>Water!C31</f>
        <v>162.39999999999998</v>
      </c>
      <c r="J29" s="461">
        <v>0</v>
      </c>
      <c r="K29" s="460">
        <f>Water!E31</f>
        <v>203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365.4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211.93199999999996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432.9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138</v>
      </c>
      <c r="AU29" s="460">
        <f>Elect!BP30</f>
        <v>135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525294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1.5483050847457627</v>
      </c>
      <c r="BN29" s="477" t="e">
        <f>Water!W31</f>
        <v>#DIV/0!</v>
      </c>
      <c r="BO29" s="472">
        <f>Water!X31</f>
        <v>1461.6</v>
      </c>
      <c r="BP29" s="477">
        <f>Water!Y31</f>
        <v>6.1932203389830507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6992</v>
      </c>
      <c r="D30" s="461">
        <v>0</v>
      </c>
      <c r="E30" s="460">
        <f>Elect!M31</f>
        <v>2451</v>
      </c>
      <c r="F30" s="461">
        <v>20</v>
      </c>
      <c r="G30" s="460">
        <f>Elect!O31</f>
        <v>1876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168.2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351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139</v>
      </c>
      <c r="AU30" s="460">
        <f>Elect!BP31</f>
        <v>139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525433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1.2033195020746887</v>
      </c>
      <c r="BN30" s="477" t="e">
        <f>Water!W32</f>
        <v>#DIV/0!</v>
      </c>
      <c r="BO30" s="472">
        <f>Water!X32</f>
        <v>1160</v>
      </c>
      <c r="BP30" s="477">
        <f>Water!Y32</f>
        <v>4.813278008298755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6423</v>
      </c>
      <c r="D31" s="461">
        <v>0</v>
      </c>
      <c r="E31" s="460">
        <f>Elect!M32</f>
        <v>2165</v>
      </c>
      <c r="F31" s="461">
        <v>30</v>
      </c>
      <c r="G31" s="460">
        <f>Elect!O32</f>
        <v>1663</v>
      </c>
      <c r="H31" s="461">
        <v>1010</v>
      </c>
      <c r="I31" s="460">
        <f>Water!C33</f>
        <v>150.79999999999998</v>
      </c>
      <c r="J31" s="461">
        <v>0</v>
      </c>
      <c r="K31" s="460">
        <f>Water!E33</f>
        <v>191.39999999999998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342.19999999999993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198.47599999999994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358.8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144</v>
      </c>
      <c r="AU31" s="460">
        <f>Elect!BP32</f>
        <v>133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525577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1.4749999999999996</v>
      </c>
      <c r="BN31" s="477" t="e">
        <f>Water!W33</f>
        <v>#DIV/0!</v>
      </c>
      <c r="BO31" s="472">
        <f>Water!X33</f>
        <v>1368.7999999999997</v>
      </c>
      <c r="BP31" s="477">
        <f>Water!Y33</f>
        <v>5.8999999999999986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6997</v>
      </c>
      <c r="D32" s="482">
        <v>0</v>
      </c>
      <c r="E32" s="481">
        <f>Elect!M33</f>
        <v>2488</v>
      </c>
      <c r="F32" s="482">
        <v>20</v>
      </c>
      <c r="G32" s="481">
        <f>Elect!O33</f>
        <v>2000</v>
      </c>
      <c r="H32" s="482">
        <v>1008</v>
      </c>
      <c r="I32" s="481">
        <f>Water!C34</f>
        <v>156.6</v>
      </c>
      <c r="J32" s="482">
        <v>0</v>
      </c>
      <c r="K32" s="481">
        <f>Water!E34</f>
        <v>203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359.6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208.56800000000001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561.6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142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525716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1.7801980198019802</v>
      </c>
      <c r="BN32" s="498" t="e">
        <f>Water!W34</f>
        <v>#DIV/0!</v>
      </c>
      <c r="BO32" s="493">
        <f>Water!X34</f>
        <v>1438.4</v>
      </c>
      <c r="BP32" s="498">
        <f>Water!Y34</f>
        <v>7.1207920792079209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6457</v>
      </c>
      <c r="D33" s="502">
        <v>0</v>
      </c>
      <c r="E33" s="501">
        <f>Elect!M34</f>
        <v>2174</v>
      </c>
      <c r="F33" s="502">
        <v>600</v>
      </c>
      <c r="G33" s="501">
        <f>Elect!O34</f>
        <v>1911</v>
      </c>
      <c r="H33" s="502">
        <v>24543</v>
      </c>
      <c r="I33" s="501">
        <f>Water!C38</f>
        <v>4135.3999999999996</v>
      </c>
      <c r="J33" s="502">
        <v>0</v>
      </c>
      <c r="K33" s="501">
        <f>Water!E39</f>
        <v>181.53999999999996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10164.5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5380.7179999999989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12347.4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137</v>
      </c>
      <c r="AU33" s="506">
        <f>Elect!BP34</f>
        <v>126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525853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1.487560368798478</v>
      </c>
      <c r="BN33" s="518" t="e">
        <f>Water!W38</f>
        <v>#DIV/0!</v>
      </c>
      <c r="BO33" s="513">
        <f>Water!X38</f>
        <v>39312.400000000001</v>
      </c>
      <c r="BP33" s="518">
        <f>Water!Y38</f>
        <v>5.7533147958436999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5615</v>
      </c>
      <c r="D34" s="502">
        <v>0</v>
      </c>
      <c r="E34" s="501">
        <f>Elect!M35</f>
        <v>1990</v>
      </c>
      <c r="F34" s="502">
        <v>21.428571428571427</v>
      </c>
      <c r="G34" s="501">
        <f>Elect!O35</f>
        <v>1705</v>
      </c>
      <c r="H34" s="502">
        <v>876.53571428571433</v>
      </c>
      <c r="I34" s="501">
        <f>Water!C39</f>
        <v>137.84666666666666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338.81666666666666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179.35726666666662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147</v>
      </c>
      <c r="AU34" s="506">
        <f>Elect!BP35</f>
        <v>120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526000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1.487560368798478</v>
      </c>
      <c r="BN34" s="518" t="e">
        <f>Water!W39</f>
        <v>#DIV/0!</v>
      </c>
      <c r="BO34" s="513">
        <f>Water!X39</f>
        <v>1310.4133333333334</v>
      </c>
      <c r="BP34" s="518">
        <f>Water!Y39</f>
        <v>5.7533147958436999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521809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09375" defaultRowHeight="13.2"/>
  <sheetData>
    <row r="2" spans="1:10" ht="17.399999999999999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6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8" t="s">
        <v>193</v>
      </c>
      <c r="B4" s="888"/>
      <c r="C4" s="888"/>
      <c r="D4" s="888"/>
      <c r="E4" s="888"/>
      <c r="F4" s="888"/>
      <c r="G4" s="108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8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8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6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6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6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3.2"/>
  <cols>
    <col min="1" max="1" width="27.88671875" customWidth="1"/>
    <col min="2" max="2" width="4.33203125" style="97" customWidth="1"/>
    <col min="3" max="3" width="10.5546875" style="97" customWidth="1"/>
    <col min="4" max="4" width="9.6640625" hidden="1" customWidth="1"/>
    <col min="5" max="5" width="13.88671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9"/>
      <c r="B3" s="891" t="str">
        <f>Elect!A1</f>
        <v>March</v>
      </c>
      <c r="C3" s="892"/>
      <c r="D3" s="892"/>
      <c r="E3" s="893"/>
    </row>
    <row r="4" spans="1:5" ht="14.25" customHeight="1" thickBot="1">
      <c r="A4" s="890"/>
      <c r="B4" s="894" t="s">
        <v>12</v>
      </c>
      <c r="C4" s="895"/>
      <c r="D4" s="896" t="s">
        <v>206</v>
      </c>
      <c r="E4" s="897"/>
    </row>
    <row r="5" spans="1:5" ht="13.8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3.8" thickBot="1">
      <c r="A6" s="116" t="s">
        <v>208</v>
      </c>
      <c r="B6" s="38"/>
      <c r="C6" s="39"/>
      <c r="D6" s="40"/>
      <c r="E6" s="41"/>
    </row>
    <row r="7" spans="1:5" ht="13.8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8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8" thickBot="1">
      <c r="A10" s="119" t="s">
        <v>213</v>
      </c>
      <c r="B10" s="76"/>
      <c r="C10" s="361"/>
      <c r="D10" s="48"/>
      <c r="E10" s="47"/>
    </row>
    <row r="11" spans="1:5" ht="13.8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8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8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8" thickBot="1">
      <c r="A15" s="118" t="s">
        <v>218</v>
      </c>
      <c r="B15" s="44"/>
      <c r="C15" s="54" t="s">
        <v>210</v>
      </c>
      <c r="D15" s="58"/>
      <c r="E15" s="59"/>
    </row>
    <row r="16" spans="1:5" ht="13.8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8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8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6457</v>
      </c>
      <c r="D25" s="55">
        <v>12266</v>
      </c>
      <c r="E25" s="66">
        <v>814</v>
      </c>
    </row>
    <row r="26" spans="1:5" ht="13.8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8" thickBot="1">
      <c r="A27" s="124" t="s">
        <v>230</v>
      </c>
      <c r="B27" s="44"/>
      <c r="C27" s="69">
        <f>Water!H38</f>
        <v>10164.5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8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8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8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8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8" thickBot="1">
      <c r="A34" s="124" t="s">
        <v>237</v>
      </c>
      <c r="B34" s="44"/>
      <c r="C34" s="69">
        <f>YTD!Q5</f>
        <v>0</v>
      </c>
      <c r="D34" s="74"/>
      <c r="E34" s="75"/>
    </row>
    <row r="35" spans="1:6" ht="13.8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8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8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8" thickBot="1">
      <c r="A43" s="129" t="s">
        <v>246</v>
      </c>
      <c r="B43" s="130"/>
      <c r="C43" s="64">
        <f>Water!X38</f>
        <v>39312.400000000001</v>
      </c>
      <c r="D43" s="58">
        <v>112</v>
      </c>
      <c r="E43" s="66">
        <v>97.529999999999944</v>
      </c>
    </row>
    <row r="44" spans="1:6" ht="13.8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8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8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8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8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8" thickBot="1">
      <c r="A52" s="224" t="s">
        <v>254</v>
      </c>
      <c r="B52" s="131"/>
      <c r="C52" s="54">
        <v>75064</v>
      </c>
      <c r="D52" s="61"/>
      <c r="E52" s="62"/>
    </row>
    <row r="53" spans="1:6" ht="13.8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8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8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8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8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09375" defaultRowHeight="13.2" outlineLevelCol="1"/>
  <cols>
    <col min="1" max="1" width="27.44140625" style="215" customWidth="1"/>
    <col min="2" max="2" width="13.33203125" style="215" customWidth="1"/>
    <col min="3" max="7" width="11.6640625" style="216" customWidth="1" outlineLevel="1"/>
    <col min="8" max="8" width="12.33203125" style="216" customWidth="1" outlineLevel="1"/>
    <col min="9" max="9" width="12.44140625" style="216" customWidth="1" outlineLevel="1"/>
    <col min="10" max="10" width="12.109375" style="216" customWidth="1" outlineLevel="1"/>
    <col min="11" max="11" width="12.44140625" style="216" customWidth="1" outlineLevel="1"/>
    <col min="12" max="12" width="12.5546875" style="216" customWidth="1" outlineLevel="1"/>
    <col min="13" max="14" width="11.6640625" style="216" customWidth="1" outlineLevel="1"/>
    <col min="15" max="15" width="13.88671875" style="10" customWidth="1" outlineLevel="1" collapsed="1"/>
    <col min="16" max="16" width="13.33203125" style="10" customWidth="1" outlineLevel="1" collapsed="1"/>
    <col min="17" max="17" width="14.44140625" style="217" bestFit="1" customWidth="1"/>
    <col min="18" max="18" width="13.33203125" style="217" customWidth="1"/>
    <col min="19" max="19" width="19.33203125" style="217" customWidth="1"/>
    <col min="20" max="27" width="13.33203125" style="217" hidden="1" customWidth="1"/>
    <col min="28" max="108" width="0" style="217" hidden="1" customWidth="1"/>
    <col min="109" max="16384" width="9.109375" style="217"/>
  </cols>
  <sheetData>
    <row r="1" spans="1:110" ht="24" customHeight="1">
      <c r="A1" s="358" t="str">
        <f>Elect!A1</f>
        <v>March</v>
      </c>
      <c r="C1" s="775"/>
      <c r="D1" s="775"/>
      <c r="E1" s="775"/>
      <c r="F1" s="775"/>
      <c r="G1" s="775"/>
      <c r="H1" s="211" t="s">
        <v>260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2.8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2.8">
      <c r="A5" s="294" t="s">
        <v>277</v>
      </c>
      <c r="B5" s="296"/>
      <c r="C5" s="234">
        <v>25072</v>
      </c>
      <c r="D5" s="380">
        <f>Elect!BP34</f>
        <v>126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3.4" thickBot="1">
      <c r="A6" s="297" t="s">
        <v>278</v>
      </c>
      <c r="B6" s="298"/>
      <c r="C6" s="235">
        <v>50662</v>
      </c>
      <c r="D6" s="235">
        <f>Elect!BR34</f>
        <v>137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50799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2.8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2.8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2.8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3.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3.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2.8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3.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6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6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6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6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6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2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6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6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6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6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6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6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6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6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6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6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6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6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6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6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6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6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6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6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6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6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6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6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6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6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6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6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6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6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6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6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6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6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6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6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6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6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6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6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6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6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6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6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6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6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6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6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6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6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6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6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6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6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6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6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6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6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6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6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6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6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6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6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6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6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6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6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6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6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6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6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6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6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6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6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6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6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6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6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6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6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6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6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6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6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6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6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6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6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6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6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6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6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6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6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6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6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6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6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6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6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6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6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6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6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6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6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6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6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6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6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6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6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6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6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6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6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6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6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6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6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6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6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6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6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6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6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6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6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6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6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6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6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6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6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6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6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6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6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6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6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6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6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6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6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6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6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6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6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6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6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6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6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6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6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6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6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6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6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6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6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6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6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6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6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6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6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6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6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6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6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6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6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6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6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6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6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6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6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6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6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6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6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6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6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6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6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6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6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6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6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6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6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6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6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6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6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6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6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6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6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6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6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6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6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6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6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6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6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6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6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6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6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6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6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6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6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6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6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6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6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6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6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6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6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6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6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6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6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6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6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6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6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6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6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6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6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6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6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6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6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6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6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6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6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6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6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6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6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6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6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6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6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6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6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6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6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6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6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6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6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6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6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6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6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6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6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6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6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6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6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6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6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6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6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6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6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6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6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6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6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6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6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6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6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6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6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6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6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6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6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6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6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6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6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6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6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6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6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6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6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6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6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6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6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6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6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6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6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6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6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6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6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6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6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6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6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6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6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6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6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6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6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6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6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6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6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6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6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6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6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6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6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6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6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6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6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6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6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6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6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6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6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6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6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6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6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6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6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6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6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6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6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6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6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6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6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6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6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6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6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6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6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6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6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6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6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6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6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6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6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6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6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6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6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6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6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6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6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6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6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6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6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6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6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6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6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6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6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6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6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6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6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6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6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6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6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6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6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6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6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6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6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6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6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6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6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6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6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6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6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6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6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6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6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6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6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6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6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6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6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6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6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6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6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6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6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6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6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6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6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6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6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6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6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6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6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6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6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6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6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6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6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6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6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6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6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6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6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6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6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6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6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6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6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6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6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6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6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6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6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6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6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6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6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6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6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6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6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6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6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6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6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6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6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6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6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6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6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6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6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6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6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6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6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6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6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6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6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6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6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6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6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6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6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6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6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6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6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6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6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6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6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6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6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6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6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6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6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6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6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6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6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6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6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6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6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6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6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6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6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6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6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6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6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6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6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6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6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6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6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6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6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6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6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6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6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6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6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6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6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6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6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6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6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6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6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6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6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6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6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6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6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6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6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6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6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6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6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6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6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6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6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6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6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6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6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6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6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6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6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6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6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6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6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6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6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6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6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6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6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6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6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6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6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6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6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6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6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6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6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6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6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6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6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6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6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6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6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6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6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6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6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6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6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6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6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6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6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6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6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6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6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6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6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6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6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6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6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6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6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6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6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6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6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6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6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6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6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6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6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6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6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6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6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6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6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6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6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6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6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6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6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6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6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6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6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6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6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6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6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6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6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6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6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6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6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6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6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6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6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6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6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6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6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6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6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6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6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6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6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6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6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6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6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6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6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6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6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6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6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6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6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6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6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6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6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6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6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6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6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6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6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6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6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6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6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6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6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6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6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6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6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6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6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6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6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6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6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6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6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6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6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6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6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6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6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6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6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6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6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6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6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6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6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6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6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6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6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6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6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6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6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6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6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6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6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6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6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6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6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6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6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6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6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6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6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6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6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6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6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6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6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6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6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6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6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6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6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6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6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6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6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6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6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6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6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6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6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6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6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6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6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6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6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6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6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6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6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6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6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6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6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6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6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6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6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6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6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6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6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6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6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6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6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6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6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6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6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6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6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6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6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6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6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6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6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6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6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6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6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6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6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6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6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6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6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6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6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6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6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6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6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6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6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6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6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6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6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6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6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6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6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6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6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6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6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6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6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6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6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6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6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6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6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6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6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6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6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6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6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6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6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6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6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6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6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6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6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6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6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6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6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6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6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6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6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6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6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6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6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6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6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6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6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6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6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6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6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6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6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6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6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6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6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6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6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6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6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6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6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6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6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6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6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6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6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6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6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6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6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6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6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6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6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6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6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6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6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6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6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6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6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6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6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6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6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6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6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6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6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6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6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6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6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6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6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6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6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6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6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6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6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6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6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6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6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6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6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6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6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6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6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6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6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6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6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6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6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6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6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6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6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6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6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6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6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6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6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6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6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6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6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6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6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6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6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6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6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6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6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6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6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6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6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6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6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6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6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6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6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6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6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6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6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6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6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6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6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6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6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6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6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6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6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6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6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6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6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6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6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6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6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6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6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6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6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6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6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6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6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6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6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6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6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6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6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6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6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6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6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6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6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6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6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6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6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6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6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6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6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6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6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6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6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6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6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6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6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6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6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6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6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6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6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6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6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6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6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6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6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6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6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6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6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6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6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6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6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6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6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6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6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6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6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6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6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6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6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6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6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6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6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6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6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6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6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6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6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6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6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6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6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6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6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6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6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6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6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6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6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6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6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6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6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6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6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6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6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6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6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6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6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6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6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6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6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6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6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6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6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6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6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6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6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6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6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6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6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6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6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6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6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6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6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6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6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6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6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6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6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6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6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6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6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6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6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6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6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6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6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6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6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6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6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6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6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6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6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6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6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6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6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6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6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6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6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6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6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6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6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6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6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6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6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6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6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6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6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6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6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6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6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6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6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6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6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6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6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6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6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6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6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6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6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6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6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6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6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6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6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6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6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6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6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6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6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6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6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6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6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6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6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6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6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6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6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6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6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6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6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6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6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6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6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6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6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6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6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6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6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6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6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6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6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6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6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6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6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6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6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6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6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6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6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6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6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6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6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6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6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6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6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6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6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6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6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6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6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6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6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6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6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6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6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6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6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6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6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6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6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6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6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6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6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6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6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6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6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6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6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6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6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6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6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6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6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6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6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6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6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6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6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6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6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6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6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6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6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6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6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6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6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6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6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6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6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6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6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6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6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6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6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6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6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6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6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6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6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6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6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6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6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6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6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6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6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6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6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6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6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6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6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6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6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6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6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6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6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6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6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6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6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6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6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6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6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6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6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6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6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6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6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6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6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6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6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6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6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6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6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6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6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6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6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6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6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6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6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6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6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6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6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6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6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6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6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6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6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6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6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6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6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6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6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6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6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6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6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6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6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6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6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6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6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6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6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6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6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6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6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6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6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6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6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6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6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6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6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6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6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6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6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6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6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6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6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6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6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6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6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6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6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6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6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6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6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6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6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6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6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6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6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6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6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6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6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6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6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6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6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6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6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6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6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6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6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6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6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6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6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6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6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6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6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6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6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6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6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6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6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6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6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6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6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6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6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6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6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6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6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6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6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6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6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6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6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6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6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6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6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6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6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6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6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6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6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6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6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6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6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6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6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6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6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6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6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6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6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6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6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6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6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6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6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6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6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6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6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6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6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6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6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6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6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6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6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6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6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6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6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6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6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6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6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6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6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6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6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6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6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6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6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6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6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6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6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6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6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6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6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6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6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6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6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6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6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6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6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6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6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6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6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6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6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6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6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6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6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6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6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6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6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6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6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6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6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6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6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6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6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6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6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6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6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6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6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6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6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6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6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6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6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6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6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6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6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6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6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6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6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6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6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6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6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6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6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6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6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6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6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6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6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6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6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6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6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6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6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6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6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6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6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6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6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6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6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6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6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6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6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6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6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6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6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6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6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6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6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6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6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6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6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6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6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6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6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6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6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6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6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6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6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6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6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6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6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6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6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6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6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6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6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6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6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6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6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6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6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6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6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6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6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6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6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6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6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6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6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6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6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6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6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6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6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6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6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6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6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6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6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6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6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6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6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6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6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6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6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6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6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6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6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6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6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6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6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6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6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6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6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6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6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6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6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6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6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6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6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6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6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6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6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6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6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6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6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6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6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6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6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6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6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6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6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6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6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6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6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6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6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6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6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6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6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6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6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6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6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6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6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6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6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6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6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6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6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6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6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6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6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6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6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6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6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6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6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6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6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6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6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6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6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6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6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6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6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6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6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6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6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6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6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6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6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6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6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6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6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6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6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6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6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6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6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6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6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6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6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6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6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6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6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6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6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6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6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6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6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6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6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6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6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6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6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6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6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6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6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6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6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6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6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6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6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6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6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6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6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6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6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6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6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6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6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6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6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6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6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6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6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6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6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6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6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6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6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6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6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6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6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6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6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6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6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6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6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6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6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6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6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6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6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6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6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6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6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6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6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6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6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6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6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6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6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6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6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6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6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6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6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6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6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6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6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6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6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6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6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6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6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6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6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6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6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6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6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6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6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6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6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6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6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6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6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6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6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6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6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6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6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6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6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6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6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6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6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6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6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6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6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6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6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6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6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6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6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6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6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6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6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6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6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6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6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6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6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6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6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6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6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6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6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6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6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6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6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6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6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6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6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6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6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6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6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6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6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6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6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6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6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6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6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6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6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6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6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6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6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6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6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6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6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6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6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6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6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6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6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6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6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6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6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6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6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6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6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6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6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6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6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6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6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6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6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6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6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6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6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6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6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6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6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6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6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6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6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6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6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6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6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6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6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6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6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6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6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6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6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6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6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6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6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6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6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6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6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6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6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6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6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6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6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6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6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6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6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6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6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6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6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6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6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6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6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6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6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6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6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6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6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6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6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6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6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6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6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6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6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6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6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6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6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6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6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6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6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6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6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6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6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6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6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6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6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6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6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6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6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6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6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6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6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6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6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6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6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6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6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6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6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6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6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6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6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6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6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6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6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6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6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6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6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6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6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6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6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6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6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6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6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6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6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6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6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6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6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6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6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6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6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6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6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6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6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6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6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6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6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6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6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6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6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6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6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6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6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6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6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6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6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6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6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6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6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6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6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6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6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6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6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6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6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6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6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6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6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6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6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6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6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6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6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6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6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6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6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6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6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6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6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6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6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6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6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6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6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6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6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6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6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6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6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6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6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6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6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6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6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6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6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6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6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6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6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6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6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6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6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6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6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6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6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6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6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6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6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6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6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6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6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6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6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6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6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6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6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6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6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6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6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6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6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6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6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6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6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6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6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6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6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6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6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6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6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6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6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6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6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6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6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6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6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6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6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6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6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6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6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6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6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6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6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6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6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6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6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6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6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6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6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6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6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6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6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6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6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6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6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6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6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6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6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6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6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6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6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6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6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6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6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6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6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365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8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2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2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6">
      <c r="A2344" s="330" t="s">
        <v>346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368</v>
      </c>
      <c r="B2345" s="783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370</v>
      </c>
      <c r="B2346" s="783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371</v>
      </c>
      <c r="B2347" s="783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372</v>
      </c>
      <c r="B2348" s="783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6.8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6.8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8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373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8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2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2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6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368</v>
      </c>
      <c r="B2362" s="783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370</v>
      </c>
      <c r="B2363" s="783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371</v>
      </c>
      <c r="B2364" s="783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372</v>
      </c>
      <c r="B2365" s="783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6.8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6.8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8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C21" activePane="bottomRight" state="frozen"/>
      <selection pane="topRight" activeCell="G39" sqref="G39"/>
      <selection pane="bottomLeft" activeCell="G39" sqref="G39"/>
      <selection pane="bottomRight" activeCell="K38" sqref="K38"/>
    </sheetView>
  </sheetViews>
  <sheetFormatPr defaultColWidth="18.88671875" defaultRowHeight="60.75" customHeight="1"/>
  <cols>
    <col min="1" max="1" width="28.44140625" style="4" customWidth="1"/>
    <col min="2" max="2" width="27.109375" style="2" customWidth="1"/>
    <col min="3" max="3" width="13" style="2" customWidth="1"/>
    <col min="4" max="4" width="25" style="2" customWidth="1"/>
    <col min="5" max="5" width="13.44140625" style="2" customWidth="1"/>
    <col min="6" max="6" width="24.33203125" style="2" customWidth="1"/>
    <col min="7" max="7" width="12.6640625" style="2" customWidth="1"/>
    <col min="8" max="8" width="15.33203125" style="2" customWidth="1"/>
    <col min="9" max="9" width="23.88671875" style="2" customWidth="1"/>
    <col min="10" max="10" width="14.5546875" style="2" customWidth="1"/>
    <col min="11" max="11" width="30.44140625" style="2" customWidth="1"/>
    <col min="12" max="12" width="15.109375" style="2" customWidth="1"/>
    <col min="13" max="13" width="0.33203125" style="2" customWidth="1"/>
    <col min="14" max="14" width="21.33203125" style="2" customWidth="1"/>
    <col min="15" max="15" width="14.109375" style="2" customWidth="1"/>
    <col min="16" max="16" width="22.44140625" style="2" hidden="1" customWidth="1"/>
    <col min="17" max="17" width="13.88671875" style="2" customWidth="1"/>
    <col min="18" max="18" width="22.6640625" style="2" customWidth="1"/>
    <col min="19" max="19" width="14.5546875" style="2" customWidth="1"/>
    <col min="20" max="20" width="16.33203125" style="2" customWidth="1"/>
    <col min="21" max="21" width="25.88671875" style="2" bestFit="1" customWidth="1"/>
    <col min="22" max="22" width="15" style="2" customWidth="1"/>
    <col min="23" max="23" width="24.33203125" style="2" customWidth="1"/>
    <col min="24" max="24" width="21.33203125" style="353" bestFit="1" customWidth="1"/>
    <col min="25" max="25" width="12.88671875" style="2" customWidth="1"/>
    <col min="26" max="26" width="14" style="2" customWidth="1"/>
    <col min="27" max="16384" width="18.88671875" style="2"/>
  </cols>
  <sheetData>
    <row r="1" spans="1:26" s="585" customFormat="1" ht="25.5" customHeight="1" thickBot="1">
      <c r="A1" s="909" t="str">
        <f>Elect!A1</f>
        <v>March</v>
      </c>
      <c r="B1" s="579"/>
      <c r="C1" s="580"/>
      <c r="D1" s="900"/>
      <c r="E1" s="900"/>
      <c r="F1" s="900"/>
      <c r="G1" s="900"/>
      <c r="H1" s="900"/>
      <c r="I1" s="900"/>
      <c r="J1" s="900"/>
      <c r="K1" s="900"/>
      <c r="L1" s="900"/>
      <c r="M1" s="900"/>
      <c r="N1" s="900"/>
      <c r="O1" s="581"/>
      <c r="P1" s="911"/>
      <c r="Q1" s="911"/>
      <c r="R1" s="911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10"/>
      <c r="B2" s="586"/>
      <c r="C2" s="580"/>
      <c r="O2" s="581"/>
      <c r="P2" s="912"/>
      <c r="Q2" s="912"/>
      <c r="R2" s="912"/>
    </row>
    <row r="3" spans="1:26" s="3" customFormat="1" ht="42" customHeight="1" thickBot="1">
      <c r="A3" s="901" t="s">
        <v>1</v>
      </c>
      <c r="B3" s="587"/>
      <c r="C3" s="588"/>
      <c r="D3" s="588"/>
      <c r="E3" s="589" t="s">
        <v>140</v>
      </c>
      <c r="F3" s="588"/>
      <c r="G3" s="588"/>
      <c r="H3" s="590"/>
      <c r="I3" s="931" t="s">
        <v>376</v>
      </c>
      <c r="J3" s="932"/>
      <c r="K3" s="932"/>
      <c r="L3" s="932"/>
      <c r="M3" s="933"/>
      <c r="N3" s="923" t="s">
        <v>377</v>
      </c>
      <c r="O3" s="924"/>
      <c r="P3" s="904" t="s">
        <v>378</v>
      </c>
      <c r="Q3" s="904"/>
      <c r="R3" s="904" t="s">
        <v>379</v>
      </c>
      <c r="S3" s="904"/>
      <c r="T3" s="919" t="s">
        <v>178</v>
      </c>
      <c r="U3" s="915" t="s">
        <v>180</v>
      </c>
      <c r="V3" s="915" t="s">
        <v>179</v>
      </c>
      <c r="W3" s="915" t="s">
        <v>181</v>
      </c>
      <c r="X3" s="916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02"/>
      <c r="B4" s="925" t="s">
        <v>380</v>
      </c>
      <c r="C4" s="926"/>
      <c r="D4" s="927" t="s">
        <v>381</v>
      </c>
      <c r="E4" s="928"/>
      <c r="F4" s="927" t="s">
        <v>382</v>
      </c>
      <c r="G4" s="928"/>
      <c r="H4" s="907" t="s">
        <v>163</v>
      </c>
      <c r="I4" s="929" t="s">
        <v>383</v>
      </c>
      <c r="J4" s="930"/>
      <c r="K4" s="929" t="s">
        <v>384</v>
      </c>
      <c r="L4" s="930"/>
      <c r="M4" s="793"/>
      <c r="N4" s="907" t="s">
        <v>385</v>
      </c>
      <c r="O4" s="907" t="s">
        <v>386</v>
      </c>
      <c r="P4" s="905" t="s">
        <v>387</v>
      </c>
      <c r="Q4" s="905" t="s">
        <v>175</v>
      </c>
      <c r="R4" s="905" t="s">
        <v>387</v>
      </c>
      <c r="S4" s="905" t="s">
        <v>175</v>
      </c>
      <c r="T4" s="920"/>
      <c r="U4" s="905"/>
      <c r="V4" s="905"/>
      <c r="W4" s="905"/>
      <c r="X4" s="917"/>
      <c r="Y4" s="913" t="s">
        <v>118</v>
      </c>
      <c r="Z4" s="898" t="s">
        <v>119</v>
      </c>
    </row>
    <row r="5" spans="1:26" s="3" customFormat="1" ht="48.75" customHeight="1" thickBot="1">
      <c r="A5" s="903"/>
      <c r="B5" s="593" t="s">
        <v>388</v>
      </c>
      <c r="C5" s="792" t="s">
        <v>389</v>
      </c>
      <c r="D5" s="594" t="s">
        <v>388</v>
      </c>
      <c r="E5" s="792" t="s">
        <v>389</v>
      </c>
      <c r="F5" s="594" t="s">
        <v>388</v>
      </c>
      <c r="G5" s="792" t="s">
        <v>389</v>
      </c>
      <c r="H5" s="908"/>
      <c r="I5" s="726" t="s">
        <v>388</v>
      </c>
      <c r="J5" s="727"/>
      <c r="K5" s="726" t="s">
        <v>388</v>
      </c>
      <c r="L5" s="727"/>
      <c r="M5" s="725"/>
      <c r="N5" s="906"/>
      <c r="O5" s="906"/>
      <c r="P5" s="906"/>
      <c r="Q5" s="906"/>
      <c r="R5" s="906"/>
      <c r="S5" s="906"/>
      <c r="T5" s="921"/>
      <c r="U5" s="906"/>
      <c r="V5" s="906"/>
      <c r="W5" s="906"/>
      <c r="X5" s="918"/>
      <c r="Y5" s="914"/>
      <c r="Z5" s="899"/>
    </row>
    <row r="6" spans="1:26" s="3" customFormat="1" ht="36.75" customHeight="1">
      <c r="A6" s="595"/>
      <c r="B6" s="768">
        <v>83825</v>
      </c>
      <c r="C6" s="636">
        <f t="shared" ref="C6:C37" si="0">IF(B6&gt;=B5,B6-B5,0)*10*0.58</f>
        <v>0</v>
      </c>
      <c r="D6" s="771">
        <v>5138</v>
      </c>
      <c r="E6" s="636">
        <f t="shared" ref="E6:E37" si="1">IF(D6&gt;=D5,D6-D5,0)*10*0.58</f>
        <v>0</v>
      </c>
      <c r="F6" s="767">
        <v>29172</v>
      </c>
      <c r="G6" s="636">
        <f>IF(F6&gt;=F5,F6-F5,0)*0.58</f>
        <v>0</v>
      </c>
      <c r="H6" s="708"/>
      <c r="I6" s="767">
        <v>252</v>
      </c>
      <c r="J6" s="724"/>
      <c r="K6" s="767">
        <v>4355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83850</v>
      </c>
      <c r="C7" s="636">
        <f t="shared" si="0"/>
        <v>145</v>
      </c>
      <c r="D7" s="771">
        <v>5172</v>
      </c>
      <c r="E7" s="636">
        <f t="shared" si="1"/>
        <v>197.2</v>
      </c>
      <c r="F7" s="767">
        <v>29173</v>
      </c>
      <c r="G7" s="636">
        <f t="shared" ref="G7:G37" si="2">IF(F7&gt;=F6,F7-F6,0)*0.58</f>
        <v>0.57999999999999996</v>
      </c>
      <c r="H7" s="636">
        <f t="shared" ref="H7:H37" si="3">C7+E7+G7</f>
        <v>342.78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198.81239999999997</v>
      </c>
      <c r="R7" s="109"/>
      <c r="S7" s="436">
        <f>IF(R7-R6&gt;0,R7-R6,0)</f>
        <v>0</v>
      </c>
      <c r="T7" s="706">
        <f>Elect!BT6</f>
        <v>230</v>
      </c>
      <c r="U7" s="604">
        <f>H7/T7</f>
        <v>1.4903478260869565</v>
      </c>
      <c r="V7" s="706">
        <f>Elect!BV6</f>
        <v>0</v>
      </c>
      <c r="W7" s="604" t="e">
        <f>H7/V7</f>
        <v>#DIV/0!</v>
      </c>
      <c r="X7" s="429">
        <f>H7*V1</f>
        <v>1371.12</v>
      </c>
      <c r="Y7" s="604">
        <f>IF(X7&gt;0,X7/T7,0)</f>
        <v>5.9613913043478259</v>
      </c>
      <c r="Z7" s="607">
        <v>0</v>
      </c>
    </row>
    <row r="8" spans="1:26" s="3" customFormat="1" ht="36.75" customHeight="1">
      <c r="A8" s="595">
        <v>2</v>
      </c>
      <c r="B8" s="768">
        <v>83876</v>
      </c>
      <c r="C8" s="636">
        <f t="shared" si="0"/>
        <v>150.79999999999998</v>
      </c>
      <c r="D8" s="771">
        <v>5206</v>
      </c>
      <c r="E8" s="636">
        <f t="shared" si="1"/>
        <v>197.2</v>
      </c>
      <c r="F8" s="767">
        <v>29173</v>
      </c>
      <c r="G8" s="636">
        <f t="shared" si="2"/>
        <v>0</v>
      </c>
      <c r="H8" s="636">
        <f t="shared" si="3"/>
        <v>348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201.83999999999997</v>
      </c>
      <c r="R8" s="109"/>
      <c r="S8" s="436">
        <f t="shared" ref="S8:S37" si="6">IF(R8-R7&gt;0,R8-R7,0)</f>
        <v>0</v>
      </c>
      <c r="T8" s="706">
        <f>Elect!BT7</f>
        <v>217</v>
      </c>
      <c r="U8" s="604">
        <f t="shared" ref="U8:U37" si="7">H8/T8</f>
        <v>1.6036866359447004</v>
      </c>
      <c r="V8" s="706">
        <f>Elect!BV7</f>
        <v>0</v>
      </c>
      <c r="W8" s="604" t="e">
        <f t="shared" ref="W8:W37" si="8">H8/V8</f>
        <v>#DIV/0!</v>
      </c>
      <c r="X8" s="429">
        <f>H8*V1</f>
        <v>1392</v>
      </c>
      <c r="Y8" s="604">
        <f>IF(X8&gt;0,X8/T8,0)</f>
        <v>6.4147465437788016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83902</v>
      </c>
      <c r="C9" s="636">
        <f t="shared" si="0"/>
        <v>150.79999999999998</v>
      </c>
      <c r="D9" s="771">
        <v>5240</v>
      </c>
      <c r="E9" s="636">
        <f t="shared" si="1"/>
        <v>197.2</v>
      </c>
      <c r="F9" s="767">
        <v>29173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256</v>
      </c>
      <c r="U9" s="604">
        <f t="shared" si="7"/>
        <v>1.359375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5.4375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83933</v>
      </c>
      <c r="C10" s="636">
        <f t="shared" si="0"/>
        <v>179.79999999999998</v>
      </c>
      <c r="D10" s="771">
        <v>5281</v>
      </c>
      <c r="E10" s="636">
        <f t="shared" si="1"/>
        <v>237.79999999999998</v>
      </c>
      <c r="F10" s="767">
        <v>29058</v>
      </c>
      <c r="G10" s="636">
        <f t="shared" si="2"/>
        <v>0</v>
      </c>
      <c r="H10" s="636">
        <f t="shared" si="3"/>
        <v>417.59999999999997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242.20799999999997</v>
      </c>
      <c r="R10" s="109"/>
      <c r="S10" s="436">
        <f t="shared" si="6"/>
        <v>0</v>
      </c>
      <c r="T10" s="706">
        <f>Elect!BT9</f>
        <v>237</v>
      </c>
      <c r="U10" s="604">
        <f t="shared" si="7"/>
        <v>1.762025316455696</v>
      </c>
      <c r="V10" s="706">
        <f>Elect!BV9</f>
        <v>0</v>
      </c>
      <c r="W10" s="604" t="e">
        <f t="shared" si="8"/>
        <v>#DIV/0!</v>
      </c>
      <c r="X10" s="429">
        <f>H10*V1</f>
        <v>1670.3999999999999</v>
      </c>
      <c r="Y10" s="604">
        <f t="shared" si="9"/>
        <v>7.0481012658227842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83952</v>
      </c>
      <c r="C11" s="636">
        <f t="shared" si="0"/>
        <v>110.19999999999999</v>
      </c>
      <c r="D11" s="771">
        <v>5306</v>
      </c>
      <c r="E11" s="636">
        <f t="shared" si="1"/>
        <v>145</v>
      </c>
      <c r="F11" s="767">
        <v>29259</v>
      </c>
      <c r="G11" s="636">
        <f t="shared" si="2"/>
        <v>116.58</v>
      </c>
      <c r="H11" s="636">
        <f t="shared" si="3"/>
        <v>371.78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215.63239999999996</v>
      </c>
      <c r="R11" s="109"/>
      <c r="S11" s="436">
        <f t="shared" si="6"/>
        <v>0</v>
      </c>
      <c r="T11" s="706">
        <f>Elect!BT10</f>
        <v>245</v>
      </c>
      <c r="U11" s="604">
        <f t="shared" si="7"/>
        <v>1.517469387755102</v>
      </c>
      <c r="V11" s="706">
        <f>Elect!BV10</f>
        <v>0</v>
      </c>
      <c r="W11" s="604" t="e">
        <f t="shared" si="8"/>
        <v>#DIV/0!</v>
      </c>
      <c r="X11" s="429">
        <f>H11*V1</f>
        <v>1487.12</v>
      </c>
      <c r="Y11" s="604">
        <f t="shared" si="9"/>
        <v>6.0698775510204079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83971</v>
      </c>
      <c r="C12" s="636">
        <f t="shared" si="0"/>
        <v>110.19999999999999</v>
      </c>
      <c r="D12" s="771">
        <v>5331</v>
      </c>
      <c r="E12" s="636">
        <f t="shared" si="1"/>
        <v>145</v>
      </c>
      <c r="F12" s="767">
        <v>29460</v>
      </c>
      <c r="G12" s="636">
        <f t="shared" si="2"/>
        <v>116.58</v>
      </c>
      <c r="H12" s="636">
        <f t="shared" si="3"/>
        <v>371.78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215.63239999999996</v>
      </c>
      <c r="R12" s="109"/>
      <c r="S12" s="436">
        <f t="shared" si="6"/>
        <v>0</v>
      </c>
      <c r="T12" s="706">
        <f>Elect!BT11</f>
        <v>200</v>
      </c>
      <c r="U12" s="604">
        <f t="shared" si="7"/>
        <v>1.8588999999999998</v>
      </c>
      <c r="V12" s="706">
        <f>Elect!BV11</f>
        <v>0</v>
      </c>
      <c r="W12" s="604" t="e">
        <f t="shared" si="8"/>
        <v>#DIV/0!</v>
      </c>
      <c r="X12" s="429">
        <f>H12*V1</f>
        <v>1487.12</v>
      </c>
      <c r="Y12" s="604">
        <f t="shared" si="9"/>
        <v>7.4355999999999991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83988</v>
      </c>
      <c r="C13" s="636">
        <f t="shared" si="0"/>
        <v>98.6</v>
      </c>
      <c r="D13" s="771">
        <v>5353</v>
      </c>
      <c r="E13" s="636">
        <f t="shared" si="1"/>
        <v>127.6</v>
      </c>
      <c r="F13" s="767">
        <v>29660</v>
      </c>
      <c r="G13" s="636">
        <f t="shared" si="2"/>
        <v>115.99999999999999</v>
      </c>
      <c r="H13" s="636">
        <f t="shared" si="3"/>
        <v>342.2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198.47599999999997</v>
      </c>
      <c r="R13" s="109"/>
      <c r="S13" s="436">
        <f t="shared" si="6"/>
        <v>0</v>
      </c>
      <c r="T13" s="706">
        <f>Elect!BT12</f>
        <v>184</v>
      </c>
      <c r="U13" s="604">
        <f t="shared" si="7"/>
        <v>1.8597826086956522</v>
      </c>
      <c r="V13" s="706">
        <f>Elect!BV12</f>
        <v>0</v>
      </c>
      <c r="W13" s="604" t="e">
        <f t="shared" si="8"/>
        <v>#DIV/0!</v>
      </c>
      <c r="X13" s="429">
        <f>H13*V1</f>
        <v>1368.8</v>
      </c>
      <c r="Y13" s="604">
        <f t="shared" si="9"/>
        <v>7.4391304347826086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84006</v>
      </c>
      <c r="C14" s="636">
        <f>IF(B14&gt;=B13,B14-B13,0)*10*0.58</f>
        <v>104.39999999999999</v>
      </c>
      <c r="D14" s="771">
        <v>5376</v>
      </c>
      <c r="E14" s="636">
        <f t="shared" si="1"/>
        <v>133.39999999999998</v>
      </c>
      <c r="F14" s="767">
        <v>29861</v>
      </c>
      <c r="G14" s="636">
        <f t="shared" si="2"/>
        <v>116.58</v>
      </c>
      <c r="H14" s="636">
        <f t="shared" si="3"/>
        <v>354.37999999999994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205.54039999999995</v>
      </c>
      <c r="R14" s="109"/>
      <c r="S14" s="436">
        <f t="shared" si="6"/>
        <v>0</v>
      </c>
      <c r="T14" s="706">
        <f>Elect!BT13</f>
        <v>155</v>
      </c>
      <c r="U14" s="604">
        <f t="shared" si="7"/>
        <v>2.286322580645161</v>
      </c>
      <c r="V14" s="706">
        <f>Elect!BV13</f>
        <v>0</v>
      </c>
      <c r="W14" s="604" t="e">
        <f t="shared" si="8"/>
        <v>#DIV/0!</v>
      </c>
      <c r="X14" s="429">
        <f>H14*V1</f>
        <v>1417.5199999999998</v>
      </c>
      <c r="Y14" s="604">
        <f t="shared" si="9"/>
        <v>9.1452903225806441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84024</v>
      </c>
      <c r="C15" s="636">
        <f>IF(B15&gt;=B14,B15-B14,0)*10*0.58</f>
        <v>104.39999999999999</v>
      </c>
      <c r="D15" s="771">
        <v>5399</v>
      </c>
      <c r="E15" s="636">
        <f t="shared" si="1"/>
        <v>133.39999999999998</v>
      </c>
      <c r="F15" s="767">
        <v>29861</v>
      </c>
      <c r="G15" s="636">
        <f t="shared" si="2"/>
        <v>0</v>
      </c>
      <c r="H15" s="636">
        <f t="shared" si="3"/>
        <v>237.79999999999995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137.92399999999998</v>
      </c>
      <c r="R15" s="109"/>
      <c r="S15" s="436">
        <f t="shared" si="6"/>
        <v>0</v>
      </c>
      <c r="T15" s="706">
        <f>Elect!BT14</f>
        <v>186</v>
      </c>
      <c r="U15" s="604">
        <f t="shared" si="7"/>
        <v>1.2784946236559138</v>
      </c>
      <c r="V15" s="706">
        <f>Elect!BV14</f>
        <v>0</v>
      </c>
      <c r="W15" s="604" t="e">
        <f t="shared" si="8"/>
        <v>#DIV/0!</v>
      </c>
      <c r="X15" s="429">
        <f>H15*V1</f>
        <v>951.19999999999982</v>
      </c>
      <c r="Y15" s="604">
        <f t="shared" si="9"/>
        <v>5.1139784946236553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84043</v>
      </c>
      <c r="C16" s="636">
        <f>IF(B16&gt;=B15,B16-B15,0)*10*0.58</f>
        <v>110.19999999999999</v>
      </c>
      <c r="D16" s="771">
        <v>5425</v>
      </c>
      <c r="E16" s="636">
        <f t="shared" si="1"/>
        <v>150.79999999999998</v>
      </c>
      <c r="F16" s="767">
        <v>30055</v>
      </c>
      <c r="G16" s="636">
        <f t="shared" si="2"/>
        <v>112.52</v>
      </c>
      <c r="H16" s="636">
        <f t="shared" si="3"/>
        <v>373.52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216.64159999999998</v>
      </c>
      <c r="R16" s="109"/>
      <c r="S16" s="436">
        <f t="shared" si="6"/>
        <v>0</v>
      </c>
      <c r="T16" s="706">
        <f>Elect!BT15</f>
        <v>239</v>
      </c>
      <c r="U16" s="604">
        <f t="shared" si="7"/>
        <v>1.5628451882845187</v>
      </c>
      <c r="V16" s="706">
        <f>Elect!BV15</f>
        <v>0</v>
      </c>
      <c r="W16" s="604" t="e">
        <f t="shared" si="8"/>
        <v>#DIV/0!</v>
      </c>
      <c r="X16" s="429">
        <f>H16*V1</f>
        <v>1494.08</v>
      </c>
      <c r="Y16" s="604">
        <f t="shared" si="9"/>
        <v>6.2513807531380747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84067</v>
      </c>
      <c r="C17" s="636">
        <f t="shared" si="0"/>
        <v>139.19999999999999</v>
      </c>
      <c r="D17" s="771">
        <v>5457</v>
      </c>
      <c r="E17" s="636">
        <f t="shared" si="1"/>
        <v>185.6</v>
      </c>
      <c r="F17" s="767">
        <v>30055</v>
      </c>
      <c r="G17" s="636">
        <f t="shared" si="2"/>
        <v>0</v>
      </c>
      <c r="H17" s="636">
        <f t="shared" si="3"/>
        <v>324.79999999999995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188.38399999999996</v>
      </c>
      <c r="R17" s="109"/>
      <c r="S17" s="436">
        <f t="shared" si="6"/>
        <v>0</v>
      </c>
      <c r="T17" s="706">
        <f>Elect!BT16</f>
        <v>239</v>
      </c>
      <c r="U17" s="604">
        <f t="shared" si="7"/>
        <v>1.3589958158995814</v>
      </c>
      <c r="V17" s="706">
        <f>Elect!BV16</f>
        <v>0</v>
      </c>
      <c r="W17" s="604" t="e">
        <f t="shared" si="8"/>
        <v>#DIV/0!</v>
      </c>
      <c r="X17" s="429">
        <f>H17*V1</f>
        <v>1299.1999999999998</v>
      </c>
      <c r="Y17" s="604">
        <f t="shared" si="9"/>
        <v>5.4359832635983256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84086.333333333299</v>
      </c>
      <c r="C18" s="636">
        <f t="shared" si="0"/>
        <v>112.13333333313639</v>
      </c>
      <c r="D18" s="771">
        <v>5483.6666666666697</v>
      </c>
      <c r="E18" s="636">
        <f t="shared" si="1"/>
        <v>154.66666666668425</v>
      </c>
      <c r="F18" s="767">
        <v>30055</v>
      </c>
      <c r="G18" s="636">
        <f t="shared" si="2"/>
        <v>0</v>
      </c>
      <c r="H18" s="636">
        <f t="shared" si="3"/>
        <v>266.79999999982067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154.74399999989598</v>
      </c>
      <c r="R18" s="109"/>
      <c r="S18" s="436">
        <f t="shared" si="6"/>
        <v>0</v>
      </c>
      <c r="T18" s="706">
        <f>Elect!BT17</f>
        <v>247</v>
      </c>
      <c r="U18" s="604">
        <f t="shared" si="7"/>
        <v>1.0801619433191121</v>
      </c>
      <c r="V18" s="706">
        <f>Elect!BV17</f>
        <v>0</v>
      </c>
      <c r="W18" s="604" t="e">
        <f t="shared" si="8"/>
        <v>#DIV/0!</v>
      </c>
      <c r="X18" s="429">
        <f>H18*V1</f>
        <v>1067.1999999992827</v>
      </c>
      <c r="Y18" s="604">
        <f t="shared" si="9"/>
        <v>4.3206477732764483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84115</v>
      </c>
      <c r="C19" s="636">
        <f t="shared" si="0"/>
        <v>166.26666666686359</v>
      </c>
      <c r="D19" s="771">
        <v>5521</v>
      </c>
      <c r="E19" s="636">
        <f t="shared" si="1"/>
        <v>216.53333333331574</v>
      </c>
      <c r="F19" s="767">
        <v>30055</v>
      </c>
      <c r="G19" s="636">
        <f t="shared" si="2"/>
        <v>0</v>
      </c>
      <c r="H19" s="636">
        <f t="shared" si="3"/>
        <v>382.80000000017935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222.024000000104</v>
      </c>
      <c r="R19" s="109"/>
      <c r="S19" s="436">
        <f t="shared" si="6"/>
        <v>0</v>
      </c>
      <c r="T19" s="706">
        <f>Elect!BT18</f>
        <v>244</v>
      </c>
      <c r="U19" s="604">
        <f t="shared" si="7"/>
        <v>1.5688524590171284</v>
      </c>
      <c r="V19" s="706">
        <f>Elect!BV18</f>
        <v>0</v>
      </c>
      <c r="W19" s="604" t="e">
        <f t="shared" si="8"/>
        <v>#DIV/0!</v>
      </c>
      <c r="X19" s="429">
        <f>H19*V1</f>
        <v>1531.2000000007174</v>
      </c>
      <c r="Y19" s="604">
        <f t="shared" si="9"/>
        <v>6.2754098360685138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84137</v>
      </c>
      <c r="C20" s="636">
        <f t="shared" si="0"/>
        <v>127.6</v>
      </c>
      <c r="D20" s="771">
        <v>5551</v>
      </c>
      <c r="E20" s="636">
        <f t="shared" si="1"/>
        <v>174</v>
      </c>
      <c r="F20" s="767">
        <v>30055</v>
      </c>
      <c r="G20" s="636">
        <f t="shared" si="2"/>
        <v>0</v>
      </c>
      <c r="H20" s="636">
        <f t="shared" si="3"/>
        <v>301.60000000000002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174.928</v>
      </c>
      <c r="R20" s="109"/>
      <c r="S20" s="436">
        <f t="shared" si="6"/>
        <v>0</v>
      </c>
      <c r="T20" s="706">
        <f>Elect!BT19</f>
        <v>254</v>
      </c>
      <c r="U20" s="604">
        <f t="shared" si="7"/>
        <v>1.1874015748031497</v>
      </c>
      <c r="V20" s="706">
        <f>Elect!BV19</f>
        <v>0</v>
      </c>
      <c r="W20" s="604" t="e">
        <f t="shared" si="8"/>
        <v>#DIV/0!</v>
      </c>
      <c r="X20" s="429">
        <f>H20*V1</f>
        <v>1206.4000000000001</v>
      </c>
      <c r="Y20" s="604">
        <f t="shared" si="9"/>
        <v>4.7496062992125987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84169</v>
      </c>
      <c r="C21" s="636">
        <f t="shared" si="0"/>
        <v>185.6</v>
      </c>
      <c r="D21" s="771">
        <v>5592</v>
      </c>
      <c r="E21" s="636">
        <f t="shared" si="1"/>
        <v>237.79999999999998</v>
      </c>
      <c r="F21" s="767">
        <v>30055</v>
      </c>
      <c r="G21" s="636">
        <f t="shared" si="2"/>
        <v>0</v>
      </c>
      <c r="H21" s="636">
        <f t="shared" si="3"/>
        <v>423.4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245.57199999999997</v>
      </c>
      <c r="R21" s="109"/>
      <c r="S21" s="436">
        <f t="shared" si="6"/>
        <v>0</v>
      </c>
      <c r="T21" s="706">
        <f>Elect!BT20</f>
        <v>248</v>
      </c>
      <c r="U21" s="604">
        <f t="shared" si="7"/>
        <v>1.707258064516129</v>
      </c>
      <c r="V21" s="706">
        <f>Elect!BV20</f>
        <v>0</v>
      </c>
      <c r="W21" s="604" t="e">
        <f t="shared" si="8"/>
        <v>#DIV/0!</v>
      </c>
      <c r="X21" s="429">
        <f>H21*V1</f>
        <v>1693.6</v>
      </c>
      <c r="Y21" s="604">
        <f t="shared" si="9"/>
        <v>6.8290322580645162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84183</v>
      </c>
      <c r="C22" s="636">
        <f t="shared" si="0"/>
        <v>81.199999999999989</v>
      </c>
      <c r="D22" s="771">
        <v>5610</v>
      </c>
      <c r="E22" s="636">
        <f t="shared" si="1"/>
        <v>104.39999999999999</v>
      </c>
      <c r="F22" s="767">
        <v>30055</v>
      </c>
      <c r="G22" s="636">
        <f t="shared" si="2"/>
        <v>0</v>
      </c>
      <c r="H22" s="636">
        <f t="shared" si="3"/>
        <v>185.59999999999997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107.64799999999997</v>
      </c>
      <c r="R22" s="109"/>
      <c r="S22" s="436">
        <f t="shared" si="6"/>
        <v>0</v>
      </c>
      <c r="T22" s="706">
        <f>Elect!BT21</f>
        <v>253</v>
      </c>
      <c r="U22" s="604">
        <f t="shared" si="7"/>
        <v>0.7335968379446639</v>
      </c>
      <c r="V22" s="706">
        <f>Elect!BV21</f>
        <v>0</v>
      </c>
      <c r="W22" s="604" t="e">
        <f t="shared" si="8"/>
        <v>#DIV/0!</v>
      </c>
      <c r="X22" s="429">
        <f>H22*V1</f>
        <v>742.39999999999986</v>
      </c>
      <c r="Y22" s="604">
        <f t="shared" si="9"/>
        <v>2.9343873517786556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84188.333333333299</v>
      </c>
      <c r="C23" s="636">
        <f t="shared" si="0"/>
        <v>30.933333333136396</v>
      </c>
      <c r="D23" s="771">
        <v>5617.3333333333303</v>
      </c>
      <c r="E23" s="636">
        <f t="shared" si="1"/>
        <v>42.533333333315746</v>
      </c>
      <c r="F23" s="767">
        <v>30062</v>
      </c>
      <c r="G23" s="636">
        <f t="shared" si="2"/>
        <v>4.0599999999999996</v>
      </c>
      <c r="H23" s="636">
        <f t="shared" si="3"/>
        <v>77.526666666452144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44.965466666542241</v>
      </c>
      <c r="R23" s="109"/>
      <c r="S23" s="436">
        <f t="shared" si="6"/>
        <v>0</v>
      </c>
      <c r="T23" s="706">
        <f>Elect!BT22</f>
        <v>253</v>
      </c>
      <c r="U23" s="604">
        <f t="shared" si="7"/>
        <v>0.30642951251562112</v>
      </c>
      <c r="V23" s="706">
        <f>Elect!BV22</f>
        <v>0</v>
      </c>
      <c r="W23" s="604" t="e">
        <f t="shared" si="8"/>
        <v>#DIV/0!</v>
      </c>
      <c r="X23" s="429">
        <f>H23*V1</f>
        <v>310.10666666580858</v>
      </c>
      <c r="Y23" s="604">
        <f t="shared" si="9"/>
        <v>1.2257180500624845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84229</v>
      </c>
      <c r="C24" s="636">
        <f t="shared" si="0"/>
        <v>235.86666666686358</v>
      </c>
      <c r="D24" s="771">
        <v>5670</v>
      </c>
      <c r="E24" s="636">
        <f t="shared" si="1"/>
        <v>305.4666666666842</v>
      </c>
      <c r="F24" s="767">
        <v>30062</v>
      </c>
      <c r="G24" s="636">
        <f t="shared" si="2"/>
        <v>0</v>
      </c>
      <c r="H24" s="636">
        <f t="shared" si="3"/>
        <v>541.33333333354778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313.97333333345767</v>
      </c>
      <c r="R24" s="109"/>
      <c r="S24" s="436">
        <f t="shared" si="6"/>
        <v>0</v>
      </c>
      <c r="T24" s="706">
        <f>Elect!BT23</f>
        <v>253</v>
      </c>
      <c r="U24" s="604">
        <f t="shared" si="7"/>
        <v>2.1396574440061178</v>
      </c>
      <c r="V24" s="706">
        <f>Elect!BV23</f>
        <v>0</v>
      </c>
      <c r="W24" s="604" t="e">
        <f t="shared" si="8"/>
        <v>#DIV/0!</v>
      </c>
      <c r="X24" s="429">
        <f>H24*V1</f>
        <v>2165.3333333341911</v>
      </c>
      <c r="Y24" s="604">
        <f t="shared" si="9"/>
        <v>8.5586297760244712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84255</v>
      </c>
      <c r="C25" s="636">
        <f t="shared" si="0"/>
        <v>150.79999999999998</v>
      </c>
      <c r="D25" s="771">
        <v>5704</v>
      </c>
      <c r="E25" s="636">
        <f t="shared" si="1"/>
        <v>197.2</v>
      </c>
      <c r="F25" s="767">
        <v>30062</v>
      </c>
      <c r="G25" s="636">
        <f t="shared" si="2"/>
        <v>0</v>
      </c>
      <c r="H25" s="636">
        <f t="shared" si="3"/>
        <v>348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201.83999999999997</v>
      </c>
      <c r="R25" s="109"/>
      <c r="S25" s="436">
        <f t="shared" si="6"/>
        <v>0</v>
      </c>
      <c r="T25" s="706">
        <f>Elect!BT24</f>
        <v>259</v>
      </c>
      <c r="U25" s="604">
        <f t="shared" si="7"/>
        <v>1.3436293436293436</v>
      </c>
      <c r="V25" s="706">
        <f>Elect!BV24</f>
        <v>0</v>
      </c>
      <c r="W25" s="604" t="e">
        <f t="shared" si="8"/>
        <v>#DIV/0!</v>
      </c>
      <c r="X25" s="429">
        <f>H25*V1</f>
        <v>1392</v>
      </c>
      <c r="Y25" s="604">
        <f t="shared" si="9"/>
        <v>5.3745173745173744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84303</v>
      </c>
      <c r="C26" s="636">
        <f t="shared" si="0"/>
        <v>278.39999999999998</v>
      </c>
      <c r="D26" s="771">
        <v>5766</v>
      </c>
      <c r="E26" s="636">
        <f t="shared" si="1"/>
        <v>359.59999999999997</v>
      </c>
      <c r="F26" s="767">
        <v>30062</v>
      </c>
      <c r="G26" s="636">
        <f t="shared" si="2"/>
        <v>0</v>
      </c>
      <c r="H26" s="636">
        <f t="shared" si="3"/>
        <v>638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370.03999999999996</v>
      </c>
      <c r="R26" s="109"/>
      <c r="S26" s="436">
        <f t="shared" si="6"/>
        <v>0</v>
      </c>
      <c r="T26" s="706">
        <f>Elect!BT25</f>
        <v>236</v>
      </c>
      <c r="U26" s="604">
        <f t="shared" si="7"/>
        <v>2.7033898305084745</v>
      </c>
      <c r="V26" s="706">
        <f>Elect!BV25</f>
        <v>0</v>
      </c>
      <c r="W26" s="604" t="e">
        <f t="shared" si="8"/>
        <v>#DIV/0!</v>
      </c>
      <c r="X26" s="429">
        <f>H26*V1</f>
        <v>2552</v>
      </c>
      <c r="Y26" s="604">
        <f t="shared" si="9"/>
        <v>10.813559322033898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84312</v>
      </c>
      <c r="C27" s="636">
        <f t="shared" si="0"/>
        <v>52.199999999999996</v>
      </c>
      <c r="D27" s="771">
        <v>5780</v>
      </c>
      <c r="E27" s="636">
        <f t="shared" si="1"/>
        <v>81.199999999999989</v>
      </c>
      <c r="F27" s="767">
        <v>30062</v>
      </c>
      <c r="G27" s="636">
        <f t="shared" si="2"/>
        <v>0</v>
      </c>
      <c r="H27" s="636">
        <f t="shared" si="3"/>
        <v>133.39999999999998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77.371999999999986</v>
      </c>
      <c r="R27" s="109"/>
      <c r="S27" s="436">
        <f t="shared" si="6"/>
        <v>0</v>
      </c>
      <c r="T27" s="706">
        <f>Elect!BT26</f>
        <v>245</v>
      </c>
      <c r="U27" s="604">
        <f t="shared" si="7"/>
        <v>0.54448979591836721</v>
      </c>
      <c r="V27" s="706">
        <f>Elect!BV26</f>
        <v>0</v>
      </c>
      <c r="W27" s="604" t="e">
        <f t="shared" si="8"/>
        <v>#DIV/0!</v>
      </c>
      <c r="X27" s="429">
        <f>H27*V1</f>
        <v>533.59999999999991</v>
      </c>
      <c r="Y27" s="604">
        <f t="shared" si="9"/>
        <v>2.1779591836734689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84326</v>
      </c>
      <c r="C28" s="636">
        <f t="shared" si="0"/>
        <v>81.199999999999989</v>
      </c>
      <c r="D28" s="771">
        <v>5796</v>
      </c>
      <c r="E28" s="636">
        <f t="shared" si="1"/>
        <v>92.8</v>
      </c>
      <c r="F28" s="767">
        <v>30062</v>
      </c>
      <c r="G28" s="636">
        <f t="shared" si="2"/>
        <v>0</v>
      </c>
      <c r="H28" s="636">
        <f t="shared" si="3"/>
        <v>174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100.91999999999999</v>
      </c>
      <c r="R28" s="109"/>
      <c r="S28" s="436">
        <f t="shared" si="6"/>
        <v>0</v>
      </c>
      <c r="T28" s="706">
        <f>Elect!BT27</f>
        <v>250</v>
      </c>
      <c r="U28" s="604">
        <f t="shared" si="7"/>
        <v>0.69599999999999995</v>
      </c>
      <c r="V28" s="706">
        <f>Elect!BV27</f>
        <v>0</v>
      </c>
      <c r="W28" s="604" t="e">
        <f t="shared" si="8"/>
        <v>#DIV/0!</v>
      </c>
      <c r="X28" s="429">
        <f>H28*V1</f>
        <v>696</v>
      </c>
      <c r="Y28" s="604">
        <f t="shared" si="9"/>
        <v>2.7839999999999998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84348</v>
      </c>
      <c r="C29" s="636">
        <f t="shared" si="0"/>
        <v>127.6</v>
      </c>
      <c r="D29" s="771">
        <v>5825</v>
      </c>
      <c r="E29" s="636">
        <f t="shared" si="1"/>
        <v>168.2</v>
      </c>
      <c r="F29" s="767">
        <v>30062</v>
      </c>
      <c r="G29" s="636">
        <f t="shared" si="2"/>
        <v>0</v>
      </c>
      <c r="H29" s="636">
        <f t="shared" si="3"/>
        <v>295.79999999999995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171.56399999999996</v>
      </c>
      <c r="R29" s="458"/>
      <c r="S29" s="436">
        <f t="shared" si="6"/>
        <v>0</v>
      </c>
      <c r="T29" s="706">
        <f>Elect!BT28</f>
        <v>242</v>
      </c>
      <c r="U29" s="604">
        <f t="shared" si="7"/>
        <v>1.2223140495867766</v>
      </c>
      <c r="V29" s="706">
        <f>Elect!BV28</f>
        <v>0</v>
      </c>
      <c r="W29" s="604" t="e">
        <f t="shared" si="8"/>
        <v>#DIV/0!</v>
      </c>
      <c r="X29" s="429">
        <f>H29*V1</f>
        <v>1183.1999999999998</v>
      </c>
      <c r="Y29" s="604">
        <f t="shared" si="9"/>
        <v>4.8892561983471063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84372</v>
      </c>
      <c r="C30" s="636">
        <f t="shared" si="0"/>
        <v>139.19999999999999</v>
      </c>
      <c r="D30" s="771">
        <v>5856</v>
      </c>
      <c r="E30" s="636">
        <f t="shared" si="1"/>
        <v>179.79999999999998</v>
      </c>
      <c r="F30" s="767">
        <v>30062</v>
      </c>
      <c r="G30" s="636">
        <f t="shared" si="2"/>
        <v>0</v>
      </c>
      <c r="H30" s="636">
        <f t="shared" si="3"/>
        <v>319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185.01999999999998</v>
      </c>
      <c r="R30" s="458"/>
      <c r="S30" s="436">
        <f t="shared" si="6"/>
        <v>0</v>
      </c>
      <c r="T30" s="706">
        <f>Elect!BT29</f>
        <v>231</v>
      </c>
      <c r="U30" s="604">
        <f t="shared" si="7"/>
        <v>1.3809523809523809</v>
      </c>
      <c r="V30" s="706">
        <f>Elect!BV29</f>
        <v>0</v>
      </c>
      <c r="W30" s="604" t="e">
        <f t="shared" si="8"/>
        <v>#DIV/0!</v>
      </c>
      <c r="X30" s="429">
        <f>H30*V1</f>
        <v>1276</v>
      </c>
      <c r="Y30" s="604">
        <f t="shared" si="9"/>
        <v>5.5238095238095237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84400</v>
      </c>
      <c r="C31" s="636">
        <f t="shared" si="0"/>
        <v>162.39999999999998</v>
      </c>
      <c r="D31" s="771">
        <v>5891</v>
      </c>
      <c r="E31" s="636">
        <f>IF(D31&gt;=D30,D31-D30,0)*10*0.58</f>
        <v>203</v>
      </c>
      <c r="F31" s="767">
        <v>30062</v>
      </c>
      <c r="G31" s="636">
        <f t="shared" si="2"/>
        <v>0</v>
      </c>
      <c r="H31" s="636">
        <f t="shared" si="3"/>
        <v>365.4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211.93199999999996</v>
      </c>
      <c r="R31" s="458"/>
      <c r="S31" s="436">
        <f t="shared" si="6"/>
        <v>0</v>
      </c>
      <c r="T31" s="706">
        <f>Elect!BT30</f>
        <v>236</v>
      </c>
      <c r="U31" s="604">
        <f t="shared" si="7"/>
        <v>1.5483050847457627</v>
      </c>
      <c r="V31" s="706">
        <f>Elect!BV30</f>
        <v>0</v>
      </c>
      <c r="W31" s="604" t="e">
        <f t="shared" si="8"/>
        <v>#DIV/0!</v>
      </c>
      <c r="X31" s="429">
        <f>H31*V1</f>
        <v>1461.6</v>
      </c>
      <c r="Y31" s="604">
        <f t="shared" si="9"/>
        <v>6.1932203389830507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84421</v>
      </c>
      <c r="C32" s="636">
        <f t="shared" si="0"/>
        <v>121.8</v>
      </c>
      <c r="D32" s="771">
        <v>5920</v>
      </c>
      <c r="E32" s="636">
        <f>IF(D32&gt;=D31,D32-D31,0)*10*0.58</f>
        <v>168.2</v>
      </c>
      <c r="F32" s="767">
        <v>30062</v>
      </c>
      <c r="G32" s="636">
        <f t="shared" si="2"/>
        <v>0</v>
      </c>
      <c r="H32" s="636">
        <f t="shared" si="3"/>
        <v>290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168.2</v>
      </c>
      <c r="R32" s="458"/>
      <c r="S32" s="436">
        <f t="shared" si="6"/>
        <v>0</v>
      </c>
      <c r="T32" s="706">
        <f>Elect!BT31</f>
        <v>241</v>
      </c>
      <c r="U32" s="604">
        <f t="shared" si="7"/>
        <v>1.2033195020746887</v>
      </c>
      <c r="V32" s="706">
        <f>Elect!BV31</f>
        <v>0</v>
      </c>
      <c r="W32" s="604" t="e">
        <f t="shared" si="8"/>
        <v>#DIV/0!</v>
      </c>
      <c r="X32" s="429">
        <f>H32*V1</f>
        <v>1160</v>
      </c>
      <c r="Y32" s="604">
        <f t="shared" si="9"/>
        <v>4.813278008298755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84447</v>
      </c>
      <c r="C33" s="636">
        <f t="shared" si="0"/>
        <v>150.79999999999998</v>
      </c>
      <c r="D33" s="771">
        <v>5953</v>
      </c>
      <c r="E33" s="636">
        <f>IF(D33&gt;=D32,D33-D32,0)*10*0.58</f>
        <v>191.39999999999998</v>
      </c>
      <c r="F33" s="767">
        <v>30062</v>
      </c>
      <c r="G33" s="636">
        <f t="shared" si="2"/>
        <v>0</v>
      </c>
      <c r="H33" s="636">
        <f t="shared" si="3"/>
        <v>342.19999999999993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198.47599999999994</v>
      </c>
      <c r="R33" s="458"/>
      <c r="S33" s="436">
        <f t="shared" si="6"/>
        <v>0</v>
      </c>
      <c r="T33" s="706">
        <f>Elect!BT32</f>
        <v>232</v>
      </c>
      <c r="U33" s="604">
        <f t="shared" si="7"/>
        <v>1.4749999999999996</v>
      </c>
      <c r="V33" s="706">
        <f>Elect!BV32</f>
        <v>0</v>
      </c>
      <c r="W33" s="604" t="e">
        <f t="shared" si="8"/>
        <v>#DIV/0!</v>
      </c>
      <c r="X33" s="429">
        <f>H33*V1</f>
        <v>1368.7999999999997</v>
      </c>
      <c r="Y33" s="604">
        <f t="shared" si="9"/>
        <v>5.8999999999999986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84474</v>
      </c>
      <c r="C34" s="636">
        <f t="shared" si="0"/>
        <v>156.6</v>
      </c>
      <c r="D34" s="771">
        <v>5988</v>
      </c>
      <c r="E34" s="636">
        <f t="shared" si="1"/>
        <v>203</v>
      </c>
      <c r="F34" s="767">
        <v>30062</v>
      </c>
      <c r="G34" s="636">
        <f t="shared" si="2"/>
        <v>0</v>
      </c>
      <c r="H34" s="636">
        <f t="shared" si="3"/>
        <v>359.6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208.56800000000001</v>
      </c>
      <c r="R34" s="458"/>
      <c r="S34" s="436">
        <f t="shared" si="6"/>
        <v>0</v>
      </c>
      <c r="T34" s="706">
        <f>Elect!BT33</f>
        <v>202</v>
      </c>
      <c r="U34" s="604">
        <f t="shared" si="7"/>
        <v>1.7801980198019802</v>
      </c>
      <c r="V34" s="706">
        <f>Elect!BV33</f>
        <v>0</v>
      </c>
      <c r="W34" s="604" t="e">
        <f t="shared" si="8"/>
        <v>#DIV/0!</v>
      </c>
      <c r="X34" s="429">
        <f>H34*V1</f>
        <v>1438.4</v>
      </c>
      <c r="Y34" s="604">
        <f t="shared" si="9"/>
        <v>7.1207920792079209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84494</v>
      </c>
      <c r="C35" s="636">
        <f t="shared" si="0"/>
        <v>115.99999999999999</v>
      </c>
      <c r="D35" s="771">
        <v>6015</v>
      </c>
      <c r="E35" s="636">
        <f t="shared" si="1"/>
        <v>156.6</v>
      </c>
      <c r="F35" s="767">
        <v>30062</v>
      </c>
      <c r="G35" s="636">
        <f t="shared" si="2"/>
        <v>0</v>
      </c>
      <c r="H35" s="636">
        <f t="shared" si="3"/>
        <v>272.59999999999997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158.10799999999998</v>
      </c>
      <c r="R35" s="458"/>
      <c r="S35" s="436">
        <f t="shared" si="6"/>
        <v>0</v>
      </c>
      <c r="T35" s="706">
        <f>Elect!BT34</f>
        <v>168</v>
      </c>
      <c r="U35" s="604">
        <f t="shared" si="7"/>
        <v>1.6226190476190474</v>
      </c>
      <c r="V35" s="706">
        <f>Elect!BV34</f>
        <v>0</v>
      </c>
      <c r="W35" s="604" t="e">
        <f t="shared" si="8"/>
        <v>#DIV/0!</v>
      </c>
      <c r="X35" s="429">
        <f>H35*V1</f>
        <v>1090.3999999999999</v>
      </c>
      <c r="Y35" s="604">
        <f t="shared" si="9"/>
        <v>6.4904761904761896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84515</v>
      </c>
      <c r="C36" s="636">
        <f t="shared" si="0"/>
        <v>121.8</v>
      </c>
      <c r="D36" s="771">
        <v>6042</v>
      </c>
      <c r="E36" s="636">
        <f t="shared" si="1"/>
        <v>156.6</v>
      </c>
      <c r="F36" s="767">
        <v>30062</v>
      </c>
      <c r="G36" s="636">
        <f t="shared" si="2"/>
        <v>0</v>
      </c>
      <c r="H36" s="636">
        <f t="shared" si="3"/>
        <v>278.39999999999998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161.47199999999998</v>
      </c>
      <c r="R36" s="458"/>
      <c r="S36" s="436">
        <f t="shared" si="6"/>
        <v>0</v>
      </c>
      <c r="T36" s="706">
        <f>Elect!BT35</f>
        <v>151</v>
      </c>
      <c r="U36" s="604">
        <f t="shared" si="7"/>
        <v>1.8437086092715231</v>
      </c>
      <c r="V36" s="706">
        <f>Elect!BV35</f>
        <v>0</v>
      </c>
      <c r="W36" s="604" t="e">
        <f t="shared" si="8"/>
        <v>#DIV/0!</v>
      </c>
      <c r="X36" s="429">
        <f>H36*V1</f>
        <v>1113.5999999999999</v>
      </c>
      <c r="Y36" s="604">
        <f t="shared" si="9"/>
        <v>7.3748344370860925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84538</v>
      </c>
      <c r="C37" s="636">
        <f t="shared" si="0"/>
        <v>133.39999999999998</v>
      </c>
      <c r="D37" s="771">
        <v>6077</v>
      </c>
      <c r="E37" s="636">
        <f t="shared" si="1"/>
        <v>203</v>
      </c>
      <c r="F37" s="767">
        <v>30062</v>
      </c>
      <c r="G37" s="636">
        <f t="shared" si="2"/>
        <v>0</v>
      </c>
      <c r="H37" s="636">
        <f t="shared" si="3"/>
        <v>336.4</v>
      </c>
      <c r="I37" s="767">
        <v>257</v>
      </c>
      <c r="J37" s="723"/>
      <c r="K37" s="767">
        <v>4551</v>
      </c>
      <c r="L37" s="723"/>
      <c r="M37" s="723"/>
      <c r="N37" s="526"/>
      <c r="O37" s="535">
        <f t="shared" si="4"/>
        <v>0</v>
      </c>
      <c r="P37" s="526"/>
      <c r="Q37" s="436">
        <f t="shared" si="5"/>
        <v>195.11199999999997</v>
      </c>
      <c r="R37" s="722"/>
      <c r="S37" s="436">
        <f t="shared" si="6"/>
        <v>0</v>
      </c>
      <c r="T37" s="706">
        <f>Elect!BT36</f>
        <v>150</v>
      </c>
      <c r="U37" s="604">
        <f t="shared" si="7"/>
        <v>2.2426666666666666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4135.3999999999996</v>
      </c>
      <c r="D38" s="538"/>
      <c r="E38" s="728">
        <f>SUM(E7:E37)</f>
        <v>5446.1999999999989</v>
      </c>
      <c r="F38" s="538"/>
      <c r="G38" s="728">
        <f>SUM(G7:G37)</f>
        <v>582.9</v>
      </c>
      <c r="H38" s="728">
        <f>SUM(H7:H37)</f>
        <v>10164.5</v>
      </c>
      <c r="I38" s="728">
        <f>I37-I6</f>
        <v>5</v>
      </c>
      <c r="J38" s="542"/>
      <c r="K38" s="728">
        <f>K37-K6</f>
        <v>196</v>
      </c>
      <c r="L38" s="542"/>
      <c r="M38" s="542"/>
      <c r="N38" s="538"/>
      <c r="O38" s="542">
        <f>SUM(O7:O36)</f>
        <v>0</v>
      </c>
      <c r="P38" s="538"/>
      <c r="Q38" s="542">
        <f>SUM(Q7:Q34)</f>
        <v>5380.7179999999989</v>
      </c>
      <c r="R38" s="538"/>
      <c r="S38" s="542">
        <f>SUM(S7:S34)</f>
        <v>0</v>
      </c>
      <c r="T38" s="543">
        <f>SUM(T7:T36)</f>
        <v>6833</v>
      </c>
      <c r="U38" s="605">
        <f>IF(H38&gt;0,H38/T38,0)</f>
        <v>1.487560368798478</v>
      </c>
      <c r="V38" s="659">
        <f>SUM(V7:V36)</f>
        <v>0</v>
      </c>
      <c r="W38" s="605" t="e">
        <f>IF(H38&gt;0,H38/V38,0)</f>
        <v>#DIV/0!</v>
      </c>
      <c r="X38" s="608">
        <f>SUM(X7:X36)</f>
        <v>39312.400000000001</v>
      </c>
      <c r="Y38" s="605">
        <f t="shared" ref="Y38:Y44" si="12">IF(X38&gt;0,X38/T38,0)</f>
        <v>5.7533147958436999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137.84666666666666</v>
      </c>
      <c r="D39" s="539"/>
      <c r="E39" s="547">
        <f>E38/B48</f>
        <v>181.53999999999996</v>
      </c>
      <c r="F39" s="539"/>
      <c r="G39" s="547">
        <f>G38/B48</f>
        <v>19.43</v>
      </c>
      <c r="H39" s="547">
        <f>H38/B48</f>
        <v>338.81666666666666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179.35726666666662</v>
      </c>
      <c r="R39" s="539"/>
      <c r="S39" s="547" t="e">
        <f>S38/C48</f>
        <v>#DIV/0!</v>
      </c>
      <c r="T39" s="548">
        <f>T38/B48</f>
        <v>227.76666666666668</v>
      </c>
      <c r="U39" s="606">
        <f>IF(H39&gt;0,H39/T39,0)</f>
        <v>1.487560368798478</v>
      </c>
      <c r="V39" s="619">
        <f>V38/B48</f>
        <v>0</v>
      </c>
      <c r="W39" s="605" t="e">
        <f>IF(H39&gt;0,H39/V39,0)</f>
        <v>#DIV/0!</v>
      </c>
      <c r="X39" s="610">
        <f>X38/B48</f>
        <v>1310.4133333333334</v>
      </c>
      <c r="Y39" s="606">
        <f t="shared" si="12"/>
        <v>5.7533147958436999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187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188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189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22" t="s">
        <v>140</v>
      </c>
      <c r="B136" s="922"/>
      <c r="C136" s="922"/>
      <c r="D136" s="922"/>
      <c r="E136" s="922"/>
      <c r="F136" s="922"/>
      <c r="G136" s="922"/>
      <c r="H136" s="922"/>
      <c r="I136" s="922"/>
      <c r="J136" s="922"/>
      <c r="K136" s="922"/>
      <c r="L136" s="922"/>
      <c r="M136" s="922"/>
      <c r="N136" s="922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11" zoomScaleSheetLayoutView="100" workbookViewId="0">
      <selection activeCell="L57" sqref="L57"/>
    </sheetView>
  </sheetViews>
  <sheetFormatPr defaultColWidth="9.109375" defaultRowHeight="13.2"/>
  <cols>
    <col min="2" max="2" width="8.6640625" customWidth="1"/>
    <col min="3" max="3" width="22" customWidth="1"/>
    <col min="4" max="4" width="12.44140625" customWidth="1"/>
    <col min="5" max="5" width="15.44140625" customWidth="1"/>
    <col min="6" max="6" width="18.6640625" customWidth="1"/>
    <col min="7" max="7" width="22.5546875" customWidth="1"/>
    <col min="8" max="9" width="17" customWidth="1"/>
    <col min="10" max="10" width="16.6640625" customWidth="1"/>
    <col min="11" max="11" width="16.44140625" bestFit="1" customWidth="1"/>
    <col min="12" max="12" width="13.88671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.6">
      <c r="B6" s="668"/>
      <c r="C6" s="668"/>
      <c r="D6" s="668"/>
      <c r="E6" s="668" t="s">
        <v>392</v>
      </c>
      <c r="F6" s="669"/>
      <c r="G6" s="668"/>
      <c r="H6" s="670" t="str">
        <f>Elect!A1</f>
        <v>March</v>
      </c>
      <c r="I6" s="668"/>
      <c r="J6" s="668"/>
      <c r="K6" s="668"/>
    </row>
    <row r="9" spans="2:13" ht="13.5" customHeight="1">
      <c r="B9" s="934" t="s">
        <v>393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2:13" ht="13.5" customHeight="1" thickBot="1">
      <c r="B10" s="936"/>
      <c r="C10" s="937"/>
      <c r="D10" s="937"/>
      <c r="E10" s="937"/>
      <c r="F10" s="937"/>
      <c r="G10" s="937"/>
      <c r="H10" s="937"/>
      <c r="I10" s="937"/>
      <c r="J10" s="937"/>
      <c r="K10" s="937"/>
      <c r="L10" s="937"/>
      <c r="M10" s="937"/>
    </row>
    <row r="11" spans="2:13" ht="16.2" thickBot="1">
      <c r="B11" s="947" t="s">
        <v>394</v>
      </c>
      <c r="C11" s="947"/>
      <c r="D11" s="947" t="s">
        <v>395</v>
      </c>
      <c r="E11" s="947"/>
      <c r="F11" s="947" t="s">
        <v>396</v>
      </c>
      <c r="G11" s="947"/>
      <c r="H11" s="945" t="s">
        <v>397</v>
      </c>
      <c r="I11" s="946"/>
      <c r="J11" s="945" t="s">
        <v>398</v>
      </c>
      <c r="K11" s="946"/>
      <c r="L11" s="945" t="s">
        <v>399</v>
      </c>
      <c r="M11" s="946"/>
    </row>
    <row r="12" spans="2:13" ht="16.2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8" thickBot="1">
      <c r="B13" s="672">
        <f>Elect!AN37</f>
        <v>140206.20000000001</v>
      </c>
      <c r="C13" s="759">
        <f>(B13*1.15)+(2879*60*0.72)</f>
        <v>285609.93</v>
      </c>
      <c r="D13" s="672">
        <f>Elect!J37</f>
        <v>212203</v>
      </c>
      <c r="E13" s="759">
        <f>(D13*1.15)+(573*60)+10000</f>
        <v>288413.44999999995</v>
      </c>
      <c r="F13" s="672">
        <f>Elect!BI37</f>
        <v>352042.81250000006</v>
      </c>
      <c r="G13" s="759">
        <f>(F13*1.15)</f>
        <v>404849.23437500006</v>
      </c>
      <c r="H13" s="672">
        <f>Elect!Q37</f>
        <v>17100</v>
      </c>
      <c r="I13" s="759">
        <f>H13*1.6+1500</f>
        <v>28860</v>
      </c>
      <c r="J13" s="800">
        <f>B13+D13+F13+H13</f>
        <v>721552.01250000007</v>
      </c>
      <c r="K13" s="760">
        <f>G13+E13+C13+I13</f>
        <v>1007732.6143749999</v>
      </c>
      <c r="L13" s="800">
        <f>B13+F13</f>
        <v>492249.01250000007</v>
      </c>
      <c r="M13" s="761">
        <f>C13+G13</f>
        <v>690459.16437500005</v>
      </c>
    </row>
    <row r="16" spans="2:13" ht="0.75" customHeight="1" thickBot="1">
      <c r="K16">
        <f>K18</f>
        <v>1151736.2943749998</v>
      </c>
    </row>
    <row r="17" spans="4:11" ht="13.5" customHeight="1">
      <c r="E17" s="938" t="s">
        <v>402</v>
      </c>
      <c r="F17" s="939"/>
      <c r="J17" s="757" t="s">
        <v>403</v>
      </c>
      <c r="K17" s="758">
        <f>K13/J13</f>
        <v>1.3966181188843954</v>
      </c>
    </row>
    <row r="18" spans="4:11" ht="34.5" customHeight="1" thickBot="1">
      <c r="E18" s="940"/>
      <c r="F18" s="941"/>
      <c r="J18" s="757" t="s">
        <v>404</v>
      </c>
      <c r="K18" s="762">
        <f>K13+F20+F27+G35</f>
        <v>1151736.2943749998</v>
      </c>
    </row>
    <row r="19" spans="4:11" ht="13.8" thickBot="1">
      <c r="E19" s="674" t="s">
        <v>405</v>
      </c>
      <c r="F19" s="674" t="s">
        <v>401</v>
      </c>
    </row>
    <row r="20" spans="4:11" ht="13.8" thickBot="1">
      <c r="E20" s="942">
        <f>Water!H38</f>
        <v>10164.5</v>
      </c>
      <c r="F20" s="944">
        <f>E20*10</f>
        <v>101645</v>
      </c>
    </row>
    <row r="21" spans="4:11" ht="13.8" thickBot="1">
      <c r="E21" s="943"/>
      <c r="F21" s="944"/>
    </row>
    <row r="23" spans="4:11" ht="13.8" thickBot="1"/>
    <row r="24" spans="4:11" ht="13.8" thickBot="1">
      <c r="E24" s="948" t="s">
        <v>406</v>
      </c>
      <c r="F24" s="948"/>
    </row>
    <row r="25" spans="4:11" ht="11.25" customHeight="1" thickBot="1">
      <c r="E25" s="948"/>
      <c r="F25" s="948"/>
      <c r="H25" s="83"/>
    </row>
    <row r="26" spans="4:11" ht="13.8" thickBot="1">
      <c r="E26" s="674" t="s">
        <v>405</v>
      </c>
      <c r="F26" s="674" t="s">
        <v>401</v>
      </c>
    </row>
    <row r="27" spans="4:11" ht="13.8" thickBot="1">
      <c r="E27" s="943">
        <f>Gas!C38</f>
        <v>0</v>
      </c>
      <c r="F27" s="944">
        <f>E27*3.9</f>
        <v>0</v>
      </c>
    </row>
    <row r="28" spans="4:11" ht="13.8" thickBot="1">
      <c r="E28" s="943"/>
      <c r="F28" s="944"/>
    </row>
    <row r="30" spans="4:11" ht="13.8" thickBot="1"/>
    <row r="31" spans="4:11" ht="20.399999999999999">
      <c r="D31" s="949" t="s">
        <v>407</v>
      </c>
      <c r="E31" s="950"/>
      <c r="F31" s="950"/>
      <c r="G31" s="951"/>
      <c r="H31" s="676"/>
      <c r="I31" s="676"/>
    </row>
    <row r="32" spans="4:11" ht="21" thickBot="1">
      <c r="D32" s="934"/>
      <c r="E32" s="935"/>
      <c r="F32" s="935"/>
      <c r="G32" s="952"/>
      <c r="H32" s="676"/>
      <c r="I32" s="676"/>
    </row>
    <row r="33" spans="3:9" ht="13.8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8" thickBot="1">
      <c r="C34" s="740"/>
      <c r="D34" s="682">
        <f>Gas!D6</f>
        <v>478383</v>
      </c>
      <c r="E34" s="682">
        <f>Gas!D36</f>
        <v>493358</v>
      </c>
      <c r="F34" s="715">
        <f>Gas!E38</f>
        <v>10861.199999999999</v>
      </c>
      <c r="G34" s="799">
        <f>F34*3.9</f>
        <v>42358.679999999993</v>
      </c>
      <c r="H34" s="680"/>
      <c r="I34" s="680"/>
    </row>
    <row r="35" spans="3:9" ht="18" thickBot="1">
      <c r="D35" s="956" t="s">
        <v>411</v>
      </c>
      <c r="E35" s="956"/>
      <c r="F35" s="956"/>
      <c r="G35" s="799">
        <f>G34</f>
        <v>42358.679999999993</v>
      </c>
      <c r="H35" s="33"/>
      <c r="I35" s="33"/>
    </row>
    <row r="37" spans="3:9" ht="13.8" thickBot="1"/>
    <row r="38" spans="3:9" ht="20.399999999999999">
      <c r="D38" s="949" t="s">
        <v>412</v>
      </c>
      <c r="E38" s="950"/>
      <c r="F38" s="950"/>
      <c r="G38" s="951"/>
      <c r="H38" s="676"/>
      <c r="I38" s="676"/>
    </row>
    <row r="39" spans="3:9" ht="21" thickBot="1">
      <c r="D39" s="934"/>
      <c r="E39" s="935"/>
      <c r="F39" s="935"/>
      <c r="G39" s="952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8" thickBot="1">
      <c r="C41" s="679" t="s">
        <v>86</v>
      </c>
      <c r="D41" s="683">
        <f>Elect!R5</f>
        <v>186239</v>
      </c>
      <c r="E41" s="763">
        <f>Elect!R36</f>
        <v>190610</v>
      </c>
      <c r="F41" s="684">
        <f>E41-D41</f>
        <v>4371</v>
      </c>
      <c r="G41" s="765">
        <f>F41*1.15</f>
        <v>5026.6499999999996</v>
      </c>
      <c r="H41" s="685"/>
      <c r="I41" s="685"/>
    </row>
    <row r="42" spans="3:9" ht="13.8" thickBot="1">
      <c r="C42" s="679" t="s">
        <v>87</v>
      </c>
      <c r="D42" s="683">
        <f>Elect!T5</f>
        <v>340453</v>
      </c>
      <c r="E42" s="683">
        <f>Elect!T36</f>
        <v>348677</v>
      </c>
      <c r="F42" s="684">
        <f>E42-D42</f>
        <v>8224</v>
      </c>
      <c r="G42" s="765">
        <f>F42*1.15</f>
        <v>9457.5999999999985</v>
      </c>
      <c r="H42" s="685"/>
      <c r="I42" s="685"/>
    </row>
    <row r="43" spans="3:9" ht="18" thickBot="1">
      <c r="D43" s="953" t="s">
        <v>411</v>
      </c>
      <c r="E43" s="954"/>
      <c r="F43" s="955"/>
      <c r="G43" s="766">
        <f>G42+G41</f>
        <v>14484.249999999998</v>
      </c>
      <c r="H43" s="33"/>
      <c r="I43" s="33"/>
    </row>
    <row r="44" spans="3:9">
      <c r="F44" s="225"/>
    </row>
    <row r="48" spans="3:9" ht="13.8" thickBot="1"/>
    <row r="49" spans="3:7">
      <c r="D49" s="949" t="s">
        <v>413</v>
      </c>
      <c r="E49" s="950"/>
      <c r="F49" s="950"/>
      <c r="G49" s="951"/>
    </row>
    <row r="50" spans="3:7" ht="13.8" thickBot="1">
      <c r="D50" s="934"/>
      <c r="E50" s="935"/>
      <c r="F50" s="935"/>
      <c r="G50" s="952"/>
    </row>
    <row r="51" spans="3:7" ht="13.8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8" thickBot="1">
      <c r="C52" s="679" t="s">
        <v>414</v>
      </c>
      <c r="D52" s="682">
        <f>Water!I6</f>
        <v>252</v>
      </c>
      <c r="E52" s="683">
        <f>Water!I37</f>
        <v>257</v>
      </c>
      <c r="F52" s="800">
        <f>E52-D52</f>
        <v>5</v>
      </c>
      <c r="G52" s="675">
        <f>F52*10</f>
        <v>50</v>
      </c>
    </row>
    <row r="53" spans="3:7" ht="13.8" thickBot="1">
      <c r="C53" s="679" t="s">
        <v>415</v>
      </c>
      <c r="D53" s="683">
        <f>Water!K6</f>
        <v>4355</v>
      </c>
      <c r="E53" s="683">
        <f>Water!K37</f>
        <v>4551</v>
      </c>
      <c r="F53" s="684">
        <f>E53-D53</f>
        <v>196</v>
      </c>
      <c r="G53" s="673">
        <f>F53*10</f>
        <v>1960</v>
      </c>
    </row>
    <row r="54" spans="3:7" ht="18" thickBot="1">
      <c r="D54" s="953" t="s">
        <v>411</v>
      </c>
      <c r="E54" s="954"/>
      <c r="F54" s="955"/>
      <c r="G54" s="681">
        <f>G52+G53</f>
        <v>2010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Props1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D6386D-A19A-4D4A-8E97-E57F7B96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Elect</vt:lpstr>
      <vt:lpstr>Sheet1</vt:lpstr>
      <vt:lpstr>Sheet2</vt:lpstr>
      <vt:lpstr>Gas</vt:lpstr>
      <vt:lpstr>Consp</vt:lpstr>
      <vt:lpstr>Temp.</vt:lpstr>
      <vt:lpstr>M-Rep</vt:lpstr>
      <vt:lpstr>YTD</vt:lpstr>
      <vt:lpstr>Water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Joe Khoury</cp:lastModifiedBy>
  <cp:revision/>
  <dcterms:created xsi:type="dcterms:W3CDTF">2007-10-20T05:06:40Z</dcterms:created>
  <dcterms:modified xsi:type="dcterms:W3CDTF">2022-05-16T09:05:37Z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