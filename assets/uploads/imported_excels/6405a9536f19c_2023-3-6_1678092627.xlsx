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22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D5" i="119"/>
  <c r="F5" i="119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/>
  <c r="D29" i="119"/>
  <c r="E26" i="117" s="1"/>
  <c r="J28" i="119"/>
  <c r="K25" i="117" s="1"/>
  <c r="F28" i="119"/>
  <c r="G25" i="117" s="1"/>
  <c r="D28" i="119"/>
  <c r="E25" i="117" s="1"/>
  <c r="J27" i="119"/>
  <c r="K24" i="117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/>
  <c r="J14" i="119"/>
  <c r="K11" i="117" s="1"/>
  <c r="F14" i="119"/>
  <c r="G11" i="117" s="1"/>
  <c r="D14" i="119"/>
  <c r="E11" i="117"/>
  <c r="J13" i="119"/>
  <c r="K10" i="117" s="1"/>
  <c r="F13" i="119"/>
  <c r="G10" i="117" s="1"/>
  <c r="D13" i="119"/>
  <c r="E10" i="117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/>
  <c r="B5" i="117"/>
  <c r="B6" i="117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<sst xmlns="http://schemas.openxmlformats.org/spreadsheetml/2006/main" count="60" uniqueCount="29">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</sst>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C30" sqref="C3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2021</v>
      </c>
      <c r="E2" s="9">
        <f>'Macao Daily'!D5</f>
        <v>32918</v>
      </c>
      <c r="F2" s="32">
        <v>1.1423000000000001</v>
      </c>
      <c r="G2" s="9">
        <f>'Macao Daily'!F5</f>
        <v>181</v>
      </c>
      <c r="H2" s="32">
        <v>7.78</v>
      </c>
      <c r="I2" s="9">
        <f>'Macao Daily'!H5</f>
        <v>50679</v>
      </c>
      <c r="J2" s="32">
        <v>0.19</v>
      </c>
      <c r="K2" s="9">
        <f>'Macao Daily'!J5</f>
        <v>0</v>
      </c>
      <c r="L2" s="32">
        <v>7.7615999999999996</v>
      </c>
      <c r="M2" s="9">
        <f>'Macao Daily'!K5</f>
        <v>132</v>
      </c>
      <c r="N2" s="9">
        <f>'Macao Daily'!L5</f>
        <v>303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2021</v>
      </c>
      <c r="E3" s="9">
        <f>'Macao Daily'!D6</f>
        <v>33212</v>
      </c>
      <c r="F3" s="32">
        <v>1.1423000000000001</v>
      </c>
      <c r="G3" s="9">
        <f>'Macao Daily'!F6</f>
        <v>200</v>
      </c>
      <c r="H3" s="32">
        <v>7.78</v>
      </c>
      <c r="I3" s="9">
        <f>'Macao Daily'!H6</f>
        <v>54774</v>
      </c>
      <c r="J3" s="32">
        <v>0.19</v>
      </c>
      <c r="K3" s="9">
        <f>'Macao Daily'!J6</f>
        <v>0</v>
      </c>
      <c r="L3" s="32">
        <v>7.7615999999999996</v>
      </c>
      <c r="M3" s="9">
        <f>'Macao Daily'!K6</f>
        <v>178</v>
      </c>
      <c r="N3" s="9">
        <f>'Macao Daily'!L6</f>
        <v>427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2021</v>
      </c>
      <c r="E4" s="9">
        <f>'Macao Daily'!D7</f>
        <v>35339</v>
      </c>
      <c r="F4" s="32">
        <v>1.1423000000000001</v>
      </c>
      <c r="G4" s="9">
        <f>'Macao Daily'!F7</f>
        <v>196</v>
      </c>
      <c r="H4" s="32">
        <v>7.78</v>
      </c>
      <c r="I4" s="9">
        <f>'Macao Daily'!H7</f>
        <v>54976</v>
      </c>
      <c r="J4" s="32">
        <v>0.19</v>
      </c>
      <c r="K4" s="9">
        <f>'Macao Daily'!J7</f>
        <v>0</v>
      </c>
      <c r="L4" s="32">
        <v>7.7615999999999996</v>
      </c>
      <c r="M4" s="9">
        <f>'Macao Daily'!K7</f>
        <v>318</v>
      </c>
      <c r="N4" s="9">
        <f>'Macao Daily'!L7</f>
        <v>565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2021</v>
      </c>
      <c r="E5" s="9">
        <f>'Macao Daily'!D8</f>
        <v>32904</v>
      </c>
      <c r="F5" s="32">
        <v>1.1423000000000001</v>
      </c>
      <c r="G5" s="9">
        <f>'Macao Daily'!F8</f>
        <v>209</v>
      </c>
      <c r="H5" s="32">
        <v>7.78</v>
      </c>
      <c r="I5" s="9">
        <f>'Macao Daily'!H8</f>
        <v>46399</v>
      </c>
      <c r="J5" s="32">
        <v>0.19</v>
      </c>
      <c r="K5" s="9">
        <f>'Macao Daily'!J8</f>
        <v>0</v>
      </c>
      <c r="L5" s="32">
        <v>7.7615999999999996</v>
      </c>
      <c r="M5" s="9">
        <f>'Macao Daily'!K8</f>
        <v>222</v>
      </c>
      <c r="N5" s="9">
        <f>'Macao Daily'!L8</f>
        <v>685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2021</v>
      </c>
      <c r="E6" s="9">
        <f>'Macao Daily'!D9</f>
        <v>33426</v>
      </c>
      <c r="F6" s="32">
        <v>1.1423000000000001</v>
      </c>
      <c r="G6" s="9">
        <f>'Macao Daily'!F9</f>
        <v>195</v>
      </c>
      <c r="H6" s="32">
        <v>7.78</v>
      </c>
      <c r="I6" s="9">
        <f>'Macao Daily'!H9</f>
        <v>39586</v>
      </c>
      <c r="J6" s="32">
        <v>0.19</v>
      </c>
      <c r="K6" s="9">
        <f>'Macao Daily'!J9</f>
        <v>0</v>
      </c>
      <c r="L6" s="32">
        <v>7.7615999999999996</v>
      </c>
      <c r="M6" s="9">
        <f>'Macao Daily'!K9</f>
        <v>122</v>
      </c>
      <c r="N6" s="9">
        <f>'Macao Daily'!L9</f>
        <v>490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2021</v>
      </c>
      <c r="E7" s="9">
        <f>'Macao Daily'!D10</f>
        <v>30303</v>
      </c>
      <c r="F7" s="32">
        <v>1.1423000000000001</v>
      </c>
      <c r="G7" s="9">
        <f>'Macao Daily'!F10</f>
        <v>167</v>
      </c>
      <c r="H7" s="32">
        <v>7.78</v>
      </c>
      <c r="I7" s="9">
        <f>'Macao Daily'!H10</f>
        <v>38406</v>
      </c>
      <c r="J7" s="32">
        <v>0.19</v>
      </c>
      <c r="K7" s="9">
        <f>'Macao Daily'!J10</f>
        <v>0</v>
      </c>
      <c r="L7" s="32">
        <v>7.7615999999999996</v>
      </c>
      <c r="M7" s="9">
        <f>'Macao Daily'!K10</f>
        <v>71</v>
      </c>
      <c r="N7" s="9">
        <f>'Macao Daily'!L10</f>
        <v>264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2021</v>
      </c>
      <c r="E8" s="9">
        <f>'Macao Daily'!D11</f>
        <v>30284</v>
      </c>
      <c r="F8" s="32">
        <v>1.1423000000000001</v>
      </c>
      <c r="G8" s="9">
        <f>'Macao Daily'!F11</f>
        <v>162</v>
      </c>
      <c r="H8" s="32">
        <v>7.78</v>
      </c>
      <c r="I8" s="9">
        <f>'Macao Daily'!H11</f>
        <v>36703</v>
      </c>
      <c r="J8" s="32">
        <v>0.19</v>
      </c>
      <c r="K8" s="9">
        <f>'Macao Daily'!J11</f>
        <v>0</v>
      </c>
      <c r="L8" s="32">
        <v>7.7615999999999996</v>
      </c>
      <c r="M8" s="9">
        <f>'Macao Daily'!K11</f>
        <v>75</v>
      </c>
      <c r="N8" s="9">
        <f>'Macao Daily'!L11</f>
        <v>190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2021</v>
      </c>
      <c r="E9" s="9">
        <f>'Macao Daily'!D12</f>
        <v>31577</v>
      </c>
      <c r="F9" s="32">
        <v>1.1423000000000001</v>
      </c>
      <c r="G9" s="9">
        <f>'Macao Daily'!F12</f>
        <v>175</v>
      </c>
      <c r="H9" s="32">
        <v>7.78</v>
      </c>
      <c r="I9" s="9">
        <f>'Macao Daily'!H12</f>
        <v>35570</v>
      </c>
      <c r="J9" s="32">
        <v>0.19</v>
      </c>
      <c r="K9" s="9">
        <f>'Macao Daily'!J12</f>
        <v>0</v>
      </c>
      <c r="L9" s="32">
        <v>7.7615999999999996</v>
      </c>
      <c r="M9" s="9">
        <f>'Macao Daily'!K12</f>
        <v>123</v>
      </c>
      <c r="N9" s="9">
        <f>'Macao Daily'!L12</f>
        <v>148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2021</v>
      </c>
      <c r="E10" s="9">
        <f>'Macao Daily'!D13</f>
        <v>32469</v>
      </c>
      <c r="F10" s="32">
        <v>1.1423000000000001</v>
      </c>
      <c r="G10" s="9">
        <f>'Macao Daily'!F13</f>
        <v>192</v>
      </c>
      <c r="H10" s="32">
        <v>7.78</v>
      </c>
      <c r="I10" s="9">
        <f>'Macao Daily'!H13</f>
        <v>31196</v>
      </c>
      <c r="J10" s="32">
        <v>0.19</v>
      </c>
      <c r="K10" s="9">
        <f>'Macao Daily'!J13</f>
        <v>0</v>
      </c>
      <c r="L10" s="32">
        <v>7.7615999999999996</v>
      </c>
      <c r="M10" s="9">
        <f>'Macao Daily'!K13</f>
        <v>181</v>
      </c>
      <c r="N10" s="9">
        <f>'Macao Daily'!L13</f>
        <v>294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2021</v>
      </c>
      <c r="E11" s="9">
        <f>'Macao Daily'!D14</f>
        <v>34001</v>
      </c>
      <c r="F11" s="32">
        <v>1.1423000000000001</v>
      </c>
      <c r="G11" s="9">
        <f>'Macao Daily'!F14</f>
        <v>192</v>
      </c>
      <c r="H11" s="32">
        <v>7.78</v>
      </c>
      <c r="I11" s="9">
        <f>'Macao Daily'!H14</f>
        <v>32484</v>
      </c>
      <c r="J11" s="32">
        <v>0.19</v>
      </c>
      <c r="K11" s="9">
        <f>'Macao Daily'!J14</f>
        <v>0</v>
      </c>
      <c r="L11" s="32">
        <v>7.7615999999999996</v>
      </c>
      <c r="M11" s="9">
        <f>'Macao Daily'!K14</f>
        <v>171</v>
      </c>
      <c r="N11" s="9">
        <f>'Macao Daily'!L14</f>
        <v>706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2021</v>
      </c>
      <c r="E12" s="9">
        <f>'Macao Daily'!D15</f>
        <v>33033</v>
      </c>
      <c r="F12" s="32">
        <v>1.1423000000000001</v>
      </c>
      <c r="G12" s="9">
        <f>'Macao Daily'!F15</f>
        <v>190</v>
      </c>
      <c r="H12" s="32">
        <v>7.78</v>
      </c>
      <c r="I12" s="9">
        <f>'Macao Daily'!H15</f>
        <v>39477</v>
      </c>
      <c r="J12" s="32">
        <v>0.19</v>
      </c>
      <c r="K12" s="9">
        <f>'Macao Daily'!J15</f>
        <v>0</v>
      </c>
      <c r="L12" s="32">
        <v>7.7615999999999996</v>
      </c>
      <c r="M12" s="9">
        <f>'Macao Daily'!K15</f>
        <v>121</v>
      </c>
      <c r="N12" s="9">
        <f>'Macao Daily'!L15</f>
        <v>536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2021</v>
      </c>
      <c r="E13" s="9">
        <f>'Macao Daily'!D16</f>
        <v>32286</v>
      </c>
      <c r="F13" s="32">
        <v>1.1423000000000001</v>
      </c>
      <c r="G13" s="9">
        <f>'Macao Daily'!F16</f>
        <v>177</v>
      </c>
      <c r="H13" s="32">
        <v>7.78</v>
      </c>
      <c r="I13" s="9">
        <f>'Macao Daily'!H16</f>
        <v>43937</v>
      </c>
      <c r="J13" s="32">
        <v>0.19</v>
      </c>
      <c r="K13" s="9">
        <f>'Macao Daily'!J16</f>
        <v>0</v>
      </c>
      <c r="L13" s="32">
        <v>7.7615999999999996</v>
      </c>
      <c r="M13" s="9">
        <f>'Macao Daily'!K16</f>
        <v>88</v>
      </c>
      <c r="N13" s="9">
        <f>'Macao Daily'!L16</f>
        <v>191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2021</v>
      </c>
      <c r="E14" s="9">
        <f>'Macao Daily'!D17</f>
        <v>31696</v>
      </c>
      <c r="F14" s="32">
        <v>1.1423000000000001</v>
      </c>
      <c r="G14" s="9">
        <f>'Macao Daily'!F17</f>
        <v>158</v>
      </c>
      <c r="H14" s="32">
        <v>7.78</v>
      </c>
      <c r="I14" s="9">
        <f>'Macao Daily'!H17</f>
        <v>45016</v>
      </c>
      <c r="J14" s="32">
        <v>0.19</v>
      </c>
      <c r="K14" s="9">
        <f>'Macao Daily'!J17</f>
        <v>0</v>
      </c>
      <c r="L14" s="32">
        <v>7.7615999999999996</v>
      </c>
      <c r="M14" s="9">
        <f>'Macao Daily'!K17</f>
        <v>104</v>
      </c>
      <c r="N14" s="9">
        <f>'Macao Daily'!L17</f>
        <v>142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2021</v>
      </c>
      <c r="E15" s="9">
        <f>'Macao Daily'!D18</f>
        <v>32095</v>
      </c>
      <c r="F15" s="32">
        <v>1.1423000000000001</v>
      </c>
      <c r="G15" s="9">
        <f>'Macao Daily'!F18</f>
        <v>160</v>
      </c>
      <c r="H15" s="32">
        <v>7.78</v>
      </c>
      <c r="I15" s="9">
        <f>'Macao Daily'!H18</f>
        <v>44937</v>
      </c>
      <c r="J15" s="32">
        <v>0.19</v>
      </c>
      <c r="K15" s="9">
        <f>'Macao Daily'!J18</f>
        <v>0</v>
      </c>
      <c r="L15" s="32">
        <v>7.7615999999999996</v>
      </c>
      <c r="M15" s="9">
        <f>'Macao Daily'!K18</f>
        <v>114</v>
      </c>
      <c r="N15" s="9">
        <f>'Macao Daily'!L18</f>
        <v>234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2021</v>
      </c>
      <c r="E16" s="9">
        <f>'Macao Daily'!D19</f>
        <v>32062</v>
      </c>
      <c r="F16" s="32">
        <v>1.1423000000000001</v>
      </c>
      <c r="G16" s="9">
        <f>'Macao Daily'!F19</f>
        <v>167</v>
      </c>
      <c r="H16" s="32">
        <v>7.78</v>
      </c>
      <c r="I16" s="9">
        <f>'Macao Daily'!H19</f>
        <v>40844</v>
      </c>
      <c r="J16" s="32">
        <v>0.19</v>
      </c>
      <c r="K16" s="9">
        <f>'Macao Daily'!J19</f>
        <v>0</v>
      </c>
      <c r="L16" s="32">
        <v>7.7615999999999996</v>
      </c>
      <c r="M16" s="9">
        <f>'Macao Daily'!K19</f>
        <v>134</v>
      </c>
      <c r="N16" s="9">
        <f>'Macao Daily'!L19</f>
        <v>247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2021</v>
      </c>
      <c r="E17" s="9">
        <f>'Macao Daily'!D20</f>
        <v>32665</v>
      </c>
      <c r="F17" s="32">
        <v>1.1423000000000001</v>
      </c>
      <c r="G17" s="9">
        <f>'Macao Daily'!F20</f>
        <v>183</v>
      </c>
      <c r="H17" s="32">
        <v>7.78</v>
      </c>
      <c r="I17" s="9">
        <f>'Macao Daily'!H20</f>
        <v>43156</v>
      </c>
      <c r="J17" s="32">
        <v>0.19</v>
      </c>
      <c r="K17" s="9">
        <f>'Macao Daily'!J20</f>
        <v>0</v>
      </c>
      <c r="L17" s="32">
        <v>7.7615999999999996</v>
      </c>
      <c r="M17" s="9">
        <f>'Macao Daily'!K20</f>
        <v>191</v>
      </c>
      <c r="N17" s="9">
        <f>'Macao Daily'!L20</f>
        <v>343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2021</v>
      </c>
      <c r="E18" s="9">
        <f>'Macao Daily'!D21</f>
        <v>34834</v>
      </c>
      <c r="F18" s="32">
        <v>1.1423000000000001</v>
      </c>
      <c r="G18" s="9">
        <f>'Macao Daily'!F21</f>
        <v>201</v>
      </c>
      <c r="H18" s="32">
        <v>7.78</v>
      </c>
      <c r="I18" s="9">
        <f>'Macao Daily'!H21</f>
        <v>43539</v>
      </c>
      <c r="J18" s="32">
        <v>0.19</v>
      </c>
      <c r="K18" s="9">
        <f>'Macao Daily'!J21</f>
        <v>0</v>
      </c>
      <c r="L18" s="32">
        <v>7.7615999999999996</v>
      </c>
      <c r="M18" s="9">
        <f>'Macao Daily'!K21</f>
        <v>220</v>
      </c>
      <c r="N18" s="9">
        <f>'Macao Daily'!L21</f>
        <v>569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2021</v>
      </c>
      <c r="E19" s="9">
        <f>'Macao Daily'!D22</f>
        <v>30622</v>
      </c>
      <c r="F19" s="32">
        <v>1.1423000000000001</v>
      </c>
      <c r="G19" s="9">
        <f>'Macao Daily'!F22</f>
        <v>186</v>
      </c>
      <c r="H19" s="32">
        <v>7.78</v>
      </c>
      <c r="I19" s="9">
        <f>'Macao Daily'!H22</f>
        <v>34656</v>
      </c>
      <c r="J19" s="32">
        <v>0.19</v>
      </c>
      <c r="K19" s="9">
        <f>'Macao Daily'!J22</f>
        <v>0</v>
      </c>
      <c r="L19" s="32">
        <v>7.7615999999999996</v>
      </c>
      <c r="M19" s="9">
        <f>'Macao Daily'!K22</f>
        <v>142</v>
      </c>
      <c r="N19" s="9">
        <f>'Macao Daily'!L22</f>
        <v>603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2021</v>
      </c>
      <c r="E20" s="9">
        <f>'Macao Daily'!D23</f>
        <v>33788</v>
      </c>
      <c r="F20" s="32">
        <v>1.1423000000000001</v>
      </c>
      <c r="G20" s="9">
        <f>'Macao Daily'!F23</f>
        <v>181</v>
      </c>
      <c r="H20" s="32">
        <v>7.78</v>
      </c>
      <c r="I20" s="9">
        <f>'Macao Daily'!H23</f>
        <v>36290</v>
      </c>
      <c r="J20" s="32">
        <v>0.19</v>
      </c>
      <c r="K20" s="9">
        <f>'Macao Daily'!J23</f>
        <v>0</v>
      </c>
      <c r="L20" s="32">
        <v>7.7615999999999996</v>
      </c>
      <c r="M20" s="9">
        <f>'Macao Daily'!K23</f>
        <v>123</v>
      </c>
      <c r="N20" s="9">
        <f>'Macao Daily'!L23</f>
        <v>235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2021</v>
      </c>
      <c r="E21" s="9">
        <f>'Macao Daily'!D24</f>
        <v>31689</v>
      </c>
      <c r="F21" s="32">
        <v>1.1423000000000001</v>
      </c>
      <c r="G21" s="9">
        <f>'Macao Daily'!F24</f>
        <v>173</v>
      </c>
      <c r="H21" s="32">
        <v>7.78</v>
      </c>
      <c r="I21" s="9">
        <f>'Macao Daily'!H24</f>
        <v>37148</v>
      </c>
      <c r="J21" s="32">
        <v>0.19</v>
      </c>
      <c r="K21" s="9">
        <f>'Macao Daily'!J24</f>
        <v>0</v>
      </c>
      <c r="L21" s="32">
        <v>7.7615999999999996</v>
      </c>
      <c r="M21" s="9">
        <f>'Macao Daily'!K24</f>
        <v>121</v>
      </c>
      <c r="N21" s="9">
        <f>'Macao Daily'!L24</f>
        <v>182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2021</v>
      </c>
      <c r="E22" s="9">
        <f>'Macao Daily'!D25</f>
        <v>31776</v>
      </c>
      <c r="F22" s="32">
        <v>1.1423000000000001</v>
      </c>
      <c r="G22" s="9">
        <f>'Macao Daily'!F25</f>
        <v>157</v>
      </c>
      <c r="H22" s="32">
        <v>7.78</v>
      </c>
      <c r="I22" s="9">
        <f>'Macao Daily'!H25</f>
        <v>41411</v>
      </c>
      <c r="J22" s="32">
        <v>0.19</v>
      </c>
      <c r="K22" s="9">
        <f>'Macao Daily'!J25</f>
        <v>0</v>
      </c>
      <c r="L22" s="32">
        <v>7.7615999999999996</v>
      </c>
      <c r="M22" s="9">
        <f>'Macao Daily'!K25</f>
        <v>124</v>
      </c>
      <c r="N22" s="9">
        <f>'Macao Daily'!L25</f>
        <v>213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2021</v>
      </c>
      <c r="E23" s="9">
        <f>'Macao Daily'!D26</f>
        <v>33102</v>
      </c>
      <c r="F23" s="32">
        <v>1.1423000000000001</v>
      </c>
      <c r="G23" s="9">
        <f>'Macao Daily'!F26</f>
        <v>164</v>
      </c>
      <c r="H23" s="32">
        <v>7.78</v>
      </c>
      <c r="I23" s="9">
        <f>'Macao Daily'!H26</f>
        <v>44068</v>
      </c>
      <c r="J23" s="32">
        <v>0.19</v>
      </c>
      <c r="K23" s="9">
        <f>'Macao Daily'!J26</f>
        <v>0</v>
      </c>
      <c r="L23" s="32">
        <v>7.7615999999999996</v>
      </c>
      <c r="M23" s="9">
        <f>'Macao Daily'!K26</f>
        <v>144</v>
      </c>
      <c r="N23" s="9">
        <f>'Macao Daily'!L26</f>
        <v>217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2021</v>
      </c>
      <c r="E24" s="9">
        <f>'Macao Daily'!D27</f>
        <v>34023</v>
      </c>
      <c r="F24" s="32">
        <v>1.1423000000000001</v>
      </c>
      <c r="G24" s="9">
        <f>'Macao Daily'!F27</f>
        <v>183</v>
      </c>
      <c r="H24" s="32">
        <v>7.78</v>
      </c>
      <c r="I24" s="9">
        <f>'Macao Daily'!H27</f>
        <v>53568</v>
      </c>
      <c r="J24" s="32">
        <v>0.19</v>
      </c>
      <c r="K24" s="9">
        <f>'Macao Daily'!J27</f>
        <v>0</v>
      </c>
      <c r="L24" s="32">
        <v>7.7615999999999996</v>
      </c>
      <c r="M24" s="9">
        <f>'Macao Daily'!K27</f>
        <v>206</v>
      </c>
      <c r="N24" s="9">
        <f>'Macao Daily'!L27</f>
        <v>324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2021</v>
      </c>
      <c r="E25" s="9">
        <f>'Macao Daily'!D28</f>
        <v>33234</v>
      </c>
      <c r="F25" s="32">
        <v>1.1423000000000001</v>
      </c>
      <c r="G25" s="9">
        <f>'Macao Daily'!F28</f>
        <v>191</v>
      </c>
      <c r="H25" s="32">
        <v>7.78</v>
      </c>
      <c r="I25" s="9">
        <f>'Macao Daily'!H28</f>
        <v>51609</v>
      </c>
      <c r="J25" s="32">
        <v>0.19</v>
      </c>
      <c r="K25" s="9">
        <f>'Macao Daily'!J28</f>
        <v>0</v>
      </c>
      <c r="L25" s="32">
        <v>7.7615999999999996</v>
      </c>
      <c r="M25" s="9">
        <f>'Macao Daily'!K28</f>
        <v>198</v>
      </c>
      <c r="N25" s="9">
        <f>'Macao Daily'!L28</f>
        <v>573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2021</v>
      </c>
      <c r="E26" s="9">
        <f>'Macao Daily'!D29</f>
        <v>35638</v>
      </c>
      <c r="F26" s="32">
        <v>1.1423000000000001</v>
      </c>
      <c r="G26" s="9">
        <f>'Macao Daily'!F29</f>
        <v>195</v>
      </c>
      <c r="H26" s="32">
        <v>7.78</v>
      </c>
      <c r="I26" s="9">
        <f>'Macao Daily'!H29</f>
        <v>55774</v>
      </c>
      <c r="J26" s="32">
        <v>0.19</v>
      </c>
      <c r="K26" s="9">
        <f>'Macao Daily'!J29</f>
        <v>0</v>
      </c>
      <c r="L26" s="32">
        <v>7.7615999999999996</v>
      </c>
      <c r="M26" s="9">
        <f>'Macao Daily'!K29</f>
        <v>157</v>
      </c>
      <c r="N26" s="9">
        <f>'Macao Daily'!L29</f>
        <v>499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2021</v>
      </c>
      <c r="E27" s="9">
        <f>'Macao Daily'!D30</f>
        <v>31232</v>
      </c>
      <c r="F27" s="32">
        <v>1.1423000000000001</v>
      </c>
      <c r="G27" s="9">
        <f>'Macao Daily'!F30</f>
        <v>179</v>
      </c>
      <c r="H27" s="32">
        <v>7.78</v>
      </c>
      <c r="I27" s="9">
        <f>'Macao Daily'!H30</f>
        <v>40125</v>
      </c>
      <c r="J27" s="32">
        <v>0.19</v>
      </c>
      <c r="K27" s="9">
        <f>'Macao Daily'!J30</f>
        <v>0</v>
      </c>
      <c r="L27" s="32">
        <v>7.7615999999999996</v>
      </c>
      <c r="M27" s="9">
        <f>'Macao Daily'!K30</f>
        <v>151</v>
      </c>
      <c r="N27" s="9">
        <f>'Macao Daily'!L30</f>
        <v>284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2021</v>
      </c>
      <c r="E28" s="9">
        <f>'Macao Daily'!D31</f>
        <v>37635</v>
      </c>
      <c r="F28" s="32">
        <v>1.1423000000000001</v>
      </c>
      <c r="G28" s="9">
        <f>'Macao Daily'!F31</f>
        <v>158</v>
      </c>
      <c r="H28" s="32">
        <v>7.78</v>
      </c>
      <c r="I28" s="9">
        <f>'Macao Daily'!H31</f>
        <v>55000</v>
      </c>
      <c r="J28" s="32">
        <v>0.19</v>
      </c>
      <c r="K28" s="9">
        <f>'Macao Daily'!J31</f>
        <v>0</v>
      </c>
      <c r="L28" s="32">
        <v>7.7615999999999996</v>
      </c>
      <c r="M28" s="9">
        <f>'Macao Daily'!K31</f>
        <v>171</v>
      </c>
      <c r="N28" s="9">
        <f>'Macao Daily'!L31</f>
        <v>232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2021</v>
      </c>
      <c r="E29" s="9">
        <f>'Macao Daily'!D32</f>
        <v>30924</v>
      </c>
      <c r="F29" s="32">
        <v>1.1423000000000001</v>
      </c>
      <c r="G29" s="9">
        <f>'Macao Daily'!F32</f>
        <v>158</v>
      </c>
      <c r="H29" s="32">
        <v>7.78</v>
      </c>
      <c r="I29" s="9">
        <f>'Macao Daily'!H32</f>
        <v>42492</v>
      </c>
      <c r="J29" s="32">
        <v>0.19</v>
      </c>
      <c r="K29" s="9">
        <f>'Macao Daily'!J32</f>
        <v>0</v>
      </c>
      <c r="L29" s="32">
        <v>7.7615999999999996</v>
      </c>
      <c r="M29" s="9">
        <f>'Macao Daily'!K32</f>
        <v>180</v>
      </c>
      <c r="N29" s="9">
        <f>'Macao Daily'!L32</f>
        <v>273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2021</v>
      </c>
      <c r="E30" s="9">
        <f>'Macao Daily'!D33</f>
        <v>30917</v>
      </c>
      <c r="F30" s="32">
        <v>1.1423000000000001</v>
      </c>
      <c r="G30" s="9">
        <f>'Macao Daily'!F33</f>
        <v>176</v>
      </c>
      <c r="H30" s="32">
        <v>7.78</v>
      </c>
      <c r="I30" s="9">
        <f>'Macao Daily'!H33</f>
        <v>42937</v>
      </c>
      <c r="J30" s="32">
        <v>0.19</v>
      </c>
      <c r="K30" s="9">
        <f>'Macao Daily'!J33</f>
        <v>0</v>
      </c>
      <c r="L30" s="32">
        <v>7.7615999999999996</v>
      </c>
      <c r="M30" s="9">
        <f>'Macao Daily'!K33</f>
        <v>180</v>
      </c>
      <c r="N30" s="9">
        <f>'Macao Daily'!L33</f>
        <v>261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2021</v>
      </c>
      <c r="E31" s="9">
        <f>'Macao Daily'!D34</f>
        <v>33919</v>
      </c>
      <c r="F31" s="32">
        <v>1.1423000000000001</v>
      </c>
      <c r="G31" s="9">
        <f>'Macao Daily'!F34</f>
        <v>196</v>
      </c>
      <c r="H31" s="32">
        <v>7.78</v>
      </c>
      <c r="I31" s="9">
        <f>'Macao Daily'!H34</f>
        <v>45422</v>
      </c>
      <c r="J31" s="32">
        <v>0.19</v>
      </c>
      <c r="K31" s="9">
        <f>'Macao Daily'!J34</f>
        <v>0</v>
      </c>
      <c r="L31" s="32">
        <v>7.7615999999999996</v>
      </c>
      <c r="M31" s="9">
        <f>'Macao Daily'!K34</f>
        <v>298</v>
      </c>
      <c r="N31" s="9">
        <f>'Macao Daily'!L34</f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6"/>
  <sheetViews>
    <sheetView tabSelected="1" zoomScale="85" zoomScaleNormal="85" workbookViewId="0">
      <pane xSplit="1" topLeftCell="B1" activePane="topRight" state="frozen"/>
      <selection pane="topRight" activeCell="F5" sqref="F5:F34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2" ht="35.25" customHeight="1" thickBot="1" x14ac:dyDescent="0.3">
      <c r="A2" s="14" t="s">
        <v>14</v>
      </c>
      <c r="B2" s="35"/>
      <c r="C2" s="37" t="s">
        <v>15</v>
      </c>
      <c r="D2" s="38"/>
      <c r="E2" s="39" t="s">
        <v>16</v>
      </c>
      <c r="F2" s="39"/>
      <c r="G2" s="42" t="s">
        <v>17</v>
      </c>
      <c r="H2" s="43"/>
      <c r="I2" s="40" t="s">
        <v>18</v>
      </c>
      <c r="J2" s="41"/>
      <c r="K2" s="15"/>
      <c r="L2" s="15"/>
    </row>
    <row r="3" spans="1:12" ht="44.25" customHeight="1" x14ac:dyDescent="0.25">
      <c r="A3" s="16" t="s">
        <v>19</v>
      </c>
      <c r="B3" s="35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44286</v>
      </c>
      <c r="B4" s="35"/>
      <c r="C4" s="25">
        <v>149314104</v>
      </c>
      <c r="D4" s="26"/>
      <c r="E4" s="25">
        <v>535899.99999999744</v>
      </c>
      <c r="F4" s="26"/>
      <c r="G4" s="25">
        <v>96307199</v>
      </c>
      <c r="H4" s="26"/>
      <c r="I4" s="25">
        <v>0</v>
      </c>
      <c r="J4" s="26"/>
      <c r="K4" s="33">
        <v>172</v>
      </c>
      <c r="L4" s="33">
        <v>248</v>
      </c>
    </row>
    <row r="5" spans="1:12" ht="33" customHeight="1" x14ac:dyDescent="0.25">
      <c r="A5" s="24">
        <v>44287</v>
      </c>
      <c r="B5" s="35"/>
      <c r="C5" s="25">
        <v>149347022</v>
      </c>
      <c r="D5" s="26">
        <f t="shared" ref="D5:D19" si="0">IF((C5-C4&lt;0), "0",C5-C4)</f>
        <v>32918</v>
      </c>
      <c r="E5" s="25">
        <v>536080.99999999744</v>
      </c>
      <c r="F5" s="26">
        <f>IF((E5-E4&lt;0), "0",E5-E4)</f>
        <v>181</v>
      </c>
      <c r="G5" s="25">
        <v>96357878</v>
      </c>
      <c r="H5" s="26">
        <f>IF((G5-G4&lt;0), "0",G5-G4)</f>
        <v>50679</v>
      </c>
      <c r="I5" s="25">
        <v>0</v>
      </c>
      <c r="J5" s="26">
        <f>IF((I5-I4&lt;0), "0",I5-I4)</f>
        <v>0</v>
      </c>
      <c r="K5" s="33">
        <v>132</v>
      </c>
      <c r="L5" s="33">
        <v>303</v>
      </c>
    </row>
    <row r="6" spans="1:12" ht="45" customHeight="1" x14ac:dyDescent="0.25">
      <c r="A6" s="24">
        <v>44288</v>
      </c>
      <c r="B6" s="35"/>
      <c r="C6" s="25">
        <v>149380234</v>
      </c>
      <c r="D6" s="26">
        <f t="shared" si="0"/>
        <v>33212</v>
      </c>
      <c r="E6" s="25">
        <v>536280.99999999744</v>
      </c>
      <c r="F6" s="26">
        <f t="shared" ref="F6:F19" si="1">IF((E6-E5&lt;0), "0",E6-E5)</f>
        <v>200</v>
      </c>
      <c r="G6" s="25">
        <v>96412652</v>
      </c>
      <c r="H6" s="26">
        <f t="shared" ref="H6:H32" si="2">IF((G6-G5&lt;0), "0",G6-G5)</f>
        <v>54774</v>
      </c>
      <c r="I6" s="25">
        <v>0</v>
      </c>
      <c r="J6" s="26">
        <f t="shared" ref="J6:J32" si="3">IF((I6-I5&lt;0), "0",I6-I5)</f>
        <v>0</v>
      </c>
      <c r="K6" s="33">
        <v>178</v>
      </c>
      <c r="L6" s="33">
        <v>427</v>
      </c>
    </row>
    <row r="7" spans="1:12" ht="45" customHeight="1" x14ac:dyDescent="0.25">
      <c r="A7" s="24">
        <v>44289</v>
      </c>
      <c r="B7" s="35"/>
      <c r="C7" s="25">
        <v>149415573</v>
      </c>
      <c r="D7" s="26">
        <f t="shared" si="0"/>
        <v>35339</v>
      </c>
      <c r="E7" s="25">
        <v>536476.99999999744</v>
      </c>
      <c r="F7" s="26">
        <f t="shared" si="1"/>
        <v>196</v>
      </c>
      <c r="G7" s="25">
        <v>96467628</v>
      </c>
      <c r="H7" s="26">
        <f t="shared" si="2"/>
        <v>54976</v>
      </c>
      <c r="I7" s="25">
        <v>0</v>
      </c>
      <c r="J7" s="26">
        <f t="shared" si="3"/>
        <v>0</v>
      </c>
      <c r="K7" s="33">
        <v>318</v>
      </c>
      <c r="L7" s="33">
        <v>565</v>
      </c>
    </row>
    <row r="8" spans="1:12" ht="45" customHeight="1" x14ac:dyDescent="0.25">
      <c r="A8" s="24">
        <v>44290</v>
      </c>
      <c r="B8" s="35"/>
      <c r="C8" s="25">
        <v>149448477</v>
      </c>
      <c r="D8" s="26">
        <f t="shared" si="0"/>
        <v>32904</v>
      </c>
      <c r="E8" s="25">
        <v>536685.99999999744</v>
      </c>
      <c r="F8" s="26">
        <f t="shared" si="1"/>
        <v>209</v>
      </c>
      <c r="G8" s="25">
        <v>96514027</v>
      </c>
      <c r="H8" s="26">
        <f t="shared" si="2"/>
        <v>46399</v>
      </c>
      <c r="I8" s="25">
        <v>0</v>
      </c>
      <c r="J8" s="26">
        <f t="shared" si="3"/>
        <v>0</v>
      </c>
      <c r="K8" s="33">
        <v>222</v>
      </c>
      <c r="L8" s="33">
        <v>685</v>
      </c>
    </row>
    <row r="9" spans="1:12" ht="45" customHeight="1" x14ac:dyDescent="0.25">
      <c r="A9" s="24">
        <v>44291</v>
      </c>
      <c r="B9" s="35"/>
      <c r="C9" s="25">
        <v>149481903</v>
      </c>
      <c r="D9" s="26">
        <f t="shared" si="0"/>
        <v>33426</v>
      </c>
      <c r="E9" s="25">
        <v>536880.99999999744</v>
      </c>
      <c r="F9" s="26">
        <f t="shared" si="1"/>
        <v>195</v>
      </c>
      <c r="G9" s="25">
        <v>96553613</v>
      </c>
      <c r="H9" s="26">
        <f t="shared" si="2"/>
        <v>39586</v>
      </c>
      <c r="I9" s="25">
        <v>0</v>
      </c>
      <c r="J9" s="26">
        <f t="shared" si="3"/>
        <v>0</v>
      </c>
      <c r="K9" s="33">
        <v>122</v>
      </c>
      <c r="L9" s="33">
        <v>490</v>
      </c>
    </row>
    <row r="10" spans="1:12" ht="45" customHeight="1" x14ac:dyDescent="0.25">
      <c r="A10" s="24">
        <v>44292</v>
      </c>
      <c r="B10" s="35"/>
      <c r="C10" s="25">
        <v>149512206</v>
      </c>
      <c r="D10" s="26">
        <f t="shared" si="0"/>
        <v>30303</v>
      </c>
      <c r="E10" s="25">
        <v>537047.99999999744</v>
      </c>
      <c r="F10" s="26">
        <f t="shared" si="1"/>
        <v>167</v>
      </c>
      <c r="G10" s="25">
        <v>96592019</v>
      </c>
      <c r="H10" s="26">
        <f t="shared" si="2"/>
        <v>38406</v>
      </c>
      <c r="I10" s="25">
        <v>0</v>
      </c>
      <c r="J10" s="26">
        <f t="shared" si="3"/>
        <v>0</v>
      </c>
      <c r="K10" s="33">
        <v>71</v>
      </c>
      <c r="L10" s="33">
        <v>264</v>
      </c>
    </row>
    <row r="11" spans="1:12" ht="45" customHeight="1" x14ac:dyDescent="0.25">
      <c r="A11" s="24">
        <v>44293</v>
      </c>
      <c r="B11" s="35"/>
      <c r="C11" s="25">
        <v>149542490</v>
      </c>
      <c r="D11" s="26">
        <f t="shared" si="0"/>
        <v>30284</v>
      </c>
      <c r="E11" s="25">
        <v>537209.99999999744</v>
      </c>
      <c r="F11" s="26">
        <f t="shared" si="1"/>
        <v>162</v>
      </c>
      <c r="G11" s="25">
        <v>96628722</v>
      </c>
      <c r="H11" s="26">
        <f t="shared" si="2"/>
        <v>36703</v>
      </c>
      <c r="I11" s="25">
        <v>0</v>
      </c>
      <c r="J11" s="26">
        <f t="shared" si="3"/>
        <v>0</v>
      </c>
      <c r="K11" s="33">
        <v>75</v>
      </c>
      <c r="L11" s="33">
        <v>190</v>
      </c>
    </row>
    <row r="12" spans="1:12" ht="45" customHeight="1" x14ac:dyDescent="0.25">
      <c r="A12" s="24">
        <v>44294</v>
      </c>
      <c r="B12" s="35"/>
      <c r="C12" s="25">
        <v>149574067</v>
      </c>
      <c r="D12" s="26">
        <f t="shared" si="0"/>
        <v>31577</v>
      </c>
      <c r="E12" s="25">
        <v>537384.99999999744</v>
      </c>
      <c r="F12" s="26">
        <f t="shared" si="1"/>
        <v>175</v>
      </c>
      <c r="G12" s="25">
        <v>96664292</v>
      </c>
      <c r="H12" s="26">
        <f t="shared" si="2"/>
        <v>35570</v>
      </c>
      <c r="I12" s="25">
        <v>0</v>
      </c>
      <c r="J12" s="26">
        <f t="shared" si="3"/>
        <v>0</v>
      </c>
      <c r="K12" s="33">
        <v>123</v>
      </c>
      <c r="L12" s="33">
        <v>148</v>
      </c>
    </row>
    <row r="13" spans="1:12" ht="45" customHeight="1" x14ac:dyDescent="0.25">
      <c r="A13" s="24">
        <v>44295</v>
      </c>
      <c r="B13" s="35"/>
      <c r="C13" s="25">
        <v>149606536</v>
      </c>
      <c r="D13" s="26">
        <f t="shared" si="0"/>
        <v>32469</v>
      </c>
      <c r="E13" s="25">
        <v>537576.99999999744</v>
      </c>
      <c r="F13" s="26">
        <f t="shared" si="1"/>
        <v>192</v>
      </c>
      <c r="G13" s="25">
        <v>96695488</v>
      </c>
      <c r="H13" s="26">
        <f t="shared" si="2"/>
        <v>31196</v>
      </c>
      <c r="I13" s="25">
        <v>0</v>
      </c>
      <c r="J13" s="26">
        <f t="shared" si="3"/>
        <v>0</v>
      </c>
      <c r="K13" s="33">
        <v>181</v>
      </c>
      <c r="L13" s="33">
        <v>294</v>
      </c>
    </row>
    <row r="14" spans="1:12" ht="45" customHeight="1" x14ac:dyDescent="0.25">
      <c r="A14" s="24">
        <v>44296</v>
      </c>
      <c r="B14" s="35"/>
      <c r="C14" s="25">
        <v>149640537</v>
      </c>
      <c r="D14" s="26">
        <f t="shared" si="0"/>
        <v>34001</v>
      </c>
      <c r="E14" s="25">
        <v>537768.99999999744</v>
      </c>
      <c r="F14" s="26">
        <f t="shared" si="1"/>
        <v>192</v>
      </c>
      <c r="G14" s="25">
        <v>96727972</v>
      </c>
      <c r="H14" s="26">
        <f t="shared" si="2"/>
        <v>32484</v>
      </c>
      <c r="I14" s="25">
        <v>0</v>
      </c>
      <c r="J14" s="26">
        <f t="shared" si="3"/>
        <v>0</v>
      </c>
      <c r="K14" s="33">
        <v>171</v>
      </c>
      <c r="L14" s="33">
        <v>706</v>
      </c>
    </row>
    <row r="15" spans="1:12" ht="45" customHeight="1" x14ac:dyDescent="0.25">
      <c r="A15" s="24">
        <v>44297</v>
      </c>
      <c r="B15" s="35"/>
      <c r="C15" s="25">
        <v>149673570</v>
      </c>
      <c r="D15" s="26">
        <f t="shared" si="0"/>
        <v>33033</v>
      </c>
      <c r="E15" s="25">
        <v>537958.99999999744</v>
      </c>
      <c r="F15" s="26">
        <f t="shared" si="1"/>
        <v>190</v>
      </c>
      <c r="G15" s="25">
        <v>96767449</v>
      </c>
      <c r="H15" s="26">
        <f t="shared" si="2"/>
        <v>39477</v>
      </c>
      <c r="I15" s="25">
        <v>0</v>
      </c>
      <c r="J15" s="26">
        <f t="shared" si="3"/>
        <v>0</v>
      </c>
      <c r="K15" s="33">
        <v>121</v>
      </c>
      <c r="L15" s="33">
        <v>536</v>
      </c>
    </row>
    <row r="16" spans="1:12" ht="45" customHeight="1" x14ac:dyDescent="0.25">
      <c r="A16" s="24">
        <v>44298</v>
      </c>
      <c r="B16" s="35"/>
      <c r="C16" s="25">
        <v>149705856</v>
      </c>
      <c r="D16" s="26">
        <f t="shared" si="0"/>
        <v>32286</v>
      </c>
      <c r="E16" s="25">
        <v>538135.99999999744</v>
      </c>
      <c r="F16" s="26">
        <f t="shared" si="1"/>
        <v>177</v>
      </c>
      <c r="G16" s="25">
        <v>96811386</v>
      </c>
      <c r="H16" s="26">
        <f t="shared" si="2"/>
        <v>43937</v>
      </c>
      <c r="I16" s="25">
        <v>0</v>
      </c>
      <c r="J16" s="26">
        <f t="shared" si="3"/>
        <v>0</v>
      </c>
      <c r="K16" s="33">
        <v>88</v>
      </c>
      <c r="L16" s="33">
        <v>191</v>
      </c>
    </row>
    <row r="17" spans="1:12" ht="45" customHeight="1" x14ac:dyDescent="0.25">
      <c r="A17" s="24">
        <v>44299</v>
      </c>
      <c r="B17" s="35"/>
      <c r="C17" s="25">
        <v>149737552</v>
      </c>
      <c r="D17" s="26">
        <f t="shared" si="0"/>
        <v>31696</v>
      </c>
      <c r="E17" s="25">
        <v>538293.99999999744</v>
      </c>
      <c r="F17" s="26">
        <f t="shared" si="1"/>
        <v>158</v>
      </c>
      <c r="G17" s="25">
        <v>96856402</v>
      </c>
      <c r="H17" s="26">
        <f t="shared" si="2"/>
        <v>45016</v>
      </c>
      <c r="I17" s="25">
        <v>0</v>
      </c>
      <c r="J17" s="26">
        <f t="shared" si="3"/>
        <v>0</v>
      </c>
      <c r="K17" s="33">
        <v>104</v>
      </c>
      <c r="L17" s="33">
        <v>142</v>
      </c>
    </row>
    <row r="18" spans="1:12" ht="45" customHeight="1" x14ac:dyDescent="0.25">
      <c r="A18" s="24">
        <v>44300</v>
      </c>
      <c r="B18" s="35"/>
      <c r="C18" s="25">
        <v>149769647</v>
      </c>
      <c r="D18" s="26">
        <f t="shared" si="0"/>
        <v>32095</v>
      </c>
      <c r="E18" s="25">
        <v>538453.99999999744</v>
      </c>
      <c r="F18" s="26">
        <f t="shared" si="1"/>
        <v>160</v>
      </c>
      <c r="G18" s="25">
        <v>96901339</v>
      </c>
      <c r="H18" s="26">
        <f t="shared" si="2"/>
        <v>44937</v>
      </c>
      <c r="I18" s="25">
        <v>0</v>
      </c>
      <c r="J18" s="26">
        <f t="shared" si="3"/>
        <v>0</v>
      </c>
      <c r="K18" s="33">
        <v>114</v>
      </c>
      <c r="L18" s="33">
        <v>234</v>
      </c>
    </row>
    <row r="19" spans="1:12" ht="45" customHeight="1" x14ac:dyDescent="0.25">
      <c r="A19" s="24">
        <v>44301</v>
      </c>
      <c r="B19" s="35"/>
      <c r="C19" s="25">
        <v>149801709</v>
      </c>
      <c r="D19" s="26">
        <f t="shared" si="0"/>
        <v>32062</v>
      </c>
      <c r="E19" s="25">
        <v>538620.99999999744</v>
      </c>
      <c r="F19" s="26">
        <f t="shared" si="1"/>
        <v>167</v>
      </c>
      <c r="G19" s="25">
        <v>96942183</v>
      </c>
      <c r="H19" s="26">
        <f t="shared" si="2"/>
        <v>40844</v>
      </c>
      <c r="I19" s="25">
        <v>0</v>
      </c>
      <c r="J19" s="26">
        <f t="shared" si="3"/>
        <v>0</v>
      </c>
      <c r="K19" s="33">
        <v>134</v>
      </c>
      <c r="L19" s="33">
        <v>247</v>
      </c>
    </row>
    <row r="20" spans="1:12" ht="45" customHeight="1" x14ac:dyDescent="0.25">
      <c r="A20" s="24">
        <v>44302</v>
      </c>
      <c r="B20" s="35"/>
      <c r="C20" s="25">
        <v>149834374</v>
      </c>
      <c r="D20" s="26">
        <f t="shared" ref="D20:D32" si="4">IF((C20-C19&lt;0), "0",C20-C19)</f>
        <v>32665</v>
      </c>
      <c r="E20" s="25">
        <v>538803.99999999744</v>
      </c>
      <c r="F20" s="26">
        <f t="shared" ref="F20:F32" si="5">IF((E20-E19&lt;0), "0",E20-E19)</f>
        <v>183</v>
      </c>
      <c r="G20" s="25">
        <v>96985339</v>
      </c>
      <c r="H20" s="26">
        <f t="shared" si="2"/>
        <v>43156</v>
      </c>
      <c r="I20" s="25">
        <v>0</v>
      </c>
      <c r="J20" s="26">
        <f t="shared" si="3"/>
        <v>0</v>
      </c>
      <c r="K20" s="33">
        <v>191</v>
      </c>
      <c r="L20" s="33">
        <v>343</v>
      </c>
    </row>
    <row r="21" spans="1:12" ht="45" customHeight="1" x14ac:dyDescent="0.25">
      <c r="A21" s="24">
        <v>44303</v>
      </c>
      <c r="B21" s="35"/>
      <c r="C21" s="25">
        <v>149869208</v>
      </c>
      <c r="D21" s="26">
        <f t="shared" si="4"/>
        <v>34834</v>
      </c>
      <c r="E21" s="25">
        <v>539004.99999999744</v>
      </c>
      <c r="F21" s="26">
        <f t="shared" si="5"/>
        <v>201</v>
      </c>
      <c r="G21" s="25">
        <v>97028878</v>
      </c>
      <c r="H21" s="26">
        <f t="shared" si="2"/>
        <v>43539</v>
      </c>
      <c r="I21" s="25">
        <v>0</v>
      </c>
      <c r="J21" s="26">
        <f t="shared" si="3"/>
        <v>0</v>
      </c>
      <c r="K21" s="33">
        <v>220</v>
      </c>
      <c r="L21" s="33">
        <v>569</v>
      </c>
    </row>
    <row r="22" spans="1:12" ht="45" customHeight="1" x14ac:dyDescent="0.25">
      <c r="A22" s="24">
        <v>44304</v>
      </c>
      <c r="B22" s="35"/>
      <c r="C22" s="25">
        <v>149899830</v>
      </c>
      <c r="D22" s="26">
        <f t="shared" si="4"/>
        <v>30622</v>
      </c>
      <c r="E22" s="25">
        <v>539190.99999999744</v>
      </c>
      <c r="F22" s="26">
        <f t="shared" si="5"/>
        <v>186</v>
      </c>
      <c r="G22" s="25">
        <v>97063534</v>
      </c>
      <c r="H22" s="26">
        <f t="shared" si="2"/>
        <v>34656</v>
      </c>
      <c r="I22" s="25">
        <v>0</v>
      </c>
      <c r="J22" s="26">
        <f t="shared" si="3"/>
        <v>0</v>
      </c>
      <c r="K22" s="33">
        <v>142</v>
      </c>
      <c r="L22" s="33">
        <v>603</v>
      </c>
    </row>
    <row r="23" spans="1:12" ht="45" customHeight="1" x14ac:dyDescent="0.25">
      <c r="A23" s="24">
        <v>44305</v>
      </c>
      <c r="B23" s="35"/>
      <c r="C23" s="25">
        <v>149933618</v>
      </c>
      <c r="D23" s="26">
        <f t="shared" si="4"/>
        <v>33788</v>
      </c>
      <c r="E23" s="25">
        <v>539371.99999999744</v>
      </c>
      <c r="F23" s="26">
        <f t="shared" si="5"/>
        <v>181</v>
      </c>
      <c r="G23" s="25">
        <v>97099824</v>
      </c>
      <c r="H23" s="26">
        <f t="shared" si="2"/>
        <v>36290</v>
      </c>
      <c r="I23" s="25">
        <v>0</v>
      </c>
      <c r="J23" s="26">
        <f t="shared" si="3"/>
        <v>0</v>
      </c>
      <c r="K23" s="33">
        <v>123</v>
      </c>
      <c r="L23" s="33">
        <v>235</v>
      </c>
    </row>
    <row r="24" spans="1:12" ht="45" customHeight="1" x14ac:dyDescent="0.25">
      <c r="A24" s="24">
        <v>44306</v>
      </c>
      <c r="B24" s="35"/>
      <c r="C24" s="25">
        <v>149965307</v>
      </c>
      <c r="D24" s="26">
        <f t="shared" si="4"/>
        <v>31689</v>
      </c>
      <c r="E24" s="25">
        <v>539544.99999999744</v>
      </c>
      <c r="F24" s="26">
        <f t="shared" si="5"/>
        <v>173</v>
      </c>
      <c r="G24" s="25">
        <v>97136972</v>
      </c>
      <c r="H24" s="26">
        <f t="shared" si="2"/>
        <v>37148</v>
      </c>
      <c r="I24" s="25">
        <v>0</v>
      </c>
      <c r="J24" s="26">
        <f t="shared" si="3"/>
        <v>0</v>
      </c>
      <c r="K24" s="33">
        <v>121</v>
      </c>
      <c r="L24" s="33">
        <v>182</v>
      </c>
    </row>
    <row r="25" spans="1:12" ht="45" customHeight="1" x14ac:dyDescent="0.25">
      <c r="A25" s="24">
        <v>44307</v>
      </c>
      <c r="B25" s="35"/>
      <c r="C25" s="25">
        <v>149997083</v>
      </c>
      <c r="D25" s="26">
        <f t="shared" si="4"/>
        <v>31776</v>
      </c>
      <c r="E25" s="25">
        <v>539701.99999999744</v>
      </c>
      <c r="F25" s="26">
        <f t="shared" si="5"/>
        <v>157</v>
      </c>
      <c r="G25" s="25">
        <v>97178383</v>
      </c>
      <c r="H25" s="26">
        <f t="shared" si="2"/>
        <v>41411</v>
      </c>
      <c r="I25" s="25">
        <v>0</v>
      </c>
      <c r="J25" s="26">
        <f t="shared" si="3"/>
        <v>0</v>
      </c>
      <c r="K25" s="33">
        <v>124</v>
      </c>
      <c r="L25" s="33">
        <v>213</v>
      </c>
    </row>
    <row r="26" spans="1:12" ht="45" customHeight="1" x14ac:dyDescent="0.25">
      <c r="A26" s="24">
        <v>44308</v>
      </c>
      <c r="B26" s="35"/>
      <c r="C26" s="25">
        <v>150030185</v>
      </c>
      <c r="D26" s="26">
        <f t="shared" si="4"/>
        <v>33102</v>
      </c>
      <c r="E26" s="25">
        <v>539865.99999999744</v>
      </c>
      <c r="F26" s="26">
        <f t="shared" si="5"/>
        <v>164</v>
      </c>
      <c r="G26" s="25">
        <v>97222451</v>
      </c>
      <c r="H26" s="26">
        <f t="shared" si="2"/>
        <v>44068</v>
      </c>
      <c r="I26" s="25">
        <v>0</v>
      </c>
      <c r="J26" s="26">
        <f t="shared" si="3"/>
        <v>0</v>
      </c>
      <c r="K26" s="33">
        <v>144</v>
      </c>
      <c r="L26" s="33">
        <v>217</v>
      </c>
    </row>
    <row r="27" spans="1:12" ht="45" customHeight="1" x14ac:dyDescent="0.25">
      <c r="A27" s="24">
        <v>44309</v>
      </c>
      <c r="B27" s="35"/>
      <c r="C27" s="25">
        <v>150064208</v>
      </c>
      <c r="D27" s="26">
        <f t="shared" si="4"/>
        <v>34023</v>
      </c>
      <c r="E27" s="25">
        <v>540048.99999999744</v>
      </c>
      <c r="F27" s="26">
        <f t="shared" si="5"/>
        <v>183</v>
      </c>
      <c r="G27" s="25">
        <v>97276019</v>
      </c>
      <c r="H27" s="26">
        <f t="shared" si="2"/>
        <v>53568</v>
      </c>
      <c r="I27" s="25">
        <v>0</v>
      </c>
      <c r="J27" s="26">
        <f t="shared" si="3"/>
        <v>0</v>
      </c>
      <c r="K27" s="33">
        <v>206</v>
      </c>
      <c r="L27" s="33">
        <v>324</v>
      </c>
    </row>
    <row r="28" spans="1:12" ht="45" customHeight="1" x14ac:dyDescent="0.25">
      <c r="A28" s="24">
        <v>44310</v>
      </c>
      <c r="B28" s="35"/>
      <c r="C28" s="25">
        <v>150097442</v>
      </c>
      <c r="D28" s="26">
        <f t="shared" si="4"/>
        <v>33234</v>
      </c>
      <c r="E28" s="25">
        <v>540239.99999999744</v>
      </c>
      <c r="F28" s="26">
        <f t="shared" si="5"/>
        <v>191</v>
      </c>
      <c r="G28" s="25">
        <v>97327628</v>
      </c>
      <c r="H28" s="26">
        <f t="shared" si="2"/>
        <v>51609</v>
      </c>
      <c r="I28" s="25">
        <v>0</v>
      </c>
      <c r="J28" s="26">
        <f t="shared" si="3"/>
        <v>0</v>
      </c>
      <c r="K28" s="33">
        <v>198</v>
      </c>
      <c r="L28" s="33">
        <v>573</v>
      </c>
    </row>
    <row r="29" spans="1:12" ht="45" customHeight="1" x14ac:dyDescent="0.25">
      <c r="A29" s="24">
        <v>44311</v>
      </c>
      <c r="B29" s="35"/>
      <c r="C29" s="25">
        <v>150133080</v>
      </c>
      <c r="D29" s="26">
        <f t="shared" si="4"/>
        <v>35638</v>
      </c>
      <c r="E29" s="25">
        <v>540434.99999999744</v>
      </c>
      <c r="F29" s="26">
        <f t="shared" si="5"/>
        <v>195</v>
      </c>
      <c r="G29" s="25">
        <v>97383402</v>
      </c>
      <c r="H29" s="26">
        <f t="shared" si="2"/>
        <v>55774</v>
      </c>
      <c r="I29" s="25">
        <v>0</v>
      </c>
      <c r="J29" s="26">
        <f t="shared" si="3"/>
        <v>0</v>
      </c>
      <c r="K29" s="33">
        <v>157</v>
      </c>
      <c r="L29" s="33">
        <v>499</v>
      </c>
    </row>
    <row r="30" spans="1:12" ht="45" customHeight="1" x14ac:dyDescent="0.25">
      <c r="A30" s="24">
        <v>44312</v>
      </c>
      <c r="B30" s="35"/>
      <c r="C30" s="25">
        <v>150164312</v>
      </c>
      <c r="D30" s="26">
        <f t="shared" si="4"/>
        <v>31232</v>
      </c>
      <c r="E30" s="25">
        <v>540613.99999999744</v>
      </c>
      <c r="F30" s="26">
        <f t="shared" si="5"/>
        <v>179</v>
      </c>
      <c r="G30" s="25">
        <v>97423527</v>
      </c>
      <c r="H30" s="26">
        <f t="shared" si="2"/>
        <v>40125</v>
      </c>
      <c r="I30" s="25">
        <v>0</v>
      </c>
      <c r="J30" s="26">
        <f t="shared" si="3"/>
        <v>0</v>
      </c>
      <c r="K30" s="33">
        <v>151</v>
      </c>
      <c r="L30" s="33">
        <v>284</v>
      </c>
    </row>
    <row r="31" spans="1:12" ht="45" customHeight="1" x14ac:dyDescent="0.25">
      <c r="A31" s="24">
        <v>44313</v>
      </c>
      <c r="B31" s="35"/>
      <c r="C31" s="25">
        <v>150201947</v>
      </c>
      <c r="D31" s="26">
        <f t="shared" si="4"/>
        <v>37635</v>
      </c>
      <c r="E31" s="25">
        <v>540771.99999999744</v>
      </c>
      <c r="F31" s="26">
        <f t="shared" si="5"/>
        <v>158</v>
      </c>
      <c r="G31" s="25">
        <v>97478527</v>
      </c>
      <c r="H31" s="26">
        <f t="shared" si="2"/>
        <v>55000</v>
      </c>
      <c r="I31" s="25">
        <v>0</v>
      </c>
      <c r="J31" s="26">
        <f t="shared" si="3"/>
        <v>0</v>
      </c>
      <c r="K31" s="33">
        <v>171</v>
      </c>
      <c r="L31" s="33">
        <v>232</v>
      </c>
    </row>
    <row r="32" spans="1:12" ht="45" customHeight="1" x14ac:dyDescent="0.25">
      <c r="A32" s="24">
        <v>44314</v>
      </c>
      <c r="B32" s="35"/>
      <c r="C32" s="25">
        <v>150232871</v>
      </c>
      <c r="D32" s="26">
        <f t="shared" si="4"/>
        <v>30924</v>
      </c>
      <c r="E32" s="25">
        <v>540929.99999999744</v>
      </c>
      <c r="F32" s="26">
        <f t="shared" si="5"/>
        <v>158</v>
      </c>
      <c r="G32" s="25">
        <v>97521019</v>
      </c>
      <c r="H32" s="26">
        <f t="shared" si="2"/>
        <v>42492</v>
      </c>
      <c r="I32" s="25">
        <v>0</v>
      </c>
      <c r="J32" s="26">
        <f t="shared" si="3"/>
        <v>0</v>
      </c>
      <c r="K32" s="33">
        <v>180</v>
      </c>
      <c r="L32" s="33">
        <v>273</v>
      </c>
    </row>
    <row r="33" spans="1:12" ht="45" customHeight="1" x14ac:dyDescent="0.25">
      <c r="A33" s="24">
        <v>44315</v>
      </c>
      <c r="C33" s="25">
        <v>150263788</v>
      </c>
      <c r="D33" s="26">
        <f t="shared" ref="D33:D34" si="6">IF((C33-C32&lt;0), "0",C33-C32)</f>
        <v>30917</v>
      </c>
      <c r="E33" s="25">
        <v>541105.99999999744</v>
      </c>
      <c r="F33" s="26">
        <f t="shared" ref="F33:F34" si="7">IF((E33-E32&lt;0), "0",E33-E32)</f>
        <v>176</v>
      </c>
      <c r="G33" s="25">
        <v>97563956</v>
      </c>
      <c r="H33" s="26">
        <f t="shared" ref="H33:H34" si="8">IF((G33-G32&lt;0), "0",G33-G32)</f>
        <v>42937</v>
      </c>
      <c r="I33" s="25">
        <v>0</v>
      </c>
      <c r="J33" s="26">
        <f t="shared" ref="J33:J34" si="9">IF((I33-I32&lt;0), "0",I33-I32)</f>
        <v>0</v>
      </c>
      <c r="K33" s="33">
        <v>180</v>
      </c>
      <c r="L33" s="33">
        <v>261</v>
      </c>
    </row>
    <row r="34" spans="1:12" ht="45" customHeight="1" x14ac:dyDescent="0.25">
      <c r="A34" s="24">
        <v>44316</v>
      </c>
      <c r="C34" s="25">
        <v>150297707</v>
      </c>
      <c r="D34" s="26">
        <f t="shared" si="6"/>
        <v>33919</v>
      </c>
      <c r="E34" s="25">
        <v>541301.99999999744</v>
      </c>
      <c r="F34" s="26">
        <f t="shared" si="7"/>
        <v>196</v>
      </c>
      <c r="G34" s="25">
        <v>97609378</v>
      </c>
      <c r="H34" s="26">
        <f t="shared" si="8"/>
        <v>45422</v>
      </c>
      <c r="I34" s="25">
        <v>0</v>
      </c>
      <c r="J34" s="26">
        <f t="shared" si="9"/>
        <v>0</v>
      </c>
      <c r="K34" s="33">
        <v>298</v>
      </c>
      <c r="L34" s="33">
        <v>780</v>
      </c>
    </row>
    <row r="46" spans="1:12" ht="15.75" customHeight="1" x14ac:dyDescent="0.25">
      <c r="C46" s="34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2023-02-23T04:07:57Z</dcterms:modified>
  <cp:category/>
  <cp:contentStatus/>
</cp:coreProperties>
</file>