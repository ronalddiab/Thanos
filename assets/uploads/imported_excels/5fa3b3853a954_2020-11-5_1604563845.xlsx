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<sst xmlns="http://schemas.openxmlformats.org/spreadsheetml/2006/main" count="106" uniqueCount="33">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</sst>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2020</v>
      </c>
      <c r="E2" s="20">
        <f>Submetering!E2</f>
        <v>6939</v>
      </c>
      <c r="F2" s="16">
        <v>0.12</v>
      </c>
      <c r="G2" s="20">
        <f>Submetering!F2+Submetering!G2</f>
        <v>228.60427892747663</v>
      </c>
      <c r="H2" s="16">
        <v>0.71</v>
      </c>
      <c r="I2" s="20">
        <f>Submetering!J2+Submetering!I2+Submetering!H2</f>
        <v>52.056244345669995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2020</v>
      </c>
      <c r="E3" s="20">
        <f>Submetering!E3</f>
        <v>7323.75</v>
      </c>
      <c r="F3" s="16">
        <v>0.12</v>
      </c>
      <c r="G3" s="20">
        <f>Submetering!F3+Submetering!G3</f>
        <v>158.62015834841122</v>
      </c>
      <c r="H3" s="16">
        <v>0.71</v>
      </c>
      <c r="I3" s="20">
        <f>Submetering!J3+Submetering!I3+Submetering!H3</f>
        <v>65.488721541699988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2020</v>
      </c>
      <c r="E4" s="20">
        <f>Submetering!E4</f>
        <v>6392.25</v>
      </c>
      <c r="F4" s="16">
        <v>0.12</v>
      </c>
      <c r="G4" s="20">
        <f>Submetering!F4+Submetering!G4</f>
        <v>125.26740445831776</v>
      </c>
      <c r="H4" s="16">
        <v>0.71</v>
      </c>
      <c r="I4" s="20">
        <f>Submetering!J4+Submetering!I4+Submetering!H4</f>
        <v>34.897574952994006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2020</v>
      </c>
      <c r="E5" s="20">
        <f>Submetering!E5</f>
        <v>5877</v>
      </c>
      <c r="F5" s="16">
        <v>0.12</v>
      </c>
      <c r="G5" s="20">
        <f>Submetering!F5+Submetering!G5</f>
        <v>0</v>
      </c>
      <c r="H5" s="16">
        <v>0.71</v>
      </c>
      <c r="I5" s="20">
        <f>Submetering!J5+Submetering!I5+Submetering!H5</f>
        <v>0</v>
      </c>
      <c r="J5" s="16">
        <v>2.3196172978505634</v>
      </c>
      <c r="K5" s="20">
        <f>Submetering!K5</f>
        <v>25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2020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2020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2020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F13" sqref="F13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11</v>
      </c>
      <c r="D2" s="6">
        <v>2020</v>
      </c>
      <c r="E2" s="20">
        <v>6939</v>
      </c>
      <c r="F2" s="20">
        <v>211.82501545420561</v>
      </c>
      <c r="G2" s="20">
        <v>16.77926347327103</v>
      </c>
      <c r="H2" s="20">
        <v>1.0665379858699999</v>
      </c>
      <c r="I2" s="20">
        <v>28</v>
      </c>
      <c r="J2" s="20">
        <v>22.9897063598</v>
      </c>
      <c r="K2" s="20">
        <v>25</v>
      </c>
    </row>
    <row r="3" spans="1:12" x14ac:dyDescent="0.25">
      <c r="A3" s="9" t="s">
        <v>32</v>
      </c>
      <c r="B3" s="6">
        <f>B2+1</f>
        <v>2</v>
      </c>
      <c r="C3" s="6">
        <f>C2</f>
        <v>11</v>
      </c>
      <c r="D3" s="6">
        <v>2020</v>
      </c>
      <c r="E3" s="20">
        <v>7323.75</v>
      </c>
      <c r="F3" s="20">
        <v>142.33066969906542</v>
      </c>
      <c r="G3" s="20">
        <v>16.289488649345795</v>
      </c>
      <c r="H3" s="20">
        <v>3.9329999999999998</v>
      </c>
      <c r="I3" s="6">
        <v>33</v>
      </c>
      <c r="J3" s="20">
        <v>28.555721541699999</v>
      </c>
      <c r="K3" s="20">
        <v>24</v>
      </c>
    </row>
    <row r="4" spans="1:12" x14ac:dyDescent="0.25">
      <c r="A4" s="9" t="s">
        <v>32</v>
      </c>
      <c r="B4" s="6">
        <f t="shared" ref="B4:B31" si="0">B3+1</f>
        <v>3</v>
      </c>
      <c r="C4" s="6">
        <f t="shared" ref="C4:C31" si="1">C3</f>
        <v>11</v>
      </c>
      <c r="D4" s="6">
        <v>2020</v>
      </c>
      <c r="E4" s="20">
        <v>6392.25</v>
      </c>
      <c r="F4" s="20">
        <v>109.8512247046729</v>
      </c>
      <c r="G4" s="20">
        <v>15.41617975364486</v>
      </c>
      <c r="H4" s="20">
        <v>0.446983236994</v>
      </c>
      <c r="I4" s="6">
        <v>13</v>
      </c>
      <c r="J4" s="20">
        <v>21.450591716000002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11</v>
      </c>
      <c r="D5" s="6">
        <v>2020</v>
      </c>
      <c r="E5" s="20">
        <v>5877</v>
      </c>
      <c r="I5" s="6"/>
      <c r="K5" s="20">
        <v>25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11</v>
      </c>
      <c r="D6" s="6">
        <v>2020</v>
      </c>
      <c r="K6" s="20"/>
    </row>
    <row r="7" spans="1:12" x14ac:dyDescent="0.25">
      <c r="A7" s="9" t="s">
        <v>32</v>
      </c>
      <c r="B7" s="6">
        <f t="shared" si="0"/>
        <v>6</v>
      </c>
      <c r="C7" s="6">
        <f t="shared" si="1"/>
        <v>11</v>
      </c>
      <c r="D7" s="6">
        <v>2020</v>
      </c>
      <c r="K7" s="20"/>
    </row>
    <row r="8" spans="1:12" x14ac:dyDescent="0.25">
      <c r="A8" s="9" t="s">
        <v>32</v>
      </c>
      <c r="B8" s="6">
        <f t="shared" si="0"/>
        <v>7</v>
      </c>
      <c r="C8" s="6">
        <f t="shared" si="1"/>
        <v>11</v>
      </c>
      <c r="D8" s="6">
        <v>2020</v>
      </c>
      <c r="K8" s="20"/>
    </row>
    <row r="9" spans="1:12" x14ac:dyDescent="0.25">
      <c r="A9" s="9" t="s">
        <v>32</v>
      </c>
      <c r="B9" s="6">
        <f t="shared" si="0"/>
        <v>8</v>
      </c>
      <c r="C9" s="6">
        <f t="shared" si="1"/>
        <v>11</v>
      </c>
      <c r="D9" s="6">
        <v>2020</v>
      </c>
      <c r="E9" s="6"/>
      <c r="I9" s="6"/>
      <c r="K9" s="20"/>
    </row>
    <row r="10" spans="1:12" x14ac:dyDescent="0.25">
      <c r="A10" s="9" t="s">
        <v>32</v>
      </c>
      <c r="B10" s="6">
        <f t="shared" si="0"/>
        <v>9</v>
      </c>
      <c r="C10" s="6">
        <f t="shared" si="1"/>
        <v>11</v>
      </c>
      <c r="D10" s="6">
        <v>2020</v>
      </c>
      <c r="I10" s="6"/>
      <c r="K10" s="20"/>
    </row>
    <row r="11" spans="1:12" x14ac:dyDescent="0.25">
      <c r="A11" s="9" t="s">
        <v>32</v>
      </c>
      <c r="B11" s="6">
        <f t="shared" si="0"/>
        <v>10</v>
      </c>
      <c r="C11" s="6">
        <f t="shared" si="1"/>
        <v>11</v>
      </c>
      <c r="D11" s="6">
        <v>2020</v>
      </c>
      <c r="I11" s="6"/>
      <c r="K11" s="20"/>
    </row>
    <row r="12" spans="1:12" x14ac:dyDescent="0.25">
      <c r="A12" s="9" t="s">
        <v>32</v>
      </c>
      <c r="B12" s="6">
        <f t="shared" si="0"/>
        <v>11</v>
      </c>
      <c r="C12" s="6">
        <f t="shared" si="1"/>
        <v>11</v>
      </c>
      <c r="D12" s="6">
        <v>2020</v>
      </c>
      <c r="K12" s="20"/>
    </row>
    <row r="13" spans="1:12" x14ac:dyDescent="0.25">
      <c r="A13" s="9" t="s">
        <v>32</v>
      </c>
      <c r="B13" s="6">
        <f t="shared" si="0"/>
        <v>12</v>
      </c>
      <c r="C13" s="6">
        <f t="shared" si="1"/>
        <v>11</v>
      </c>
      <c r="D13" s="6">
        <v>2020</v>
      </c>
      <c r="K13" s="20"/>
    </row>
    <row r="14" spans="1:12" x14ac:dyDescent="0.25">
      <c r="A14" s="9" t="s">
        <v>32</v>
      </c>
      <c r="B14" s="6">
        <f t="shared" si="0"/>
        <v>13</v>
      </c>
      <c r="C14" s="6">
        <f t="shared" si="1"/>
        <v>11</v>
      </c>
      <c r="D14" s="6">
        <v>2020</v>
      </c>
      <c r="G14" s="32"/>
      <c r="K14" s="20"/>
    </row>
    <row r="15" spans="1:12" x14ac:dyDescent="0.25">
      <c r="A15" s="9" t="s">
        <v>32</v>
      </c>
      <c r="B15" s="6">
        <f t="shared" si="0"/>
        <v>14</v>
      </c>
      <c r="C15" s="6">
        <f t="shared" si="1"/>
        <v>11</v>
      </c>
      <c r="D15" s="6">
        <v>2020</v>
      </c>
      <c r="G15" s="32"/>
      <c r="K15" s="20"/>
    </row>
    <row r="16" spans="1:12" x14ac:dyDescent="0.25">
      <c r="A16" s="9" t="s">
        <v>32</v>
      </c>
      <c r="B16" s="6">
        <f t="shared" si="0"/>
        <v>15</v>
      </c>
      <c r="C16" s="6">
        <f t="shared" si="1"/>
        <v>11</v>
      </c>
      <c r="D16" s="6">
        <v>2020</v>
      </c>
      <c r="G16" s="32"/>
      <c r="K16" s="20"/>
    </row>
    <row r="17" spans="1:11" x14ac:dyDescent="0.25">
      <c r="A17" s="9" t="s">
        <v>32</v>
      </c>
      <c r="B17" s="6">
        <f t="shared" si="0"/>
        <v>16</v>
      </c>
      <c r="C17" s="6">
        <f t="shared" si="1"/>
        <v>11</v>
      </c>
      <c r="D17" s="6">
        <v>2020</v>
      </c>
      <c r="G17" s="32"/>
      <c r="K17" s="20"/>
    </row>
    <row r="18" spans="1:11" x14ac:dyDescent="0.25">
      <c r="A18" s="9" t="s">
        <v>32</v>
      </c>
      <c r="B18" s="6">
        <f t="shared" si="0"/>
        <v>17</v>
      </c>
      <c r="C18" s="6">
        <f t="shared" si="1"/>
        <v>11</v>
      </c>
      <c r="D18" s="6">
        <v>2020</v>
      </c>
      <c r="G18" s="32"/>
      <c r="K18" s="20"/>
    </row>
    <row r="19" spans="1:11" x14ac:dyDescent="0.25">
      <c r="A19" s="9" t="s">
        <v>32</v>
      </c>
      <c r="B19" s="6">
        <f t="shared" si="0"/>
        <v>18</v>
      </c>
      <c r="C19" s="6">
        <f t="shared" si="1"/>
        <v>11</v>
      </c>
      <c r="D19" s="6">
        <v>2020</v>
      </c>
      <c r="G19" s="32"/>
      <c r="K19" s="20"/>
    </row>
    <row r="20" spans="1:11" x14ac:dyDescent="0.25">
      <c r="A20" s="9" t="s">
        <v>32</v>
      </c>
      <c r="B20" s="6">
        <f t="shared" si="0"/>
        <v>19</v>
      </c>
      <c r="C20" s="6">
        <f t="shared" si="1"/>
        <v>11</v>
      </c>
      <c r="D20" s="6">
        <v>2020</v>
      </c>
      <c r="G20" s="32"/>
      <c r="K20" s="20"/>
    </row>
    <row r="21" spans="1:11" x14ac:dyDescent="0.25">
      <c r="A21" s="9" t="s">
        <v>32</v>
      </c>
      <c r="B21" s="6">
        <f t="shared" si="0"/>
        <v>20</v>
      </c>
      <c r="C21" s="6">
        <f t="shared" si="1"/>
        <v>11</v>
      </c>
      <c r="D21" s="6">
        <v>2020</v>
      </c>
      <c r="F21" s="32"/>
      <c r="G21" s="32"/>
      <c r="K21" s="20"/>
    </row>
    <row r="22" spans="1:11" x14ac:dyDescent="0.25">
      <c r="A22" s="9" t="s">
        <v>32</v>
      </c>
      <c r="B22" s="6">
        <f t="shared" si="0"/>
        <v>21</v>
      </c>
      <c r="C22" s="6">
        <f t="shared" si="1"/>
        <v>11</v>
      </c>
      <c r="D22" s="6">
        <v>2020</v>
      </c>
      <c r="F22" s="32"/>
      <c r="G22" s="32"/>
      <c r="H22" s="32"/>
      <c r="I22" s="32"/>
      <c r="J22" s="32"/>
      <c r="K22" s="20"/>
    </row>
    <row r="23" spans="1:11" x14ac:dyDescent="0.25">
      <c r="A23" s="9" t="s">
        <v>32</v>
      </c>
      <c r="B23" s="6">
        <f t="shared" si="0"/>
        <v>22</v>
      </c>
      <c r="C23" s="6">
        <f t="shared" si="1"/>
        <v>11</v>
      </c>
      <c r="D23" s="6">
        <v>2020</v>
      </c>
      <c r="F23" s="32"/>
      <c r="G23" s="32"/>
      <c r="H23" s="32"/>
      <c r="I23" s="32"/>
      <c r="J23" s="32"/>
      <c r="K23" s="20"/>
    </row>
    <row r="24" spans="1:11" x14ac:dyDescent="0.25">
      <c r="A24" s="9" t="s">
        <v>32</v>
      </c>
      <c r="B24" s="6">
        <f t="shared" si="0"/>
        <v>23</v>
      </c>
      <c r="C24" s="6">
        <f t="shared" si="1"/>
        <v>11</v>
      </c>
      <c r="D24" s="6">
        <v>2020</v>
      </c>
      <c r="F24" s="32"/>
      <c r="G24" s="32"/>
      <c r="H24" s="32"/>
      <c r="I24" s="32"/>
      <c r="J24" s="32"/>
      <c r="K24" s="20"/>
    </row>
    <row r="25" spans="1:11" x14ac:dyDescent="0.25">
      <c r="A25" s="9" t="s">
        <v>32</v>
      </c>
      <c r="B25" s="6">
        <f t="shared" si="0"/>
        <v>24</v>
      </c>
      <c r="C25" s="6">
        <f t="shared" si="1"/>
        <v>11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11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11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11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11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11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11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F32" s="32"/>
      <c r="G32" s="32"/>
      <c r="H32" s="32"/>
      <c r="I32" s="32"/>
      <c r="J32" s="32"/>
    </row>
    <row r="33" spans="7:10" x14ac:dyDescent="0.25">
      <c r="G33" s="32"/>
      <c r="H33" s="32"/>
      <c r="I33" s="32"/>
      <c r="J3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3"/>
      <c r="C1" s="1"/>
      <c r="D1" s="11"/>
      <c r="E1" s="1"/>
      <c r="F1" s="14"/>
      <c r="G1" s="1"/>
      <c r="H1" s="1"/>
      <c r="I1" s="44"/>
      <c r="J1" s="33"/>
      <c r="K1" s="34"/>
      <c r="L1" s="34"/>
      <c r="M1" s="34"/>
      <c r="N1" s="34"/>
      <c r="O1" s="34"/>
      <c r="P1" s="21"/>
      <c r="Q1" s="21"/>
    </row>
    <row r="2" spans="1:17" ht="35.25" customHeight="1" thickBot="1" x14ac:dyDescent="0.3">
      <c r="A2" s="19" t="s">
        <v>15</v>
      </c>
      <c r="B2" s="43"/>
      <c r="C2" s="37" t="s">
        <v>22</v>
      </c>
      <c r="D2" s="38"/>
      <c r="E2" s="47" t="s">
        <v>23</v>
      </c>
      <c r="F2" s="47"/>
      <c r="G2" s="47" t="s">
        <v>24</v>
      </c>
      <c r="H2" s="47"/>
      <c r="I2" s="45"/>
      <c r="J2" s="35" t="s">
        <v>27</v>
      </c>
      <c r="K2" s="36"/>
      <c r="L2" s="39" t="s">
        <v>28</v>
      </c>
      <c r="M2" s="39"/>
      <c r="N2" s="39" t="s">
        <v>29</v>
      </c>
      <c r="O2" s="39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0">
        <f>IF((C5-C4&lt;0), "",C5-C4)</f>
        <v>7975</v>
      </c>
      <c r="E4" s="18">
        <v>23837512</v>
      </c>
      <c r="F4" s="41">
        <f>IF((E5-E4&lt;0), "",E5-E4)</f>
        <v>5799</v>
      </c>
      <c r="G4" s="18">
        <v>9975816</v>
      </c>
      <c r="H4" s="40">
        <f>IF((G5-G4&lt;0), "",G5-G4)</f>
        <v>3477</v>
      </c>
      <c r="I4" s="45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0"/>
      <c r="E5" s="18">
        <v>23843311</v>
      </c>
      <c r="F5" s="42"/>
      <c r="G5" s="18">
        <v>9979293</v>
      </c>
      <c r="H5" s="40"/>
      <c r="I5" s="45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2020-11-05T08:10:00Z</dcterms:modified>
</cp:coreProperties>
</file>