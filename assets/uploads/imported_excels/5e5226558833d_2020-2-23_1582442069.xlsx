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2" i="3" l="1"/>
  <c r="F22" i="3" l="1"/>
  <c r="G22" i="3" l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E21" i="3" l="1"/>
  <c r="F21" i="3"/>
  <c r="E20" i="3"/>
  <c r="F20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E19" i="3" l="1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 l="1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38" i="4" l="1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Z21" i="3" s="1"/>
  <c r="CJ29" i="4"/>
  <c r="CI29" i="4"/>
  <c r="CH29" i="4"/>
  <c r="CG29" i="4"/>
  <c r="AH21" i="3" s="1"/>
  <c r="CF29" i="4"/>
  <c r="CE29" i="4"/>
  <c r="CD29" i="4"/>
  <c r="CC29" i="4"/>
  <c r="AF21" i="3" s="1"/>
  <c r="CB29" i="4"/>
  <c r="CA29" i="4"/>
  <c r="BZ29" i="4"/>
  <c r="BY29" i="4"/>
  <c r="AD21" i="3" s="1"/>
  <c r="BX29" i="4"/>
  <c r="BW29" i="4"/>
  <c r="BV29" i="4"/>
  <c r="BT29" i="4"/>
  <c r="BS29" i="4"/>
  <c r="BH29" i="4"/>
  <c r="BG29" i="4"/>
  <c r="BF29" i="4"/>
  <c r="Y21" i="3" s="1"/>
  <c r="BE29" i="4"/>
  <c r="BD29" i="4"/>
  <c r="BC29" i="4"/>
  <c r="BB29" i="4"/>
  <c r="BA29" i="4"/>
  <c r="AZ29" i="4"/>
  <c r="AX29" i="4"/>
  <c r="AW29" i="4"/>
  <c r="AV29" i="4"/>
  <c r="AU29" i="4"/>
  <c r="AT29" i="4"/>
  <c r="AS29" i="4"/>
  <c r="U21" i="3" s="1"/>
  <c r="AR29" i="4"/>
  <c r="AQ29" i="4"/>
  <c r="AP29" i="4"/>
  <c r="AO29" i="4"/>
  <c r="AN29" i="4"/>
  <c r="AM29" i="4"/>
  <c r="AL29" i="4"/>
  <c r="AK29" i="4"/>
  <c r="AJ29" i="4"/>
  <c r="AI29" i="4"/>
  <c r="AH29" i="4"/>
  <c r="AG29" i="4"/>
  <c r="Q21" i="3" s="1"/>
  <c r="AF29" i="4"/>
  <c r="AE29" i="4"/>
  <c r="AD29" i="4"/>
  <c r="AC29" i="4"/>
  <c r="AB29" i="4"/>
  <c r="AA29" i="4"/>
  <c r="Z29" i="4"/>
  <c r="Y29" i="4"/>
  <c r="X29" i="4"/>
  <c r="W29" i="4"/>
  <c r="V29" i="4"/>
  <c r="U29" i="4"/>
  <c r="M21" i="3" s="1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BK20" i="3" s="1"/>
  <c r="FA28" i="4"/>
  <c r="EZ28" i="4"/>
  <c r="EY28" i="4"/>
  <c r="EX28" i="4"/>
  <c r="BJ20" i="3" s="1"/>
  <c r="EW28" i="4"/>
  <c r="EV28" i="4"/>
  <c r="EU28" i="4"/>
  <c r="ET28" i="4"/>
  <c r="BG20" i="3" s="1"/>
  <c r="ER28" i="4"/>
  <c r="EQ28" i="4"/>
  <c r="EP28" i="4"/>
  <c r="EO28" i="4"/>
  <c r="BF20" i="3" s="1"/>
  <c r="EN28" i="4"/>
  <c r="EM28" i="4"/>
  <c r="EL28" i="4"/>
  <c r="EK28" i="4"/>
  <c r="BD20" i="3" s="1"/>
  <c r="EJ28" i="4"/>
  <c r="EI28" i="4"/>
  <c r="EH28" i="4"/>
  <c r="EG28" i="4"/>
  <c r="BA20" i="3" s="1"/>
  <c r="EE28" i="4"/>
  <c r="ED28" i="4"/>
  <c r="EC28" i="4"/>
  <c r="EB28" i="4"/>
  <c r="AY20" i="3" s="1"/>
  <c r="EA28" i="4"/>
  <c r="DZ28" i="4"/>
  <c r="DY28" i="4"/>
  <c r="DX28" i="4"/>
  <c r="AW20" i="3" s="1"/>
  <c r="DW28" i="4"/>
  <c r="DV28" i="4"/>
  <c r="DU28" i="4"/>
  <c r="DT28" i="4"/>
  <c r="AU20" i="3" s="1"/>
  <c r="DR28" i="4"/>
  <c r="DQ28" i="4"/>
  <c r="DP28" i="4"/>
  <c r="DO28" i="4"/>
  <c r="AR20" i="3" s="1"/>
  <c r="DN28" i="4"/>
  <c r="DM28" i="4"/>
  <c r="DL28" i="4"/>
  <c r="DK28" i="4"/>
  <c r="AP20" i="3" s="1"/>
  <c r="DJ28" i="4"/>
  <c r="DI28" i="4"/>
  <c r="DH28" i="4"/>
  <c r="DG28" i="4"/>
  <c r="AN20" i="3" s="1"/>
  <c r="DF28" i="4"/>
  <c r="DE28" i="4"/>
  <c r="DD28" i="4"/>
  <c r="DC28" i="4"/>
  <c r="AL20" i="3" s="1"/>
  <c r="DB28" i="4"/>
  <c r="DA28" i="4"/>
  <c r="CZ28" i="4"/>
  <c r="CY28" i="4"/>
  <c r="AJ20" i="3" s="1"/>
  <c r="CX28" i="4"/>
  <c r="CW28" i="4"/>
  <c r="CU28" i="4"/>
  <c r="CT28" i="4"/>
  <c r="AC20" i="3" s="1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X20" i="3" s="1"/>
  <c r="BB28" i="4"/>
  <c r="BA28" i="4"/>
  <c r="AZ28" i="4"/>
  <c r="AX28" i="4"/>
  <c r="AW28" i="4"/>
  <c r="AV28" i="4"/>
  <c r="AU28" i="4"/>
  <c r="AT28" i="4"/>
  <c r="AS28" i="4"/>
  <c r="AR28" i="4"/>
  <c r="AQ28" i="4"/>
  <c r="AP28" i="4"/>
  <c r="T20" i="3" s="1"/>
  <c r="AO28" i="4"/>
  <c r="AN28" i="4"/>
  <c r="AM28" i="4"/>
  <c r="AL28" i="4"/>
  <c r="AK28" i="4"/>
  <c r="AJ28" i="4"/>
  <c r="AI28" i="4"/>
  <c r="AH28" i="4"/>
  <c r="AG28" i="4"/>
  <c r="AF28" i="4"/>
  <c r="AE28" i="4"/>
  <c r="AD28" i="4"/>
  <c r="P20" i="3" s="1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AW16" i="3" s="1"/>
  <c r="DW24" i="4"/>
  <c r="DV24" i="4"/>
  <c r="DU24" i="4"/>
  <c r="DT24" i="4"/>
  <c r="AU16" i="3" s="1"/>
  <c r="DR24" i="4"/>
  <c r="DQ24" i="4"/>
  <c r="DP24" i="4"/>
  <c r="DO24" i="4"/>
  <c r="AR16" i="3" s="1"/>
  <c r="DN24" i="4"/>
  <c r="DM24" i="4"/>
  <c r="DL24" i="4"/>
  <c r="DK24" i="4"/>
  <c r="AP16" i="3" s="1"/>
  <c r="DJ24" i="4"/>
  <c r="DI24" i="4"/>
  <c r="DH24" i="4"/>
  <c r="DG24" i="4"/>
  <c r="AN16" i="3" s="1"/>
  <c r="DF24" i="4"/>
  <c r="DE24" i="4"/>
  <c r="DD24" i="4"/>
  <c r="DC24" i="4"/>
  <c r="AL16" i="3" s="1"/>
  <c r="DB24" i="4"/>
  <c r="DA24" i="4"/>
  <c r="CZ24" i="4"/>
  <c r="CY24" i="4"/>
  <c r="AJ16" i="3" s="1"/>
  <c r="CX24" i="4"/>
  <c r="CW24" i="4"/>
  <c r="CU24" i="4"/>
  <c r="CT24" i="4"/>
  <c r="AC16" i="3" s="1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X16" i="3" s="1"/>
  <c r="BB24" i="4"/>
  <c r="BA24" i="4"/>
  <c r="AZ24" i="4"/>
  <c r="AX24" i="4"/>
  <c r="AW24" i="4"/>
  <c r="AV24" i="4"/>
  <c r="AU24" i="4"/>
  <c r="AT24" i="4"/>
  <c r="AS24" i="4"/>
  <c r="AR24" i="4"/>
  <c r="AQ24" i="4"/>
  <c r="AP24" i="4"/>
  <c r="T16" i="3" s="1"/>
  <c r="AO24" i="4"/>
  <c r="AN24" i="4"/>
  <c r="AM24" i="4"/>
  <c r="AL24" i="4"/>
  <c r="AK24" i="4"/>
  <c r="AJ24" i="4"/>
  <c r="AI24" i="4"/>
  <c r="AH24" i="4"/>
  <c r="AG24" i="4"/>
  <c r="AF24" i="4"/>
  <c r="AE24" i="4"/>
  <c r="AD24" i="4"/>
  <c r="P16" i="3" s="1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AB15" i="3" s="1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AG15" i="3" s="1"/>
  <c r="CD23" i="4"/>
  <c r="CC23" i="4"/>
  <c r="CB23" i="4"/>
  <c r="CA23" i="4"/>
  <c r="AE15" i="3" s="1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AF23" i="4"/>
  <c r="AE23" i="4"/>
  <c r="AD23" i="4"/>
  <c r="AC23" i="4"/>
  <c r="AB23" i="4"/>
  <c r="AA23" i="4"/>
  <c r="O15" i="3" s="1"/>
  <c r="Z23" i="4"/>
  <c r="Y23" i="4"/>
  <c r="X23" i="4"/>
  <c r="W23" i="4"/>
  <c r="V23" i="4"/>
  <c r="U23" i="4"/>
  <c r="S23" i="4"/>
  <c r="R23" i="4"/>
  <c r="L15" i="3" s="1"/>
  <c r="Q23" i="4"/>
  <c r="P23" i="4"/>
  <c r="O23" i="4"/>
  <c r="N23" i="4"/>
  <c r="M23" i="4"/>
  <c r="L23" i="4"/>
  <c r="K23" i="4"/>
  <c r="J23" i="4"/>
  <c r="I23" i="4"/>
  <c r="H23" i="4"/>
  <c r="G23" i="4"/>
  <c r="F23" i="4"/>
  <c r="H15" i="3" s="1"/>
  <c r="E23" i="4"/>
  <c r="D23" i="4"/>
  <c r="C23" i="4"/>
  <c r="B23" i="4"/>
  <c r="FC22" i="4"/>
  <c r="FB22" i="4"/>
  <c r="FA22" i="4"/>
  <c r="EZ22" i="4"/>
  <c r="BI14" i="3" s="1"/>
  <c r="EY22" i="4"/>
  <c r="EX22" i="4"/>
  <c r="EW22" i="4"/>
  <c r="EV22" i="4"/>
  <c r="BH14" i="3" s="1"/>
  <c r="EU22" i="4"/>
  <c r="ET22" i="4"/>
  <c r="ER22" i="4"/>
  <c r="EQ22" i="4"/>
  <c r="BC14" i="3" s="1"/>
  <c r="EP22" i="4"/>
  <c r="EO22" i="4"/>
  <c r="EN22" i="4"/>
  <c r="EM22" i="4"/>
  <c r="BE14" i="3" s="1"/>
  <c r="EL22" i="4"/>
  <c r="EK22" i="4"/>
  <c r="EJ22" i="4"/>
  <c r="EI22" i="4"/>
  <c r="BB14" i="3" s="1"/>
  <c r="EH22" i="4"/>
  <c r="EG22" i="4"/>
  <c r="EE22" i="4"/>
  <c r="ED22" i="4"/>
  <c r="AZ14" i="3" s="1"/>
  <c r="EC22" i="4"/>
  <c r="EB22" i="4"/>
  <c r="EA22" i="4"/>
  <c r="DZ22" i="4"/>
  <c r="AX14" i="3" s="1"/>
  <c r="DY22" i="4"/>
  <c r="DX22" i="4"/>
  <c r="DW22" i="4"/>
  <c r="DV22" i="4"/>
  <c r="DU22" i="4"/>
  <c r="DT22" i="4"/>
  <c r="DR22" i="4"/>
  <c r="DQ22" i="4"/>
  <c r="AT14" i="3" s="1"/>
  <c r="DP22" i="4"/>
  <c r="DO22" i="4"/>
  <c r="DN22" i="4"/>
  <c r="DM22" i="4"/>
  <c r="AS14" i="3" s="1"/>
  <c r="DL22" i="4"/>
  <c r="DK22" i="4"/>
  <c r="DJ22" i="4"/>
  <c r="DI22" i="4"/>
  <c r="AQ14" i="3" s="1"/>
  <c r="DH22" i="4"/>
  <c r="DG22" i="4"/>
  <c r="DF22" i="4"/>
  <c r="DE22" i="4"/>
  <c r="AO14" i="3" s="1"/>
  <c r="DD22" i="4"/>
  <c r="DC22" i="4"/>
  <c r="DB22" i="4"/>
  <c r="DA22" i="4"/>
  <c r="AM14" i="3" s="1"/>
  <c r="CZ22" i="4"/>
  <c r="CY22" i="4"/>
  <c r="CX22" i="4"/>
  <c r="CW22" i="4"/>
  <c r="AK14" i="3" s="1"/>
  <c r="CU22" i="4"/>
  <c r="CT22" i="4"/>
  <c r="CS22" i="4"/>
  <c r="CR22" i="4"/>
  <c r="CQ22" i="4"/>
  <c r="CP22" i="4"/>
  <c r="CO22" i="4"/>
  <c r="CN22" i="4"/>
  <c r="AA14" i="3" s="1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V14" i="3" s="1"/>
  <c r="AU22" i="4"/>
  <c r="AT22" i="4"/>
  <c r="AS22" i="4"/>
  <c r="AR22" i="4"/>
  <c r="AQ22" i="4"/>
  <c r="AP22" i="4"/>
  <c r="AO22" i="4"/>
  <c r="AN22" i="4"/>
  <c r="AM22" i="4"/>
  <c r="AL22" i="4"/>
  <c r="AK22" i="4"/>
  <c r="AJ22" i="4"/>
  <c r="R14" i="3" s="1"/>
  <c r="AI22" i="4"/>
  <c r="AH22" i="4"/>
  <c r="AG22" i="4"/>
  <c r="AF22" i="4"/>
  <c r="AE22" i="4"/>
  <c r="AD22" i="4"/>
  <c r="AC22" i="4"/>
  <c r="AB22" i="4"/>
  <c r="AA22" i="4"/>
  <c r="Z22" i="4"/>
  <c r="Y22" i="4"/>
  <c r="X22" i="4"/>
  <c r="N14" i="3" s="1"/>
  <c r="W22" i="4"/>
  <c r="V22" i="4"/>
  <c r="U22" i="4"/>
  <c r="S22" i="4"/>
  <c r="R22" i="4"/>
  <c r="Q22" i="4"/>
  <c r="P22" i="4"/>
  <c r="O22" i="4"/>
  <c r="K14" i="3" s="1"/>
  <c r="N22" i="4"/>
  <c r="M22" i="4"/>
  <c r="L22" i="4"/>
  <c r="K22" i="4"/>
  <c r="J22" i="4"/>
  <c r="I22" i="4"/>
  <c r="H22" i="4"/>
  <c r="G22" i="4"/>
  <c r="F22" i="4"/>
  <c r="E22" i="4"/>
  <c r="D22" i="4"/>
  <c r="C22" i="4"/>
  <c r="G14" i="3" s="1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Z13" i="3" s="1"/>
  <c r="CJ21" i="4"/>
  <c r="CI21" i="4"/>
  <c r="CH21" i="4"/>
  <c r="CG21" i="4"/>
  <c r="AH13" i="3" s="1"/>
  <c r="CF21" i="4"/>
  <c r="CE21" i="4"/>
  <c r="CD21" i="4"/>
  <c r="CC21" i="4"/>
  <c r="AF13" i="3" s="1"/>
  <c r="CB21" i="4"/>
  <c r="CA21" i="4"/>
  <c r="BZ21" i="4"/>
  <c r="BY21" i="4"/>
  <c r="AD13" i="3" s="1"/>
  <c r="BX21" i="4"/>
  <c r="BW21" i="4"/>
  <c r="BV21" i="4"/>
  <c r="BT21" i="4"/>
  <c r="BS21" i="4"/>
  <c r="BH21" i="4"/>
  <c r="BG21" i="4"/>
  <c r="BF21" i="4"/>
  <c r="Y13" i="3" s="1"/>
  <c r="BE21" i="4"/>
  <c r="BD21" i="4"/>
  <c r="BC21" i="4"/>
  <c r="BB21" i="4"/>
  <c r="BA21" i="4"/>
  <c r="AZ21" i="4"/>
  <c r="AX21" i="4"/>
  <c r="AW21" i="4"/>
  <c r="AV21" i="4"/>
  <c r="AU21" i="4"/>
  <c r="AT21" i="4"/>
  <c r="AS21" i="4"/>
  <c r="U13" i="3" s="1"/>
  <c r="AR21" i="4"/>
  <c r="AQ21" i="4"/>
  <c r="AP21" i="4"/>
  <c r="AO21" i="4"/>
  <c r="AN21" i="4"/>
  <c r="AM21" i="4"/>
  <c r="AL21" i="4"/>
  <c r="AK21" i="4"/>
  <c r="AJ21" i="4"/>
  <c r="AI21" i="4"/>
  <c r="AH21" i="4"/>
  <c r="AG21" i="4"/>
  <c r="Q13" i="3" s="1"/>
  <c r="AF21" i="4"/>
  <c r="AE21" i="4"/>
  <c r="AD21" i="4"/>
  <c r="AC21" i="4"/>
  <c r="AB21" i="4"/>
  <c r="AA21" i="4"/>
  <c r="Z21" i="4"/>
  <c r="Y21" i="4"/>
  <c r="X21" i="4"/>
  <c r="W21" i="4"/>
  <c r="V21" i="4"/>
  <c r="U21" i="4"/>
  <c r="M13" i="3" s="1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Y21" i="3" l="1"/>
  <c r="BA21" i="3"/>
  <c r="BD21" i="3"/>
  <c r="BF21" i="3"/>
  <c r="BG21" i="3"/>
  <c r="BJ21" i="3"/>
  <c r="BK21" i="3"/>
  <c r="G20" i="3"/>
  <c r="J20" i="3"/>
  <c r="I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J18" i="3"/>
  <c r="I18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I14" i="3"/>
  <c r="J14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J17" i="3"/>
  <c r="I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P13" i="3"/>
  <c r="AJ13" i="3"/>
  <c r="AN13" i="3"/>
  <c r="AR13" i="3"/>
  <c r="AW13" i="3"/>
  <c r="BD13" i="3"/>
  <c r="BG13" i="3"/>
  <c r="BK13" i="3"/>
  <c r="H13" i="3"/>
  <c r="L13" i="3"/>
  <c r="O13" i="3"/>
  <c r="S13" i="3"/>
  <c r="W13" i="3"/>
  <c r="AE13" i="3"/>
  <c r="AG13" i="3"/>
  <c r="AI13" i="3"/>
  <c r="AB13" i="3"/>
  <c r="T13" i="3"/>
  <c r="X13" i="3"/>
  <c r="AC13" i="3"/>
  <c r="AL13" i="3"/>
  <c r="AP13" i="3"/>
  <c r="AU13" i="3"/>
  <c r="AY13" i="3"/>
  <c r="BA13" i="3"/>
  <c r="BF13" i="3"/>
  <c r="BJ13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V3" i="3" l="1"/>
  <c r="R3" i="3"/>
  <c r="AJ3" i="3" l="1"/>
  <c r="AN3" i="3"/>
  <c r="AR3" i="3"/>
  <c r="AW3" i="3"/>
  <c r="BA3" i="3"/>
  <c r="BF3" i="3"/>
  <c r="BJ3" i="3"/>
  <c r="T3" i="3"/>
  <c r="BG3" i="3"/>
  <c r="M4" i="3"/>
  <c r="Q4" i="3"/>
  <c r="Y4" i="3"/>
  <c r="AD4" i="3"/>
  <c r="AF4" i="3"/>
  <c r="AH4" i="3"/>
  <c r="Z4" i="3"/>
  <c r="G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X3" i="3"/>
  <c r="H3" i="3"/>
  <c r="L3" i="3"/>
  <c r="O3" i="3"/>
  <c r="S3" i="3"/>
  <c r="W3" i="3"/>
  <c r="AG3" i="3"/>
  <c r="AB3" i="3"/>
  <c r="P3" i="3"/>
  <c r="U4" i="3"/>
  <c r="AM3" i="3"/>
  <c r="AQ3" i="3"/>
  <c r="AX3" i="3"/>
  <c r="BB3" i="3"/>
  <c r="BI3" i="3"/>
  <c r="AC3" i="3"/>
  <c r="AL3" i="3"/>
  <c r="AY3" i="3"/>
  <c r="I9" i="3"/>
  <c r="J9" i="3"/>
  <c r="AE3" i="3"/>
  <c r="AI3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U3" i="3"/>
  <c r="BK3" i="3"/>
  <c r="I5" i="3"/>
  <c r="J5" i="3"/>
  <c r="AP3" i="3"/>
  <c r="BD3" i="3"/>
  <c r="AN8" i="3"/>
  <c r="AU8" i="3"/>
  <c r="BA8" i="3"/>
  <c r="BG8" i="3"/>
  <c r="M9" i="3"/>
  <c r="AF9" i="3"/>
  <c r="K10" i="3"/>
  <c r="R10" i="3"/>
  <c r="AK10" i="3"/>
  <c r="AQ10" i="3"/>
  <c r="AX10" i="3"/>
  <c r="BC10" i="3"/>
  <c r="H11" i="3"/>
  <c r="L11" i="3"/>
  <c r="AE11" i="3"/>
  <c r="AB11" i="3"/>
  <c r="P12" i="3"/>
  <c r="AL12" i="3"/>
  <c r="AP12" i="3"/>
  <c r="AR12" i="3"/>
  <c r="AW12" i="3"/>
  <c r="AY12" i="3"/>
  <c r="BA12" i="3"/>
  <c r="BD12" i="3"/>
  <c r="BF12" i="3"/>
  <c r="BG12" i="3"/>
  <c r="BJ12" i="3"/>
  <c r="BK12" i="3"/>
  <c r="AJ8" i="3"/>
  <c r="AP8" i="3"/>
  <c r="AW8" i="3"/>
  <c r="BD8" i="3"/>
  <c r="BJ8" i="3"/>
  <c r="U9" i="3"/>
  <c r="AD9" i="3"/>
  <c r="AH9" i="3"/>
  <c r="G10" i="3"/>
  <c r="I10" i="3"/>
  <c r="J10" i="3"/>
  <c r="V10" i="3"/>
  <c r="AO10" i="3"/>
  <c r="AT10" i="3"/>
  <c r="AZ10" i="3"/>
  <c r="BE10" i="3"/>
  <c r="BI10" i="3"/>
  <c r="O11" i="3"/>
  <c r="S11" i="3"/>
  <c r="AI11" i="3"/>
  <c r="T12" i="3"/>
  <c r="X12" i="3"/>
  <c r="AJ12" i="3"/>
  <c r="G3" i="3"/>
  <c r="I3" i="3"/>
  <c r="N3" i="3"/>
  <c r="AA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AL8" i="3"/>
  <c r="AR8" i="3"/>
  <c r="AY8" i="3"/>
  <c r="BF8" i="3"/>
  <c r="BK8" i="3"/>
  <c r="Q9" i="3"/>
  <c r="Y9" i="3"/>
  <c r="Z9" i="3"/>
  <c r="N10" i="3"/>
  <c r="AA10" i="3"/>
  <c r="AM10" i="3"/>
  <c r="AS10" i="3"/>
  <c r="BB10" i="3"/>
  <c r="BH10" i="3"/>
  <c r="W11" i="3"/>
  <c r="AG11" i="3"/>
  <c r="AC12" i="3"/>
  <c r="AN12" i="3"/>
  <c r="AU12" i="3"/>
  <c r="K3" i="3"/>
  <c r="AT3" i="3"/>
  <c r="BC3" i="3"/>
  <c r="M3" i="3"/>
  <c r="Q3" i="3"/>
  <c r="U3" i="3"/>
  <c r="Y3" i="3"/>
  <c r="AD3" i="3"/>
  <c r="AF3" i="3"/>
  <c r="AH3" i="3"/>
  <c r="Z3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J12" i="3"/>
  <c r="I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J3" i="3"/>
  <c r="I29" i="1" l="1"/>
  <c r="I20" i="1"/>
  <c r="K16" i="1"/>
  <c r="I11" i="1"/>
  <c r="U42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BC46" i="4" s="1"/>
  <c r="BC47" i="4" s="1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AZ49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 l="1"/>
  <c r="I2" i="3"/>
  <c r="K2" i="1" s="1"/>
  <c r="G2" i="3"/>
  <c r="I2" i="1" s="1"/>
  <c r="AK9" i="4"/>
  <c r="AJ43" i="4" s="1"/>
  <c r="V2" i="3"/>
  <c r="AZ2" i="3"/>
  <c r="BH2" i="3"/>
  <c r="AM45" i="4"/>
  <c r="I6" i="1"/>
  <c r="K5" i="1"/>
  <c r="D9" i="4"/>
  <c r="C43" i="4" s="1"/>
  <c r="K4" i="1"/>
  <c r="G24" i="1"/>
  <c r="AQ2" i="3"/>
  <c r="EA9" i="4"/>
  <c r="K12" i="1"/>
  <c r="K15" i="1"/>
  <c r="K24" i="1"/>
  <c r="I30" i="1"/>
  <c r="DH9" i="4"/>
  <c r="AN2" i="3"/>
  <c r="Z2" i="3"/>
  <c r="G2" i="1" s="1"/>
  <c r="I3" i="1"/>
  <c r="G5" i="1"/>
  <c r="EE9" i="4"/>
  <c r="DP9" i="4"/>
  <c r="AW9" i="4"/>
  <c r="AV46" i="4" s="1"/>
  <c r="G19" i="1"/>
  <c r="AF2" i="3"/>
  <c r="BY46" i="4"/>
  <c r="K6" i="1"/>
  <c r="AS2" i="3"/>
  <c r="BJ2" i="3"/>
  <c r="CR9" i="4"/>
  <c r="CQ43" i="4" s="1"/>
  <c r="J2" i="3"/>
  <c r="O42" i="4"/>
  <c r="BT9" i="4"/>
  <c r="CN45" i="4"/>
  <c r="DN9" i="4"/>
  <c r="DW9" i="4"/>
  <c r="M2" i="3"/>
  <c r="V9" i="4"/>
  <c r="U46" i="4" s="1"/>
  <c r="BG9" i="4"/>
  <c r="Y2" i="3"/>
  <c r="F45" i="4"/>
  <c r="AA42" i="4"/>
  <c r="AC2" i="3"/>
  <c r="AU2" i="3"/>
  <c r="EC9" i="4"/>
  <c r="EL9" i="4"/>
  <c r="BG2" i="3"/>
  <c r="FC9" i="4"/>
  <c r="I22" i="1"/>
  <c r="AH9" i="4"/>
  <c r="AG43" i="4" s="1"/>
  <c r="AM2" i="3"/>
  <c r="EJ9" i="4"/>
  <c r="ER9" i="4"/>
  <c r="P9" i="4"/>
  <c r="O46" i="4" s="1"/>
  <c r="BW9" i="4"/>
  <c r="CO9" i="4"/>
  <c r="CN43" i="4" s="1"/>
  <c r="AJ2" i="3"/>
  <c r="EH9" i="4"/>
  <c r="I46" i="4"/>
  <c r="I47" i="4" s="1"/>
  <c r="I4" i="1"/>
  <c r="AP45" i="4"/>
  <c r="K26" i="1"/>
  <c r="I25" i="1"/>
  <c r="F42" i="4"/>
  <c r="K7" i="1"/>
  <c r="I10" i="1"/>
  <c r="K9" i="1"/>
  <c r="I17" i="1"/>
  <c r="I19" i="1"/>
  <c r="U45" i="4"/>
  <c r="AD2" i="3"/>
  <c r="AT2" i="3"/>
  <c r="S2" i="3"/>
  <c r="AB9" i="4"/>
  <c r="AA46" i="4" s="1"/>
  <c r="CL9" i="4"/>
  <c r="CK43" i="4" s="1"/>
  <c r="CB9" i="4"/>
  <c r="CA46" i="4" s="1"/>
  <c r="AH2" i="3"/>
  <c r="BB2" i="3"/>
  <c r="BK2" i="3"/>
  <c r="C45" i="4"/>
  <c r="AA45" i="4"/>
  <c r="AD42" i="4"/>
  <c r="AG42" i="4"/>
  <c r="AJ42" i="4"/>
  <c r="AS45" i="4"/>
  <c r="E19" i="1"/>
  <c r="CG46" i="4"/>
  <c r="DU9" i="4"/>
  <c r="AD43" i="4"/>
  <c r="K2" i="3"/>
  <c r="DJ9" i="4"/>
  <c r="DL9" i="4"/>
  <c r="AZ42" i="4"/>
  <c r="CF9" i="4"/>
  <c r="CE46" i="4" s="1"/>
  <c r="CK45" i="4"/>
  <c r="CQ45" i="4"/>
  <c r="AW2" i="3"/>
  <c r="AI2" i="3"/>
  <c r="AY2" i="3"/>
  <c r="I5" i="1"/>
  <c r="AM42" i="4"/>
  <c r="AM43" i="4"/>
  <c r="AO2" i="3"/>
  <c r="R2" i="3"/>
  <c r="AX2" i="3"/>
  <c r="N9" i="4"/>
  <c r="X2" i="3"/>
  <c r="EU9" i="4"/>
  <c r="C42" i="4"/>
  <c r="G23" i="1"/>
  <c r="AV45" i="4"/>
  <c r="X42" i="4"/>
  <c r="CI46" i="4"/>
  <c r="I14" i="1"/>
  <c r="F43" i="4"/>
  <c r="BC42" i="4"/>
  <c r="K20" i="1"/>
  <c r="K23" i="1"/>
  <c r="K30" i="1"/>
  <c r="K10" i="1"/>
  <c r="G16" i="1"/>
  <c r="I27" i="1"/>
  <c r="K27" i="1"/>
  <c r="I28" i="1"/>
  <c r="K28" i="1"/>
  <c r="G28" i="1"/>
  <c r="G29" i="1"/>
  <c r="K29" i="1"/>
  <c r="P2" i="3"/>
  <c r="AD46" i="4"/>
  <c r="BC43" i="4"/>
  <c r="AG2" i="3"/>
  <c r="CQ42" i="4"/>
  <c r="AM46" i="4"/>
  <c r="G12" i="1"/>
  <c r="G14" i="1"/>
  <c r="K46" i="4"/>
  <c r="K47" i="4" s="1"/>
  <c r="AP42" i="4"/>
  <c r="AT9" i="4"/>
  <c r="U2" i="3"/>
  <c r="DF9" i="4"/>
  <c r="BF42" i="4"/>
  <c r="X45" i="4"/>
  <c r="N2" i="3"/>
  <c r="Y9" i="4"/>
  <c r="G17" i="1"/>
  <c r="G18" i="1"/>
  <c r="CK42" i="4"/>
  <c r="AG45" i="4"/>
  <c r="AL2" i="3"/>
  <c r="DD9" i="4"/>
  <c r="CD9" i="4"/>
  <c r="CC46" i="4" s="1"/>
  <c r="BE2" i="3"/>
  <c r="FA9" i="4"/>
  <c r="BI2" i="3"/>
  <c r="K3" i="1"/>
  <c r="I9" i="1"/>
  <c r="I16" i="1"/>
  <c r="I23" i="1"/>
  <c r="I24" i="1"/>
  <c r="T2" i="3"/>
  <c r="AQ9" i="4"/>
  <c r="AK2" i="3"/>
  <c r="CX9" i="4"/>
  <c r="K14" i="1"/>
  <c r="O45" i="4"/>
  <c r="AD45" i="4"/>
  <c r="W2" i="3"/>
  <c r="BA9" i="4"/>
  <c r="AZ46" i="4" s="1"/>
  <c r="EP9" i="4"/>
  <c r="BF2" i="3"/>
  <c r="EW9" i="4"/>
  <c r="C46" i="4"/>
  <c r="AJ45" i="4"/>
  <c r="AS42" i="4"/>
  <c r="CN42" i="4"/>
  <c r="I15" i="1"/>
  <c r="AV42" i="4"/>
  <c r="S9" i="4"/>
  <c r="R46" i="4" s="1"/>
  <c r="R47" i="4" s="1"/>
  <c r="CU9" i="4"/>
  <c r="CT46" i="4" s="1"/>
  <c r="CT47" i="4" s="1"/>
  <c r="E15" i="1"/>
  <c r="I18" i="1"/>
  <c r="G21" i="1"/>
  <c r="F46" i="4"/>
  <c r="DR9" i="4"/>
  <c r="DY9" i="4"/>
  <c r="I7" i="1"/>
  <c r="G25" i="1"/>
  <c r="G26" i="1"/>
  <c r="I26" i="1"/>
  <c r="K25" i="1"/>
  <c r="CN46" i="4" l="1"/>
  <c r="BF43" i="4"/>
  <c r="BF46" i="4"/>
  <c r="BF47" i="4" s="1"/>
  <c r="AM47" i="4"/>
  <c r="AA47" i="4"/>
  <c r="AJ46" i="4"/>
  <c r="AJ47" i="4" s="1"/>
  <c r="BC44" i="4"/>
  <c r="E14" i="1"/>
  <c r="G9" i="1"/>
  <c r="E21" i="1"/>
  <c r="G8" i="1"/>
  <c r="C47" i="4"/>
  <c r="G4" i="1"/>
  <c r="G13" i="1"/>
  <c r="AV47" i="4"/>
  <c r="BS46" i="4"/>
  <c r="E18" i="1"/>
  <c r="G30" i="1"/>
  <c r="G3" i="1"/>
  <c r="G22" i="1"/>
  <c r="E3" i="1"/>
  <c r="U43" i="4"/>
  <c r="AA43" i="4"/>
  <c r="CN47" i="4"/>
  <c r="E29" i="1"/>
  <c r="G27" i="1"/>
  <c r="CQ46" i="4"/>
  <c r="CQ47" i="4" s="1"/>
  <c r="E24" i="1"/>
  <c r="E16" i="1"/>
  <c r="E5" i="1"/>
  <c r="G7" i="1"/>
  <c r="E4" i="1"/>
  <c r="O47" i="4"/>
  <c r="CK46" i="4"/>
  <c r="CK47" i="4" s="1"/>
  <c r="G15" i="1"/>
  <c r="E13" i="1"/>
  <c r="E9" i="1"/>
  <c r="AG46" i="4"/>
  <c r="AG47" i="4" s="1"/>
  <c r="O43" i="4"/>
  <c r="F47" i="4"/>
  <c r="E10" i="1"/>
  <c r="E28" i="1"/>
  <c r="G6" i="1"/>
  <c r="AV43" i="4"/>
  <c r="E17" i="1"/>
  <c r="E8" i="1"/>
  <c r="E7" i="1"/>
  <c r="E30" i="1"/>
  <c r="AA49" i="4"/>
  <c r="G20" i="1"/>
  <c r="G10" i="1"/>
  <c r="E25" i="1"/>
  <c r="E22" i="1"/>
  <c r="AD47" i="4"/>
  <c r="E2" i="1"/>
  <c r="E11" i="1"/>
  <c r="E27" i="1"/>
  <c r="U47" i="4"/>
  <c r="E6" i="1"/>
  <c r="BF44" i="4"/>
  <c r="AP43" i="4"/>
  <c r="AP46" i="4"/>
  <c r="AP47" i="4" s="1"/>
  <c r="E20" i="1"/>
  <c r="E26" i="1"/>
  <c r="AS46" i="4"/>
  <c r="AS47" i="4" s="1"/>
  <c r="AS43" i="4"/>
  <c r="G11" i="1"/>
  <c r="E23" i="1"/>
  <c r="AZ43" i="4"/>
  <c r="AZ44" i="4" s="1"/>
  <c r="X43" i="4"/>
  <c r="X46" i="4"/>
  <c r="E12" i="1"/>
  <c r="AA48" i="4"/>
  <c r="AM48" i="4" l="1"/>
  <c r="AV48" i="4" s="1"/>
  <c r="X47" i="4"/>
  <c r="AZ47" i="4"/>
  <c r="BC49" i="4"/>
  <c r="AM49" i="4"/>
  <c r="AV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7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<sst xmlns="http://schemas.openxmlformats.org/spreadsheetml/2006/main" count="408" uniqueCount="203">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</sst>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0" xfId="0" applyNumberFormat="1" applyFont="1" applyFill="1" applyBorder="1" applyAlignment="1">
      <alignment vertical="center"/>
    </xf>
    <xf numFmtId="15" fontId="16" fillId="0" borderId="61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2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Sheet1"/>
      <sheetName val="Sheet2"/>
      <sheetName val="March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9">
          <cell r="B9">
            <v>0.79</v>
          </cell>
          <cell r="E9">
            <v>530552</v>
          </cell>
          <cell r="G9">
            <v>506</v>
          </cell>
          <cell r="H9">
            <v>699410</v>
          </cell>
          <cell r="J9">
            <v>416</v>
          </cell>
          <cell r="K9">
            <v>24884</v>
          </cell>
          <cell r="N9">
            <v>615621</v>
          </cell>
          <cell r="Q9">
            <v>156875</v>
          </cell>
          <cell r="S9">
            <v>95774</v>
          </cell>
          <cell r="U9">
            <v>84</v>
          </cell>
          <cell r="V9">
            <v>7324</v>
          </cell>
          <cell r="AC9">
            <v>5523094.0800000001</v>
          </cell>
          <cell r="AD9">
            <v>1851.3600000003353</v>
          </cell>
          <cell r="AF9">
            <v>10784659.199999999</v>
          </cell>
          <cell r="AG9">
            <v>4628.4000000003725</v>
          </cell>
          <cell r="AI9">
            <v>9842901.5999999996</v>
          </cell>
          <cell r="AJ9">
            <v>535.91999999992549</v>
          </cell>
          <cell r="AL9">
            <v>13177493.280000001</v>
          </cell>
          <cell r="AM9">
            <v>5213.0399999972433</v>
          </cell>
          <cell r="AO9">
            <v>13192547.76</v>
          </cell>
          <cell r="AP9">
            <v>243.59999999962747</v>
          </cell>
          <cell r="AR9">
            <v>12115884.48</v>
          </cell>
          <cell r="AS9">
            <v>6284.8799999989569</v>
          </cell>
          <cell r="AU9">
            <v>10538477.040000001</v>
          </cell>
          <cell r="AV9">
            <v>3605.2799999974668</v>
          </cell>
          <cell r="AX9">
            <v>10199239.68</v>
          </cell>
          <cell r="AY9">
            <v>4530.9600000008941</v>
          </cell>
          <cell r="BA9">
            <v>8140186.3199999994</v>
          </cell>
          <cell r="BB9">
            <v>2923.2000000001863</v>
          </cell>
          <cell r="BD9">
            <v>12049138.08</v>
          </cell>
          <cell r="BE9">
            <v>4725.839999999851</v>
          </cell>
          <cell r="BK9">
            <v>49766400</v>
          </cell>
          <cell r="BL9">
            <v>100</v>
          </cell>
          <cell r="BN9">
            <v>54058400</v>
          </cell>
          <cell r="BO9">
            <v>26800</v>
          </cell>
          <cell r="BQ9">
            <v>47821500</v>
          </cell>
          <cell r="BR9">
            <v>0</v>
          </cell>
          <cell r="BT9">
            <v>4101280</v>
          </cell>
          <cell r="BW9">
            <v>0.75</v>
          </cell>
          <cell r="BX9">
            <v>-9.9999999999999978E-2</v>
          </cell>
          <cell r="BZ9">
            <v>45036</v>
          </cell>
          <cell r="CB9">
            <v>39830</v>
          </cell>
          <cell r="CD9">
            <v>13343</v>
          </cell>
          <cell r="CF9">
            <v>16850</v>
          </cell>
          <cell r="CH9">
            <v>19241</v>
          </cell>
          <cell r="CJ9">
            <v>40927</v>
          </cell>
          <cell r="CL9">
            <v>176561</v>
          </cell>
          <cell r="CM9">
            <v>90</v>
          </cell>
          <cell r="CO9">
            <v>128182</v>
          </cell>
          <cell r="CP9">
            <v>94</v>
          </cell>
          <cell r="CR9">
            <v>244371</v>
          </cell>
          <cell r="CS9">
            <v>430</v>
          </cell>
          <cell r="CU9">
            <v>475824</v>
          </cell>
          <cell r="CX9">
            <v>323</v>
          </cell>
          <cell r="CZ9">
            <v>1245</v>
          </cell>
          <cell r="DB9">
            <v>18925</v>
          </cell>
          <cell r="DD9">
            <v>19507</v>
          </cell>
          <cell r="DF9">
            <v>13665</v>
          </cell>
          <cell r="DH9">
            <v>17317</v>
          </cell>
          <cell r="DJ9">
            <v>825</v>
          </cell>
          <cell r="DL9">
            <v>3570</v>
          </cell>
          <cell r="DN9">
            <v>1029</v>
          </cell>
          <cell r="DP9">
            <v>1186</v>
          </cell>
          <cell r="DR9">
            <v>17096</v>
          </cell>
          <cell r="DU9">
            <v>2774401</v>
          </cell>
          <cell r="DW9">
            <v>4606</v>
          </cell>
          <cell r="DY9">
            <v>1832847</v>
          </cell>
          <cell r="EA9">
            <v>252592</v>
          </cell>
          <cell r="EC9">
            <v>457619</v>
          </cell>
          <cell r="EG9">
            <v>89138</v>
          </cell>
          <cell r="EJ9">
            <v>6811900</v>
          </cell>
          <cell r="EL9">
            <v>602310</v>
          </cell>
          <cell r="EN9">
            <v>4630900</v>
          </cell>
          <cell r="EP9">
            <v>1988600</v>
          </cell>
          <cell r="ER9">
            <v>680160</v>
          </cell>
          <cell r="ET9">
            <v>10727900</v>
          </cell>
          <cell r="EW9">
            <v>28120</v>
          </cell>
          <cell r="EY9">
            <v>24582</v>
          </cell>
          <cell r="FA9">
            <v>0</v>
          </cell>
          <cell r="FC9">
            <v>44546</v>
          </cell>
          <cell r="FE9">
            <v>21127</v>
          </cell>
        </row>
        <row r="10">
          <cell r="B10">
            <v>0.73</v>
          </cell>
          <cell r="E10">
            <v>531034</v>
          </cell>
          <cell r="H10">
            <v>699851</v>
          </cell>
          <cell r="K10">
            <v>25016</v>
          </cell>
          <cell r="N10">
            <v>615768</v>
          </cell>
          <cell r="Q10">
            <v>156875</v>
          </cell>
          <cell r="S10">
            <v>95835</v>
          </cell>
          <cell r="V10">
            <v>7344</v>
          </cell>
          <cell r="AC10">
            <v>5524945.4400000004</v>
          </cell>
          <cell r="AF10">
            <v>10789287.6</v>
          </cell>
          <cell r="AI10">
            <v>9843437.5199999996</v>
          </cell>
          <cell r="AL10">
            <v>13182706.319999998</v>
          </cell>
          <cell r="AO10">
            <v>13192791.359999999</v>
          </cell>
          <cell r="AR10">
            <v>12122169.359999999</v>
          </cell>
          <cell r="AU10">
            <v>10542082.319999998</v>
          </cell>
          <cell r="AX10">
            <v>10203770.640000001</v>
          </cell>
          <cell r="BA10">
            <v>8143109.5199999996</v>
          </cell>
          <cell r="BD10">
            <v>12053863.92</v>
          </cell>
          <cell r="BK10">
            <v>49766500</v>
          </cell>
          <cell r="BN10">
            <v>54085200</v>
          </cell>
          <cell r="BQ10">
            <v>47821500</v>
          </cell>
          <cell r="BT10">
            <v>4105310</v>
          </cell>
          <cell r="BW10">
            <v>0.65</v>
          </cell>
          <cell r="BX10"/>
          <cell r="BZ10">
            <v>45036</v>
          </cell>
          <cell r="CB10">
            <v>39830</v>
          </cell>
          <cell r="CD10">
            <v>13343</v>
          </cell>
          <cell r="CF10">
            <v>16850</v>
          </cell>
          <cell r="CH10">
            <v>19241</v>
          </cell>
          <cell r="CJ10">
            <v>40927</v>
          </cell>
          <cell r="CL10">
            <v>176651</v>
          </cell>
          <cell r="CO10">
            <v>128276</v>
          </cell>
          <cell r="CR10">
            <v>244801</v>
          </cell>
          <cell r="CU10">
            <v>476000</v>
          </cell>
          <cell r="CX10">
            <v>323</v>
          </cell>
          <cell r="CZ10">
            <v>1245</v>
          </cell>
          <cell r="DB10">
            <v>18941</v>
          </cell>
          <cell r="DD10">
            <v>19520</v>
          </cell>
          <cell r="DF10">
            <v>13674</v>
          </cell>
          <cell r="DH10">
            <v>17325</v>
          </cell>
          <cell r="DJ10">
            <v>825</v>
          </cell>
          <cell r="DL10">
            <v>3570</v>
          </cell>
          <cell r="DN10">
            <v>1031</v>
          </cell>
          <cell r="DP10">
            <v>1189</v>
          </cell>
          <cell r="DR10">
            <v>17105</v>
          </cell>
          <cell r="DU10">
            <v>2775850</v>
          </cell>
          <cell r="DW10">
            <v>4610</v>
          </cell>
          <cell r="DY10">
            <v>1833852</v>
          </cell>
          <cell r="EA10">
            <v>252596</v>
          </cell>
          <cell r="EC10">
            <v>458102</v>
          </cell>
          <cell r="EG10">
            <v>89283</v>
          </cell>
          <cell r="EJ10">
            <v>6813200</v>
          </cell>
          <cell r="EL10">
            <v>602530</v>
          </cell>
          <cell r="EN10">
            <v>4631700</v>
          </cell>
          <cell r="EP10">
            <v>1988700</v>
          </cell>
          <cell r="ER10">
            <v>680270</v>
          </cell>
          <cell r="ET10">
            <v>10728500</v>
          </cell>
          <cell r="EW10">
            <v>28137</v>
          </cell>
          <cell r="EY10">
            <v>24597</v>
          </cell>
          <cell r="FA10">
            <v>0</v>
          </cell>
          <cell r="FC10">
            <v>44581</v>
          </cell>
          <cell r="FE10">
            <v>21153</v>
          </cell>
        </row>
        <row r="11">
          <cell r="B11">
            <v>0.68</v>
          </cell>
          <cell r="E11">
            <v>531509</v>
          </cell>
          <cell r="F11">
            <v>475</v>
          </cell>
          <cell r="G11">
            <v>475</v>
          </cell>
          <cell r="H11">
            <v>700274</v>
          </cell>
          <cell r="I11">
            <v>423</v>
          </cell>
          <cell r="J11">
            <v>365</v>
          </cell>
          <cell r="K11">
            <v>25203</v>
          </cell>
          <cell r="L11">
            <v>187</v>
          </cell>
          <cell r="N11">
            <v>615918</v>
          </cell>
          <cell r="O11">
            <v>150</v>
          </cell>
          <cell r="Q11">
            <v>156876</v>
          </cell>
          <cell r="R11">
            <v>1</v>
          </cell>
          <cell r="S11">
            <v>95898</v>
          </cell>
          <cell r="T11">
            <v>63</v>
          </cell>
          <cell r="U11">
            <v>105</v>
          </cell>
          <cell r="V11">
            <v>7357</v>
          </cell>
          <cell r="W11">
            <v>13</v>
          </cell>
          <cell r="AC11">
            <v>5526942.96</v>
          </cell>
          <cell r="AD11">
            <v>1997.519999999553</v>
          </cell>
          <cell r="AF11">
            <v>10794257.040000001</v>
          </cell>
          <cell r="AG11">
            <v>4969.4400000013411</v>
          </cell>
          <cell r="AI11">
            <v>9844070.8800000008</v>
          </cell>
          <cell r="AJ11">
            <v>633.3600000012666</v>
          </cell>
          <cell r="AL11">
            <v>13188504</v>
          </cell>
          <cell r="AM11">
            <v>5797.6800000015646</v>
          </cell>
          <cell r="AO11">
            <v>13193083.68</v>
          </cell>
          <cell r="AP11">
            <v>292.32000000029802</v>
          </cell>
          <cell r="AR11">
            <v>12128405.52</v>
          </cell>
          <cell r="AS11">
            <v>6236.160000000149</v>
          </cell>
          <cell r="AU11">
            <v>10545931.199999999</v>
          </cell>
          <cell r="AV11">
            <v>3848.8800000008196</v>
          </cell>
          <cell r="AX11">
            <v>10208740.08</v>
          </cell>
          <cell r="AY11">
            <v>4969.4399999994785</v>
          </cell>
          <cell r="BA11">
            <v>8146325.04</v>
          </cell>
          <cell r="BB11">
            <v>3215.5200000004843</v>
          </cell>
          <cell r="BD11">
            <v>12059174.4</v>
          </cell>
          <cell r="BE11">
            <v>5310.480000000447</v>
          </cell>
          <cell r="BK11">
            <v>49766500</v>
          </cell>
          <cell r="BL11">
            <v>0</v>
          </cell>
          <cell r="BN11">
            <v>54117600</v>
          </cell>
          <cell r="BO11">
            <v>32400</v>
          </cell>
          <cell r="BQ11">
            <v>47821500</v>
          </cell>
          <cell r="BR11">
            <v>0</v>
          </cell>
          <cell r="BT11">
            <v>4108730</v>
          </cell>
          <cell r="BU11">
            <v>3420</v>
          </cell>
          <cell r="BW11">
            <v>0.77</v>
          </cell>
          <cell r="BX11">
            <v>0.12</v>
          </cell>
          <cell r="BZ11">
            <v>45077</v>
          </cell>
          <cell r="CA11">
            <v>41</v>
          </cell>
          <cell r="CB11">
            <v>39862</v>
          </cell>
          <cell r="CC11">
            <v>32</v>
          </cell>
          <cell r="CD11">
            <v>13354</v>
          </cell>
          <cell r="CE11">
            <v>11</v>
          </cell>
          <cell r="CF11">
            <v>16873</v>
          </cell>
          <cell r="CG11">
            <v>23</v>
          </cell>
          <cell r="CH11">
            <v>19254</v>
          </cell>
          <cell r="CI11">
            <v>13</v>
          </cell>
          <cell r="CJ11">
            <v>40978</v>
          </cell>
          <cell r="CK11">
            <v>51</v>
          </cell>
          <cell r="CL11">
            <v>176735</v>
          </cell>
          <cell r="CM11">
            <v>84</v>
          </cell>
          <cell r="CO11">
            <v>128372</v>
          </cell>
          <cell r="CP11">
            <v>96</v>
          </cell>
          <cell r="CR11">
            <v>245201</v>
          </cell>
          <cell r="CS11">
            <v>400</v>
          </cell>
          <cell r="CU11">
            <v>476166</v>
          </cell>
          <cell r="CV11">
            <v>166</v>
          </cell>
          <cell r="CX11">
            <v>323</v>
          </cell>
          <cell r="CY11">
            <v>0</v>
          </cell>
          <cell r="CZ11">
            <v>1245</v>
          </cell>
          <cell r="DA11">
            <v>0</v>
          </cell>
          <cell r="DB11">
            <v>18954</v>
          </cell>
          <cell r="DC11">
            <v>13</v>
          </cell>
          <cell r="DD11">
            <v>19534</v>
          </cell>
          <cell r="DE11">
            <v>14</v>
          </cell>
          <cell r="DF11">
            <v>13682</v>
          </cell>
          <cell r="DG11">
            <v>8</v>
          </cell>
          <cell r="DH11">
            <v>17333</v>
          </cell>
          <cell r="DI11">
            <v>8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1035</v>
          </cell>
          <cell r="DO11">
            <v>4</v>
          </cell>
          <cell r="DP11">
            <v>1191</v>
          </cell>
          <cell r="DQ11">
            <v>2</v>
          </cell>
          <cell r="DR11">
            <v>17115</v>
          </cell>
          <cell r="DS11">
            <v>10</v>
          </cell>
          <cell r="DU11">
            <v>2777333</v>
          </cell>
          <cell r="DV11">
            <v>1483</v>
          </cell>
          <cell r="DW11">
            <v>4615</v>
          </cell>
          <cell r="DX11">
            <v>5</v>
          </cell>
          <cell r="DY11">
            <v>1834901</v>
          </cell>
          <cell r="DZ11">
            <v>1049</v>
          </cell>
          <cell r="EA11">
            <v>252600</v>
          </cell>
          <cell r="EB11">
            <v>4</v>
          </cell>
          <cell r="EC11">
            <v>458550</v>
          </cell>
          <cell r="ED11">
            <v>448</v>
          </cell>
          <cell r="EG11">
            <v>89428</v>
          </cell>
          <cell r="EH11">
            <v>145</v>
          </cell>
          <cell r="EJ11">
            <v>6815100</v>
          </cell>
          <cell r="EK11">
            <v>1900</v>
          </cell>
          <cell r="EL11">
            <v>602760</v>
          </cell>
          <cell r="EM11">
            <v>230</v>
          </cell>
          <cell r="EN11">
            <v>4632500</v>
          </cell>
          <cell r="EO11">
            <v>800</v>
          </cell>
          <cell r="EP11">
            <v>1988700</v>
          </cell>
          <cell r="EQ11">
            <v>0</v>
          </cell>
          <cell r="ER11">
            <v>680390</v>
          </cell>
          <cell r="ES11">
            <v>120</v>
          </cell>
          <cell r="ET11">
            <v>10729200</v>
          </cell>
          <cell r="EU11">
            <v>700</v>
          </cell>
          <cell r="EW11">
            <v>28155</v>
          </cell>
          <cell r="EX11">
            <v>18</v>
          </cell>
          <cell r="EY11">
            <v>24611</v>
          </cell>
          <cell r="EZ11">
            <v>14</v>
          </cell>
          <cell r="FA11">
            <v>0</v>
          </cell>
          <cell r="FB11">
            <v>0</v>
          </cell>
          <cell r="FC11">
            <v>44581</v>
          </cell>
          <cell r="FD11">
            <v>0</v>
          </cell>
          <cell r="FE11">
            <v>21176</v>
          </cell>
          <cell r="FF11">
            <v>23</v>
          </cell>
        </row>
        <row r="12">
          <cell r="B12">
            <v>0.7</v>
          </cell>
          <cell r="E12">
            <v>532110</v>
          </cell>
          <cell r="F12">
            <v>601</v>
          </cell>
          <cell r="G12">
            <v>467</v>
          </cell>
          <cell r="H12">
            <v>700784</v>
          </cell>
          <cell r="I12">
            <v>510</v>
          </cell>
          <cell r="J12">
            <v>369</v>
          </cell>
          <cell r="K12">
            <v>25335</v>
          </cell>
          <cell r="L12">
            <v>132</v>
          </cell>
          <cell r="N12">
            <v>616061</v>
          </cell>
          <cell r="O12">
            <v>143</v>
          </cell>
          <cell r="Q12">
            <v>156876</v>
          </cell>
          <cell r="R12">
            <v>0</v>
          </cell>
          <cell r="S12">
            <v>95956</v>
          </cell>
          <cell r="T12">
            <v>58</v>
          </cell>
          <cell r="U12">
            <v>69</v>
          </cell>
          <cell r="V12">
            <v>7367</v>
          </cell>
          <cell r="W12">
            <v>10</v>
          </cell>
          <cell r="AC12">
            <v>5528940.4799999995</v>
          </cell>
          <cell r="AD12">
            <v>1997.519999999553</v>
          </cell>
          <cell r="AF12">
            <v>10799031.6</v>
          </cell>
          <cell r="AG12">
            <v>4774.5599999986589</v>
          </cell>
          <cell r="AI12">
            <v>9844606.7999999989</v>
          </cell>
          <cell r="AJ12">
            <v>535.91999999806285</v>
          </cell>
          <cell r="AL12">
            <v>13193765.76</v>
          </cell>
          <cell r="AM12">
            <v>5261.7599999997765</v>
          </cell>
          <cell r="AO12">
            <v>13193376</v>
          </cell>
          <cell r="AP12">
            <v>292.32000000029802</v>
          </cell>
          <cell r="AR12">
            <v>12134641.68</v>
          </cell>
          <cell r="AS12">
            <v>6236.160000000149</v>
          </cell>
          <cell r="AU12">
            <v>10549439.040000001</v>
          </cell>
          <cell r="AV12">
            <v>3507.8400000017136</v>
          </cell>
          <cell r="AX12">
            <v>10213514.640000001</v>
          </cell>
          <cell r="AY12">
            <v>4774.5600000005215</v>
          </cell>
          <cell r="BA12">
            <v>8149589.2800000003</v>
          </cell>
          <cell r="BB12">
            <v>3264.2400000002235</v>
          </cell>
          <cell r="BD12">
            <v>12064582.319999998</v>
          </cell>
          <cell r="BE12">
            <v>5407.9199999980628</v>
          </cell>
          <cell r="BK12">
            <v>49766500</v>
          </cell>
          <cell r="BL12">
            <v>0</v>
          </cell>
          <cell r="BN12">
            <v>54148300</v>
          </cell>
          <cell r="BO12">
            <v>30700</v>
          </cell>
          <cell r="BQ12">
            <v>47821500</v>
          </cell>
          <cell r="BR12">
            <v>0</v>
          </cell>
          <cell r="BT12">
            <v>4113850</v>
          </cell>
          <cell r="BU12">
            <v>5120</v>
          </cell>
          <cell r="BW12">
            <v>0.66</v>
          </cell>
          <cell r="BX12">
            <v>-0.10999999999999999</v>
          </cell>
          <cell r="BZ12">
            <v>45096</v>
          </cell>
          <cell r="CA12">
            <v>19</v>
          </cell>
          <cell r="CB12">
            <v>39876</v>
          </cell>
          <cell r="CC12">
            <v>14</v>
          </cell>
          <cell r="CD12">
            <v>13358</v>
          </cell>
          <cell r="CE12">
            <v>4</v>
          </cell>
          <cell r="CF12">
            <v>16883</v>
          </cell>
          <cell r="CG12">
            <v>10</v>
          </cell>
          <cell r="CH12">
            <v>19264</v>
          </cell>
          <cell r="CI12">
            <v>10</v>
          </cell>
          <cell r="CJ12">
            <v>41001</v>
          </cell>
          <cell r="CK12">
            <v>23</v>
          </cell>
          <cell r="CL12">
            <v>176820</v>
          </cell>
          <cell r="CM12">
            <v>85</v>
          </cell>
          <cell r="CO12">
            <v>128465</v>
          </cell>
          <cell r="CP12">
            <v>93</v>
          </cell>
          <cell r="CR12">
            <v>245625</v>
          </cell>
          <cell r="CS12">
            <v>424</v>
          </cell>
          <cell r="CU12">
            <v>476335</v>
          </cell>
          <cell r="CV12">
            <v>169</v>
          </cell>
          <cell r="CX12">
            <v>323</v>
          </cell>
          <cell r="CY12">
            <v>0</v>
          </cell>
          <cell r="CZ12">
            <v>1245</v>
          </cell>
          <cell r="DA12">
            <v>0</v>
          </cell>
          <cell r="DB12">
            <v>18967</v>
          </cell>
          <cell r="DC12">
            <v>13</v>
          </cell>
          <cell r="DD12">
            <v>19545</v>
          </cell>
          <cell r="DE12">
            <v>11</v>
          </cell>
          <cell r="DF12">
            <v>13691</v>
          </cell>
          <cell r="DG12">
            <v>9</v>
          </cell>
          <cell r="DH12">
            <v>17339</v>
          </cell>
          <cell r="DI12">
            <v>6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1038</v>
          </cell>
          <cell r="DO12">
            <v>3</v>
          </cell>
          <cell r="DP12">
            <v>1194</v>
          </cell>
          <cell r="DQ12">
            <v>3</v>
          </cell>
          <cell r="DR12">
            <v>17125</v>
          </cell>
          <cell r="DS12">
            <v>10</v>
          </cell>
          <cell r="DU12">
            <v>2778771</v>
          </cell>
          <cell r="DV12">
            <v>1438</v>
          </cell>
          <cell r="DW12">
            <v>4619</v>
          </cell>
          <cell r="DX12">
            <v>4</v>
          </cell>
          <cell r="DY12">
            <v>1836046</v>
          </cell>
          <cell r="DZ12">
            <v>1145</v>
          </cell>
          <cell r="EA12">
            <v>252604</v>
          </cell>
          <cell r="EB12">
            <v>4</v>
          </cell>
          <cell r="EC12">
            <v>459040</v>
          </cell>
          <cell r="ED12">
            <v>490</v>
          </cell>
          <cell r="EG12">
            <v>89572</v>
          </cell>
          <cell r="EH12">
            <v>144</v>
          </cell>
          <cell r="EJ12">
            <v>6816900</v>
          </cell>
          <cell r="EK12">
            <v>1800</v>
          </cell>
          <cell r="EL12">
            <v>602960</v>
          </cell>
          <cell r="EM12">
            <v>200</v>
          </cell>
          <cell r="EN12">
            <v>4633800</v>
          </cell>
          <cell r="EO12">
            <v>1300</v>
          </cell>
          <cell r="EP12">
            <v>1988700</v>
          </cell>
          <cell r="EQ12">
            <v>0</v>
          </cell>
          <cell r="ER12">
            <v>680510</v>
          </cell>
          <cell r="ES12">
            <v>120</v>
          </cell>
          <cell r="ET12">
            <v>10729200</v>
          </cell>
          <cell r="EU12">
            <v>0</v>
          </cell>
          <cell r="EW12">
            <v>28169</v>
          </cell>
          <cell r="EX12">
            <v>14</v>
          </cell>
          <cell r="EY12">
            <v>24624</v>
          </cell>
          <cell r="EZ12">
            <v>13</v>
          </cell>
          <cell r="FA12">
            <v>0</v>
          </cell>
          <cell r="FB12">
            <v>0</v>
          </cell>
          <cell r="FC12">
            <v>44642</v>
          </cell>
          <cell r="FD12">
            <v>61</v>
          </cell>
          <cell r="FE12">
            <v>21203</v>
          </cell>
          <cell r="FF12">
            <v>27</v>
          </cell>
        </row>
        <row r="13">
          <cell r="B13">
            <v>0.86</v>
          </cell>
          <cell r="E13">
            <v>532580</v>
          </cell>
          <cell r="F13">
            <v>470</v>
          </cell>
          <cell r="G13">
            <v>448</v>
          </cell>
          <cell r="H13">
            <v>701193</v>
          </cell>
          <cell r="I13">
            <v>409</v>
          </cell>
          <cell r="J13">
            <v>379</v>
          </cell>
          <cell r="K13">
            <v>25527</v>
          </cell>
          <cell r="L13">
            <v>192</v>
          </cell>
          <cell r="N13">
            <v>616216</v>
          </cell>
          <cell r="O13">
            <v>155</v>
          </cell>
          <cell r="Q13">
            <v>156876</v>
          </cell>
          <cell r="R13">
            <v>0</v>
          </cell>
          <cell r="S13">
            <v>96005</v>
          </cell>
          <cell r="T13">
            <v>49</v>
          </cell>
          <cell r="U13">
            <v>64</v>
          </cell>
          <cell r="V13">
            <v>7378</v>
          </cell>
          <cell r="W13">
            <v>11</v>
          </cell>
          <cell r="AC13">
            <v>5530791.8399999999</v>
          </cell>
          <cell r="AD13">
            <v>1851.3600000003353</v>
          </cell>
          <cell r="AF13">
            <v>10803952.319999998</v>
          </cell>
          <cell r="AG13">
            <v>4920.7199999988079</v>
          </cell>
          <cell r="AI13">
            <v>9845240.1600000001</v>
          </cell>
          <cell r="AJ13">
            <v>633.3600000012666</v>
          </cell>
          <cell r="AL13">
            <v>13199417.280000001</v>
          </cell>
          <cell r="AM13">
            <v>5651.5200000014156</v>
          </cell>
          <cell r="AO13">
            <v>13193668.319999998</v>
          </cell>
          <cell r="AP13">
            <v>292.31999999843538</v>
          </cell>
          <cell r="AR13">
            <v>12140536.799999999</v>
          </cell>
          <cell r="AS13">
            <v>5895.1199999991804</v>
          </cell>
          <cell r="AU13">
            <v>10553628.959999999</v>
          </cell>
          <cell r="AV13">
            <v>4189.9199999980628</v>
          </cell>
          <cell r="AX13">
            <v>10218191.76</v>
          </cell>
          <cell r="AY13">
            <v>4677.1199999991804</v>
          </cell>
          <cell r="BA13">
            <v>8153048.3999999994</v>
          </cell>
          <cell r="BB13">
            <v>3459.1199999991804</v>
          </cell>
          <cell r="BD13">
            <v>12069844.08</v>
          </cell>
          <cell r="BE13">
            <v>5261.7600000016391</v>
          </cell>
          <cell r="BK13">
            <v>49766500</v>
          </cell>
          <cell r="BL13">
            <v>0</v>
          </cell>
          <cell r="BN13">
            <v>54172600</v>
          </cell>
          <cell r="BO13">
            <v>24300</v>
          </cell>
          <cell r="BQ13">
            <v>47821500</v>
          </cell>
          <cell r="BR13">
            <v>0</v>
          </cell>
          <cell r="BT13">
            <v>4117620</v>
          </cell>
          <cell r="BU13">
            <v>3770</v>
          </cell>
          <cell r="BW13">
            <v>0.79</v>
          </cell>
          <cell r="BX13">
            <v>0.13</v>
          </cell>
          <cell r="BZ13">
            <v>45114</v>
          </cell>
          <cell r="CA13">
            <v>18</v>
          </cell>
          <cell r="CB13">
            <v>39891</v>
          </cell>
          <cell r="CC13">
            <v>15</v>
          </cell>
          <cell r="CD13">
            <v>13365</v>
          </cell>
          <cell r="CE13">
            <v>7</v>
          </cell>
          <cell r="CF13">
            <v>16893</v>
          </cell>
          <cell r="CG13">
            <v>10</v>
          </cell>
          <cell r="CH13">
            <v>19273</v>
          </cell>
          <cell r="CI13">
            <v>9</v>
          </cell>
          <cell r="CJ13">
            <v>41026</v>
          </cell>
          <cell r="CK13">
            <v>25</v>
          </cell>
          <cell r="CL13">
            <v>176909</v>
          </cell>
          <cell r="CM13">
            <v>89</v>
          </cell>
          <cell r="CO13">
            <v>128560</v>
          </cell>
          <cell r="CP13">
            <v>95</v>
          </cell>
          <cell r="CR13">
            <v>246039</v>
          </cell>
          <cell r="CS13">
            <v>414</v>
          </cell>
          <cell r="CU13">
            <v>476510</v>
          </cell>
          <cell r="CV13">
            <v>175</v>
          </cell>
          <cell r="CX13">
            <v>323</v>
          </cell>
          <cell r="CY13">
            <v>0</v>
          </cell>
          <cell r="CZ13">
            <v>1245</v>
          </cell>
          <cell r="DA13">
            <v>0</v>
          </cell>
          <cell r="DB13">
            <v>18978</v>
          </cell>
          <cell r="DC13">
            <v>11</v>
          </cell>
          <cell r="DD13">
            <v>19555</v>
          </cell>
          <cell r="DE13">
            <v>10</v>
          </cell>
          <cell r="DF13">
            <v>13699</v>
          </cell>
          <cell r="DG13">
            <v>8</v>
          </cell>
          <cell r="DH13">
            <v>17346</v>
          </cell>
          <cell r="DI13">
            <v>7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1038</v>
          </cell>
          <cell r="DO13">
            <v>0</v>
          </cell>
          <cell r="DP13">
            <v>1194</v>
          </cell>
          <cell r="DQ13">
            <v>0</v>
          </cell>
          <cell r="DR13">
            <v>17134</v>
          </cell>
          <cell r="DS13">
            <v>9</v>
          </cell>
          <cell r="DU13">
            <v>2780150</v>
          </cell>
          <cell r="DV13">
            <v>1379</v>
          </cell>
          <cell r="DW13">
            <v>4624</v>
          </cell>
          <cell r="DX13">
            <v>5</v>
          </cell>
          <cell r="DY13">
            <v>1837233</v>
          </cell>
          <cell r="DZ13">
            <v>1187</v>
          </cell>
          <cell r="EA13">
            <v>252608</v>
          </cell>
          <cell r="EB13">
            <v>4</v>
          </cell>
          <cell r="EC13">
            <v>459517</v>
          </cell>
          <cell r="ED13">
            <v>477</v>
          </cell>
          <cell r="EG13">
            <v>89720</v>
          </cell>
          <cell r="EH13">
            <v>148</v>
          </cell>
          <cell r="EJ13">
            <v>6818300</v>
          </cell>
          <cell r="EK13">
            <v>1400</v>
          </cell>
          <cell r="EL13">
            <v>603160</v>
          </cell>
          <cell r="EM13">
            <v>200</v>
          </cell>
          <cell r="EN13">
            <v>4634800</v>
          </cell>
          <cell r="EO13">
            <v>1000</v>
          </cell>
          <cell r="EP13">
            <v>1988800</v>
          </cell>
          <cell r="EQ13">
            <v>100</v>
          </cell>
          <cell r="ER13">
            <v>680620</v>
          </cell>
          <cell r="ES13">
            <v>110</v>
          </cell>
          <cell r="ET13">
            <v>10730100</v>
          </cell>
          <cell r="EU13">
            <v>900</v>
          </cell>
          <cell r="EW13">
            <v>28184</v>
          </cell>
          <cell r="EX13">
            <v>15</v>
          </cell>
          <cell r="EY13">
            <v>24638</v>
          </cell>
          <cell r="EZ13">
            <v>14</v>
          </cell>
          <cell r="FA13">
            <v>0</v>
          </cell>
          <cell r="FB13">
            <v>0</v>
          </cell>
          <cell r="FC13">
            <v>44671</v>
          </cell>
          <cell r="FD13">
            <v>29</v>
          </cell>
          <cell r="FE13">
            <v>21228</v>
          </cell>
          <cell r="FF13">
            <v>25</v>
          </cell>
        </row>
        <row r="14">
          <cell r="B14">
            <v>0.84</v>
          </cell>
          <cell r="E14">
            <v>533083</v>
          </cell>
          <cell r="F14">
            <v>503</v>
          </cell>
          <cell r="G14">
            <v>448</v>
          </cell>
          <cell r="H14">
            <v>701631</v>
          </cell>
          <cell r="I14">
            <v>438</v>
          </cell>
          <cell r="J14">
            <v>376</v>
          </cell>
          <cell r="K14">
            <v>25708</v>
          </cell>
          <cell r="L14">
            <v>181</v>
          </cell>
          <cell r="N14">
            <v>616359</v>
          </cell>
          <cell r="O14">
            <v>143</v>
          </cell>
          <cell r="Q14">
            <v>156876</v>
          </cell>
          <cell r="R14">
            <v>0</v>
          </cell>
          <cell r="S14">
            <v>96050</v>
          </cell>
          <cell r="T14">
            <v>45</v>
          </cell>
          <cell r="U14">
            <v>77</v>
          </cell>
          <cell r="V14">
            <v>7386</v>
          </cell>
          <cell r="W14">
            <v>8</v>
          </cell>
          <cell r="AC14">
            <v>5532740.6400000006</v>
          </cell>
          <cell r="AD14">
            <v>1948.8000000007451</v>
          </cell>
          <cell r="AF14">
            <v>10808726.880000001</v>
          </cell>
          <cell r="AG14">
            <v>4774.5600000023842</v>
          </cell>
          <cell r="AI14">
            <v>9845776.0800000001</v>
          </cell>
          <cell r="AJ14">
            <v>535.91999999992549</v>
          </cell>
          <cell r="AL14">
            <v>13205702.16</v>
          </cell>
          <cell r="AM14">
            <v>6284.8799999989569</v>
          </cell>
          <cell r="AO14">
            <v>13193960.640000001</v>
          </cell>
          <cell r="AP14">
            <v>292.32000000216067</v>
          </cell>
          <cell r="AR14">
            <v>12146870.4</v>
          </cell>
          <cell r="AS14">
            <v>6333.6000000014901</v>
          </cell>
          <cell r="AU14">
            <v>10557672.719999999</v>
          </cell>
          <cell r="AV14">
            <v>4043.7599999997765</v>
          </cell>
          <cell r="AX14">
            <v>10223112.48</v>
          </cell>
          <cell r="AY14">
            <v>4920.7200000006706</v>
          </cell>
          <cell r="BA14">
            <v>8156410.0800000001</v>
          </cell>
          <cell r="BB14">
            <v>3361.6800000006333</v>
          </cell>
          <cell r="BD14">
            <v>12075105.84</v>
          </cell>
          <cell r="BE14">
            <v>5261.7599999997765</v>
          </cell>
          <cell r="BK14">
            <v>49766500</v>
          </cell>
          <cell r="BL14">
            <v>0</v>
          </cell>
          <cell r="BN14">
            <v>54203500</v>
          </cell>
          <cell r="BO14">
            <v>30900</v>
          </cell>
          <cell r="BQ14">
            <v>47821500</v>
          </cell>
          <cell r="BR14">
            <v>0</v>
          </cell>
          <cell r="BT14">
            <v>4121700</v>
          </cell>
          <cell r="BU14">
            <v>4080</v>
          </cell>
          <cell r="BW14">
            <v>0.7</v>
          </cell>
          <cell r="BX14">
            <v>-9.000000000000008E-2</v>
          </cell>
          <cell r="BZ14">
            <v>45134</v>
          </cell>
          <cell r="CA14">
            <v>20</v>
          </cell>
          <cell r="CB14">
            <v>39907</v>
          </cell>
          <cell r="CC14">
            <v>16</v>
          </cell>
          <cell r="CD14">
            <v>13371</v>
          </cell>
          <cell r="CE14">
            <v>6</v>
          </cell>
          <cell r="CF14">
            <v>16903</v>
          </cell>
          <cell r="CG14">
            <v>10</v>
          </cell>
          <cell r="CH14">
            <v>19285</v>
          </cell>
          <cell r="CI14">
            <v>12</v>
          </cell>
          <cell r="CJ14">
            <v>41050</v>
          </cell>
          <cell r="CK14">
            <v>24</v>
          </cell>
          <cell r="CL14">
            <v>176997</v>
          </cell>
          <cell r="CM14">
            <v>88</v>
          </cell>
          <cell r="CO14">
            <v>128658</v>
          </cell>
          <cell r="CP14">
            <v>98</v>
          </cell>
          <cell r="CR14">
            <v>246358</v>
          </cell>
          <cell r="CS14">
            <v>319</v>
          </cell>
          <cell r="CU14">
            <v>476686</v>
          </cell>
          <cell r="CV14">
            <v>176</v>
          </cell>
          <cell r="CX14">
            <v>341</v>
          </cell>
          <cell r="CY14">
            <v>18</v>
          </cell>
          <cell r="CZ14">
            <v>1267</v>
          </cell>
          <cell r="DA14">
            <v>22</v>
          </cell>
          <cell r="DB14">
            <v>18991</v>
          </cell>
          <cell r="DC14">
            <v>13</v>
          </cell>
          <cell r="DD14">
            <v>19567</v>
          </cell>
          <cell r="DE14">
            <v>12</v>
          </cell>
          <cell r="DF14">
            <v>13708</v>
          </cell>
          <cell r="DG14">
            <v>9</v>
          </cell>
          <cell r="DH14">
            <v>17353</v>
          </cell>
          <cell r="DI14">
            <v>7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1051</v>
          </cell>
          <cell r="DO14">
            <v>13</v>
          </cell>
          <cell r="DP14">
            <v>1201</v>
          </cell>
          <cell r="DQ14">
            <v>7</v>
          </cell>
          <cell r="DR14">
            <v>17144</v>
          </cell>
          <cell r="DS14">
            <v>10</v>
          </cell>
          <cell r="DU14">
            <v>2781571</v>
          </cell>
          <cell r="DV14">
            <v>1421</v>
          </cell>
          <cell r="DW14">
            <v>4628</v>
          </cell>
          <cell r="DX14">
            <v>4</v>
          </cell>
          <cell r="DY14">
            <v>1838370</v>
          </cell>
          <cell r="DZ14">
            <v>1137</v>
          </cell>
          <cell r="EA14">
            <v>252613</v>
          </cell>
          <cell r="EB14">
            <v>5</v>
          </cell>
          <cell r="EC14">
            <v>460005</v>
          </cell>
          <cell r="ED14">
            <v>488</v>
          </cell>
          <cell r="EG14">
            <v>89865</v>
          </cell>
          <cell r="EH14">
            <v>145</v>
          </cell>
          <cell r="EJ14">
            <v>6820000</v>
          </cell>
          <cell r="EK14">
            <v>1700</v>
          </cell>
          <cell r="EL14">
            <v>603360</v>
          </cell>
          <cell r="EM14">
            <v>200</v>
          </cell>
          <cell r="EN14">
            <v>4636000</v>
          </cell>
          <cell r="EO14">
            <v>1200</v>
          </cell>
          <cell r="EP14">
            <v>1988800</v>
          </cell>
          <cell r="EQ14">
            <v>0</v>
          </cell>
          <cell r="ER14">
            <v>680740</v>
          </cell>
          <cell r="ES14">
            <v>120</v>
          </cell>
          <cell r="ET14">
            <v>10730500</v>
          </cell>
          <cell r="EU14">
            <v>400</v>
          </cell>
          <cell r="EW14">
            <v>28200</v>
          </cell>
          <cell r="EX14">
            <v>16</v>
          </cell>
          <cell r="EY14">
            <v>24652</v>
          </cell>
          <cell r="EZ14">
            <v>14</v>
          </cell>
          <cell r="FA14">
            <v>0</v>
          </cell>
          <cell r="FB14">
            <v>0</v>
          </cell>
          <cell r="FC14">
            <v>44706</v>
          </cell>
          <cell r="FD14">
            <v>35</v>
          </cell>
          <cell r="FE14">
            <v>21260</v>
          </cell>
          <cell r="FF14">
            <v>32</v>
          </cell>
        </row>
        <row r="15">
          <cell r="B15">
            <v>0.92</v>
          </cell>
          <cell r="E15">
            <v>533624</v>
          </cell>
          <cell r="F15">
            <v>541</v>
          </cell>
          <cell r="G15">
            <v>449</v>
          </cell>
          <cell r="H15">
            <v>702119</v>
          </cell>
          <cell r="I15">
            <v>488</v>
          </cell>
          <cell r="J15">
            <v>393</v>
          </cell>
          <cell r="K15">
            <v>25888</v>
          </cell>
          <cell r="L15">
            <v>180</v>
          </cell>
          <cell r="N15">
            <v>616514</v>
          </cell>
          <cell r="O15">
            <v>155</v>
          </cell>
          <cell r="Q15">
            <v>156876</v>
          </cell>
          <cell r="R15">
            <v>0</v>
          </cell>
          <cell r="S15">
            <v>96116</v>
          </cell>
          <cell r="T15">
            <v>66</v>
          </cell>
          <cell r="U15">
            <v>58</v>
          </cell>
          <cell r="V15">
            <v>7400</v>
          </cell>
          <cell r="W15">
            <v>14</v>
          </cell>
          <cell r="AC15">
            <v>5534689.4400000004</v>
          </cell>
          <cell r="AD15">
            <v>1948.7999999998137</v>
          </cell>
          <cell r="AF15">
            <v>10813745.040000001</v>
          </cell>
          <cell r="AG15">
            <v>5018.160000000149</v>
          </cell>
          <cell r="AI15">
            <v>9846409.4399999995</v>
          </cell>
          <cell r="AJ15">
            <v>633.35999999940395</v>
          </cell>
          <cell r="AL15">
            <v>13213156.319999998</v>
          </cell>
          <cell r="AM15">
            <v>7454.1599999982864</v>
          </cell>
          <cell r="AO15">
            <v>13194301.68</v>
          </cell>
          <cell r="AP15">
            <v>341.03999999910593</v>
          </cell>
          <cell r="AR15">
            <v>12152911.68</v>
          </cell>
          <cell r="AS15">
            <v>6041.2799999993294</v>
          </cell>
          <cell r="AU15">
            <v>10561960.08</v>
          </cell>
          <cell r="AV15">
            <v>4287.3600000012666</v>
          </cell>
          <cell r="AX15">
            <v>10228081.92</v>
          </cell>
          <cell r="AY15">
            <v>4969.4399999994785</v>
          </cell>
          <cell r="BA15">
            <v>8159723.04</v>
          </cell>
          <cell r="BB15">
            <v>3312.9599999999627</v>
          </cell>
          <cell r="BD15">
            <v>12080562.48</v>
          </cell>
          <cell r="BE15">
            <v>5456.640000000596</v>
          </cell>
          <cell r="BK15">
            <v>49766500</v>
          </cell>
          <cell r="BL15">
            <v>0</v>
          </cell>
          <cell r="BN15">
            <v>54239600</v>
          </cell>
          <cell r="BO15">
            <v>36100</v>
          </cell>
          <cell r="BQ15">
            <v>47821500</v>
          </cell>
          <cell r="BR15">
            <v>0</v>
          </cell>
          <cell r="BT15">
            <v>4126060</v>
          </cell>
          <cell r="BU15">
            <v>4360</v>
          </cell>
          <cell r="BW15">
            <v>0.66</v>
          </cell>
          <cell r="BX15">
            <v>-3.9999999999999925E-2</v>
          </cell>
          <cell r="BZ15">
            <v>45156</v>
          </cell>
          <cell r="CA15">
            <v>22</v>
          </cell>
          <cell r="CB15">
            <v>39926</v>
          </cell>
          <cell r="CC15">
            <v>19</v>
          </cell>
          <cell r="CD15">
            <v>13378</v>
          </cell>
          <cell r="CE15">
            <v>7</v>
          </cell>
          <cell r="CF15">
            <v>16913</v>
          </cell>
          <cell r="CG15">
            <v>10</v>
          </cell>
          <cell r="CH15">
            <v>19297</v>
          </cell>
          <cell r="CI15">
            <v>12</v>
          </cell>
          <cell r="CJ15">
            <v>41077</v>
          </cell>
          <cell r="CK15">
            <v>27</v>
          </cell>
          <cell r="CL15">
            <v>177085</v>
          </cell>
          <cell r="CM15">
            <v>88</v>
          </cell>
          <cell r="CO15">
            <v>128760</v>
          </cell>
          <cell r="CP15">
            <v>102</v>
          </cell>
          <cell r="CR15">
            <v>246589</v>
          </cell>
          <cell r="CS15">
            <v>231</v>
          </cell>
          <cell r="CU15">
            <v>476860</v>
          </cell>
          <cell r="CV15">
            <v>174</v>
          </cell>
          <cell r="CX15">
            <v>341</v>
          </cell>
          <cell r="CY15">
            <v>0</v>
          </cell>
          <cell r="CZ15">
            <v>1267</v>
          </cell>
          <cell r="DA15">
            <v>0</v>
          </cell>
          <cell r="DB15">
            <v>19006</v>
          </cell>
          <cell r="DC15">
            <v>15</v>
          </cell>
          <cell r="DD15">
            <v>19582</v>
          </cell>
          <cell r="DE15">
            <v>15</v>
          </cell>
          <cell r="DF15">
            <v>13718</v>
          </cell>
          <cell r="DG15">
            <v>10</v>
          </cell>
          <cell r="DH15">
            <v>17359</v>
          </cell>
          <cell r="DI15">
            <v>6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1060</v>
          </cell>
          <cell r="DO15">
            <v>9</v>
          </cell>
          <cell r="DP15">
            <v>1203</v>
          </cell>
          <cell r="DQ15">
            <v>2</v>
          </cell>
          <cell r="DR15">
            <v>17154</v>
          </cell>
          <cell r="DS15">
            <v>10</v>
          </cell>
          <cell r="DU15">
            <v>2783083</v>
          </cell>
          <cell r="DV15">
            <v>1512</v>
          </cell>
          <cell r="DW15">
            <v>4633</v>
          </cell>
          <cell r="DX15">
            <v>5</v>
          </cell>
          <cell r="DY15">
            <v>1839535</v>
          </cell>
          <cell r="DZ15">
            <v>1165</v>
          </cell>
          <cell r="EA15">
            <v>252617</v>
          </cell>
          <cell r="EB15">
            <v>4</v>
          </cell>
          <cell r="EC15">
            <v>460575</v>
          </cell>
          <cell r="ED15">
            <v>570</v>
          </cell>
          <cell r="EG15">
            <v>90019</v>
          </cell>
          <cell r="EH15">
            <v>154</v>
          </cell>
          <cell r="EJ15">
            <v>6822200</v>
          </cell>
          <cell r="EK15">
            <v>2200</v>
          </cell>
          <cell r="EL15">
            <v>603570</v>
          </cell>
          <cell r="EM15">
            <v>210</v>
          </cell>
          <cell r="EN15">
            <v>4637400</v>
          </cell>
          <cell r="EO15">
            <v>1400</v>
          </cell>
          <cell r="EP15">
            <v>1988800</v>
          </cell>
          <cell r="EQ15">
            <v>0</v>
          </cell>
          <cell r="ER15">
            <v>680860</v>
          </cell>
          <cell r="ES15">
            <v>120</v>
          </cell>
          <cell r="ET15">
            <v>10730500</v>
          </cell>
          <cell r="EU15">
            <v>0</v>
          </cell>
          <cell r="EW15">
            <v>28217</v>
          </cell>
          <cell r="EX15">
            <v>17</v>
          </cell>
          <cell r="EY15">
            <v>24666</v>
          </cell>
          <cell r="EZ15">
            <v>14</v>
          </cell>
          <cell r="FA15">
            <v>0</v>
          </cell>
          <cell r="FB15">
            <v>0</v>
          </cell>
          <cell r="FC15">
            <v>44706</v>
          </cell>
          <cell r="FD15">
            <v>0</v>
          </cell>
          <cell r="FE15">
            <v>21289</v>
          </cell>
          <cell r="FF15">
            <v>29</v>
          </cell>
        </row>
        <row r="16">
          <cell r="B16">
            <v>0.82</v>
          </cell>
          <cell r="E16">
            <v>534213</v>
          </cell>
          <cell r="F16">
            <v>589</v>
          </cell>
          <cell r="G16">
            <v>465</v>
          </cell>
          <cell r="H16">
            <v>702602</v>
          </cell>
          <cell r="I16">
            <v>483</v>
          </cell>
          <cell r="J16">
            <v>399</v>
          </cell>
          <cell r="K16">
            <v>26003</v>
          </cell>
          <cell r="L16">
            <v>115</v>
          </cell>
          <cell r="N16">
            <v>616678</v>
          </cell>
          <cell r="O16">
            <v>164</v>
          </cell>
          <cell r="Q16">
            <v>156876</v>
          </cell>
          <cell r="R16">
            <v>0</v>
          </cell>
          <cell r="S16">
            <v>96189</v>
          </cell>
          <cell r="T16">
            <v>73</v>
          </cell>
          <cell r="U16">
            <v>48</v>
          </cell>
          <cell r="V16">
            <v>7416</v>
          </cell>
          <cell r="W16">
            <v>16</v>
          </cell>
          <cell r="AC16">
            <v>5536638.2400000002</v>
          </cell>
          <cell r="AD16">
            <v>1948.7999999998137</v>
          </cell>
          <cell r="AF16">
            <v>10818568.319999998</v>
          </cell>
          <cell r="AG16">
            <v>4823.2799999974668</v>
          </cell>
          <cell r="AI16">
            <v>9846994.0800000001</v>
          </cell>
          <cell r="AJ16">
            <v>584.64000000059605</v>
          </cell>
          <cell r="AL16">
            <v>13220269.439999999</v>
          </cell>
          <cell r="AM16">
            <v>7113.1200000010431</v>
          </cell>
          <cell r="AO16">
            <v>13194642.719999999</v>
          </cell>
          <cell r="AP16">
            <v>341.03999999910593</v>
          </cell>
          <cell r="AR16">
            <v>12158758.08</v>
          </cell>
          <cell r="AS16">
            <v>5846.4000000003725</v>
          </cell>
          <cell r="AU16">
            <v>10566247.439999999</v>
          </cell>
          <cell r="AV16">
            <v>4287.359999999404</v>
          </cell>
          <cell r="AX16">
            <v>10233002.640000001</v>
          </cell>
          <cell r="AY16">
            <v>4920.7200000006706</v>
          </cell>
          <cell r="BA16">
            <v>8163230.8800000008</v>
          </cell>
          <cell r="BB16">
            <v>3507.8400000007823</v>
          </cell>
          <cell r="BD16">
            <v>12085872.959999999</v>
          </cell>
          <cell r="BE16">
            <v>5310.4799999985844</v>
          </cell>
          <cell r="BK16">
            <v>49766500</v>
          </cell>
          <cell r="BL16">
            <v>0</v>
          </cell>
          <cell r="BN16">
            <v>54277800</v>
          </cell>
          <cell r="BO16">
            <v>38200</v>
          </cell>
          <cell r="BQ16">
            <v>47826200</v>
          </cell>
          <cell r="BR16">
            <v>4700</v>
          </cell>
          <cell r="BT16">
            <v>4130500</v>
          </cell>
          <cell r="BU16">
            <v>4440</v>
          </cell>
          <cell r="BW16">
            <v>0.76</v>
          </cell>
          <cell r="BX16">
            <v>9.9999999999999978E-2</v>
          </cell>
          <cell r="BZ16">
            <v>45174</v>
          </cell>
          <cell r="CA16">
            <v>18</v>
          </cell>
          <cell r="CB16">
            <v>39942</v>
          </cell>
          <cell r="CC16">
            <v>16</v>
          </cell>
          <cell r="CD16">
            <v>13387</v>
          </cell>
          <cell r="CE16">
            <v>9</v>
          </cell>
          <cell r="CF16">
            <v>16924</v>
          </cell>
          <cell r="CG16">
            <v>11</v>
          </cell>
          <cell r="CH16">
            <v>19309</v>
          </cell>
          <cell r="CI16">
            <v>12</v>
          </cell>
          <cell r="CJ16">
            <v>41105</v>
          </cell>
          <cell r="CK16">
            <v>28</v>
          </cell>
          <cell r="CL16">
            <v>177170</v>
          </cell>
          <cell r="CM16">
            <v>85</v>
          </cell>
          <cell r="CO16">
            <v>128859</v>
          </cell>
          <cell r="CP16">
            <v>99</v>
          </cell>
          <cell r="CR16">
            <v>246813</v>
          </cell>
          <cell r="CS16">
            <v>224</v>
          </cell>
          <cell r="CU16">
            <v>477031</v>
          </cell>
          <cell r="CV16">
            <v>171</v>
          </cell>
          <cell r="CX16">
            <v>341</v>
          </cell>
          <cell r="CY16">
            <v>0</v>
          </cell>
          <cell r="CZ16">
            <v>1267</v>
          </cell>
          <cell r="DA16">
            <v>0</v>
          </cell>
          <cell r="DB16">
            <v>19027</v>
          </cell>
          <cell r="DC16">
            <v>21</v>
          </cell>
          <cell r="DD16">
            <v>19598</v>
          </cell>
          <cell r="DE16">
            <v>16</v>
          </cell>
          <cell r="DF16">
            <v>13730</v>
          </cell>
          <cell r="DG16">
            <v>12</v>
          </cell>
          <cell r="DH16">
            <v>17366</v>
          </cell>
          <cell r="DI16">
            <v>7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1068</v>
          </cell>
          <cell r="DO16">
            <v>8</v>
          </cell>
          <cell r="DP16">
            <v>1207</v>
          </cell>
          <cell r="DQ16">
            <v>4</v>
          </cell>
          <cell r="DR16">
            <v>17168</v>
          </cell>
          <cell r="DS16">
            <v>14</v>
          </cell>
          <cell r="DU16">
            <v>2784678</v>
          </cell>
          <cell r="DV16">
            <v>1595</v>
          </cell>
          <cell r="DW16">
            <v>4638</v>
          </cell>
          <cell r="DX16">
            <v>5</v>
          </cell>
          <cell r="DY16">
            <v>1840749</v>
          </cell>
          <cell r="DZ16">
            <v>1214</v>
          </cell>
          <cell r="EA16">
            <v>252621</v>
          </cell>
          <cell r="EB16">
            <v>4</v>
          </cell>
          <cell r="EC16">
            <v>461171</v>
          </cell>
          <cell r="ED16">
            <v>596</v>
          </cell>
          <cell r="EG16">
            <v>90175</v>
          </cell>
          <cell r="EH16">
            <v>156</v>
          </cell>
          <cell r="EJ16">
            <v>6824900</v>
          </cell>
          <cell r="EK16">
            <v>2700</v>
          </cell>
          <cell r="EL16">
            <v>603800</v>
          </cell>
          <cell r="EM16">
            <v>230</v>
          </cell>
          <cell r="EN16">
            <v>4638900</v>
          </cell>
          <cell r="EO16">
            <v>1500</v>
          </cell>
          <cell r="EP16">
            <v>1988800</v>
          </cell>
          <cell r="EQ16">
            <v>0</v>
          </cell>
          <cell r="ER16">
            <v>681000</v>
          </cell>
          <cell r="ES16">
            <v>140</v>
          </cell>
          <cell r="ET16">
            <v>10731700</v>
          </cell>
          <cell r="EU16">
            <v>1200</v>
          </cell>
          <cell r="EW16">
            <v>28234</v>
          </cell>
          <cell r="EX16">
            <v>17</v>
          </cell>
          <cell r="EY16">
            <v>24682</v>
          </cell>
          <cell r="EZ16">
            <v>16</v>
          </cell>
          <cell r="FA16">
            <v>0</v>
          </cell>
          <cell r="FB16">
            <v>0</v>
          </cell>
          <cell r="FC16">
            <v>44775</v>
          </cell>
          <cell r="FD16">
            <v>69</v>
          </cell>
          <cell r="FE16">
            <v>21317</v>
          </cell>
          <cell r="FF16">
            <v>28</v>
          </cell>
        </row>
        <row r="17">
          <cell r="B17">
            <v>0.75</v>
          </cell>
          <cell r="E17">
            <v>534742</v>
          </cell>
          <cell r="F17">
            <v>529</v>
          </cell>
          <cell r="G17">
            <v>551</v>
          </cell>
          <cell r="H17">
            <v>703082</v>
          </cell>
          <cell r="I17">
            <v>480</v>
          </cell>
          <cell r="J17">
            <v>476</v>
          </cell>
          <cell r="K17">
            <v>26170</v>
          </cell>
          <cell r="L17">
            <v>167</v>
          </cell>
          <cell r="N17">
            <v>616823</v>
          </cell>
          <cell r="O17">
            <v>145</v>
          </cell>
          <cell r="Q17">
            <v>156876</v>
          </cell>
          <cell r="R17">
            <v>0</v>
          </cell>
          <cell r="S17">
            <v>96247</v>
          </cell>
          <cell r="T17">
            <v>58</v>
          </cell>
          <cell r="U17">
            <v>80</v>
          </cell>
          <cell r="V17">
            <v>7430</v>
          </cell>
          <cell r="W17">
            <v>14</v>
          </cell>
          <cell r="AC17">
            <v>5538830.6400000006</v>
          </cell>
          <cell r="AD17">
            <v>2192.4000000003725</v>
          </cell>
          <cell r="AF17">
            <v>10823489.040000001</v>
          </cell>
          <cell r="AG17">
            <v>4920.7200000025332</v>
          </cell>
          <cell r="AI17">
            <v>9847091.5199999996</v>
          </cell>
          <cell r="AJ17">
            <v>97.439999999478459</v>
          </cell>
          <cell r="AL17">
            <v>13220805.359999999</v>
          </cell>
          <cell r="AM17">
            <v>535.91999999992549</v>
          </cell>
          <cell r="AO17">
            <v>13202632.799999999</v>
          </cell>
          <cell r="AP17">
            <v>7990.0800000000745</v>
          </cell>
          <cell r="AR17">
            <v>12164604.48</v>
          </cell>
          <cell r="AS17">
            <v>5846.4000000003725</v>
          </cell>
          <cell r="AU17">
            <v>10569804</v>
          </cell>
          <cell r="AV17">
            <v>3556.5600000005215</v>
          </cell>
          <cell r="AX17">
            <v>10237728.48</v>
          </cell>
          <cell r="AY17">
            <v>4725.839999999851</v>
          </cell>
          <cell r="BA17">
            <v>8166446.3999999994</v>
          </cell>
          <cell r="BB17">
            <v>3215.5199999986216</v>
          </cell>
          <cell r="BD17">
            <v>12091329.6</v>
          </cell>
          <cell r="BE17">
            <v>5456.640000000596</v>
          </cell>
          <cell r="BK17">
            <v>49766500</v>
          </cell>
          <cell r="BL17">
            <v>0</v>
          </cell>
          <cell r="BN17">
            <v>54277800</v>
          </cell>
          <cell r="BO17">
            <v>0</v>
          </cell>
          <cell r="BQ17">
            <v>47858300</v>
          </cell>
          <cell r="BR17">
            <v>32100</v>
          </cell>
          <cell r="BT17">
            <v>4134890</v>
          </cell>
          <cell r="BU17">
            <v>4390</v>
          </cell>
          <cell r="BW17">
            <v>0.69</v>
          </cell>
          <cell r="BX17">
            <v>-7.0000000000000062E-2</v>
          </cell>
          <cell r="BZ17">
            <v>45195</v>
          </cell>
          <cell r="CA17">
            <v>21</v>
          </cell>
          <cell r="CB17">
            <v>39966</v>
          </cell>
          <cell r="CC17">
            <v>24</v>
          </cell>
          <cell r="CD17">
            <v>13395</v>
          </cell>
          <cell r="CE17">
            <v>8</v>
          </cell>
          <cell r="CF17">
            <v>16935</v>
          </cell>
          <cell r="CG17">
            <v>11</v>
          </cell>
          <cell r="CH17">
            <v>19315</v>
          </cell>
          <cell r="CI17">
            <v>6</v>
          </cell>
          <cell r="CJ17">
            <v>41126</v>
          </cell>
          <cell r="CK17">
            <v>21</v>
          </cell>
          <cell r="CL17">
            <v>177255</v>
          </cell>
          <cell r="CM17">
            <v>85</v>
          </cell>
          <cell r="CO17">
            <v>128953</v>
          </cell>
          <cell r="CP17">
            <v>94</v>
          </cell>
          <cell r="CR17">
            <v>247030</v>
          </cell>
          <cell r="CS17">
            <v>217</v>
          </cell>
          <cell r="CU17">
            <v>477201</v>
          </cell>
          <cell r="CV17">
            <v>170</v>
          </cell>
          <cell r="CX17">
            <v>341</v>
          </cell>
          <cell r="CY17">
            <v>0</v>
          </cell>
          <cell r="CZ17">
            <v>1267</v>
          </cell>
          <cell r="DA17">
            <v>0</v>
          </cell>
          <cell r="DB17">
            <v>19043</v>
          </cell>
          <cell r="DC17">
            <v>16</v>
          </cell>
          <cell r="DD17">
            <v>19608</v>
          </cell>
          <cell r="DE17">
            <v>10</v>
          </cell>
          <cell r="DF17">
            <v>13741</v>
          </cell>
          <cell r="DG17">
            <v>11</v>
          </cell>
          <cell r="DH17">
            <v>17373</v>
          </cell>
          <cell r="DI17">
            <v>7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1078</v>
          </cell>
          <cell r="DO17">
            <v>10</v>
          </cell>
          <cell r="DP17">
            <v>1209</v>
          </cell>
          <cell r="DQ17">
            <v>2</v>
          </cell>
          <cell r="DR17">
            <v>17177</v>
          </cell>
          <cell r="DS17">
            <v>9</v>
          </cell>
          <cell r="DU17">
            <v>2785159</v>
          </cell>
          <cell r="DV17">
            <v>481</v>
          </cell>
          <cell r="DW17">
            <v>4643</v>
          </cell>
          <cell r="DX17">
            <v>5</v>
          </cell>
          <cell r="DY17">
            <v>1841908</v>
          </cell>
          <cell r="DZ17">
            <v>1159</v>
          </cell>
          <cell r="EA17">
            <v>252625</v>
          </cell>
          <cell r="EB17">
            <v>4</v>
          </cell>
          <cell r="EC17">
            <v>461702</v>
          </cell>
          <cell r="ED17">
            <v>531</v>
          </cell>
          <cell r="EG17">
            <v>90321</v>
          </cell>
          <cell r="EH17">
            <v>146</v>
          </cell>
          <cell r="EJ17">
            <v>6827700</v>
          </cell>
          <cell r="EK17">
            <v>2800</v>
          </cell>
          <cell r="EL17">
            <v>604030</v>
          </cell>
          <cell r="EM17">
            <v>230</v>
          </cell>
          <cell r="EN17">
            <v>4640400</v>
          </cell>
          <cell r="EO17">
            <v>1500</v>
          </cell>
          <cell r="EP17">
            <v>1988800</v>
          </cell>
          <cell r="EQ17">
            <v>0</v>
          </cell>
          <cell r="ER17">
            <v>681130</v>
          </cell>
          <cell r="ES17">
            <v>130</v>
          </cell>
          <cell r="ET17">
            <v>10732600</v>
          </cell>
          <cell r="EU17">
            <v>900</v>
          </cell>
          <cell r="EW17">
            <v>28250</v>
          </cell>
          <cell r="EX17">
            <v>16</v>
          </cell>
          <cell r="EY17">
            <v>24697</v>
          </cell>
          <cell r="EZ17">
            <v>15</v>
          </cell>
          <cell r="FA17">
            <v>0</v>
          </cell>
          <cell r="FB17">
            <v>0</v>
          </cell>
          <cell r="FC17">
            <v>44810</v>
          </cell>
          <cell r="FD17">
            <v>35</v>
          </cell>
          <cell r="FE17">
            <v>21343</v>
          </cell>
          <cell r="FF17">
            <v>26</v>
          </cell>
        </row>
        <row r="18">
          <cell r="B18">
            <v>0.77</v>
          </cell>
          <cell r="E18">
            <v>535263</v>
          </cell>
          <cell r="F18">
            <v>521</v>
          </cell>
          <cell r="G18">
            <v>460</v>
          </cell>
          <cell r="H18">
            <v>703500</v>
          </cell>
          <cell r="I18">
            <v>418</v>
          </cell>
          <cell r="J18">
            <v>374</v>
          </cell>
          <cell r="K18">
            <v>26344</v>
          </cell>
          <cell r="L18">
            <v>174</v>
          </cell>
          <cell r="N18">
            <v>616973</v>
          </cell>
          <cell r="O18">
            <v>150</v>
          </cell>
          <cell r="Q18">
            <v>156876</v>
          </cell>
          <cell r="R18">
            <v>0</v>
          </cell>
          <cell r="S18">
            <v>96331</v>
          </cell>
          <cell r="T18">
            <v>84</v>
          </cell>
          <cell r="U18">
            <v>77</v>
          </cell>
          <cell r="V18">
            <v>7449</v>
          </cell>
          <cell r="W18">
            <v>19</v>
          </cell>
          <cell r="AC18">
            <v>5540974.3200000003</v>
          </cell>
          <cell r="AD18">
            <v>2143.679999999702</v>
          </cell>
          <cell r="AF18">
            <v>10828312.319999998</v>
          </cell>
          <cell r="AG18">
            <v>4823.2799999974668</v>
          </cell>
          <cell r="AI18">
            <v>9847140.2400000002</v>
          </cell>
          <cell r="AJ18">
            <v>48.720000000670552</v>
          </cell>
          <cell r="AL18">
            <v>13221341.280000001</v>
          </cell>
          <cell r="AM18">
            <v>535.92000000178814</v>
          </cell>
          <cell r="AO18">
            <v>13210720.319999998</v>
          </cell>
          <cell r="AP18">
            <v>8087.519999999553</v>
          </cell>
          <cell r="AR18">
            <v>12170694.48</v>
          </cell>
          <cell r="AS18">
            <v>6090</v>
          </cell>
          <cell r="AU18">
            <v>10573604.16</v>
          </cell>
          <cell r="AV18">
            <v>3800.160000000149</v>
          </cell>
          <cell r="AX18">
            <v>10242405.6</v>
          </cell>
          <cell r="AY18">
            <v>4677.1199999991804</v>
          </cell>
          <cell r="BA18">
            <v>8169856.7999999998</v>
          </cell>
          <cell r="BB18">
            <v>3410.4000000003725</v>
          </cell>
          <cell r="BD18">
            <v>12096250.319999998</v>
          </cell>
          <cell r="BE18">
            <v>4920.7199999988079</v>
          </cell>
          <cell r="BK18">
            <v>49766500</v>
          </cell>
          <cell r="BL18">
            <v>0</v>
          </cell>
          <cell r="BN18">
            <v>54277800</v>
          </cell>
          <cell r="BO18">
            <v>0</v>
          </cell>
          <cell r="BQ18">
            <v>47897400</v>
          </cell>
          <cell r="BR18">
            <v>39100</v>
          </cell>
          <cell r="BT18">
            <v>4138500</v>
          </cell>
          <cell r="BU18">
            <v>3610</v>
          </cell>
          <cell r="BW18">
            <v>0.61</v>
          </cell>
          <cell r="BX18">
            <v>-7.999999999999996E-2</v>
          </cell>
          <cell r="BZ18">
            <v>45195</v>
          </cell>
          <cell r="CA18">
            <v>0</v>
          </cell>
          <cell r="CB18">
            <v>39966</v>
          </cell>
          <cell r="CC18">
            <v>0</v>
          </cell>
          <cell r="CD18">
            <v>13395</v>
          </cell>
          <cell r="CE18">
            <v>0</v>
          </cell>
          <cell r="CF18">
            <v>16935</v>
          </cell>
          <cell r="CG18">
            <v>0</v>
          </cell>
          <cell r="CH18">
            <v>19315</v>
          </cell>
          <cell r="CI18">
            <v>0</v>
          </cell>
          <cell r="CJ18">
            <v>41126</v>
          </cell>
          <cell r="CK18">
            <v>0</v>
          </cell>
          <cell r="CL18">
            <v>177341</v>
          </cell>
          <cell r="CM18">
            <v>86</v>
          </cell>
          <cell r="CO18">
            <v>129046</v>
          </cell>
          <cell r="CP18">
            <v>93</v>
          </cell>
          <cell r="CR18">
            <v>247250</v>
          </cell>
          <cell r="CS18">
            <v>220</v>
          </cell>
          <cell r="CU18">
            <v>477370</v>
          </cell>
          <cell r="CV18">
            <v>169</v>
          </cell>
          <cell r="CX18">
            <v>341</v>
          </cell>
          <cell r="CY18">
            <v>0</v>
          </cell>
          <cell r="CZ18">
            <v>1267</v>
          </cell>
          <cell r="DA18">
            <v>0</v>
          </cell>
          <cell r="DB18">
            <v>19060</v>
          </cell>
          <cell r="DC18">
            <v>17</v>
          </cell>
          <cell r="DD18">
            <v>19617</v>
          </cell>
          <cell r="DE18">
            <v>9</v>
          </cell>
          <cell r="DF18">
            <v>13750</v>
          </cell>
          <cell r="DG18">
            <v>9</v>
          </cell>
          <cell r="DH18">
            <v>17379</v>
          </cell>
          <cell r="DI18">
            <v>6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1080</v>
          </cell>
          <cell r="DO18">
            <v>2</v>
          </cell>
          <cell r="DP18">
            <v>1211</v>
          </cell>
          <cell r="DQ18">
            <v>2</v>
          </cell>
          <cell r="DR18">
            <v>17188</v>
          </cell>
          <cell r="DS18">
            <v>11</v>
          </cell>
          <cell r="DU18">
            <v>2787583</v>
          </cell>
          <cell r="DV18">
            <v>2424</v>
          </cell>
          <cell r="DW18">
            <v>4648</v>
          </cell>
          <cell r="DX18">
            <v>5</v>
          </cell>
          <cell r="DY18">
            <v>1842994</v>
          </cell>
          <cell r="DZ18">
            <v>1086</v>
          </cell>
          <cell r="EA18">
            <v>252630</v>
          </cell>
          <cell r="EB18">
            <v>5</v>
          </cell>
          <cell r="EC18">
            <v>462251</v>
          </cell>
          <cell r="ED18">
            <v>549</v>
          </cell>
          <cell r="EG18">
            <v>90466</v>
          </cell>
          <cell r="EH18">
            <v>145</v>
          </cell>
          <cell r="EJ18">
            <v>6830600</v>
          </cell>
          <cell r="EK18">
            <v>2900</v>
          </cell>
          <cell r="EL18">
            <v>604240</v>
          </cell>
          <cell r="EM18">
            <v>210</v>
          </cell>
          <cell r="EN18">
            <v>4641900</v>
          </cell>
          <cell r="EO18">
            <v>1500</v>
          </cell>
          <cell r="EP18">
            <v>1988900</v>
          </cell>
          <cell r="EQ18">
            <v>100</v>
          </cell>
          <cell r="ER18">
            <v>681280</v>
          </cell>
          <cell r="ES18">
            <v>150</v>
          </cell>
          <cell r="ET18">
            <v>10733600</v>
          </cell>
          <cell r="EU18">
            <v>1000</v>
          </cell>
          <cell r="EW18">
            <v>28265</v>
          </cell>
          <cell r="EX18">
            <v>15</v>
          </cell>
          <cell r="EY18">
            <v>24710</v>
          </cell>
          <cell r="EZ18">
            <v>13</v>
          </cell>
          <cell r="FA18">
            <v>0</v>
          </cell>
          <cell r="FB18">
            <v>0</v>
          </cell>
          <cell r="FC18">
            <v>44844</v>
          </cell>
          <cell r="FD18">
            <v>34</v>
          </cell>
          <cell r="FE18">
            <v>21370</v>
          </cell>
          <cell r="FF18">
            <v>27</v>
          </cell>
        </row>
        <row r="19">
          <cell r="B19">
            <v>0.79</v>
          </cell>
          <cell r="E19">
            <v>535767</v>
          </cell>
          <cell r="F19">
            <v>504</v>
          </cell>
          <cell r="G19">
            <v>439</v>
          </cell>
          <cell r="H19">
            <v>703923</v>
          </cell>
          <cell r="I19">
            <v>423</v>
          </cell>
          <cell r="J19">
            <v>362</v>
          </cell>
          <cell r="K19">
            <v>26457</v>
          </cell>
          <cell r="L19">
            <v>113</v>
          </cell>
          <cell r="N19">
            <v>617131</v>
          </cell>
          <cell r="O19">
            <v>158</v>
          </cell>
          <cell r="Q19">
            <v>156876</v>
          </cell>
          <cell r="R19">
            <v>0</v>
          </cell>
          <cell r="S19">
            <v>96411</v>
          </cell>
          <cell r="T19">
            <v>80</v>
          </cell>
          <cell r="U19">
            <v>63</v>
          </cell>
          <cell r="V19">
            <v>7463</v>
          </cell>
          <cell r="W19">
            <v>14</v>
          </cell>
          <cell r="AC19">
            <v>5543264.1599999992</v>
          </cell>
          <cell r="AD19">
            <v>2289.8399999989197</v>
          </cell>
          <cell r="AF19">
            <v>10833233.040000001</v>
          </cell>
          <cell r="AG19">
            <v>4920.7200000025332</v>
          </cell>
          <cell r="AI19">
            <v>9847140.2400000002</v>
          </cell>
          <cell r="AJ19">
            <v>0</v>
          </cell>
          <cell r="AL19">
            <v>13223436.24</v>
          </cell>
          <cell r="AM19">
            <v>2094.9599999990314</v>
          </cell>
          <cell r="AO19">
            <v>13217882.16</v>
          </cell>
          <cell r="AP19">
            <v>7161.8400000017136</v>
          </cell>
          <cell r="AR19">
            <v>12176784.48</v>
          </cell>
          <cell r="AS19">
            <v>6090</v>
          </cell>
          <cell r="AU19">
            <v>10577550.48</v>
          </cell>
          <cell r="AV19">
            <v>3946.320000000298</v>
          </cell>
          <cell r="AX19">
            <v>10247082.719999999</v>
          </cell>
          <cell r="AY19">
            <v>4677.1199999991804</v>
          </cell>
          <cell r="BA19">
            <v>8173169.7599999998</v>
          </cell>
          <cell r="BB19">
            <v>3312.9599999999627</v>
          </cell>
          <cell r="BD19">
            <v>12101463.359999999</v>
          </cell>
          <cell r="BE19">
            <v>5213.0400000009686</v>
          </cell>
          <cell r="BK19">
            <v>49766500</v>
          </cell>
          <cell r="BL19">
            <v>0</v>
          </cell>
          <cell r="BN19">
            <v>54286000</v>
          </cell>
          <cell r="BO19">
            <v>8200</v>
          </cell>
          <cell r="BQ19">
            <v>47932200</v>
          </cell>
          <cell r="BR19">
            <v>34800</v>
          </cell>
          <cell r="BT19">
            <v>4142320</v>
          </cell>
          <cell r="BU19">
            <v>3820</v>
          </cell>
          <cell r="BW19">
            <v>0.54</v>
          </cell>
          <cell r="BX19">
            <v>-6.9999999999999951E-2</v>
          </cell>
          <cell r="BZ19">
            <v>45233</v>
          </cell>
          <cell r="CA19">
            <v>38</v>
          </cell>
          <cell r="CB19">
            <v>39985</v>
          </cell>
          <cell r="CC19">
            <v>19</v>
          </cell>
          <cell r="CD19">
            <v>13407</v>
          </cell>
          <cell r="CE19">
            <v>12</v>
          </cell>
          <cell r="CF19">
            <v>16958</v>
          </cell>
          <cell r="CG19">
            <v>23</v>
          </cell>
          <cell r="CH19">
            <v>19329</v>
          </cell>
          <cell r="CI19">
            <v>14</v>
          </cell>
          <cell r="CJ19">
            <v>41181</v>
          </cell>
          <cell r="CK19">
            <v>55</v>
          </cell>
          <cell r="CL19">
            <v>177431</v>
          </cell>
          <cell r="CM19">
            <v>90</v>
          </cell>
          <cell r="CO19">
            <v>129148</v>
          </cell>
          <cell r="CP19">
            <v>102</v>
          </cell>
          <cell r="CR19">
            <v>247491</v>
          </cell>
          <cell r="CS19">
            <v>241</v>
          </cell>
          <cell r="CU19">
            <v>477545</v>
          </cell>
          <cell r="CV19">
            <v>175</v>
          </cell>
          <cell r="CX19">
            <v>344</v>
          </cell>
          <cell r="CY19">
            <v>3</v>
          </cell>
          <cell r="CZ19">
            <v>1297</v>
          </cell>
          <cell r="DA19">
            <v>30</v>
          </cell>
          <cell r="DB19">
            <v>19075</v>
          </cell>
          <cell r="DC19">
            <v>15</v>
          </cell>
          <cell r="DD19">
            <v>19626</v>
          </cell>
          <cell r="DE19">
            <v>9</v>
          </cell>
          <cell r="DF19">
            <v>13759</v>
          </cell>
          <cell r="DG19">
            <v>9</v>
          </cell>
          <cell r="DH19">
            <v>17386</v>
          </cell>
          <cell r="DI19">
            <v>7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1080</v>
          </cell>
          <cell r="DO19">
            <v>0</v>
          </cell>
          <cell r="DP19">
            <v>1211</v>
          </cell>
          <cell r="DQ19">
            <v>0</v>
          </cell>
          <cell r="DR19">
            <v>17197</v>
          </cell>
          <cell r="DS19">
            <v>9</v>
          </cell>
          <cell r="DU19">
            <v>2789006</v>
          </cell>
          <cell r="DV19">
            <v>1423</v>
          </cell>
          <cell r="DW19">
            <v>4653</v>
          </cell>
          <cell r="DX19">
            <v>5</v>
          </cell>
          <cell r="DY19">
            <v>1844071</v>
          </cell>
          <cell r="DZ19">
            <v>1077</v>
          </cell>
          <cell r="EA19">
            <v>252634</v>
          </cell>
          <cell r="EB19">
            <v>4</v>
          </cell>
          <cell r="EC19">
            <v>462809</v>
          </cell>
          <cell r="ED19">
            <v>558</v>
          </cell>
          <cell r="EG19">
            <v>90612</v>
          </cell>
          <cell r="EH19">
            <v>146</v>
          </cell>
          <cell r="EJ19">
            <v>6835400</v>
          </cell>
          <cell r="EK19">
            <v>4800</v>
          </cell>
          <cell r="EL19">
            <v>604700</v>
          </cell>
          <cell r="EM19">
            <v>460</v>
          </cell>
          <cell r="EN19">
            <v>4644800</v>
          </cell>
          <cell r="EO19">
            <v>2900</v>
          </cell>
          <cell r="EP19">
            <v>1988900</v>
          </cell>
          <cell r="EQ19">
            <v>0</v>
          </cell>
          <cell r="ER19">
            <v>681500</v>
          </cell>
          <cell r="ES19">
            <v>220</v>
          </cell>
          <cell r="ET19">
            <v>10735400</v>
          </cell>
          <cell r="EU19">
            <v>1800</v>
          </cell>
          <cell r="EW19">
            <v>28281</v>
          </cell>
          <cell r="EX19">
            <v>16</v>
          </cell>
          <cell r="EY19">
            <v>24723</v>
          </cell>
          <cell r="EZ19">
            <v>13</v>
          </cell>
          <cell r="FA19">
            <v>0</v>
          </cell>
          <cell r="FB19">
            <v>0</v>
          </cell>
          <cell r="FC19">
            <v>44877</v>
          </cell>
          <cell r="FD19">
            <v>33</v>
          </cell>
          <cell r="FE19">
            <v>21395</v>
          </cell>
          <cell r="FF19">
            <v>25</v>
          </cell>
        </row>
        <row r="20">
          <cell r="B20">
            <v>0.76</v>
          </cell>
          <cell r="E20">
            <v>536314</v>
          </cell>
          <cell r="F20">
            <v>547</v>
          </cell>
          <cell r="G20">
            <v>484</v>
          </cell>
          <cell r="H20">
            <v>704369</v>
          </cell>
          <cell r="I20">
            <v>446</v>
          </cell>
          <cell r="J20">
            <v>379</v>
          </cell>
          <cell r="K20">
            <v>26647</v>
          </cell>
          <cell r="L20">
            <v>190</v>
          </cell>
          <cell r="N20">
            <v>617304</v>
          </cell>
          <cell r="O20">
            <v>173</v>
          </cell>
          <cell r="Q20">
            <v>156876</v>
          </cell>
          <cell r="R20">
            <v>0</v>
          </cell>
          <cell r="S20">
            <v>96480</v>
          </cell>
          <cell r="T20">
            <v>69</v>
          </cell>
          <cell r="U20">
            <v>96</v>
          </cell>
          <cell r="V20">
            <v>7479</v>
          </cell>
          <cell r="W20">
            <v>16</v>
          </cell>
          <cell r="AC20">
            <v>5545505.2799999993</v>
          </cell>
          <cell r="AD20">
            <v>2241.1200000001118</v>
          </cell>
          <cell r="AF20">
            <v>10838056.319999998</v>
          </cell>
          <cell r="AG20">
            <v>4823.2799999974668</v>
          </cell>
          <cell r="AI20">
            <v>9847237.6799999997</v>
          </cell>
          <cell r="AJ20">
            <v>97.439999999478459</v>
          </cell>
          <cell r="AL20">
            <v>13224020.880000001</v>
          </cell>
          <cell r="AM20">
            <v>584.64000000059605</v>
          </cell>
          <cell r="AO20">
            <v>13224751.68</v>
          </cell>
          <cell r="AP20">
            <v>6869.519999999553</v>
          </cell>
          <cell r="AR20">
            <v>12182874.48</v>
          </cell>
          <cell r="AS20">
            <v>6090</v>
          </cell>
          <cell r="AU20">
            <v>10581448.08</v>
          </cell>
          <cell r="AV20">
            <v>3897.5999999996275</v>
          </cell>
          <cell r="AX20">
            <v>10251564.959999999</v>
          </cell>
          <cell r="AY20">
            <v>4482.2400000002235</v>
          </cell>
          <cell r="BA20">
            <v>8176287.8399999999</v>
          </cell>
          <cell r="BB20">
            <v>3118.0800000000745</v>
          </cell>
          <cell r="BD20">
            <v>12106676.4</v>
          </cell>
          <cell r="BE20">
            <v>5213.0400000009686</v>
          </cell>
          <cell r="BK20">
            <v>49766500</v>
          </cell>
          <cell r="BL20">
            <v>0</v>
          </cell>
          <cell r="BN20">
            <v>54286000</v>
          </cell>
          <cell r="BO20">
            <v>0</v>
          </cell>
          <cell r="BQ20">
            <v>47966000</v>
          </cell>
          <cell r="BR20">
            <v>33800</v>
          </cell>
          <cell r="BT20">
            <v>4146630</v>
          </cell>
          <cell r="BU20">
            <v>4310</v>
          </cell>
          <cell r="BW20">
            <v>0.47</v>
          </cell>
          <cell r="BX20">
            <v>-7.0000000000000062E-2</v>
          </cell>
          <cell r="BZ20">
            <v>45253</v>
          </cell>
          <cell r="CA20">
            <v>20</v>
          </cell>
          <cell r="CB20">
            <v>40000</v>
          </cell>
          <cell r="CC20">
            <v>15</v>
          </cell>
          <cell r="CD20">
            <v>13413</v>
          </cell>
          <cell r="CE20">
            <v>6</v>
          </cell>
          <cell r="CF20">
            <v>16969</v>
          </cell>
          <cell r="CG20">
            <v>11</v>
          </cell>
          <cell r="CH20">
            <v>19338</v>
          </cell>
          <cell r="CI20">
            <v>9</v>
          </cell>
          <cell r="CJ20">
            <v>41202</v>
          </cell>
          <cell r="CK20">
            <v>21</v>
          </cell>
          <cell r="CL20">
            <v>177520</v>
          </cell>
          <cell r="CM20">
            <v>89</v>
          </cell>
          <cell r="CO20">
            <v>129250</v>
          </cell>
          <cell r="CP20">
            <v>102</v>
          </cell>
          <cell r="CR20">
            <v>247772</v>
          </cell>
          <cell r="CS20">
            <v>281</v>
          </cell>
          <cell r="CU20">
            <v>477721</v>
          </cell>
          <cell r="CV20">
            <v>176</v>
          </cell>
          <cell r="CX20">
            <v>344</v>
          </cell>
          <cell r="CY20">
            <v>0</v>
          </cell>
          <cell r="CZ20">
            <v>1297</v>
          </cell>
          <cell r="DA20">
            <v>0</v>
          </cell>
          <cell r="DB20">
            <v>19087</v>
          </cell>
          <cell r="DC20">
            <v>12</v>
          </cell>
          <cell r="DD20">
            <v>19636</v>
          </cell>
          <cell r="DE20">
            <v>10</v>
          </cell>
          <cell r="DF20">
            <v>13767</v>
          </cell>
          <cell r="DG20">
            <v>8</v>
          </cell>
          <cell r="DH20">
            <v>17391</v>
          </cell>
          <cell r="DI20">
            <v>5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1080</v>
          </cell>
          <cell r="DO20">
            <v>0</v>
          </cell>
          <cell r="DP20">
            <v>1211</v>
          </cell>
          <cell r="DQ20">
            <v>0</v>
          </cell>
          <cell r="DR20">
            <v>17207</v>
          </cell>
          <cell r="DS20">
            <v>10</v>
          </cell>
          <cell r="DU20">
            <v>2790462</v>
          </cell>
          <cell r="DV20">
            <v>1456</v>
          </cell>
          <cell r="DW20">
            <v>4657</v>
          </cell>
          <cell r="DX20">
            <v>4</v>
          </cell>
          <cell r="DY20">
            <v>1845159</v>
          </cell>
          <cell r="DZ20">
            <v>1088</v>
          </cell>
          <cell r="EA20">
            <v>252638</v>
          </cell>
          <cell r="EB20">
            <v>4</v>
          </cell>
          <cell r="EC20">
            <v>463342</v>
          </cell>
          <cell r="ED20">
            <v>533</v>
          </cell>
          <cell r="EG20">
            <v>90761</v>
          </cell>
          <cell r="EH20">
            <v>149</v>
          </cell>
          <cell r="EJ20">
            <v>6835400</v>
          </cell>
          <cell r="EK20">
            <v>0</v>
          </cell>
          <cell r="EL20">
            <v>604700</v>
          </cell>
          <cell r="EM20">
            <v>0</v>
          </cell>
          <cell r="EN20">
            <v>4644800</v>
          </cell>
          <cell r="EO20">
            <v>0</v>
          </cell>
          <cell r="EP20">
            <v>1988900</v>
          </cell>
          <cell r="EQ20">
            <v>0</v>
          </cell>
          <cell r="ER20">
            <v>681500</v>
          </cell>
          <cell r="ES20">
            <v>0</v>
          </cell>
          <cell r="ET20">
            <v>10735400</v>
          </cell>
          <cell r="EU20">
            <v>0</v>
          </cell>
          <cell r="EW20">
            <v>28297</v>
          </cell>
          <cell r="EX20">
            <v>16</v>
          </cell>
          <cell r="EY20">
            <v>24736</v>
          </cell>
          <cell r="EZ20">
            <v>13</v>
          </cell>
          <cell r="FA20">
            <v>0</v>
          </cell>
          <cell r="FB20">
            <v>0</v>
          </cell>
          <cell r="FC20">
            <v>44909</v>
          </cell>
          <cell r="FD20">
            <v>32</v>
          </cell>
          <cell r="FE20">
            <v>21422</v>
          </cell>
          <cell r="FF20">
            <v>27</v>
          </cell>
        </row>
        <row r="21">
          <cell r="B21">
            <v>0.78</v>
          </cell>
          <cell r="E21">
            <v>536792</v>
          </cell>
          <cell r="F21">
            <v>478</v>
          </cell>
          <cell r="G21">
            <v>495</v>
          </cell>
          <cell r="H21">
            <v>704792</v>
          </cell>
          <cell r="I21">
            <v>423</v>
          </cell>
          <cell r="J21">
            <v>421</v>
          </cell>
          <cell r="K21">
            <v>26776</v>
          </cell>
          <cell r="L21">
            <v>129</v>
          </cell>
          <cell r="N21">
            <v>617440</v>
          </cell>
          <cell r="O21">
            <v>136</v>
          </cell>
          <cell r="Q21">
            <v>156876</v>
          </cell>
          <cell r="R21">
            <v>0</v>
          </cell>
          <cell r="S21">
            <v>96518</v>
          </cell>
          <cell r="T21">
            <v>38</v>
          </cell>
          <cell r="U21">
            <v>68</v>
          </cell>
          <cell r="V21">
            <v>7482</v>
          </cell>
          <cell r="W21">
            <v>3</v>
          </cell>
          <cell r="AC21">
            <v>5547502.7999999998</v>
          </cell>
          <cell r="AD21">
            <v>1997.5200000004843</v>
          </cell>
          <cell r="AF21">
            <v>10842684.719999999</v>
          </cell>
          <cell r="AG21">
            <v>4628.4000000003725</v>
          </cell>
          <cell r="AI21">
            <v>9847188.959999999</v>
          </cell>
          <cell r="AJ21">
            <v>-48.720000000670552</v>
          </cell>
          <cell r="AL21">
            <v>13224605.52</v>
          </cell>
          <cell r="AM21">
            <v>584.6399999987334</v>
          </cell>
          <cell r="AO21">
            <v>13229331.359999999</v>
          </cell>
          <cell r="AP21">
            <v>4579.679999999702</v>
          </cell>
          <cell r="AR21">
            <v>12188526</v>
          </cell>
          <cell r="AS21">
            <v>5651.519999999553</v>
          </cell>
          <cell r="AU21">
            <v>10584663.6</v>
          </cell>
          <cell r="AV21">
            <v>3215.519999999553</v>
          </cell>
          <cell r="AX21">
            <v>10256095.92</v>
          </cell>
          <cell r="AY21">
            <v>4530.9600000008941</v>
          </cell>
          <cell r="BA21">
            <v>8179259.7599999998</v>
          </cell>
          <cell r="BB21">
            <v>2971.9199999999255</v>
          </cell>
          <cell r="BD21">
            <v>12111548.4</v>
          </cell>
          <cell r="BE21">
            <v>4872</v>
          </cell>
          <cell r="BK21">
            <v>49766500</v>
          </cell>
          <cell r="BL21">
            <v>0</v>
          </cell>
          <cell r="BN21">
            <v>54286100</v>
          </cell>
          <cell r="BO21">
            <v>100</v>
          </cell>
          <cell r="BQ21">
            <v>48000000</v>
          </cell>
          <cell r="BR21">
            <v>34000</v>
          </cell>
          <cell r="BT21">
            <v>4150890</v>
          </cell>
          <cell r="BU21">
            <v>4260</v>
          </cell>
          <cell r="BW21">
            <v>0.4</v>
          </cell>
          <cell r="BX21">
            <v>-6.9999999999999951E-2</v>
          </cell>
          <cell r="BZ21">
            <v>45274</v>
          </cell>
          <cell r="CA21">
            <v>21</v>
          </cell>
          <cell r="CB21">
            <v>40015</v>
          </cell>
          <cell r="CC21">
            <v>15</v>
          </cell>
          <cell r="CD21">
            <v>13417</v>
          </cell>
          <cell r="CE21">
            <v>4</v>
          </cell>
          <cell r="CF21">
            <v>16980</v>
          </cell>
          <cell r="CG21">
            <v>11</v>
          </cell>
          <cell r="CH21">
            <v>19345</v>
          </cell>
          <cell r="CI21">
            <v>7</v>
          </cell>
          <cell r="CJ21">
            <v>41226</v>
          </cell>
          <cell r="CK21">
            <v>24</v>
          </cell>
          <cell r="CL21">
            <v>177604</v>
          </cell>
          <cell r="CM21">
            <v>84</v>
          </cell>
          <cell r="CO21">
            <v>129343</v>
          </cell>
          <cell r="CP21">
            <v>93</v>
          </cell>
          <cell r="CR21">
            <v>248027</v>
          </cell>
          <cell r="CS21">
            <v>255</v>
          </cell>
          <cell r="CU21">
            <v>477893</v>
          </cell>
          <cell r="CV21">
            <v>172</v>
          </cell>
          <cell r="CX21">
            <v>344</v>
          </cell>
          <cell r="CY21">
            <v>0</v>
          </cell>
          <cell r="CZ21">
            <v>1297</v>
          </cell>
          <cell r="DA21">
            <v>0</v>
          </cell>
          <cell r="DB21">
            <v>19101</v>
          </cell>
          <cell r="DC21">
            <v>14</v>
          </cell>
          <cell r="DD21">
            <v>19648</v>
          </cell>
          <cell r="DE21">
            <v>12</v>
          </cell>
          <cell r="DF21">
            <v>13777</v>
          </cell>
          <cell r="DG21">
            <v>10</v>
          </cell>
          <cell r="DH21">
            <v>17397</v>
          </cell>
          <cell r="DI21">
            <v>6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1101</v>
          </cell>
          <cell r="DO21">
            <v>21</v>
          </cell>
          <cell r="DP21">
            <v>1215</v>
          </cell>
          <cell r="DQ21">
            <v>4</v>
          </cell>
          <cell r="DR21">
            <v>17216</v>
          </cell>
          <cell r="DS21">
            <v>9</v>
          </cell>
          <cell r="DU21">
            <v>2791859</v>
          </cell>
          <cell r="DV21">
            <v>1397</v>
          </cell>
          <cell r="DW21">
            <v>4662</v>
          </cell>
          <cell r="DX21">
            <v>5</v>
          </cell>
          <cell r="DY21">
            <v>1846198</v>
          </cell>
          <cell r="DZ21">
            <v>1039</v>
          </cell>
          <cell r="EA21">
            <v>252642</v>
          </cell>
          <cell r="EB21">
            <v>4</v>
          </cell>
          <cell r="EC21">
            <v>463819</v>
          </cell>
          <cell r="ED21">
            <v>477</v>
          </cell>
          <cell r="EG21">
            <v>90905</v>
          </cell>
          <cell r="EH21">
            <v>144</v>
          </cell>
          <cell r="EJ21">
            <v>6836500</v>
          </cell>
          <cell r="EK21">
            <v>1100</v>
          </cell>
          <cell r="EL21">
            <v>604870</v>
          </cell>
          <cell r="EM21">
            <v>170</v>
          </cell>
          <cell r="EN21">
            <v>4645500</v>
          </cell>
          <cell r="EO21">
            <v>700</v>
          </cell>
          <cell r="EP21">
            <v>1988900</v>
          </cell>
          <cell r="EQ21">
            <v>0</v>
          </cell>
          <cell r="ER21">
            <v>681660</v>
          </cell>
          <cell r="ES21">
            <v>160</v>
          </cell>
          <cell r="ET21">
            <v>10735800</v>
          </cell>
          <cell r="EU21">
            <v>400</v>
          </cell>
          <cell r="EW21">
            <v>28313</v>
          </cell>
          <cell r="EX21">
            <v>16</v>
          </cell>
          <cell r="EY21">
            <v>24749</v>
          </cell>
          <cell r="EZ21">
            <v>13</v>
          </cell>
          <cell r="FA21">
            <v>0</v>
          </cell>
          <cell r="FB21">
            <v>0</v>
          </cell>
          <cell r="FC21">
            <v>44939</v>
          </cell>
          <cell r="FD21">
            <v>30</v>
          </cell>
          <cell r="FE21">
            <v>21449</v>
          </cell>
          <cell r="FF21">
            <v>27</v>
          </cell>
        </row>
        <row r="22">
          <cell r="B22">
            <v>0.9</v>
          </cell>
          <cell r="E22">
            <v>537305</v>
          </cell>
          <cell r="F22">
            <v>513</v>
          </cell>
          <cell r="G22">
            <v>472</v>
          </cell>
          <cell r="H22">
            <v>705242</v>
          </cell>
          <cell r="I22">
            <v>450</v>
          </cell>
          <cell r="J22">
            <v>388</v>
          </cell>
          <cell r="K22">
            <v>26974</v>
          </cell>
          <cell r="L22">
            <v>198</v>
          </cell>
          <cell r="N22">
            <v>617563</v>
          </cell>
          <cell r="O22">
            <v>123</v>
          </cell>
          <cell r="Q22">
            <v>156876</v>
          </cell>
          <cell r="R22">
            <v>0</v>
          </cell>
          <cell r="S22">
            <v>96569</v>
          </cell>
          <cell r="T22">
            <v>51</v>
          </cell>
          <cell r="U22">
            <v>62</v>
          </cell>
          <cell r="V22">
            <v>7491</v>
          </cell>
          <cell r="W22">
            <v>9</v>
          </cell>
          <cell r="AC22">
            <v>5549597.7599999998</v>
          </cell>
          <cell r="AD22">
            <v>2094.9599999999627</v>
          </cell>
          <cell r="AF22">
            <v>10847313.119999999</v>
          </cell>
          <cell r="AG22">
            <v>4628.4000000003725</v>
          </cell>
          <cell r="AI22">
            <v>9847188.959999999</v>
          </cell>
          <cell r="AJ22">
            <v>0</v>
          </cell>
          <cell r="AL22">
            <v>13225141.439999999</v>
          </cell>
          <cell r="AM22">
            <v>535.91999999992549</v>
          </cell>
          <cell r="AO22">
            <v>13234934.16</v>
          </cell>
          <cell r="AP22">
            <v>5602.8000000007451</v>
          </cell>
          <cell r="AR22">
            <v>12194372.4</v>
          </cell>
          <cell r="AS22">
            <v>5846.4000000003725</v>
          </cell>
          <cell r="AU22">
            <v>10588415.040000001</v>
          </cell>
          <cell r="AV22">
            <v>3751.4400000013411</v>
          </cell>
          <cell r="AX22">
            <v>10260724.319999998</v>
          </cell>
          <cell r="AY22">
            <v>4628.3999999985099</v>
          </cell>
          <cell r="BA22">
            <v>8182231.6800000006</v>
          </cell>
          <cell r="BB22">
            <v>2971.9200000008568</v>
          </cell>
          <cell r="BD22">
            <v>12117005.040000001</v>
          </cell>
          <cell r="BE22">
            <v>5456.640000000596</v>
          </cell>
          <cell r="BK22">
            <v>49766500</v>
          </cell>
          <cell r="BL22">
            <v>0</v>
          </cell>
          <cell r="BN22">
            <v>54286100</v>
          </cell>
          <cell r="BO22">
            <v>0</v>
          </cell>
          <cell r="BQ22">
            <v>48028200</v>
          </cell>
          <cell r="BR22">
            <v>28200</v>
          </cell>
          <cell r="BT22">
            <v>4155060</v>
          </cell>
          <cell r="BU22">
            <v>4170</v>
          </cell>
          <cell r="BW22">
            <v>0.56999999999999995</v>
          </cell>
          <cell r="BX22">
            <v>0.16999999999999993</v>
          </cell>
          <cell r="BZ22">
            <v>45292</v>
          </cell>
          <cell r="CA22">
            <v>18</v>
          </cell>
          <cell r="CB22">
            <v>40029</v>
          </cell>
          <cell r="CC22">
            <v>14</v>
          </cell>
          <cell r="CD22">
            <v>13428</v>
          </cell>
          <cell r="CE22">
            <v>11</v>
          </cell>
          <cell r="CF22">
            <v>16990</v>
          </cell>
          <cell r="CG22">
            <v>10</v>
          </cell>
          <cell r="CH22">
            <v>19352</v>
          </cell>
          <cell r="CI22">
            <v>7</v>
          </cell>
          <cell r="CJ22">
            <v>41254</v>
          </cell>
          <cell r="CK22">
            <v>28</v>
          </cell>
          <cell r="CL22">
            <v>177701</v>
          </cell>
          <cell r="CM22">
            <v>97</v>
          </cell>
          <cell r="CO22">
            <v>129429</v>
          </cell>
          <cell r="CP22">
            <v>86</v>
          </cell>
          <cell r="CR22">
            <v>248445</v>
          </cell>
          <cell r="CS22">
            <v>418</v>
          </cell>
          <cell r="CU22">
            <v>478052</v>
          </cell>
          <cell r="CV22">
            <v>159</v>
          </cell>
          <cell r="CX22">
            <v>344</v>
          </cell>
          <cell r="CY22">
            <v>0</v>
          </cell>
          <cell r="CZ22">
            <v>1297</v>
          </cell>
          <cell r="DA22">
            <v>0</v>
          </cell>
          <cell r="DB22">
            <v>19116</v>
          </cell>
          <cell r="DC22">
            <v>15</v>
          </cell>
          <cell r="DD22">
            <v>19663</v>
          </cell>
          <cell r="DE22">
            <v>15</v>
          </cell>
          <cell r="DF22">
            <v>13787</v>
          </cell>
          <cell r="DG22">
            <v>10</v>
          </cell>
          <cell r="DH22">
            <v>17403</v>
          </cell>
          <cell r="DI22">
            <v>6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1109</v>
          </cell>
          <cell r="DO22">
            <v>8</v>
          </cell>
          <cell r="DP22">
            <v>1218</v>
          </cell>
          <cell r="DQ22">
            <v>3</v>
          </cell>
          <cell r="DR22">
            <v>17226</v>
          </cell>
          <cell r="DS22">
            <v>10</v>
          </cell>
          <cell r="DU22">
            <v>2793391</v>
          </cell>
          <cell r="DV22">
            <v>1532</v>
          </cell>
          <cell r="DW22">
            <v>4667</v>
          </cell>
          <cell r="DX22">
            <v>5</v>
          </cell>
          <cell r="DY22">
            <v>1847294</v>
          </cell>
          <cell r="DZ22">
            <v>1096</v>
          </cell>
          <cell r="EA22">
            <v>252647</v>
          </cell>
          <cell r="EB22">
            <v>5</v>
          </cell>
          <cell r="EC22">
            <v>464339</v>
          </cell>
          <cell r="ED22">
            <v>520</v>
          </cell>
          <cell r="EG22">
            <v>91059</v>
          </cell>
          <cell r="EH22">
            <v>154</v>
          </cell>
          <cell r="EJ22">
            <v>6837800</v>
          </cell>
          <cell r="EK22">
            <v>1300</v>
          </cell>
          <cell r="EL22">
            <v>605080</v>
          </cell>
          <cell r="EM22">
            <v>210</v>
          </cell>
          <cell r="EN22">
            <v>4646400</v>
          </cell>
          <cell r="EO22">
            <v>900</v>
          </cell>
          <cell r="EP22">
            <v>1989000</v>
          </cell>
          <cell r="EQ22">
            <v>100</v>
          </cell>
          <cell r="ER22">
            <v>681790</v>
          </cell>
          <cell r="ES22">
            <v>130</v>
          </cell>
          <cell r="ET22">
            <v>10735900</v>
          </cell>
          <cell r="EU22">
            <v>100</v>
          </cell>
          <cell r="EW22">
            <v>28331</v>
          </cell>
          <cell r="EX22">
            <v>18</v>
          </cell>
          <cell r="EY22">
            <v>24763</v>
          </cell>
          <cell r="EZ22">
            <v>14</v>
          </cell>
          <cell r="FA22">
            <v>0</v>
          </cell>
          <cell r="FB22">
            <v>0</v>
          </cell>
          <cell r="FC22">
            <v>44974</v>
          </cell>
          <cell r="FD22">
            <v>35</v>
          </cell>
          <cell r="FE22">
            <v>21480</v>
          </cell>
          <cell r="FF22">
            <v>31</v>
          </cell>
        </row>
        <row r="23">
          <cell r="B23">
            <v>0.92</v>
          </cell>
          <cell r="E23">
            <v>537861</v>
          </cell>
          <cell r="F23">
            <v>556</v>
          </cell>
          <cell r="G23">
            <v>474</v>
          </cell>
          <cell r="H23">
            <v>705724</v>
          </cell>
          <cell r="I23">
            <v>482</v>
          </cell>
          <cell r="J23">
            <v>395</v>
          </cell>
          <cell r="K23">
            <v>27099</v>
          </cell>
          <cell r="L23">
            <v>125</v>
          </cell>
          <cell r="N23">
            <v>617719</v>
          </cell>
          <cell r="O23">
            <v>156</v>
          </cell>
          <cell r="Q23">
            <v>156876</v>
          </cell>
          <cell r="R23">
            <v>0</v>
          </cell>
          <cell r="S23">
            <v>96624</v>
          </cell>
          <cell r="T23">
            <v>55</v>
          </cell>
          <cell r="U23">
            <v>77</v>
          </cell>
          <cell r="V23">
            <v>7501</v>
          </cell>
          <cell r="W23">
            <v>10</v>
          </cell>
          <cell r="AC23">
            <v>5551887.5999999996</v>
          </cell>
          <cell r="AD23">
            <v>2289.839999999851</v>
          </cell>
          <cell r="AF23">
            <v>10852185.119999999</v>
          </cell>
          <cell r="AG23">
            <v>4872</v>
          </cell>
          <cell r="AI23">
            <v>9847383.8399999999</v>
          </cell>
          <cell r="AJ23">
            <v>194.88000000081956</v>
          </cell>
          <cell r="AL23">
            <v>13225726.08</v>
          </cell>
          <cell r="AM23">
            <v>584.64000000059605</v>
          </cell>
          <cell r="AO23">
            <v>13241511.359999999</v>
          </cell>
          <cell r="AP23">
            <v>6577.1999999992549</v>
          </cell>
          <cell r="AR23">
            <v>12200511.119999999</v>
          </cell>
          <cell r="AS23">
            <v>6138.7199999988079</v>
          </cell>
          <cell r="AU23">
            <v>10592117.76</v>
          </cell>
          <cell r="AV23">
            <v>3702.7199999988079</v>
          </cell>
          <cell r="AX23">
            <v>10265498.880000001</v>
          </cell>
          <cell r="AY23">
            <v>4774.5600000023842</v>
          </cell>
          <cell r="BA23">
            <v>8185203.5999999996</v>
          </cell>
          <cell r="BB23">
            <v>2971.9199999989942</v>
          </cell>
          <cell r="BD23">
            <v>12122754</v>
          </cell>
          <cell r="BE23">
            <v>5748.9599999990314</v>
          </cell>
          <cell r="BK23">
            <v>49766500</v>
          </cell>
          <cell r="BL23">
            <v>0</v>
          </cell>
          <cell r="BN23">
            <v>54286100</v>
          </cell>
          <cell r="BO23">
            <v>0</v>
          </cell>
          <cell r="BQ23">
            <v>48046000</v>
          </cell>
          <cell r="BR23">
            <v>17800</v>
          </cell>
          <cell r="BT23">
            <v>4159770</v>
          </cell>
          <cell r="BU23">
            <v>4710</v>
          </cell>
          <cell r="BW23">
            <v>0.67</v>
          </cell>
          <cell r="BX23">
            <v>0.10000000000000009</v>
          </cell>
          <cell r="BZ23">
            <v>45314</v>
          </cell>
          <cell r="CA23">
            <v>22</v>
          </cell>
          <cell r="CB23">
            <v>40045</v>
          </cell>
          <cell r="CC23">
            <v>16</v>
          </cell>
          <cell r="CD23">
            <v>13435</v>
          </cell>
          <cell r="CE23">
            <v>7</v>
          </cell>
          <cell r="CF23">
            <v>17001</v>
          </cell>
          <cell r="CG23">
            <v>11</v>
          </cell>
          <cell r="CH23">
            <v>19357</v>
          </cell>
          <cell r="CI23">
            <v>5</v>
          </cell>
          <cell r="CJ23">
            <v>41283</v>
          </cell>
          <cell r="CK23">
            <v>29</v>
          </cell>
          <cell r="CL23">
            <v>177793</v>
          </cell>
          <cell r="CM23">
            <v>92</v>
          </cell>
          <cell r="CO23">
            <v>129525</v>
          </cell>
          <cell r="CP23">
            <v>96</v>
          </cell>
          <cell r="CR23">
            <v>248806</v>
          </cell>
          <cell r="CS23">
            <v>361</v>
          </cell>
          <cell r="CU23">
            <v>478214</v>
          </cell>
          <cell r="CV23">
            <v>162</v>
          </cell>
          <cell r="CX23">
            <v>344</v>
          </cell>
          <cell r="CY23">
            <v>0</v>
          </cell>
          <cell r="CZ23">
            <v>1297</v>
          </cell>
          <cell r="DA23">
            <v>0</v>
          </cell>
          <cell r="DB23">
            <v>19130</v>
          </cell>
          <cell r="DC23">
            <v>14</v>
          </cell>
          <cell r="DD23">
            <v>19678</v>
          </cell>
          <cell r="DE23">
            <v>15</v>
          </cell>
          <cell r="DF23">
            <v>13797</v>
          </cell>
          <cell r="DG23">
            <v>10</v>
          </cell>
          <cell r="DH23">
            <v>17409</v>
          </cell>
          <cell r="DI23">
            <v>6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1117</v>
          </cell>
          <cell r="DO23">
            <v>8</v>
          </cell>
          <cell r="DP23">
            <v>1221</v>
          </cell>
          <cell r="DQ23">
            <v>3</v>
          </cell>
          <cell r="DR23">
            <v>17235</v>
          </cell>
          <cell r="DS23">
            <v>9</v>
          </cell>
          <cell r="DU23">
            <v>2795023</v>
          </cell>
          <cell r="DV23">
            <v>1632</v>
          </cell>
          <cell r="DW23">
            <v>4672</v>
          </cell>
          <cell r="DX23">
            <v>5</v>
          </cell>
          <cell r="DY23">
            <v>1848440</v>
          </cell>
          <cell r="DZ23">
            <v>1146</v>
          </cell>
          <cell r="EA23">
            <v>252651</v>
          </cell>
          <cell r="EB23">
            <v>4</v>
          </cell>
          <cell r="EC23">
            <v>464887</v>
          </cell>
          <cell r="ED23">
            <v>548</v>
          </cell>
          <cell r="EG23">
            <v>91216</v>
          </cell>
          <cell r="EH23">
            <v>157</v>
          </cell>
          <cell r="EJ23">
            <v>6839600</v>
          </cell>
          <cell r="EK23">
            <v>1800</v>
          </cell>
          <cell r="EL23">
            <v>605290</v>
          </cell>
          <cell r="EM23">
            <v>210</v>
          </cell>
          <cell r="EN23">
            <v>4647400</v>
          </cell>
          <cell r="EO23">
            <v>1000</v>
          </cell>
          <cell r="EP23">
            <v>1989000</v>
          </cell>
          <cell r="EQ23">
            <v>0</v>
          </cell>
          <cell r="ER23">
            <v>681920</v>
          </cell>
          <cell r="ES23">
            <v>130</v>
          </cell>
          <cell r="ET23">
            <v>10736900</v>
          </cell>
          <cell r="EU23">
            <v>1000</v>
          </cell>
          <cell r="EW23">
            <v>28349</v>
          </cell>
          <cell r="EX23">
            <v>18</v>
          </cell>
          <cell r="EY23">
            <v>24777</v>
          </cell>
          <cell r="EZ23">
            <v>14</v>
          </cell>
          <cell r="FA23">
            <v>0</v>
          </cell>
          <cell r="FB23">
            <v>0</v>
          </cell>
          <cell r="FC23">
            <v>45007</v>
          </cell>
          <cell r="FD23">
            <v>33</v>
          </cell>
          <cell r="FE23">
            <v>21508</v>
          </cell>
          <cell r="FF23">
            <v>28</v>
          </cell>
        </row>
        <row r="24">
          <cell r="B24">
            <v>0.93</v>
          </cell>
          <cell r="E24">
            <v>538414</v>
          </cell>
          <cell r="F24">
            <v>553</v>
          </cell>
          <cell r="G24">
            <v>500</v>
          </cell>
          <cell r="H24">
            <v>706206</v>
          </cell>
          <cell r="I24">
            <v>482</v>
          </cell>
          <cell r="J24">
            <v>420</v>
          </cell>
          <cell r="K24">
            <v>27269</v>
          </cell>
          <cell r="L24">
            <v>170</v>
          </cell>
          <cell r="N24">
            <v>617859</v>
          </cell>
          <cell r="O24">
            <v>140</v>
          </cell>
          <cell r="Q24">
            <v>156876</v>
          </cell>
          <cell r="R24">
            <v>0</v>
          </cell>
          <cell r="S24">
            <v>96668</v>
          </cell>
          <cell r="T24">
            <v>44</v>
          </cell>
          <cell r="U24">
            <v>77</v>
          </cell>
          <cell r="V24">
            <v>7505</v>
          </cell>
          <cell r="W24">
            <v>4</v>
          </cell>
          <cell r="AC24">
            <v>5553787.6799999997</v>
          </cell>
          <cell r="AD24">
            <v>1900.0800000000745</v>
          </cell>
          <cell r="AF24">
            <v>10856959.68</v>
          </cell>
          <cell r="AG24">
            <v>4774.5600000005215</v>
          </cell>
          <cell r="AI24">
            <v>9847627.4399999995</v>
          </cell>
          <cell r="AJ24">
            <v>243.59999999962747</v>
          </cell>
          <cell r="AL24">
            <v>13232693.040000001</v>
          </cell>
          <cell r="AM24">
            <v>6966.9600000008941</v>
          </cell>
          <cell r="AO24">
            <v>13242144.719999999</v>
          </cell>
          <cell r="AP24">
            <v>633.35999999940395</v>
          </cell>
          <cell r="AR24">
            <v>12205967.76</v>
          </cell>
          <cell r="AS24">
            <v>5456.640000000596</v>
          </cell>
          <cell r="AU24">
            <v>10595869.199999999</v>
          </cell>
          <cell r="AV24">
            <v>3751.4399999994785</v>
          </cell>
          <cell r="AX24">
            <v>10270273.439999999</v>
          </cell>
          <cell r="AY24">
            <v>4774.5599999986589</v>
          </cell>
          <cell r="BA24">
            <v>8188370.3999999994</v>
          </cell>
          <cell r="BB24">
            <v>3166.7999999998137</v>
          </cell>
          <cell r="BD24">
            <v>12128259.359999999</v>
          </cell>
          <cell r="BE24">
            <v>5505.359999999404</v>
          </cell>
          <cell r="BK24">
            <v>49766500</v>
          </cell>
          <cell r="BL24">
            <v>0</v>
          </cell>
          <cell r="BN24">
            <v>54319500</v>
          </cell>
          <cell r="BO24">
            <v>33400</v>
          </cell>
          <cell r="BQ24">
            <v>48047200</v>
          </cell>
          <cell r="BR24">
            <v>1200</v>
          </cell>
          <cell r="BT24">
            <v>4164240</v>
          </cell>
          <cell r="BU24">
            <v>4470</v>
          </cell>
          <cell r="BW24">
            <v>0.6</v>
          </cell>
          <cell r="BX24">
            <v>-7.0000000000000062E-2</v>
          </cell>
          <cell r="BZ24">
            <v>45314</v>
          </cell>
          <cell r="CA24">
            <v>0</v>
          </cell>
          <cell r="CB24">
            <v>40045</v>
          </cell>
          <cell r="CC24">
            <v>0</v>
          </cell>
          <cell r="CD24">
            <v>13435</v>
          </cell>
          <cell r="CE24">
            <v>0</v>
          </cell>
          <cell r="CF24">
            <v>17001</v>
          </cell>
          <cell r="CG24">
            <v>0</v>
          </cell>
          <cell r="CH24">
            <v>19357</v>
          </cell>
          <cell r="CI24">
            <v>0</v>
          </cell>
          <cell r="CJ24">
            <v>41283</v>
          </cell>
          <cell r="CK24">
            <v>0</v>
          </cell>
          <cell r="CL24">
            <v>177883</v>
          </cell>
          <cell r="CM24">
            <v>90</v>
          </cell>
          <cell r="CO24">
            <v>129623</v>
          </cell>
          <cell r="CP24">
            <v>98</v>
          </cell>
          <cell r="CR24">
            <v>249046</v>
          </cell>
          <cell r="CS24">
            <v>240</v>
          </cell>
          <cell r="CU24">
            <v>478372</v>
          </cell>
          <cell r="CV24">
            <v>158</v>
          </cell>
          <cell r="CX24">
            <v>344</v>
          </cell>
          <cell r="CY24">
            <v>0</v>
          </cell>
          <cell r="CZ24">
            <v>1297</v>
          </cell>
          <cell r="DA24">
            <v>0</v>
          </cell>
          <cell r="DB24">
            <v>19152</v>
          </cell>
          <cell r="DC24">
            <v>22</v>
          </cell>
          <cell r="DD24">
            <v>19695</v>
          </cell>
          <cell r="DE24">
            <v>17</v>
          </cell>
          <cell r="DF24">
            <v>13810</v>
          </cell>
          <cell r="DG24">
            <v>13</v>
          </cell>
          <cell r="DH24">
            <v>17418</v>
          </cell>
          <cell r="DI24">
            <v>9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1123</v>
          </cell>
          <cell r="DO24">
            <v>6</v>
          </cell>
          <cell r="DP24">
            <v>1224</v>
          </cell>
          <cell r="DQ24">
            <v>3</v>
          </cell>
          <cell r="DR24">
            <v>17245</v>
          </cell>
          <cell r="DS24">
            <v>10</v>
          </cell>
          <cell r="DU24">
            <v>2796515</v>
          </cell>
          <cell r="DV24">
            <v>1492</v>
          </cell>
          <cell r="DW24">
            <v>4677</v>
          </cell>
          <cell r="DX24">
            <v>5</v>
          </cell>
          <cell r="DY24">
            <v>1849521</v>
          </cell>
          <cell r="DZ24">
            <v>1081</v>
          </cell>
          <cell r="EA24">
            <v>252655</v>
          </cell>
          <cell r="EB24">
            <v>4</v>
          </cell>
          <cell r="EC24">
            <v>465380</v>
          </cell>
          <cell r="ED24">
            <v>493</v>
          </cell>
          <cell r="EG24">
            <v>91360</v>
          </cell>
          <cell r="EH24">
            <v>144</v>
          </cell>
          <cell r="EJ24">
            <v>6841900</v>
          </cell>
          <cell r="EK24">
            <v>2300</v>
          </cell>
          <cell r="EL24">
            <v>605520</v>
          </cell>
          <cell r="EM24">
            <v>230</v>
          </cell>
          <cell r="EN24">
            <v>4648800</v>
          </cell>
          <cell r="EO24">
            <v>1400</v>
          </cell>
          <cell r="EP24">
            <v>1989000</v>
          </cell>
          <cell r="EQ24">
            <v>0</v>
          </cell>
          <cell r="ER24">
            <v>682050</v>
          </cell>
          <cell r="ES24">
            <v>130</v>
          </cell>
          <cell r="ET24">
            <v>10738200</v>
          </cell>
          <cell r="EU24">
            <v>1300</v>
          </cell>
          <cell r="EW24">
            <v>28365</v>
          </cell>
          <cell r="EX24">
            <v>16</v>
          </cell>
          <cell r="EY24">
            <v>24793</v>
          </cell>
          <cell r="EZ24">
            <v>16</v>
          </cell>
          <cell r="FA24">
            <v>0</v>
          </cell>
          <cell r="FB24">
            <v>0</v>
          </cell>
          <cell r="FC24">
            <v>45039</v>
          </cell>
          <cell r="FD24">
            <v>32</v>
          </cell>
          <cell r="FE24">
            <v>21533</v>
          </cell>
          <cell r="FF24">
            <v>25</v>
          </cell>
        </row>
        <row r="25">
          <cell r="B25">
            <v>0.9</v>
          </cell>
          <cell r="E25">
            <v>538901</v>
          </cell>
          <cell r="F25">
            <v>487</v>
          </cell>
          <cell r="G25">
            <v>493</v>
          </cell>
          <cell r="H25">
            <v>706644</v>
          </cell>
          <cell r="I25">
            <v>438</v>
          </cell>
          <cell r="J25">
            <v>402</v>
          </cell>
          <cell r="K25">
            <v>27439</v>
          </cell>
          <cell r="L25">
            <v>170</v>
          </cell>
          <cell r="N25">
            <v>617989</v>
          </cell>
          <cell r="O25">
            <v>130</v>
          </cell>
          <cell r="Q25">
            <v>156876</v>
          </cell>
          <cell r="R25">
            <v>0</v>
          </cell>
          <cell r="S25">
            <v>96718</v>
          </cell>
          <cell r="T25">
            <v>50</v>
          </cell>
          <cell r="U25">
            <v>93</v>
          </cell>
          <cell r="V25">
            <v>7517</v>
          </cell>
          <cell r="W25">
            <v>12</v>
          </cell>
          <cell r="AC25">
            <v>5555687.7599999998</v>
          </cell>
          <cell r="AD25">
            <v>1900.0800000000745</v>
          </cell>
          <cell r="AF25">
            <v>10861782.959999999</v>
          </cell>
          <cell r="AG25">
            <v>4823.2799999993294</v>
          </cell>
          <cell r="AI25">
            <v>9847968.4800000004</v>
          </cell>
          <cell r="AJ25">
            <v>341.04000000096858</v>
          </cell>
          <cell r="AL25">
            <v>13238929.199999999</v>
          </cell>
          <cell r="AM25">
            <v>6236.1599999982864</v>
          </cell>
          <cell r="AO25">
            <v>13242680.640000001</v>
          </cell>
          <cell r="AP25">
            <v>535.92000000178814</v>
          </cell>
          <cell r="AR25">
            <v>12211570.559999999</v>
          </cell>
          <cell r="AS25">
            <v>5602.7999999988824</v>
          </cell>
          <cell r="AU25">
            <v>10599377.040000001</v>
          </cell>
          <cell r="AV25">
            <v>3507.8400000017136</v>
          </cell>
          <cell r="AX25">
            <v>10274901.84</v>
          </cell>
          <cell r="AY25">
            <v>4628.4000000003725</v>
          </cell>
          <cell r="BA25">
            <v>8191439.7599999998</v>
          </cell>
          <cell r="BB25">
            <v>3069.3600000003353</v>
          </cell>
          <cell r="BD25">
            <v>12133618.559999999</v>
          </cell>
          <cell r="BE25">
            <v>5359.1999999992549</v>
          </cell>
          <cell r="BK25">
            <v>49766500</v>
          </cell>
          <cell r="BL25">
            <v>0</v>
          </cell>
          <cell r="BN25">
            <v>54352500</v>
          </cell>
          <cell r="BO25">
            <v>33000</v>
          </cell>
          <cell r="BQ25">
            <v>48047200</v>
          </cell>
          <cell r="BR25">
            <v>0</v>
          </cell>
          <cell r="BT25">
            <v>4168000</v>
          </cell>
          <cell r="BU25">
            <v>3760</v>
          </cell>
          <cell r="BW25">
            <v>0.69</v>
          </cell>
          <cell r="BX25">
            <v>8.9999999999999969E-2</v>
          </cell>
          <cell r="BZ25">
            <v>45356</v>
          </cell>
          <cell r="CA25">
            <v>42</v>
          </cell>
          <cell r="CB25">
            <v>40070</v>
          </cell>
          <cell r="CC25">
            <v>25</v>
          </cell>
          <cell r="CD25">
            <v>13447</v>
          </cell>
          <cell r="CE25">
            <v>12</v>
          </cell>
          <cell r="CF25">
            <v>17023</v>
          </cell>
          <cell r="CG25">
            <v>22</v>
          </cell>
          <cell r="CH25">
            <v>19376</v>
          </cell>
          <cell r="CI25">
            <v>19</v>
          </cell>
          <cell r="CJ25">
            <v>41338</v>
          </cell>
          <cell r="CK25">
            <v>55</v>
          </cell>
          <cell r="CL25">
            <v>177975</v>
          </cell>
          <cell r="CM25">
            <v>92</v>
          </cell>
          <cell r="CO25">
            <v>129716</v>
          </cell>
          <cell r="CP25">
            <v>93</v>
          </cell>
          <cell r="CR25">
            <v>249344</v>
          </cell>
          <cell r="CS25">
            <v>298</v>
          </cell>
          <cell r="CU25">
            <v>478533</v>
          </cell>
          <cell r="CV25">
            <v>161</v>
          </cell>
          <cell r="CX25">
            <v>347</v>
          </cell>
          <cell r="CY25">
            <v>3</v>
          </cell>
          <cell r="CZ25">
            <v>1327</v>
          </cell>
          <cell r="DA25">
            <v>30</v>
          </cell>
          <cell r="DB25">
            <v>19166</v>
          </cell>
          <cell r="DC25">
            <v>14</v>
          </cell>
          <cell r="DD25">
            <v>19708</v>
          </cell>
          <cell r="DE25">
            <v>13</v>
          </cell>
          <cell r="DF25">
            <v>13815</v>
          </cell>
          <cell r="DG25">
            <v>5</v>
          </cell>
          <cell r="DH25">
            <v>17422</v>
          </cell>
          <cell r="DI25">
            <v>4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1123</v>
          </cell>
          <cell r="DO25">
            <v>0</v>
          </cell>
          <cell r="DP25">
            <v>1224</v>
          </cell>
          <cell r="DQ25">
            <v>0</v>
          </cell>
          <cell r="DR25">
            <v>17254</v>
          </cell>
          <cell r="DS25">
            <v>9</v>
          </cell>
          <cell r="DU25">
            <v>2798039</v>
          </cell>
          <cell r="DV25">
            <v>1524</v>
          </cell>
          <cell r="DW25">
            <v>4681</v>
          </cell>
          <cell r="DX25">
            <v>4</v>
          </cell>
          <cell r="DY25">
            <v>1850604</v>
          </cell>
          <cell r="DZ25">
            <v>1083</v>
          </cell>
          <cell r="EA25">
            <v>252659</v>
          </cell>
          <cell r="EB25">
            <v>4</v>
          </cell>
          <cell r="EC25">
            <v>465894</v>
          </cell>
          <cell r="ED25">
            <v>514</v>
          </cell>
          <cell r="EG25">
            <v>91503</v>
          </cell>
          <cell r="EH25">
            <v>143</v>
          </cell>
          <cell r="EJ25">
            <v>6844000</v>
          </cell>
          <cell r="EK25">
            <v>2100</v>
          </cell>
          <cell r="EL25">
            <v>605740</v>
          </cell>
          <cell r="EM25">
            <v>220</v>
          </cell>
          <cell r="EN25">
            <v>4650000</v>
          </cell>
          <cell r="EO25">
            <v>1200</v>
          </cell>
          <cell r="EP25">
            <v>1989100</v>
          </cell>
          <cell r="EQ25">
            <v>100</v>
          </cell>
          <cell r="ER25">
            <v>682170</v>
          </cell>
          <cell r="ES25">
            <v>120</v>
          </cell>
          <cell r="ET25">
            <v>10739200</v>
          </cell>
          <cell r="EU25">
            <v>1000</v>
          </cell>
          <cell r="EW25">
            <v>28380</v>
          </cell>
          <cell r="EX25">
            <v>15</v>
          </cell>
          <cell r="EY25">
            <v>24807</v>
          </cell>
          <cell r="EZ25">
            <v>14</v>
          </cell>
          <cell r="FA25">
            <v>0</v>
          </cell>
          <cell r="FB25">
            <v>0</v>
          </cell>
          <cell r="FC25">
            <v>45067</v>
          </cell>
          <cell r="FD25">
            <v>28</v>
          </cell>
          <cell r="FE25">
            <v>21560</v>
          </cell>
          <cell r="FF25">
            <v>27</v>
          </cell>
        </row>
        <row r="26">
          <cell r="B26">
            <v>0.95</v>
          </cell>
          <cell r="E26">
            <v>539459</v>
          </cell>
          <cell r="F26">
            <v>558</v>
          </cell>
          <cell r="G26">
            <v>495</v>
          </cell>
          <cell r="H26">
            <v>707068</v>
          </cell>
          <cell r="I26">
            <v>424</v>
          </cell>
          <cell r="J26">
            <v>384</v>
          </cell>
          <cell r="K26">
            <v>27555</v>
          </cell>
          <cell r="L26">
            <v>116</v>
          </cell>
          <cell r="N26">
            <v>618131</v>
          </cell>
          <cell r="O26">
            <v>142</v>
          </cell>
          <cell r="Q26">
            <v>156876</v>
          </cell>
          <cell r="R26">
            <v>0</v>
          </cell>
          <cell r="S26">
            <v>96768</v>
          </cell>
          <cell r="T26">
            <v>50</v>
          </cell>
          <cell r="U26">
            <v>102</v>
          </cell>
          <cell r="V26">
            <v>7517</v>
          </cell>
          <cell r="W26">
            <v>0</v>
          </cell>
          <cell r="AC26">
            <v>5557636.5599999996</v>
          </cell>
          <cell r="AD26">
            <v>1948.7999999998137</v>
          </cell>
          <cell r="AF26">
            <v>10866752.4</v>
          </cell>
          <cell r="AG26">
            <v>4969.4400000013411</v>
          </cell>
          <cell r="AI26">
            <v>9848406.959999999</v>
          </cell>
          <cell r="AJ26">
            <v>438.47999999858439</v>
          </cell>
          <cell r="AL26">
            <v>13245847.439999999</v>
          </cell>
          <cell r="AM26">
            <v>6918.2400000002235</v>
          </cell>
          <cell r="AO26">
            <v>13243216.559999999</v>
          </cell>
          <cell r="AP26">
            <v>535.91999999806285</v>
          </cell>
          <cell r="AR26">
            <v>12217319.52</v>
          </cell>
          <cell r="AS26">
            <v>5748.9600000008941</v>
          </cell>
          <cell r="AU26">
            <v>10603274.640000001</v>
          </cell>
          <cell r="AV26">
            <v>3897.5999999996275</v>
          </cell>
          <cell r="AX26">
            <v>10279968.719999999</v>
          </cell>
          <cell r="AY26">
            <v>5066.8799999989569</v>
          </cell>
          <cell r="BA26">
            <v>8194752.7199999988</v>
          </cell>
          <cell r="BB26">
            <v>3312.9599999990314</v>
          </cell>
          <cell r="BD26">
            <v>12139172.640000001</v>
          </cell>
          <cell r="BE26">
            <v>5554.0800000019372</v>
          </cell>
          <cell r="BK26">
            <v>49766500</v>
          </cell>
          <cell r="BL26">
            <v>0</v>
          </cell>
          <cell r="BN26">
            <v>54352500</v>
          </cell>
          <cell r="BO26">
            <v>0</v>
          </cell>
          <cell r="BQ26">
            <v>48047200</v>
          </cell>
          <cell r="BR26">
            <v>0</v>
          </cell>
          <cell r="BT26">
            <v>4172020</v>
          </cell>
          <cell r="BU26">
            <v>4020</v>
          </cell>
          <cell r="BW26">
            <v>0.62</v>
          </cell>
          <cell r="BX26">
            <v>-6.9999999999999951E-2</v>
          </cell>
          <cell r="BZ26">
            <v>45377</v>
          </cell>
          <cell r="CA26">
            <v>21</v>
          </cell>
          <cell r="CB26">
            <v>40090</v>
          </cell>
          <cell r="CC26">
            <v>20</v>
          </cell>
          <cell r="CD26">
            <v>13453</v>
          </cell>
          <cell r="CE26">
            <v>6</v>
          </cell>
          <cell r="CF26">
            <v>17033</v>
          </cell>
          <cell r="CG26">
            <v>10</v>
          </cell>
          <cell r="CH26">
            <v>19386</v>
          </cell>
          <cell r="CI26">
            <v>10</v>
          </cell>
          <cell r="CJ26">
            <v>41362</v>
          </cell>
          <cell r="CK26">
            <v>24</v>
          </cell>
          <cell r="CL26">
            <v>178069</v>
          </cell>
          <cell r="CM26">
            <v>94</v>
          </cell>
          <cell r="CO26">
            <v>129811</v>
          </cell>
          <cell r="CP26">
            <v>95</v>
          </cell>
          <cell r="CR26">
            <v>249599</v>
          </cell>
          <cell r="CS26">
            <v>255</v>
          </cell>
          <cell r="CU26">
            <v>478700</v>
          </cell>
          <cell r="CV26">
            <v>167</v>
          </cell>
          <cell r="CX26">
            <v>347</v>
          </cell>
          <cell r="CY26">
            <v>0</v>
          </cell>
          <cell r="CZ26">
            <v>1330</v>
          </cell>
          <cell r="DA26">
            <v>3</v>
          </cell>
          <cell r="DB26">
            <v>19180</v>
          </cell>
          <cell r="DC26">
            <v>14</v>
          </cell>
          <cell r="DD26">
            <v>19720</v>
          </cell>
          <cell r="DE26">
            <v>12</v>
          </cell>
          <cell r="DF26">
            <v>13820</v>
          </cell>
          <cell r="DG26">
            <v>5</v>
          </cell>
          <cell r="DH26">
            <v>17425</v>
          </cell>
          <cell r="DI26">
            <v>3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1138</v>
          </cell>
          <cell r="DO26">
            <v>15</v>
          </cell>
          <cell r="DP26">
            <v>1226</v>
          </cell>
          <cell r="DQ26">
            <v>2</v>
          </cell>
          <cell r="DR26">
            <v>17264</v>
          </cell>
          <cell r="DS26">
            <v>10</v>
          </cell>
          <cell r="DU26">
            <v>2799551</v>
          </cell>
          <cell r="DV26">
            <v>1512</v>
          </cell>
          <cell r="DW26">
            <v>4686</v>
          </cell>
          <cell r="DX26">
            <v>5</v>
          </cell>
          <cell r="DY26">
            <v>1851710</v>
          </cell>
          <cell r="DZ26">
            <v>1106</v>
          </cell>
          <cell r="EA26">
            <v>252664</v>
          </cell>
          <cell r="EB26">
            <v>5</v>
          </cell>
          <cell r="EC26">
            <v>466458</v>
          </cell>
          <cell r="ED26">
            <v>564</v>
          </cell>
          <cell r="EG26">
            <v>91649</v>
          </cell>
          <cell r="EH26">
            <v>146</v>
          </cell>
          <cell r="EJ26">
            <v>6846400</v>
          </cell>
          <cell r="EK26">
            <v>2400</v>
          </cell>
          <cell r="EL26">
            <v>605970</v>
          </cell>
          <cell r="EM26">
            <v>230</v>
          </cell>
          <cell r="EN26">
            <v>4651500</v>
          </cell>
          <cell r="EO26">
            <v>1500</v>
          </cell>
          <cell r="EP26">
            <v>1989100</v>
          </cell>
          <cell r="EQ26">
            <v>0</v>
          </cell>
          <cell r="ER26">
            <v>682310</v>
          </cell>
          <cell r="ES26">
            <v>140</v>
          </cell>
          <cell r="ET26">
            <v>10740800</v>
          </cell>
          <cell r="EU26">
            <v>1600</v>
          </cell>
          <cell r="EW26">
            <v>28398</v>
          </cell>
          <cell r="EX26">
            <v>18</v>
          </cell>
          <cell r="EY26">
            <v>24821</v>
          </cell>
          <cell r="EZ26">
            <v>14</v>
          </cell>
          <cell r="FA26">
            <v>0</v>
          </cell>
          <cell r="FB26">
            <v>0</v>
          </cell>
          <cell r="FC26">
            <v>45097</v>
          </cell>
          <cell r="FD26">
            <v>30</v>
          </cell>
          <cell r="FE26">
            <v>21585</v>
          </cell>
          <cell r="FF26">
            <v>25</v>
          </cell>
        </row>
        <row r="27">
          <cell r="B27">
            <v>0.96</v>
          </cell>
          <cell r="E27">
            <v>539989</v>
          </cell>
          <cell r="F27">
            <v>530</v>
          </cell>
          <cell r="G27">
            <v>483</v>
          </cell>
          <cell r="H27">
            <v>707520</v>
          </cell>
          <cell r="I27">
            <v>452</v>
          </cell>
          <cell r="J27">
            <v>419</v>
          </cell>
          <cell r="K27">
            <v>27696</v>
          </cell>
          <cell r="L27">
            <v>141</v>
          </cell>
          <cell r="N27">
            <v>618271</v>
          </cell>
          <cell r="O27">
            <v>140</v>
          </cell>
          <cell r="Q27">
            <v>156876</v>
          </cell>
          <cell r="R27">
            <v>0</v>
          </cell>
          <cell r="S27">
            <v>96917</v>
          </cell>
          <cell r="T27">
            <v>149</v>
          </cell>
          <cell r="U27">
            <v>73</v>
          </cell>
          <cell r="V27">
            <v>7517</v>
          </cell>
          <cell r="W27">
            <v>0</v>
          </cell>
          <cell r="AC27">
            <v>5559487.9199999999</v>
          </cell>
          <cell r="AD27">
            <v>1851.3600000003353</v>
          </cell>
          <cell r="AF27">
            <v>10871526.959999999</v>
          </cell>
          <cell r="AG27">
            <v>4774.5599999986589</v>
          </cell>
          <cell r="AI27">
            <v>9854350.7999999989</v>
          </cell>
          <cell r="AJ27">
            <v>5943.839999999851</v>
          </cell>
          <cell r="AL27">
            <v>13247747.52</v>
          </cell>
          <cell r="AM27">
            <v>1900.0800000000745</v>
          </cell>
          <cell r="AO27">
            <v>13243703.76</v>
          </cell>
          <cell r="AP27">
            <v>487.20000000111759</v>
          </cell>
          <cell r="AR27">
            <v>12223165.92</v>
          </cell>
          <cell r="AS27">
            <v>5846.4000000003725</v>
          </cell>
          <cell r="AU27">
            <v>10606977.359999999</v>
          </cell>
          <cell r="AV27">
            <v>3702.7199999988079</v>
          </cell>
          <cell r="AX27">
            <v>10284499.68</v>
          </cell>
          <cell r="AY27">
            <v>4530.9600000008941</v>
          </cell>
          <cell r="BA27">
            <v>8197675.919999999</v>
          </cell>
          <cell r="BB27">
            <v>2923.2000000001863</v>
          </cell>
          <cell r="BD27">
            <v>12144580.559999999</v>
          </cell>
          <cell r="BE27">
            <v>5407.9199999980628</v>
          </cell>
          <cell r="BK27">
            <v>49796800</v>
          </cell>
          <cell r="BL27">
            <v>30300</v>
          </cell>
          <cell r="BN27">
            <v>54399300</v>
          </cell>
          <cell r="BO27">
            <v>46800</v>
          </cell>
          <cell r="BQ27">
            <v>48047200</v>
          </cell>
          <cell r="BR27">
            <v>0</v>
          </cell>
          <cell r="BT27">
            <v>4176420</v>
          </cell>
          <cell r="BU27">
            <v>4400</v>
          </cell>
          <cell r="BW27">
            <v>0.79</v>
          </cell>
          <cell r="BX27">
            <v>0.17000000000000004</v>
          </cell>
          <cell r="BZ27">
            <v>45397</v>
          </cell>
          <cell r="CA27">
            <v>20</v>
          </cell>
          <cell r="CB27">
            <v>40106</v>
          </cell>
          <cell r="CC27">
            <v>16</v>
          </cell>
          <cell r="CD27">
            <v>13460</v>
          </cell>
          <cell r="CE27">
            <v>7</v>
          </cell>
          <cell r="CF27">
            <v>17044</v>
          </cell>
          <cell r="CG27">
            <v>11</v>
          </cell>
          <cell r="CH27">
            <v>19398</v>
          </cell>
          <cell r="CI27">
            <v>12</v>
          </cell>
          <cell r="CJ27">
            <v>41386</v>
          </cell>
          <cell r="CK27">
            <v>24</v>
          </cell>
          <cell r="CL27">
            <v>178156</v>
          </cell>
          <cell r="CM27">
            <v>87</v>
          </cell>
          <cell r="CO27">
            <v>129905</v>
          </cell>
          <cell r="CP27">
            <v>94</v>
          </cell>
          <cell r="CR27">
            <v>249863</v>
          </cell>
          <cell r="CS27">
            <v>264</v>
          </cell>
          <cell r="CU27">
            <v>478853</v>
          </cell>
          <cell r="CV27">
            <v>153</v>
          </cell>
          <cell r="CX27">
            <v>347</v>
          </cell>
          <cell r="CY27">
            <v>0</v>
          </cell>
          <cell r="CZ27">
            <v>1330</v>
          </cell>
          <cell r="DA27">
            <v>0</v>
          </cell>
          <cell r="DB27">
            <v>19194</v>
          </cell>
          <cell r="DC27">
            <v>14</v>
          </cell>
          <cell r="DD27">
            <v>19732</v>
          </cell>
          <cell r="DE27">
            <v>12</v>
          </cell>
          <cell r="DF27">
            <v>13825</v>
          </cell>
          <cell r="DG27">
            <v>5</v>
          </cell>
          <cell r="DH27">
            <v>17428</v>
          </cell>
          <cell r="DI27">
            <v>3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1143</v>
          </cell>
          <cell r="DO27">
            <v>5</v>
          </cell>
          <cell r="DP27">
            <v>1229</v>
          </cell>
          <cell r="DQ27">
            <v>3</v>
          </cell>
          <cell r="DR27">
            <v>17282</v>
          </cell>
          <cell r="DS27">
            <v>18</v>
          </cell>
          <cell r="DU27">
            <v>2801054</v>
          </cell>
          <cell r="DV27">
            <v>1503</v>
          </cell>
          <cell r="DW27">
            <v>4690</v>
          </cell>
          <cell r="DX27">
            <v>4</v>
          </cell>
          <cell r="DY27">
            <v>1852808</v>
          </cell>
          <cell r="DZ27">
            <v>1098</v>
          </cell>
          <cell r="EA27">
            <v>252668</v>
          </cell>
          <cell r="EB27">
            <v>4</v>
          </cell>
          <cell r="EC27">
            <v>467017</v>
          </cell>
          <cell r="ED27">
            <v>559</v>
          </cell>
          <cell r="EG27">
            <v>91794</v>
          </cell>
          <cell r="EH27">
            <v>145</v>
          </cell>
          <cell r="EJ27">
            <v>6846400</v>
          </cell>
          <cell r="EK27">
            <v>0</v>
          </cell>
          <cell r="EL27">
            <v>605970</v>
          </cell>
          <cell r="EM27">
            <v>0</v>
          </cell>
          <cell r="EN27">
            <v>4651500</v>
          </cell>
          <cell r="EO27">
            <v>0</v>
          </cell>
          <cell r="EP27">
            <v>1989100</v>
          </cell>
          <cell r="EQ27">
            <v>0</v>
          </cell>
          <cell r="ER27">
            <v>682310</v>
          </cell>
          <cell r="ES27">
            <v>0</v>
          </cell>
          <cell r="ET27">
            <v>10740800</v>
          </cell>
          <cell r="EU27">
            <v>0</v>
          </cell>
          <cell r="EW27">
            <v>28414</v>
          </cell>
          <cell r="EX27">
            <v>16</v>
          </cell>
          <cell r="EY27">
            <v>24835</v>
          </cell>
          <cell r="EZ27">
            <v>14</v>
          </cell>
          <cell r="FA27">
            <v>0</v>
          </cell>
          <cell r="FB27">
            <v>0</v>
          </cell>
          <cell r="FC27">
            <v>45130</v>
          </cell>
          <cell r="FD27">
            <v>33</v>
          </cell>
          <cell r="FE27">
            <v>21611</v>
          </cell>
          <cell r="FF27">
            <v>26</v>
          </cell>
        </row>
        <row r="28">
          <cell r="B28">
            <v>0.98</v>
          </cell>
          <cell r="E28">
            <v>540572</v>
          </cell>
          <cell r="F28">
            <v>583</v>
          </cell>
          <cell r="G28">
            <v>475</v>
          </cell>
          <cell r="H28">
            <v>708013</v>
          </cell>
          <cell r="I28">
            <v>493</v>
          </cell>
          <cell r="J28">
            <v>399</v>
          </cell>
          <cell r="K28">
            <v>27813</v>
          </cell>
          <cell r="L28">
            <v>117</v>
          </cell>
          <cell r="N28">
            <v>618411</v>
          </cell>
          <cell r="O28">
            <v>140</v>
          </cell>
          <cell r="Q28">
            <v>156876</v>
          </cell>
          <cell r="R28">
            <v>0</v>
          </cell>
          <cell r="S28">
            <v>96993</v>
          </cell>
          <cell r="T28">
            <v>76</v>
          </cell>
          <cell r="U28">
            <v>58</v>
          </cell>
          <cell r="V28">
            <v>7520</v>
          </cell>
          <cell r="W28">
            <v>3</v>
          </cell>
          <cell r="AC28">
            <v>5561485.4400000004</v>
          </cell>
          <cell r="AD28">
            <v>1997.5200000004843</v>
          </cell>
          <cell r="AF28">
            <v>10876398.959999999</v>
          </cell>
          <cell r="AG28">
            <v>4872</v>
          </cell>
          <cell r="AI28">
            <v>9862681.9199999999</v>
          </cell>
          <cell r="AJ28">
            <v>8331.1200000010431</v>
          </cell>
          <cell r="AL28">
            <v>13247796.24</v>
          </cell>
          <cell r="AM28">
            <v>48.720000000670552</v>
          </cell>
          <cell r="AO28">
            <v>13244288.4</v>
          </cell>
          <cell r="AP28">
            <v>584.64000000059605</v>
          </cell>
          <cell r="AR28">
            <v>12229012.319999998</v>
          </cell>
          <cell r="AS28">
            <v>5846.3999999985099</v>
          </cell>
          <cell r="AU28">
            <v>10610680.08</v>
          </cell>
          <cell r="AV28">
            <v>3702.7200000006706</v>
          </cell>
          <cell r="AX28">
            <v>10289371.68</v>
          </cell>
          <cell r="AY28">
            <v>4872</v>
          </cell>
          <cell r="BA28">
            <v>8200599.1199999992</v>
          </cell>
          <cell r="BB28">
            <v>2923.2000000001863</v>
          </cell>
          <cell r="BD28">
            <v>12149842.319999998</v>
          </cell>
          <cell r="BE28">
            <v>5261.7599999997765</v>
          </cell>
          <cell r="BK28">
            <v>49842700</v>
          </cell>
          <cell r="BL28">
            <v>45900</v>
          </cell>
          <cell r="BN28">
            <v>54399300</v>
          </cell>
          <cell r="BO28">
            <v>0</v>
          </cell>
          <cell r="BQ28">
            <v>48047200</v>
          </cell>
          <cell r="BR28">
            <v>0</v>
          </cell>
          <cell r="BT28">
            <v>4180990</v>
          </cell>
          <cell r="BU28">
            <v>4570</v>
          </cell>
          <cell r="BW28">
            <v>0.71</v>
          </cell>
          <cell r="BX28">
            <v>-8.0000000000000071E-2</v>
          </cell>
          <cell r="BZ28">
            <v>45415</v>
          </cell>
          <cell r="CA28">
            <v>18</v>
          </cell>
          <cell r="CB28">
            <v>40122</v>
          </cell>
          <cell r="CC28">
            <v>16</v>
          </cell>
          <cell r="CD28">
            <v>13469</v>
          </cell>
          <cell r="CE28">
            <v>9</v>
          </cell>
          <cell r="CF28">
            <v>17055</v>
          </cell>
          <cell r="CG28">
            <v>11</v>
          </cell>
          <cell r="CH28">
            <v>19409</v>
          </cell>
          <cell r="CI28">
            <v>11</v>
          </cell>
          <cell r="CJ28">
            <v>41413</v>
          </cell>
          <cell r="CK28">
            <v>27</v>
          </cell>
          <cell r="CL28">
            <v>178250</v>
          </cell>
          <cell r="CM28">
            <v>94</v>
          </cell>
          <cell r="CO28">
            <v>130000</v>
          </cell>
          <cell r="CP28">
            <v>95</v>
          </cell>
          <cell r="CR28">
            <v>250114</v>
          </cell>
          <cell r="CS28">
            <v>251</v>
          </cell>
          <cell r="CU28">
            <v>479018</v>
          </cell>
          <cell r="CV28">
            <v>165</v>
          </cell>
          <cell r="CX28">
            <v>347</v>
          </cell>
          <cell r="CY28">
            <v>0</v>
          </cell>
          <cell r="CZ28">
            <v>1330</v>
          </cell>
          <cell r="DA28">
            <v>0</v>
          </cell>
          <cell r="DB28">
            <v>19210</v>
          </cell>
          <cell r="DC28">
            <v>16</v>
          </cell>
          <cell r="DD28">
            <v>19744</v>
          </cell>
          <cell r="DE28">
            <v>12</v>
          </cell>
          <cell r="DF28">
            <v>13835</v>
          </cell>
          <cell r="DG28">
            <v>10</v>
          </cell>
          <cell r="DH28">
            <v>17435</v>
          </cell>
          <cell r="DI28">
            <v>7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1143</v>
          </cell>
          <cell r="DO28">
            <v>0</v>
          </cell>
          <cell r="DP28">
            <v>1229</v>
          </cell>
          <cell r="DQ28">
            <v>0</v>
          </cell>
          <cell r="DR28">
            <v>17283</v>
          </cell>
          <cell r="DS28">
            <v>1</v>
          </cell>
          <cell r="DU28">
            <v>2802605</v>
          </cell>
          <cell r="DV28">
            <v>1551</v>
          </cell>
          <cell r="DW28">
            <v>4695</v>
          </cell>
          <cell r="DX28">
            <v>5</v>
          </cell>
          <cell r="DY28">
            <v>1853912</v>
          </cell>
          <cell r="DZ28">
            <v>1104</v>
          </cell>
          <cell r="EA28">
            <v>252672</v>
          </cell>
          <cell r="EB28">
            <v>4</v>
          </cell>
          <cell r="EC28">
            <v>467594</v>
          </cell>
          <cell r="ED28">
            <v>577</v>
          </cell>
          <cell r="EG28">
            <v>91940</v>
          </cell>
          <cell r="EH28">
            <v>146</v>
          </cell>
          <cell r="EJ28">
            <v>6852000</v>
          </cell>
          <cell r="EK28">
            <v>5600</v>
          </cell>
          <cell r="EL28">
            <v>606440</v>
          </cell>
          <cell r="EM28">
            <v>470</v>
          </cell>
          <cell r="EN28">
            <v>4654500</v>
          </cell>
          <cell r="EO28">
            <v>3000</v>
          </cell>
          <cell r="EP28">
            <v>1989100</v>
          </cell>
          <cell r="EQ28">
            <v>0</v>
          </cell>
          <cell r="ER28">
            <v>682590</v>
          </cell>
          <cell r="ES28">
            <v>280</v>
          </cell>
          <cell r="ET28">
            <v>10743900</v>
          </cell>
          <cell r="EU28">
            <v>3100</v>
          </cell>
          <cell r="EW28">
            <v>28429</v>
          </cell>
          <cell r="EX28">
            <v>15</v>
          </cell>
          <cell r="EY28">
            <v>24850</v>
          </cell>
          <cell r="EZ28">
            <v>15</v>
          </cell>
          <cell r="FA28">
            <v>0</v>
          </cell>
          <cell r="FB28">
            <v>0</v>
          </cell>
          <cell r="FC28">
            <v>45162</v>
          </cell>
          <cell r="FD28">
            <v>32</v>
          </cell>
          <cell r="FE28">
            <v>21640</v>
          </cell>
          <cell r="FF28">
            <v>29</v>
          </cell>
        </row>
        <row r="29">
          <cell r="B29">
            <v>0.96</v>
          </cell>
          <cell r="E29">
            <v>541121</v>
          </cell>
          <cell r="F29">
            <v>549</v>
          </cell>
          <cell r="G29">
            <v>461</v>
          </cell>
          <cell r="H29">
            <v>708465</v>
          </cell>
          <cell r="I29">
            <v>452</v>
          </cell>
          <cell r="J29">
            <v>409</v>
          </cell>
          <cell r="K29">
            <v>27995</v>
          </cell>
          <cell r="L29">
            <v>182</v>
          </cell>
          <cell r="N29">
            <v>618557</v>
          </cell>
          <cell r="O29">
            <v>146</v>
          </cell>
          <cell r="Q29">
            <v>156876</v>
          </cell>
          <cell r="R29">
            <v>0</v>
          </cell>
          <cell r="S29">
            <v>96993</v>
          </cell>
          <cell r="T29">
            <v>0</v>
          </cell>
          <cell r="U29">
            <v>76</v>
          </cell>
          <cell r="V29">
            <v>7520</v>
          </cell>
          <cell r="W29">
            <v>0</v>
          </cell>
          <cell r="AC29">
            <v>5563385.5200000005</v>
          </cell>
          <cell r="AD29">
            <v>1900.0800000000745</v>
          </cell>
          <cell r="AF29">
            <v>10881222.24</v>
          </cell>
          <cell r="AG29">
            <v>4823.2800000011921</v>
          </cell>
          <cell r="AI29">
            <v>9870769.4399999995</v>
          </cell>
          <cell r="AJ29">
            <v>8087.519999999553</v>
          </cell>
          <cell r="AL29">
            <v>13247844.959999999</v>
          </cell>
          <cell r="AM29">
            <v>48.719999998807907</v>
          </cell>
          <cell r="AO29">
            <v>13244873.040000001</v>
          </cell>
          <cell r="AP29">
            <v>584.64000000059605</v>
          </cell>
          <cell r="AR29">
            <v>12234956.16</v>
          </cell>
          <cell r="AS29">
            <v>5943.8400000017136</v>
          </cell>
          <cell r="AU29">
            <v>10614334.08</v>
          </cell>
          <cell r="AV29">
            <v>3654</v>
          </cell>
          <cell r="AX29">
            <v>10294048.799999999</v>
          </cell>
          <cell r="AY29">
            <v>4677.1199999991804</v>
          </cell>
          <cell r="BA29">
            <v>8203668.4800000004</v>
          </cell>
          <cell r="BB29">
            <v>3069.3600000012666</v>
          </cell>
          <cell r="BD29">
            <v>12155834.880000001</v>
          </cell>
          <cell r="BE29">
            <v>5992.5600000023842</v>
          </cell>
          <cell r="BK29">
            <v>49842700</v>
          </cell>
          <cell r="BL29">
            <v>0</v>
          </cell>
          <cell r="BN29">
            <v>54399300</v>
          </cell>
          <cell r="BO29">
            <v>0</v>
          </cell>
          <cell r="BQ29">
            <v>48047200</v>
          </cell>
          <cell r="BR29">
            <v>0</v>
          </cell>
          <cell r="BT29">
            <v>4185350</v>
          </cell>
          <cell r="BU29">
            <v>4360</v>
          </cell>
          <cell r="BW29">
            <v>0.63</v>
          </cell>
          <cell r="BX29">
            <v>-7.999999999999996E-2</v>
          </cell>
          <cell r="BZ29">
            <v>45439</v>
          </cell>
          <cell r="CA29">
            <v>24</v>
          </cell>
          <cell r="CB29">
            <v>40136</v>
          </cell>
          <cell r="CC29">
            <v>14</v>
          </cell>
          <cell r="CD29">
            <v>13474</v>
          </cell>
          <cell r="CE29">
            <v>5</v>
          </cell>
          <cell r="CF29">
            <v>17064</v>
          </cell>
          <cell r="CG29">
            <v>9</v>
          </cell>
          <cell r="CH29">
            <v>19416</v>
          </cell>
          <cell r="CI29">
            <v>7</v>
          </cell>
          <cell r="CJ29">
            <v>41444</v>
          </cell>
          <cell r="CK29">
            <v>31</v>
          </cell>
          <cell r="CL29">
            <v>178341</v>
          </cell>
          <cell r="CM29">
            <v>91</v>
          </cell>
          <cell r="CO29">
            <v>130097</v>
          </cell>
          <cell r="CP29">
            <v>97</v>
          </cell>
          <cell r="CR29">
            <v>250359</v>
          </cell>
          <cell r="CS29">
            <v>245</v>
          </cell>
          <cell r="CU29">
            <v>479180</v>
          </cell>
          <cell r="CV29">
            <v>162</v>
          </cell>
          <cell r="CX29">
            <v>347</v>
          </cell>
          <cell r="CY29">
            <v>0</v>
          </cell>
          <cell r="CZ29">
            <v>1330</v>
          </cell>
          <cell r="DA29">
            <v>0</v>
          </cell>
          <cell r="DB29">
            <v>19227</v>
          </cell>
          <cell r="DC29">
            <v>17</v>
          </cell>
          <cell r="DD29">
            <v>19760</v>
          </cell>
          <cell r="DE29">
            <v>16</v>
          </cell>
          <cell r="DF29">
            <v>13847</v>
          </cell>
          <cell r="DG29">
            <v>12</v>
          </cell>
          <cell r="DH29">
            <v>17443</v>
          </cell>
          <cell r="DI29">
            <v>8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1158</v>
          </cell>
          <cell r="DO29">
            <v>15</v>
          </cell>
          <cell r="DP29">
            <v>1233</v>
          </cell>
          <cell r="DQ29">
            <v>4</v>
          </cell>
          <cell r="DR29">
            <v>17292</v>
          </cell>
          <cell r="DS29">
            <v>9</v>
          </cell>
          <cell r="DU29">
            <v>2804170</v>
          </cell>
          <cell r="DV29">
            <v>1565</v>
          </cell>
          <cell r="DW29">
            <v>4700</v>
          </cell>
          <cell r="DX29">
            <v>5</v>
          </cell>
          <cell r="DY29">
            <v>1854955</v>
          </cell>
          <cell r="DZ29">
            <v>1043</v>
          </cell>
          <cell r="EA29">
            <v>252676</v>
          </cell>
          <cell r="EB29">
            <v>4</v>
          </cell>
          <cell r="EC29">
            <v>468192</v>
          </cell>
          <cell r="ED29">
            <v>598</v>
          </cell>
          <cell r="EG29">
            <v>92089</v>
          </cell>
          <cell r="EH29">
            <v>149</v>
          </cell>
          <cell r="EJ29">
            <v>6854700</v>
          </cell>
          <cell r="EK29">
            <v>2700</v>
          </cell>
          <cell r="EL29">
            <v>606680</v>
          </cell>
          <cell r="EM29">
            <v>240</v>
          </cell>
          <cell r="EN29">
            <v>4656100</v>
          </cell>
          <cell r="EO29">
            <v>1600</v>
          </cell>
          <cell r="EP29">
            <v>1989100</v>
          </cell>
          <cell r="EQ29">
            <v>0</v>
          </cell>
          <cell r="ER29">
            <v>682730</v>
          </cell>
          <cell r="ES29">
            <v>140</v>
          </cell>
          <cell r="ET29">
            <v>10745600</v>
          </cell>
          <cell r="EU29">
            <v>1700</v>
          </cell>
          <cell r="EW29">
            <v>28447</v>
          </cell>
          <cell r="EX29">
            <v>18</v>
          </cell>
          <cell r="EY29">
            <v>24864</v>
          </cell>
          <cell r="EZ29">
            <v>14</v>
          </cell>
          <cell r="FA29">
            <v>0</v>
          </cell>
          <cell r="FB29">
            <v>0</v>
          </cell>
          <cell r="FC29">
            <v>45194</v>
          </cell>
          <cell r="FD29">
            <v>32</v>
          </cell>
          <cell r="FE29">
            <v>21670</v>
          </cell>
          <cell r="FF29">
            <v>30</v>
          </cell>
        </row>
        <row r="30">
          <cell r="B30">
            <v>0.96</v>
          </cell>
          <cell r="E30">
            <v>541788</v>
          </cell>
          <cell r="F30">
            <v>667</v>
          </cell>
          <cell r="G30">
            <v>473</v>
          </cell>
          <cell r="H30">
            <v>709030</v>
          </cell>
          <cell r="I30">
            <v>565</v>
          </cell>
          <cell r="J30">
            <v>402</v>
          </cell>
          <cell r="K30">
            <v>28119</v>
          </cell>
          <cell r="L30">
            <v>124</v>
          </cell>
          <cell r="N30">
            <v>618719</v>
          </cell>
          <cell r="O30">
            <v>162</v>
          </cell>
          <cell r="Q30">
            <v>156876</v>
          </cell>
          <cell r="R30">
            <v>0</v>
          </cell>
          <cell r="S30">
            <v>97082</v>
          </cell>
          <cell r="T30">
            <v>89</v>
          </cell>
          <cell r="U30">
            <v>68</v>
          </cell>
          <cell r="V30">
            <v>7537</v>
          </cell>
          <cell r="W30">
            <v>17</v>
          </cell>
          <cell r="AC30">
            <v>5565480.4799999995</v>
          </cell>
          <cell r="AD30">
            <v>2094.9599999990314</v>
          </cell>
          <cell r="AF30">
            <v>10886045.52</v>
          </cell>
          <cell r="AG30">
            <v>4823.2799999993294</v>
          </cell>
          <cell r="AI30">
            <v>9881244.2400000002</v>
          </cell>
          <cell r="AJ30">
            <v>10474.800000000745</v>
          </cell>
          <cell r="AL30">
            <v>13247893.68</v>
          </cell>
          <cell r="AM30">
            <v>48.720000000670552</v>
          </cell>
          <cell r="AO30">
            <v>13245652.559999999</v>
          </cell>
          <cell r="AP30">
            <v>779.51999999769032</v>
          </cell>
          <cell r="AR30">
            <v>12240900</v>
          </cell>
          <cell r="AS30">
            <v>5943.839999999851</v>
          </cell>
          <cell r="AU30">
            <v>10618426.559999999</v>
          </cell>
          <cell r="AV30">
            <v>4092.4799999985844</v>
          </cell>
          <cell r="AX30">
            <v>10299066.959999999</v>
          </cell>
          <cell r="AY30">
            <v>5018.160000000149</v>
          </cell>
          <cell r="BA30">
            <v>8206981.4400000004</v>
          </cell>
          <cell r="BB30">
            <v>3312.9599999999627</v>
          </cell>
          <cell r="BD30">
            <v>12161583.84</v>
          </cell>
          <cell r="BE30">
            <v>5748.9599999990314</v>
          </cell>
          <cell r="BK30">
            <v>49882900</v>
          </cell>
          <cell r="BL30">
            <v>40200</v>
          </cell>
          <cell r="BN30">
            <v>54399300</v>
          </cell>
          <cell r="BO30">
            <v>0</v>
          </cell>
          <cell r="BQ30">
            <v>48047200</v>
          </cell>
          <cell r="BR30">
            <v>0</v>
          </cell>
          <cell r="BT30">
            <v>4190710</v>
          </cell>
          <cell r="BU30">
            <v>5360</v>
          </cell>
          <cell r="BW30">
            <v>0.56000000000000005</v>
          </cell>
          <cell r="BX30">
            <v>-6.9999999999999951E-2</v>
          </cell>
          <cell r="BZ30"/>
          <cell r="CA30">
            <v>-45439</v>
          </cell>
          <cell r="CB30"/>
          <cell r="CC30">
            <v>-40136</v>
          </cell>
          <cell r="CD30"/>
          <cell r="CE30">
            <v>-13474</v>
          </cell>
          <cell r="CF30"/>
          <cell r="CG30">
            <v>-17064</v>
          </cell>
          <cell r="CH30"/>
          <cell r="CI30">
            <v>-19416</v>
          </cell>
          <cell r="CJ30"/>
          <cell r="CK30">
            <v>-41444</v>
          </cell>
          <cell r="CL30">
            <v>178434</v>
          </cell>
          <cell r="CM30">
            <v>93</v>
          </cell>
          <cell r="CO30">
            <v>130195</v>
          </cell>
          <cell r="CP30">
            <v>98</v>
          </cell>
          <cell r="CR30">
            <v>250609</v>
          </cell>
          <cell r="CS30">
            <v>250</v>
          </cell>
          <cell r="CU30">
            <v>479345</v>
          </cell>
          <cell r="CV30">
            <v>165</v>
          </cell>
          <cell r="CX30">
            <v>347</v>
          </cell>
          <cell r="CY30">
            <v>0</v>
          </cell>
          <cell r="CZ30">
            <v>1330</v>
          </cell>
          <cell r="DA30">
            <v>0</v>
          </cell>
          <cell r="DB30">
            <v>19246</v>
          </cell>
          <cell r="DC30">
            <v>19</v>
          </cell>
          <cell r="DD30">
            <v>19778</v>
          </cell>
          <cell r="DE30">
            <v>18</v>
          </cell>
          <cell r="DF30">
            <v>13858</v>
          </cell>
          <cell r="DG30">
            <v>11</v>
          </cell>
          <cell r="DH30">
            <v>17452</v>
          </cell>
          <cell r="DI30">
            <v>9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1166</v>
          </cell>
          <cell r="DO30">
            <v>8</v>
          </cell>
          <cell r="DP30">
            <v>1236</v>
          </cell>
          <cell r="DQ30">
            <v>3</v>
          </cell>
          <cell r="DR30">
            <v>17302</v>
          </cell>
          <cell r="DS30">
            <v>10</v>
          </cell>
          <cell r="DU30">
            <v>2805781</v>
          </cell>
          <cell r="DV30">
            <v>1611</v>
          </cell>
          <cell r="DW30">
            <v>4705</v>
          </cell>
          <cell r="DX30">
            <v>5</v>
          </cell>
          <cell r="DY30">
            <v>1856051</v>
          </cell>
          <cell r="DZ30">
            <v>1096</v>
          </cell>
          <cell r="EA30">
            <v>252681</v>
          </cell>
          <cell r="EB30">
            <v>5</v>
          </cell>
          <cell r="EC30">
            <v>468805</v>
          </cell>
          <cell r="ED30">
            <v>613</v>
          </cell>
          <cell r="EG30">
            <v>92242</v>
          </cell>
          <cell r="EH30">
            <v>153</v>
          </cell>
          <cell r="EJ30"/>
          <cell r="EK30">
            <v>-6854700</v>
          </cell>
          <cell r="EL30"/>
          <cell r="EM30">
            <v>-606680</v>
          </cell>
          <cell r="EN30"/>
          <cell r="EO30">
            <v>-4656100</v>
          </cell>
          <cell r="EP30"/>
          <cell r="EQ30">
            <v>-1989100</v>
          </cell>
          <cell r="ER30"/>
          <cell r="ES30">
            <v>-682730</v>
          </cell>
          <cell r="ET30"/>
          <cell r="EU30">
            <v>-10745600</v>
          </cell>
          <cell r="EW30">
            <v>28463</v>
          </cell>
          <cell r="EX30">
            <v>16</v>
          </cell>
          <cell r="EY30">
            <v>24879</v>
          </cell>
          <cell r="EZ30">
            <v>15</v>
          </cell>
          <cell r="FA30">
            <v>0</v>
          </cell>
          <cell r="FB30">
            <v>0</v>
          </cell>
          <cell r="FC30">
            <v>45227</v>
          </cell>
          <cell r="FD30">
            <v>33</v>
          </cell>
          <cell r="FE30">
            <v>21700</v>
          </cell>
          <cell r="FF30">
            <v>30</v>
          </cell>
        </row>
        <row r="31">
          <cell r="B31"/>
          <cell r="E31"/>
          <cell r="F31">
            <v>-541788</v>
          </cell>
          <cell r="G31">
            <v>508</v>
          </cell>
          <cell r="H31"/>
          <cell r="I31">
            <v>-709030</v>
          </cell>
          <cell r="J31">
            <v>445</v>
          </cell>
          <cell r="K31"/>
          <cell r="L31">
            <v>-28119</v>
          </cell>
          <cell r="N31"/>
          <cell r="O31">
            <v>-618719</v>
          </cell>
          <cell r="Q31"/>
          <cell r="R31">
            <v>-156876</v>
          </cell>
          <cell r="S31"/>
          <cell r="T31">
            <v>-97082</v>
          </cell>
          <cell r="U31">
            <v>61</v>
          </cell>
          <cell r="V31"/>
          <cell r="W31">
            <v>-7537</v>
          </cell>
          <cell r="AC31"/>
          <cell r="AD31">
            <v>-5565480.4799999995</v>
          </cell>
          <cell r="AF31"/>
          <cell r="AG31">
            <v>-10886045.52</v>
          </cell>
          <cell r="AI31"/>
          <cell r="AJ31">
            <v>-9881244.2400000002</v>
          </cell>
          <cell r="AL31"/>
          <cell r="AM31">
            <v>-13247893.68</v>
          </cell>
          <cell r="AO31"/>
          <cell r="AP31">
            <v>-13245652.559999999</v>
          </cell>
          <cell r="AR31"/>
          <cell r="AS31">
            <v>-12240900</v>
          </cell>
          <cell r="AU31"/>
          <cell r="AV31">
            <v>-10618426.559999999</v>
          </cell>
          <cell r="AX31"/>
          <cell r="AY31">
            <v>-10299066.959999999</v>
          </cell>
          <cell r="BA31"/>
          <cell r="BB31">
            <v>-8206981.4400000004</v>
          </cell>
          <cell r="BD31"/>
          <cell r="BE31">
            <v>-12161583.84</v>
          </cell>
          <cell r="BK31"/>
          <cell r="BL31">
            <v>-49882900</v>
          </cell>
          <cell r="BN31"/>
          <cell r="BO31">
            <v>-54399300</v>
          </cell>
          <cell r="BQ31"/>
          <cell r="BR31">
            <v>-48047200</v>
          </cell>
          <cell r="BT31"/>
          <cell r="BU31">
            <v>-4190710</v>
          </cell>
          <cell r="BW31"/>
          <cell r="BX31">
            <v>-0.56000000000000005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-178434</v>
          </cell>
          <cell r="CO31"/>
          <cell r="CP31">
            <v>-130195</v>
          </cell>
          <cell r="CR31"/>
          <cell r="CS31">
            <v>-250609</v>
          </cell>
          <cell r="CU31"/>
          <cell r="CV31">
            <v>-479345</v>
          </cell>
          <cell r="CX31"/>
          <cell r="CY31">
            <v>-347</v>
          </cell>
          <cell r="CZ31"/>
          <cell r="DA31">
            <v>-1330</v>
          </cell>
          <cell r="DB31"/>
          <cell r="DC31">
            <v>-19246</v>
          </cell>
          <cell r="DD31"/>
          <cell r="DE31">
            <v>-19778</v>
          </cell>
          <cell r="DF31"/>
          <cell r="DG31">
            <v>-13858</v>
          </cell>
          <cell r="DH31"/>
          <cell r="DI31">
            <v>-17452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/>
          <cell r="DO31">
            <v>-1166</v>
          </cell>
          <cell r="DP31"/>
          <cell r="DQ31">
            <v>-1236</v>
          </cell>
          <cell r="DR31"/>
          <cell r="DS31">
            <v>-17302</v>
          </cell>
          <cell r="DU31"/>
          <cell r="DV31">
            <v>-2805781</v>
          </cell>
          <cell r="DW31"/>
          <cell r="DX31">
            <v>-4705</v>
          </cell>
          <cell r="DY31"/>
          <cell r="DZ31">
            <v>-1856051</v>
          </cell>
          <cell r="EA31"/>
          <cell r="EB31">
            <v>-252681</v>
          </cell>
          <cell r="EC31"/>
          <cell r="ED31">
            <v>-468805</v>
          </cell>
          <cell r="EG31"/>
          <cell r="EH31">
            <v>-92242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-28463</v>
          </cell>
          <cell r="EY31"/>
          <cell r="EZ31">
            <v>-24879</v>
          </cell>
          <cell r="FA31">
            <v>0</v>
          </cell>
          <cell r="FB31">
            <v>0</v>
          </cell>
          <cell r="FC31"/>
          <cell r="FD31">
            <v>-45227</v>
          </cell>
          <cell r="FE31"/>
          <cell r="FF31">
            <v>-21700</v>
          </cell>
        </row>
        <row r="32">
          <cell r="B32"/>
          <cell r="E32"/>
          <cell r="F32">
            <v>0</v>
          </cell>
          <cell r="G32">
            <v>495</v>
          </cell>
          <cell r="H32"/>
          <cell r="I32">
            <v>0</v>
          </cell>
          <cell r="J32">
            <v>412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97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458</v>
          </cell>
          <cell r="H33"/>
          <cell r="I33">
            <v>0</v>
          </cell>
          <cell r="J33">
            <v>369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85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488</v>
          </cell>
          <cell r="H34"/>
          <cell r="I34">
            <v>0</v>
          </cell>
          <cell r="J34">
            <v>402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66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462</v>
          </cell>
          <cell r="H35"/>
          <cell r="I35">
            <v>0</v>
          </cell>
          <cell r="J35">
            <v>375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80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467</v>
          </cell>
          <cell r="H36"/>
          <cell r="I36">
            <v>0</v>
          </cell>
          <cell r="J36">
            <v>395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80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502</v>
          </cell>
          <cell r="H37"/>
          <cell r="I37">
            <v>0</v>
          </cell>
          <cell r="J37">
            <v>414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77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/>
          <cell r="H38"/>
          <cell r="I38">
            <v>0</v>
          </cell>
          <cell r="J38">
            <v>0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/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S27" sqref="S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2020</v>
      </c>
      <c r="E2" s="3">
        <f>Submetering!M2+Submetering!N2+Submetering!O2+Submetering!P2+Submetering!Q2+Submetering!R2+Submetering!S2+Submetering!T2+Submetering!U2+Submetering!V2</f>
        <v>34542.479999994859</v>
      </c>
      <c r="F2">
        <v>0.44447999999999999</v>
      </c>
      <c r="G2" s="3">
        <f>Submetering!Z2+Submetering!AA2+Submetering!AB2</f>
        <v>1160.46</v>
      </c>
      <c r="H2" s="238">
        <f>1.63/0.52</f>
        <v>3.1346153846153841</v>
      </c>
      <c r="I2" s="3">
        <f>Submetering!G2</f>
        <v>482</v>
      </c>
      <c r="J2">
        <v>13.83</v>
      </c>
      <c r="K2" s="3">
        <f>Submetering!I2</f>
        <v>147</v>
      </c>
      <c r="L2">
        <v>1.2</v>
      </c>
      <c r="M2" s="238">
        <f>Submetering!E2</f>
        <v>173.01</v>
      </c>
      <c r="N2">
        <f>Submetering!F2</f>
        <v>347</v>
      </c>
    </row>
    <row r="3" spans="1:14" x14ac:dyDescent="0.25">
      <c r="A3" t="s">
        <v>59</v>
      </c>
      <c r="B3">
        <f>B2+1</f>
        <v>2</v>
      </c>
      <c r="C3">
        <v>2</v>
      </c>
      <c r="D3">
        <v>2020</v>
      </c>
      <c r="E3" s="3">
        <f>Submetering!M3+Submetering!N3+Submetering!O3+Submetering!P3+Submetering!Q3+Submetering!R3+Submetering!S3+Submetering!T3+Submetering!U3+Submetering!V3</f>
        <v>37270.800000005402</v>
      </c>
      <c r="F3">
        <v>0.44447999999999999</v>
      </c>
      <c r="G3" s="3">
        <f>Submetering!Z3+Submetering!AA3+Submetering!AB3</f>
        <v>1096.2</v>
      </c>
      <c r="H3" s="238">
        <f t="shared" ref="H3:H30" si="0">1.63/0.52</f>
        <v>3.1346153846153841</v>
      </c>
      <c r="I3" s="3">
        <f>Submetering!G3</f>
        <v>475</v>
      </c>
      <c r="J3">
        <v>13.83</v>
      </c>
      <c r="K3" s="3">
        <f>Submetering!I3</f>
        <v>150</v>
      </c>
      <c r="L3">
        <v>1.2</v>
      </c>
      <c r="M3" s="238">
        <f>Submetering!E3</f>
        <v>161.16000000000003</v>
      </c>
      <c r="N3">
        <f>Submetering!F3</f>
        <v>316</v>
      </c>
    </row>
    <row r="4" spans="1:14" x14ac:dyDescent="0.25">
      <c r="A4" t="s">
        <v>59</v>
      </c>
      <c r="B4">
        <f t="shared" ref="B4:B30" si="1">B3+1</f>
        <v>3</v>
      </c>
      <c r="C4">
        <v>2</v>
      </c>
      <c r="D4">
        <v>2020</v>
      </c>
      <c r="E4" s="3">
        <f>Submetering!M4+Submetering!N4+Submetering!O4+Submetering!P4+Submetering!Q4+Submetering!R4+Submetering!S4+Submetering!T4+Submetering!U4+Submetering!V4</f>
        <v>36052.79999999702</v>
      </c>
      <c r="F4">
        <v>0.44447999999999999</v>
      </c>
      <c r="G4" s="3">
        <f>Submetering!Z4+Submetering!AA4+Submetering!AB4</f>
        <v>1137.78</v>
      </c>
      <c r="H4" s="238">
        <f t="shared" si="0"/>
        <v>3.1346153846153841</v>
      </c>
      <c r="I4" s="3">
        <f>Submetering!G4</f>
        <v>601</v>
      </c>
      <c r="J4">
        <v>13.83</v>
      </c>
      <c r="K4" s="3">
        <f>Submetering!I4</f>
        <v>143</v>
      </c>
      <c r="L4">
        <v>1.2</v>
      </c>
      <c r="M4" s="238">
        <f>Submetering!E4</f>
        <v>165.89999999999998</v>
      </c>
      <c r="N4">
        <f>Submetering!F4</f>
        <v>314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2020</v>
      </c>
      <c r="E5" s="3">
        <f>Submetering!M5+Submetering!N5+Submetering!O5+Submetering!P5+Submetering!Q5+Submetering!R5+Submetering!S5+Submetering!T5+Submetering!U5+Submetering!V5</f>
        <v>36832.319999997504</v>
      </c>
      <c r="F5">
        <v>0.44447999999999999</v>
      </c>
      <c r="G5" s="3">
        <f>Submetering!Z5+Submetering!AA5+Submetering!AB5</f>
        <v>1130.2199999999998</v>
      </c>
      <c r="H5" s="238">
        <f t="shared" si="0"/>
        <v>3.1346153846153841</v>
      </c>
      <c r="I5" s="3">
        <f>Submetering!G5</f>
        <v>470</v>
      </c>
      <c r="J5">
        <v>13.83</v>
      </c>
      <c r="K5" s="3">
        <f>Submetering!I5</f>
        <v>155</v>
      </c>
      <c r="L5">
        <v>1.2</v>
      </c>
      <c r="M5" s="238">
        <f>Submetering!E5</f>
        <v>203.82</v>
      </c>
      <c r="N5">
        <f>Submetering!F5</f>
        <v>331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2020</v>
      </c>
      <c r="E6" s="3">
        <f>Submetering!M6+Submetering!N6+Submetering!O6+Submetering!P6+Submetering!Q6+Submetering!R6+Submetering!S6+Submetering!T6+Submetering!U6+Submetering!V6</f>
        <v>37758.000000006519</v>
      </c>
      <c r="F6">
        <v>0.44447999999999999</v>
      </c>
      <c r="G6" s="3">
        <f>Submetering!Z6+Submetering!AA6+Submetering!AB6</f>
        <v>954.44999999999993</v>
      </c>
      <c r="H6" s="238">
        <f t="shared" si="0"/>
        <v>3.1346153846153841</v>
      </c>
      <c r="I6" s="3">
        <f>Submetering!G6</f>
        <v>503</v>
      </c>
      <c r="J6">
        <v>13.83</v>
      </c>
      <c r="K6" s="3">
        <f>Submetering!I6</f>
        <v>143</v>
      </c>
      <c r="L6">
        <v>1.2</v>
      </c>
      <c r="M6" s="238">
        <f>Submetering!E6</f>
        <v>199.07999999999998</v>
      </c>
      <c r="N6">
        <f>Submetering!F6</f>
        <v>321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2020</v>
      </c>
      <c r="E7" s="3">
        <f>Submetering!M7+Submetering!N7+Submetering!O7+Submetering!P7+Submetering!Q7+Submetering!R7+Submetering!S7+Submetering!T7+Submetering!U7+Submetering!V7</f>
        <v>39463.199999997392</v>
      </c>
      <c r="F7">
        <v>0.44447999999999999</v>
      </c>
      <c r="G7" s="3">
        <f>Submetering!Z7+Submetering!AA7+Submetering!AB7</f>
        <v>795.69</v>
      </c>
      <c r="H7" s="238">
        <f t="shared" si="0"/>
        <v>3.1346153846153841</v>
      </c>
      <c r="I7" s="3">
        <f>Submetering!G7</f>
        <v>541</v>
      </c>
      <c r="J7">
        <v>13.83</v>
      </c>
      <c r="K7" s="3">
        <f>Submetering!I7</f>
        <v>155</v>
      </c>
      <c r="L7">
        <v>1.2</v>
      </c>
      <c r="M7" s="238">
        <f>Submetering!E7</f>
        <v>218.04000000000002</v>
      </c>
      <c r="N7">
        <f>Submetering!F7</f>
        <v>381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2020</v>
      </c>
      <c r="E8" s="275">
        <f>Submetering!M8+Submetering!N8+Submetering!O8+Submetering!P8+Submetering!Q8+Submetering!R8+Submetering!S8+Submetering!T8+Submetering!U8+Submetering!V8</f>
        <v>38683.679999997839</v>
      </c>
      <c r="F8" s="276">
        <v>0.44447999999999999</v>
      </c>
      <c r="G8" s="275">
        <f>Submetering!Z8+Submetering!AA8+Submetering!AB8</f>
        <v>771.11999999999989</v>
      </c>
      <c r="H8" s="238">
        <f t="shared" si="0"/>
        <v>3.1346153846153841</v>
      </c>
      <c r="I8" s="275">
        <f>Submetering!G8</f>
        <v>589</v>
      </c>
      <c r="J8" s="276">
        <v>13.83</v>
      </c>
      <c r="K8" s="275">
        <f>Submetering!I8</f>
        <v>164</v>
      </c>
      <c r="L8" s="276">
        <v>1.2</v>
      </c>
      <c r="M8" s="277">
        <f>Submetering!E8</f>
        <v>194.33999999999997</v>
      </c>
      <c r="N8">
        <f>Submetering!F8</f>
        <v>386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2020</v>
      </c>
      <c r="E9" s="3">
        <f>Submetering!M9+Submetering!N9+Submetering!O9+Submetering!P9+Submetering!Q9+Submetering!R9+Submetering!S9+Submetering!T9+Submetering!U9+Submetering!V9</f>
        <v>38537.520000002347</v>
      </c>
      <c r="F9">
        <v>0.44447999999999999</v>
      </c>
      <c r="G9" s="3">
        <f>Submetering!Z9+Submetering!AA9+Submetering!AB9</f>
        <v>748.44</v>
      </c>
      <c r="H9" s="238">
        <f t="shared" si="0"/>
        <v>3.1346153846153841</v>
      </c>
      <c r="I9" s="3">
        <f>Submetering!G9</f>
        <v>529</v>
      </c>
      <c r="J9">
        <v>13.83</v>
      </c>
      <c r="K9" s="3">
        <f>Submetering!I9</f>
        <v>145</v>
      </c>
      <c r="L9">
        <v>1.2</v>
      </c>
      <c r="M9" s="238">
        <f>Submetering!E9</f>
        <v>177.75</v>
      </c>
      <c r="N9">
        <f>Submetering!F9</f>
        <v>334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2020</v>
      </c>
      <c r="E10" s="3">
        <f>Submetering!M10+Submetering!N10+Submetering!O10+Submetering!P10+Submetering!Q10+Submetering!R10+Submetering!S10+Submetering!T10+Submetering!U10+Submetering!V10</f>
        <v>38537.51999999769</v>
      </c>
      <c r="F10">
        <v>0.44447999999999999</v>
      </c>
      <c r="G10" s="3">
        <f>Submetering!Z10+Submetering!AA10+Submetering!AB10</f>
        <v>754.1099999999999</v>
      </c>
      <c r="H10" s="238">
        <f t="shared" si="0"/>
        <v>3.1346153846153841</v>
      </c>
      <c r="I10" s="3">
        <f>Submetering!G10</f>
        <v>521</v>
      </c>
      <c r="J10">
        <v>13.83</v>
      </c>
      <c r="K10" s="3">
        <f>Submetering!I10</f>
        <v>150</v>
      </c>
      <c r="L10">
        <v>1.2</v>
      </c>
      <c r="M10" s="238">
        <f>Submetering!E10</f>
        <v>182.49</v>
      </c>
      <c r="N10">
        <f>Submetering!F10</f>
        <v>320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2020</v>
      </c>
      <c r="E11" s="3">
        <f>Submetering!M11+Submetering!N11+Submetering!O11+Submetering!P11+Submetering!Q11+Submetering!R11+Submetering!S11+Submetering!T11+Submetering!U11+Submetering!V11</f>
        <v>39706.800000002608</v>
      </c>
      <c r="F11">
        <v>0.44447999999999999</v>
      </c>
      <c r="G11" s="3">
        <f>Submetering!Z11+Submetering!AA11+Submetering!AB11</f>
        <v>818.36999999999989</v>
      </c>
      <c r="H11" s="238">
        <f t="shared" si="0"/>
        <v>3.1346153846153841</v>
      </c>
      <c r="I11" s="3">
        <f>Submetering!G11</f>
        <v>504</v>
      </c>
      <c r="J11">
        <v>13.83</v>
      </c>
      <c r="K11" s="3">
        <f>Submetering!I11</f>
        <v>158</v>
      </c>
      <c r="L11">
        <v>1.2</v>
      </c>
      <c r="M11" s="238">
        <f>Submetering!E11</f>
        <v>187.23000000000002</v>
      </c>
      <c r="N11">
        <f>Submetering!F11</f>
        <v>353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2020</v>
      </c>
      <c r="E12" s="3">
        <f>Submetering!M12+Submetering!N12+Submetering!O12+Submetering!P12+Submetering!Q12+Submetering!R12+Submetering!S12+Submetering!T12+Submetering!U12+Submetering!V12</f>
        <v>37416.9599999981</v>
      </c>
      <c r="F12">
        <v>0.44447999999999999</v>
      </c>
      <c r="G12" s="3">
        <f>Submetering!Z12+Submetering!AA12+Submetering!AB12</f>
        <v>892.07999999999993</v>
      </c>
      <c r="H12" s="238">
        <f t="shared" si="0"/>
        <v>3.1346153846153841</v>
      </c>
      <c r="I12" s="3">
        <f>Submetering!G12</f>
        <v>547</v>
      </c>
      <c r="J12">
        <v>13.83</v>
      </c>
      <c r="K12" s="3">
        <f>Submetering!I12</f>
        <v>173</v>
      </c>
      <c r="L12">
        <v>1.2</v>
      </c>
      <c r="M12" s="238">
        <f>Submetering!E12</f>
        <v>180.12</v>
      </c>
      <c r="N12">
        <f>Submetering!F12</f>
        <v>324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2020</v>
      </c>
      <c r="E13" s="3">
        <f>Submetering!M13+Submetering!N13+Submetering!O13+Submetering!P13+Submetering!Q13+Submetering!R13+Submetering!S13+Submetering!T13+Submetering!U13+Submetering!V13</f>
        <v>32983.439999998547</v>
      </c>
      <c r="F13">
        <v>0.44447999999999999</v>
      </c>
      <c r="G13" s="3">
        <f>Submetering!Z13+Submetering!AA13+Submetering!AB13</f>
        <v>816.48</v>
      </c>
      <c r="H13" s="238">
        <f t="shared" si="0"/>
        <v>3.1346153846153841</v>
      </c>
      <c r="I13" s="3">
        <f>Submetering!G13</f>
        <v>478</v>
      </c>
      <c r="J13">
        <v>13.83</v>
      </c>
      <c r="K13" s="3">
        <f>Submetering!I13</f>
        <v>136</v>
      </c>
      <c r="L13">
        <v>1.2</v>
      </c>
      <c r="M13" s="238">
        <f>Submetering!E13</f>
        <v>184.86</v>
      </c>
      <c r="N13">
        <f>Submetering!F13</f>
        <v>378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2020</v>
      </c>
      <c r="E14" s="3">
        <f>Submetering!M14+Submetering!N14+Submetering!O14+Submetering!P14+Submetering!Q14+Submetering!R14+Submetering!S14+Submetering!T14+Submetering!U14+Submetering!V14</f>
        <v>35516.880000002682</v>
      </c>
      <c r="F14">
        <v>0.44447999999999999</v>
      </c>
      <c r="G14" s="3">
        <f>Submetering!Z14+Submetering!AA14+Submetering!AB14</f>
        <v>1135.8899999999999</v>
      </c>
      <c r="H14" s="238">
        <f t="shared" si="0"/>
        <v>3.1346153846153841</v>
      </c>
      <c r="I14" s="3">
        <f>Submetering!G14</f>
        <v>513</v>
      </c>
      <c r="J14">
        <v>13.83</v>
      </c>
      <c r="K14" s="3">
        <f>Submetering!I14</f>
        <v>123</v>
      </c>
      <c r="L14">
        <v>1.2</v>
      </c>
      <c r="M14" s="238">
        <f>Submetering!E14</f>
        <v>213.3</v>
      </c>
      <c r="N14">
        <f>Submetering!F14</f>
        <v>443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2020</v>
      </c>
      <c r="E15" s="3">
        <f>Submetering!M15+Submetering!N15+Submetering!O15+Submetering!P15+Submetering!Q15+Submetering!R15+Submetering!S15+Submetering!T15+Submetering!U15+Submetering!V15</f>
        <v>37855.439999998547</v>
      </c>
      <c r="F15">
        <v>0.44447999999999999</v>
      </c>
      <c r="G15" s="3">
        <f>Submetering!Z15+Submetering!AA15+Submetering!AB15</f>
        <v>1037.6099999999999</v>
      </c>
      <c r="H15" s="238">
        <f t="shared" si="0"/>
        <v>3.1346153846153841</v>
      </c>
      <c r="I15" s="3">
        <f>Submetering!G15</f>
        <v>556</v>
      </c>
      <c r="J15">
        <v>13.83</v>
      </c>
      <c r="K15" s="3">
        <f>Submetering!I15</f>
        <v>156</v>
      </c>
      <c r="L15">
        <v>1.2</v>
      </c>
      <c r="M15" s="238">
        <f>Submetering!E15</f>
        <v>218.04000000000002</v>
      </c>
      <c r="N15">
        <f>Submetering!F15</f>
        <v>461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2020</v>
      </c>
      <c r="E16" s="3">
        <f>Submetering!M16+Submetering!N16+Submetering!O16+Submetering!P16+Submetering!Q16+Submetering!R16+Submetering!S16+Submetering!T16+Submetering!U16+Submetering!V16</f>
        <v>37173.359999998473</v>
      </c>
      <c r="F16">
        <v>0.44447999999999999</v>
      </c>
      <c r="G16" s="3">
        <f>Submetering!Z16+Submetering!AA16+Submetering!AB16</f>
        <v>808.92</v>
      </c>
      <c r="H16" s="238">
        <f t="shared" si="0"/>
        <v>3.1346153846153841</v>
      </c>
      <c r="I16" s="3">
        <f>Submetering!G16</f>
        <v>553</v>
      </c>
      <c r="J16">
        <v>13.83</v>
      </c>
      <c r="K16" s="3">
        <f>Submetering!I16</f>
        <v>140</v>
      </c>
      <c r="L16">
        <v>1.2</v>
      </c>
      <c r="M16" s="238">
        <f>Submetering!E16</f>
        <v>220.41000000000003</v>
      </c>
      <c r="N16">
        <f>Submetering!F16</f>
        <v>456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2020</v>
      </c>
      <c r="E17" s="3">
        <f>Submetering!M17+Submetering!N17+Submetering!O17+Submetering!P17+Submetering!Q17+Submetering!R17+Submetering!S17+Submetering!T17+Submetering!U17+Submetering!V17</f>
        <v>36004.080000001006</v>
      </c>
      <c r="F17">
        <v>0.44447999999999999</v>
      </c>
      <c r="G17" s="3">
        <f>Submetering!Z17+Submetering!AA17+Submetering!AB17</f>
        <v>912.87</v>
      </c>
      <c r="H17" s="238">
        <f t="shared" si="0"/>
        <v>3.1346153846153841</v>
      </c>
      <c r="I17" s="3">
        <f>Submetering!G17</f>
        <v>487</v>
      </c>
      <c r="J17">
        <v>13.83</v>
      </c>
      <c r="K17" s="3">
        <f>Submetering!I17</f>
        <v>130</v>
      </c>
      <c r="L17">
        <v>1.2</v>
      </c>
      <c r="M17" s="238">
        <f>Submetering!E17</f>
        <v>213.3</v>
      </c>
      <c r="N17">
        <f>Submetering!F17</f>
        <v>451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2020</v>
      </c>
      <c r="E18" s="3">
        <f>Submetering!M18+Submetering!N18+Submetering!O18+Submetering!P18+Submetering!Q18+Submetering!R18+Submetering!S18+Submetering!T18+Submetering!U18+Submetering!V18</f>
        <v>38391.359999998473</v>
      </c>
      <c r="F18">
        <v>0.44447999999999999</v>
      </c>
      <c r="G18" s="3">
        <f>Submetering!Z18+Submetering!AA18+Submetering!AB18</f>
        <v>839.16</v>
      </c>
      <c r="H18" s="238">
        <f t="shared" si="0"/>
        <v>3.1346153846153841</v>
      </c>
      <c r="I18" s="3">
        <f>Submetering!G18</f>
        <v>558</v>
      </c>
      <c r="J18">
        <v>13.83</v>
      </c>
      <c r="K18" s="3">
        <f>Submetering!I18</f>
        <v>142</v>
      </c>
      <c r="L18">
        <v>1.2</v>
      </c>
      <c r="M18" s="238">
        <f>Submetering!E18</f>
        <v>225.14999999999998</v>
      </c>
      <c r="N18">
        <f>Submetering!F18</f>
        <v>443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2020</v>
      </c>
      <c r="E19" s="3">
        <f>Submetering!M19+Submetering!N19+Submetering!O19+Submetering!P19+Submetering!Q19+Submetering!R19+Submetering!S19+Submetering!T19+Submetering!U19+Submetering!V19</f>
        <v>37368.239999998361</v>
      </c>
      <c r="F19">
        <v>0.44447999999999999</v>
      </c>
      <c r="G19" s="3">
        <f>Submetering!Z19+Submetering!AA19+Submetering!AB19</f>
        <v>841.05</v>
      </c>
      <c r="H19" s="238">
        <f t="shared" si="0"/>
        <v>3.1346153846153841</v>
      </c>
      <c r="I19" s="3">
        <f>Submetering!G19</f>
        <v>530</v>
      </c>
      <c r="J19">
        <v>13.83</v>
      </c>
      <c r="K19" s="3">
        <f>Submetering!I19</f>
        <v>140</v>
      </c>
      <c r="L19">
        <v>1.2</v>
      </c>
      <c r="M19" s="238">
        <f>Submetering!E19</f>
        <v>227.51999999999998</v>
      </c>
      <c r="N19">
        <f>Submetering!F19</f>
        <v>439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2020</v>
      </c>
      <c r="E20" s="3">
        <f>Submetering!M20+Submetering!N20+Submetering!O20+Submetering!P20+Submetering!Q20+Submetering!R20+Submetering!S20+Submetering!T20+Submetering!U20+Submetering!V20</f>
        <v>38440.080000001937</v>
      </c>
      <c r="F20">
        <v>0.44447999999999999</v>
      </c>
      <c r="G20" s="3">
        <f>Submetering!Z20+Submetering!AA20+Submetering!AB20</f>
        <v>831.59999999999991</v>
      </c>
      <c r="H20" s="238">
        <f t="shared" si="0"/>
        <v>3.1346153846153841</v>
      </c>
      <c r="I20" s="3">
        <f>Submetering!G20</f>
        <v>583</v>
      </c>
      <c r="J20">
        <v>13.83</v>
      </c>
      <c r="K20" s="3">
        <f>Submetering!I20</f>
        <v>140</v>
      </c>
      <c r="L20">
        <v>1.2</v>
      </c>
      <c r="M20" s="238">
        <f>Submetering!E20</f>
        <v>232.26</v>
      </c>
      <c r="N20">
        <f>Submetering!F20</f>
        <v>437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2020</v>
      </c>
      <c r="E21" s="3">
        <f>Submetering!M21+Submetering!N21+Submetering!O21+Submetering!P21+Submetering!Q21+Submetering!R21+Submetering!S21+Submetering!T21+Submetering!U21+Submetering!V21</f>
        <v>38781.120000004768</v>
      </c>
      <c r="F21">
        <v>0.44447999999999999</v>
      </c>
      <c r="G21" s="3">
        <f>Submetering!Z21+Submetering!AA21+Submetering!AB21</f>
        <v>818.36999999999989</v>
      </c>
      <c r="H21" s="238">
        <f t="shared" si="0"/>
        <v>3.1346153846153841</v>
      </c>
      <c r="I21" s="3">
        <f>Submetering!G21</f>
        <v>549</v>
      </c>
      <c r="J21">
        <v>13.83</v>
      </c>
      <c r="K21" s="3">
        <f>Submetering!I21</f>
        <v>146</v>
      </c>
      <c r="L21">
        <v>1.2</v>
      </c>
      <c r="M21" s="238">
        <f>Submetering!E21</f>
        <v>227.51999999999998</v>
      </c>
      <c r="N21">
        <f>Submetering!F21</f>
        <v>454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2020</v>
      </c>
      <c r="E22" s="3">
        <f>Submetering!M22+Submetering!N22+Submetering!O22+Submetering!P22+Submetering!Q22+Submetering!R22+Submetering!S22+Submetering!T22+Submetering!U22+Submetering!V22</f>
        <v>42337.679999995045</v>
      </c>
      <c r="F22">
        <v>0.44447999999999999</v>
      </c>
      <c r="G22" s="3">
        <f>Submetering!Z22+Submetering!AA22+Submetering!AB22</f>
        <v>833.49</v>
      </c>
      <c r="H22" s="238">
        <f t="shared" si="0"/>
        <v>3.1346153846153841</v>
      </c>
      <c r="I22" s="3">
        <f>Submetering!G22</f>
        <v>667</v>
      </c>
      <c r="J22">
        <v>13.83</v>
      </c>
      <c r="K22" s="3">
        <f>Submetering!I22</f>
        <v>162</v>
      </c>
      <c r="L22">
        <v>1.2</v>
      </c>
      <c r="M22" s="238">
        <f>Submetering!E22</f>
        <v>222.78</v>
      </c>
      <c r="N22">
        <f>Submetering!F22</f>
        <v>485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3.1346153846153841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3.1346153846153841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3.1346153846153841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3.1346153846153841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3.1346153846153841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3.1346153846153841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3.1346153846153841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2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3.1346153846153841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</sheetData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6" sqref="G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2</v>
      </c>
      <c r="D2">
        <v>2020</v>
      </c>
      <c r="E2" s="78">
        <f>237*0.73</f>
        <v>173.01</v>
      </c>
      <c r="F2" s="79">
        <f>327+20</f>
        <v>347</v>
      </c>
      <c r="G2" s="3">
        <f>'DJB Daily Readings'!C10-'DJB Daily Readings'!C9</f>
        <v>482</v>
      </c>
      <c r="H2" s="3">
        <f>'DJB Daily Readings'!F10-'DJB Daily Readings'!F9</f>
        <v>441</v>
      </c>
      <c r="I2" s="3">
        <f>'DJB Daily Readings'!K10-'DJB Daily Readings'!K9</f>
        <v>147</v>
      </c>
      <c r="J2" s="3">
        <f>'DJB Daily Readings'!K10-'DJB Daily Readings'!K9</f>
        <v>147</v>
      </c>
      <c r="K2" s="3">
        <f>'DJB Daily Readings'!O10-'DJB Daily Readings'!O9</f>
        <v>61</v>
      </c>
      <c r="L2" s="3">
        <f>'DJB Daily Readings'!R10-'DJB Daily Readings'!R9</f>
        <v>20</v>
      </c>
      <c r="M2" s="3">
        <f>'DJB Daily Readings'!U10-'DJB Daily Readings'!U9</f>
        <v>1851.3600000003353</v>
      </c>
      <c r="N2" s="3">
        <f>'DJB Daily Readings'!X10-'DJB Daily Readings'!X9</f>
        <v>4628.4000000003725</v>
      </c>
      <c r="O2" s="3">
        <f>'DJB Daily Readings'!AA10-'DJB Daily Readings'!AA9</f>
        <v>535.91999999992549</v>
      </c>
      <c r="P2" s="3">
        <f>'DJB Daily Readings'!AD10-'DJB Daily Readings'!AD9</f>
        <v>5213.0399999972433</v>
      </c>
      <c r="Q2" s="3">
        <f>'DJB Daily Readings'!AG10-'DJB Daily Readings'!AG9</f>
        <v>243.59999999962747</v>
      </c>
      <c r="R2" s="3">
        <f>'DJB Daily Readings'!AJ10-'DJB Daily Readings'!AJ9</f>
        <v>6284.8799999989569</v>
      </c>
      <c r="S2" s="3">
        <f>'DJB Daily Readings'!AM10-'DJB Daily Readings'!AM9</f>
        <v>3605.2799999974668</v>
      </c>
      <c r="T2" s="3">
        <f>'DJB Daily Readings'!AP10-'DJB Daily Readings'!AP9</f>
        <v>4530.9600000008941</v>
      </c>
      <c r="U2" s="3">
        <f>'DJB Daily Readings'!AS10-'DJB Daily Readings'!AS9</f>
        <v>2923.2000000001863</v>
      </c>
      <c r="V2" s="3">
        <f>'DJB Daily Readings'!AV10-'DJB Daily Readings'!AV9</f>
        <v>4725.839999999851</v>
      </c>
      <c r="W2" s="3">
        <f>'DJB Daily Readings'!AZ10-'DJB Daily Readings'!AZ9</f>
        <v>100</v>
      </c>
      <c r="X2" s="3">
        <f>'DJB Daily Readings'!BC10-'DJB Daily Readings'!BC9</f>
        <v>26800</v>
      </c>
      <c r="Y2" s="3">
        <f>'DJB Daily Readings'!BF10-'DJB Daily Readings'!BF9</f>
        <v>0</v>
      </c>
      <c r="Z2" s="3">
        <f>('DJB Daily Readings'!CK10-'DJB Daily Readings'!CK9)*1.89</f>
        <v>170.1</v>
      </c>
      <c r="AA2" s="3">
        <f>('DJB Daily Readings'!CN10-'DJB Daily Readings'!CN9)*1.89</f>
        <v>177.66</v>
      </c>
      <c r="AB2" s="3">
        <f>('DJB Daily Readings'!CQ10-'DJB Daily Readings'!CQ9)*1.89</f>
        <v>812.69999999999993</v>
      </c>
      <c r="AC2" s="3">
        <f>'DJB Daily Readings'!CT10-'DJB Daily Readings'!CT9</f>
        <v>176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3</v>
      </c>
      <c r="AS2" s="82">
        <f>'DJB Daily Readings'!DM10-'DJB Daily Readings'!DM9</f>
        <v>2</v>
      </c>
      <c r="AT2" s="82">
        <f>'DJB Daily Readings'!DQ10-'DJB Daily Readings'!DQ9</f>
        <v>9</v>
      </c>
      <c r="AU2" s="82">
        <f>'DJB Daily Readings'!DT10-'DJB Daily Readings'!DT9</f>
        <v>1449</v>
      </c>
      <c r="AW2" s="82">
        <f>'DJB Daily Readings'!DX10-'DJB Daily Readings'!DX9</f>
        <v>1005</v>
      </c>
      <c r="AX2" s="82">
        <f>'DJB Daily Readings'!DZ10-'DJB Daily Readings'!DZ9</f>
        <v>4</v>
      </c>
      <c r="AY2" s="82">
        <f>'DJB Daily Readings'!EB10-'DJB Daily Readings'!EB9</f>
        <v>483</v>
      </c>
      <c r="AZ2" s="82">
        <f>'DJB Daily Readings'!ED10-'DJB Daily Readings'!ED9</f>
        <v>145</v>
      </c>
      <c r="BA2" s="82">
        <f>'DJB Daily Readings'!EG10-'DJB Daily Readings'!EG9</f>
        <v>1300</v>
      </c>
      <c r="BB2" s="82">
        <f>'DJB Daily Readings'!EI10-'DJB Daily Readings'!EI9</f>
        <v>220</v>
      </c>
      <c r="BC2" s="82">
        <f>'DJB Daily Readings'!EQ10-'DJB Daily Readings'!EQ9</f>
        <v>600</v>
      </c>
      <c r="BD2" s="82">
        <f>'DJB Daily Readings'!EK10-'DJB Daily Readings'!EK9</f>
        <v>800</v>
      </c>
      <c r="BE2" s="82">
        <f>'DJB Daily Readings'!EM10-'DJB Daily Readings'!EM9</f>
        <v>100</v>
      </c>
      <c r="BF2" s="82">
        <f>'DJB Daily Readings'!EO10-'DJB Daily Readings'!EO9</f>
        <v>110</v>
      </c>
      <c r="BG2" s="82">
        <f>('DJB Daily Readings'!ET10-'DJB Daily Readings'!ET9)*1.89</f>
        <v>32.129999999999995</v>
      </c>
      <c r="BH2" s="82">
        <f>('DJB Daily Readings'!EV10-'DJB Daily Readings'!EV9)*1.89</f>
        <v>28.349999999999998</v>
      </c>
      <c r="BI2" s="82">
        <f>('DJB Daily Readings'!EZ10-'DJB Daily Readings'!EZ9)*1.89</f>
        <v>66.149999999999991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2020</v>
      </c>
      <c r="E3" s="78">
        <f>237*0.68</f>
        <v>161.16000000000003</v>
      </c>
      <c r="F3" s="79">
        <f>292+24</f>
        <v>316</v>
      </c>
      <c r="G3" s="3">
        <f>'DJB Daily Readings'!C11-'DJB Daily Readings'!C10</f>
        <v>475</v>
      </c>
      <c r="H3" s="3">
        <f>'DJB Daily Readings'!F11-'DJB Daily Readings'!F10</f>
        <v>423</v>
      </c>
      <c r="I3" s="3">
        <f>'DJB Daily Readings'!K11-'DJB Daily Readings'!K10</f>
        <v>150</v>
      </c>
      <c r="J3" s="3">
        <f>'DJB Daily Readings'!K11-'DJB Daily Readings'!K10</f>
        <v>150</v>
      </c>
      <c r="K3" s="3">
        <f>'DJB Daily Readings'!O11-'DJB Daily Readings'!O10</f>
        <v>63</v>
      </c>
      <c r="L3" s="3">
        <f>'DJB Daily Readings'!R11-'DJB Daily Readings'!R10</f>
        <v>13</v>
      </c>
      <c r="M3" s="3">
        <f>'DJB Daily Readings'!U11-'DJB Daily Readings'!U10</f>
        <v>1997.519999999553</v>
      </c>
      <c r="N3" s="3">
        <f>'DJB Daily Readings'!X11-'DJB Daily Readings'!X10</f>
        <v>4969.4400000013411</v>
      </c>
      <c r="O3" s="3">
        <f>'DJB Daily Readings'!AA11-'DJB Daily Readings'!AA10</f>
        <v>633.3600000012666</v>
      </c>
      <c r="P3" s="3">
        <f>'DJB Daily Readings'!AD11-'DJB Daily Readings'!AD10</f>
        <v>5797.6800000015646</v>
      </c>
      <c r="Q3" s="3">
        <f>'DJB Daily Readings'!AG11-'DJB Daily Readings'!AG10</f>
        <v>292.32000000029802</v>
      </c>
      <c r="R3" s="3">
        <f>'DJB Daily Readings'!AJ11-'DJB Daily Readings'!AJ10</f>
        <v>6236.160000000149</v>
      </c>
      <c r="S3" s="3">
        <f>'DJB Daily Readings'!AM11-'DJB Daily Readings'!AM10</f>
        <v>3848.8800000008196</v>
      </c>
      <c r="T3" s="3">
        <f>'DJB Daily Readings'!AP11-'DJB Daily Readings'!AP10</f>
        <v>4969.4399999994785</v>
      </c>
      <c r="U3" s="3">
        <f>'DJB Daily Readings'!AS11-'DJB Daily Readings'!AS10</f>
        <v>3215.5200000004843</v>
      </c>
      <c r="V3" s="3">
        <f>'DJB Daily Readings'!AV11-'DJB Daily Readings'!AV10</f>
        <v>5310.480000000447</v>
      </c>
      <c r="W3" s="3">
        <f>'DJB Daily Readings'!AZ11-'DJB Daily Readings'!AZ10</f>
        <v>0</v>
      </c>
      <c r="X3" s="3">
        <f>'DJB Daily Readings'!BC11-'DJB Daily Readings'!BC10</f>
        <v>32400</v>
      </c>
      <c r="Y3" s="3">
        <f>'DJB Daily Readings'!BF11-'DJB Daily Readings'!BF10</f>
        <v>0</v>
      </c>
      <c r="Z3" s="3">
        <f>('DJB Daily Readings'!CK11-'DJB Daily Readings'!CK10)*1.89</f>
        <v>158.76</v>
      </c>
      <c r="AA3" s="3">
        <f>('DJB Daily Readings'!CN11-'DJB Daily Readings'!CN10)*1.89</f>
        <v>181.44</v>
      </c>
      <c r="AB3" s="3">
        <f>('DJB Daily Readings'!CQ11-'DJB Daily Readings'!CQ10)*1.89</f>
        <v>756</v>
      </c>
      <c r="AC3" s="3">
        <f>'DJB Daily Readings'!CT11-'DJB Daily Readings'!CT10</f>
        <v>166</v>
      </c>
      <c r="AD3" s="84">
        <f>('DJB Daily Readings'!BY11-'DJB Daily Readings'!BY10)*1.89</f>
        <v>77.489999999999995</v>
      </c>
      <c r="AE3" s="84">
        <f>('DJB Daily Readings'!CA11-'DJB Daily Readings'!CA10)*1.89</f>
        <v>60.48</v>
      </c>
      <c r="AF3" s="84">
        <f>('DJB Daily Readings'!CC11-'DJB Daily Readings'!CC10)*1.89</f>
        <v>20.79</v>
      </c>
      <c r="AG3" s="84">
        <f>('DJB Daily Readings'!CE11-'DJB Daily Readings'!CE10)*1.89</f>
        <v>43.47</v>
      </c>
      <c r="AH3" s="84">
        <f>('DJB Daily Readings'!CG11-'DJB Daily Readings'!CG10)*1.89</f>
        <v>24.57</v>
      </c>
      <c r="AI3" s="84">
        <f>('DJB Daily Readings'!CI11-'DJB Daily Readings'!CI10)*1.89</f>
        <v>96.39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13</v>
      </c>
      <c r="AN3" s="82">
        <f>'DJB Daily Readings'!DG11-'DJB Daily Readings'!DG10</f>
        <v>8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2</v>
      </c>
      <c r="AS3" s="82">
        <f>'DJB Daily Readings'!DM11-'DJB Daily Readings'!DM10</f>
        <v>4</v>
      </c>
      <c r="AT3" s="82">
        <f>'DJB Daily Readings'!DQ11-'DJB Daily Readings'!DQ10</f>
        <v>10</v>
      </c>
      <c r="AU3" s="82">
        <f>'DJB Daily Readings'!DT11-'DJB Daily Readings'!DT10</f>
        <v>1483</v>
      </c>
      <c r="AW3" s="82">
        <f>'DJB Daily Readings'!DX11-'DJB Daily Readings'!DX10</f>
        <v>1049</v>
      </c>
      <c r="AX3" s="82">
        <f>'DJB Daily Readings'!DZ11-'DJB Daily Readings'!DZ10</f>
        <v>4</v>
      </c>
      <c r="AY3" s="82">
        <f>'DJB Daily Readings'!EB11-'DJB Daily Readings'!EB10</f>
        <v>448</v>
      </c>
      <c r="AZ3" s="82">
        <f>'DJB Daily Readings'!ED11-'DJB Daily Readings'!ED10</f>
        <v>145</v>
      </c>
      <c r="BA3" s="82">
        <f>'DJB Daily Readings'!EG11-'DJB Daily Readings'!EG10</f>
        <v>1900</v>
      </c>
      <c r="BB3" s="82">
        <f>'DJB Daily Readings'!EI11-'DJB Daily Readings'!EI10</f>
        <v>230</v>
      </c>
      <c r="BC3" s="82">
        <f>'DJB Daily Readings'!EQ11-'DJB Daily Readings'!EQ10</f>
        <v>700</v>
      </c>
      <c r="BD3" s="82">
        <f>'DJB Daily Readings'!EK11-'DJB Daily Readings'!EK10</f>
        <v>800</v>
      </c>
      <c r="BE3" s="82">
        <f>'DJB Daily Readings'!EM11-'DJB Daily Readings'!EM10</f>
        <v>0</v>
      </c>
      <c r="BF3" s="82">
        <f>'DJB Daily Readings'!EO11-'DJB Daily Readings'!EO10</f>
        <v>120</v>
      </c>
      <c r="BG3" s="82">
        <f>('DJB Daily Readings'!ET11-'DJB Daily Readings'!ET10)*1.89</f>
        <v>34.019999999999996</v>
      </c>
      <c r="BH3" s="82">
        <f>('DJB Daily Readings'!EV11-'DJB Daily Readings'!EV10)*1.89</f>
        <v>26.459999999999997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43.47</v>
      </c>
    </row>
    <row r="4" spans="1:65" x14ac:dyDescent="0.25">
      <c r="A4" t="s">
        <v>59</v>
      </c>
      <c r="B4">
        <f t="shared" ref="B4:B30" si="0">B3+1</f>
        <v>3</v>
      </c>
      <c r="C4">
        <v>2</v>
      </c>
      <c r="D4">
        <v>2020</v>
      </c>
      <c r="E4" s="78">
        <f>237*0.7</f>
        <v>165.89999999999998</v>
      </c>
      <c r="F4" s="79">
        <f>289+25</f>
        <v>314</v>
      </c>
      <c r="G4" s="3">
        <f>'DJB Daily Readings'!C12-'DJB Daily Readings'!C11</f>
        <v>601</v>
      </c>
      <c r="H4" s="3">
        <f>'DJB Daily Readings'!F12-'DJB Daily Readings'!F11</f>
        <v>510</v>
      </c>
      <c r="I4" s="3">
        <f>'DJB Daily Readings'!K12-'DJB Daily Readings'!K11</f>
        <v>143</v>
      </c>
      <c r="J4" s="3">
        <f>'DJB Daily Readings'!K12-'DJB Daily Readings'!K11</f>
        <v>143</v>
      </c>
      <c r="K4" s="3">
        <f>'DJB Daily Readings'!O12-'DJB Daily Readings'!O11</f>
        <v>58</v>
      </c>
      <c r="L4" s="3">
        <f>'DJB Daily Readings'!R12-'DJB Daily Readings'!R11</f>
        <v>10</v>
      </c>
      <c r="M4" s="3">
        <f>'DJB Daily Readings'!U12-'DJB Daily Readings'!U11</f>
        <v>1997.519999999553</v>
      </c>
      <c r="N4" s="3">
        <f>'DJB Daily Readings'!X12-'DJB Daily Readings'!X11</f>
        <v>4774.5599999986589</v>
      </c>
      <c r="O4" s="3">
        <f>'DJB Daily Readings'!AA12-'DJB Daily Readings'!AA11</f>
        <v>535.91999999806285</v>
      </c>
      <c r="P4" s="3">
        <f>'DJB Daily Readings'!AD12-'DJB Daily Readings'!AD11</f>
        <v>5261.7599999997765</v>
      </c>
      <c r="Q4" s="3">
        <f>'DJB Daily Readings'!AG12-'DJB Daily Readings'!AG11</f>
        <v>292.32000000029802</v>
      </c>
      <c r="R4" s="3">
        <f>'DJB Daily Readings'!AJ12-'DJB Daily Readings'!AJ11</f>
        <v>6236.160000000149</v>
      </c>
      <c r="S4" s="3">
        <f>'DJB Daily Readings'!AM12-'DJB Daily Readings'!AM11</f>
        <v>3507.8400000017136</v>
      </c>
      <c r="T4" s="3">
        <f>'DJB Daily Readings'!AP12-'DJB Daily Readings'!AP11</f>
        <v>4774.5600000005215</v>
      </c>
      <c r="U4" s="3">
        <f>'DJB Daily Readings'!AS12-'DJB Daily Readings'!AS11</f>
        <v>3264.2400000002235</v>
      </c>
      <c r="V4" s="3">
        <f>'DJB Daily Readings'!AV12-'DJB Daily Readings'!AV11</f>
        <v>5407.9199999980628</v>
      </c>
      <c r="W4" s="3">
        <f>'DJB Daily Readings'!AZ12-'DJB Daily Readings'!AZ11</f>
        <v>0</v>
      </c>
      <c r="X4" s="3">
        <f>'DJB Daily Readings'!BC12-'DJB Daily Readings'!BC11</f>
        <v>30700</v>
      </c>
      <c r="Y4" s="3">
        <f>'DJB Daily Readings'!BF12-'DJB Daily Readings'!BF11</f>
        <v>0</v>
      </c>
      <c r="Z4" s="3">
        <f>('DJB Daily Readings'!CK12-'DJB Daily Readings'!CK11)*1.89</f>
        <v>160.65</v>
      </c>
      <c r="AA4" s="3">
        <f>('DJB Daily Readings'!CN12-'DJB Daily Readings'!CN11)*1.89</f>
        <v>175.76999999999998</v>
      </c>
      <c r="AB4" s="3">
        <f>('DJB Daily Readings'!CQ12-'DJB Daily Readings'!CQ11)*1.89</f>
        <v>801.36</v>
      </c>
      <c r="AC4" s="3">
        <f>'DJB Daily Readings'!CT12-'DJB Daily Readings'!CT11</f>
        <v>169</v>
      </c>
      <c r="AD4" s="84">
        <f>('DJB Daily Readings'!BY12-'DJB Daily Readings'!BY11)*1.89</f>
        <v>35.909999999999997</v>
      </c>
      <c r="AE4" s="84">
        <f>('DJB Daily Readings'!CA12-'DJB Daily Readings'!CA11)*1.89</f>
        <v>26.459999999999997</v>
      </c>
      <c r="AF4" s="84">
        <f>('DJB Daily Readings'!CC12-'DJB Daily Readings'!CC11)*1.89</f>
        <v>7.56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11</v>
      </c>
      <c r="AM4" s="82">
        <f>'DJB Daily Readings'!DA12-'DJB Daily Readings'!DA11</f>
        <v>13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3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1438</v>
      </c>
      <c r="AW4" s="82">
        <f>'DJB Daily Readings'!DX12-'DJB Daily Readings'!DX11</f>
        <v>1145</v>
      </c>
      <c r="AX4" s="82">
        <f>'DJB Daily Readings'!DZ12-'DJB Daily Readings'!DZ11</f>
        <v>4</v>
      </c>
      <c r="AY4" s="82">
        <f>'DJB Daily Readings'!EB12-'DJB Daily Readings'!EB11</f>
        <v>490</v>
      </c>
      <c r="AZ4" s="82">
        <f>'DJB Daily Readings'!ED12-'DJB Daily Readings'!ED11</f>
        <v>144</v>
      </c>
      <c r="BA4" s="82">
        <f>'DJB Daily Readings'!EG12-'DJB Daily Readings'!EG11</f>
        <v>1800</v>
      </c>
      <c r="BB4" s="82">
        <f>'DJB Daily Readings'!EI12-'DJB Daily Readings'!EI11</f>
        <v>200</v>
      </c>
      <c r="BC4" s="82">
        <f>'DJB Daily Readings'!EQ12-'DJB Daily Readings'!EQ11</f>
        <v>0</v>
      </c>
      <c r="BD4" s="82">
        <f>'DJB Daily Readings'!EK12-'DJB Daily Readings'!EK11</f>
        <v>1300</v>
      </c>
      <c r="BE4" s="82">
        <f>'DJB Daily Readings'!EM12-'DJB Daily Readings'!EM11</f>
        <v>0</v>
      </c>
      <c r="BF4" s="82">
        <f>'DJB Daily Readings'!EO12-'DJB Daily Readings'!EO11</f>
        <v>120</v>
      </c>
      <c r="BG4" s="82">
        <f>('DJB Daily Readings'!ET12-'DJB Daily Readings'!ET11)*1.89</f>
        <v>26.459999999999997</v>
      </c>
      <c r="BH4" s="82">
        <f>('DJB Daily Readings'!EV12-'DJB Daily Readings'!EV11)*1.89</f>
        <v>24.57</v>
      </c>
      <c r="BI4" s="82">
        <f>('DJB Daily Readings'!EZ12-'DJB Daily Readings'!EZ11)*1.89</f>
        <v>115.28999999999999</v>
      </c>
      <c r="BJ4" s="82">
        <f>('DJB Daily Readings'!EX12-'DJB Daily Readings'!EX11)*1.89</f>
        <v>0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2020</v>
      </c>
      <c r="E5" s="78">
        <f>237*0.86</f>
        <v>203.82</v>
      </c>
      <c r="F5" s="79">
        <f>305+26</f>
        <v>331</v>
      </c>
      <c r="G5" s="3">
        <f>'DJB Daily Readings'!C13-'DJB Daily Readings'!C12</f>
        <v>470</v>
      </c>
      <c r="H5" s="3">
        <f>'DJB Daily Readings'!F13-'DJB Daily Readings'!F12</f>
        <v>409</v>
      </c>
      <c r="I5" s="3">
        <f>'DJB Daily Readings'!K13-'DJB Daily Readings'!K12</f>
        <v>155</v>
      </c>
      <c r="J5" s="3">
        <f>'DJB Daily Readings'!K13-'DJB Daily Readings'!K12</f>
        <v>155</v>
      </c>
      <c r="K5" s="3">
        <f>'DJB Daily Readings'!O13-'DJB Daily Readings'!O12</f>
        <v>49</v>
      </c>
      <c r="L5" s="3">
        <f>'DJB Daily Readings'!R13-'DJB Daily Readings'!R12</f>
        <v>11</v>
      </c>
      <c r="M5" s="3">
        <f>'DJB Daily Readings'!U13-'DJB Daily Readings'!U12</f>
        <v>1851.3600000003353</v>
      </c>
      <c r="N5" s="3">
        <f>'DJB Daily Readings'!X13-'DJB Daily Readings'!X12</f>
        <v>4920.7199999988079</v>
      </c>
      <c r="O5" s="3">
        <f>'DJB Daily Readings'!AA13-'DJB Daily Readings'!AA12</f>
        <v>633.3600000012666</v>
      </c>
      <c r="P5" s="3">
        <f>'DJB Daily Readings'!AD13-'DJB Daily Readings'!AD12</f>
        <v>5651.5200000014156</v>
      </c>
      <c r="Q5" s="3">
        <f>'DJB Daily Readings'!AG13-'DJB Daily Readings'!AG12</f>
        <v>292.31999999843538</v>
      </c>
      <c r="R5" s="3">
        <f>'DJB Daily Readings'!AJ13-'DJB Daily Readings'!AJ12</f>
        <v>5895.1199999991804</v>
      </c>
      <c r="S5" s="3">
        <f>'DJB Daily Readings'!AM13-'DJB Daily Readings'!AM12</f>
        <v>4189.9199999980628</v>
      </c>
      <c r="T5" s="3">
        <f>'DJB Daily Readings'!AP13-'DJB Daily Readings'!AP12</f>
        <v>4677.1199999991804</v>
      </c>
      <c r="U5" s="3">
        <f>'DJB Daily Readings'!AS13-'DJB Daily Readings'!AS12</f>
        <v>3459.1199999991804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24300</v>
      </c>
      <c r="Y5" s="3">
        <f>'DJB Daily Readings'!BF13-'DJB Daily Readings'!BF12</f>
        <v>0</v>
      </c>
      <c r="Z5" s="3">
        <f>('DJB Daily Readings'!CK13-'DJB Daily Readings'!CK12)*1.89</f>
        <v>168.20999999999998</v>
      </c>
      <c r="AA5" s="3">
        <f>('DJB Daily Readings'!CN13-'DJB Daily Readings'!CN12)*1.89</f>
        <v>179.54999999999998</v>
      </c>
      <c r="AB5" s="3">
        <f>('DJB Daily Readings'!CQ13-'DJB Daily Readings'!CQ12)*1.89</f>
        <v>782.45999999999992</v>
      </c>
      <c r="AC5" s="3">
        <f>'DJB Daily Readings'!CT13-'DJB Daily Readings'!CT12</f>
        <v>175</v>
      </c>
      <c r="AD5" s="84">
        <f>('DJB Daily Readings'!BY13-'DJB Daily Readings'!BY12)*1.89</f>
        <v>34.019999999999996</v>
      </c>
      <c r="AE5" s="84">
        <f>('DJB Daily Readings'!CA13-'DJB Daily Readings'!CA12)*1.89</f>
        <v>28.349999999999998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17.009999999999998</v>
      </c>
      <c r="AI5" s="84">
        <f>('DJB Daily Readings'!CI13-'DJB Daily Readings'!CI12)*1.89</f>
        <v>47.25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</v>
      </c>
      <c r="AM5" s="82">
        <f>'DJB Daily Readings'!DA13-'DJB Daily Readings'!DA12</f>
        <v>11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0</v>
      </c>
      <c r="AS5" s="82">
        <f>'DJB Daily Readings'!DM13-'DJB Daily Readings'!DM12</f>
        <v>0</v>
      </c>
      <c r="AT5" s="82">
        <f>'DJB Daily Readings'!DQ13-'DJB Daily Readings'!DQ12</f>
        <v>9</v>
      </c>
      <c r="AU5" s="82">
        <f>'DJB Daily Readings'!DT13-'DJB Daily Readings'!DT12</f>
        <v>1379</v>
      </c>
      <c r="AW5" s="82">
        <f>'DJB Daily Readings'!DX13-'DJB Daily Readings'!DX12</f>
        <v>1187</v>
      </c>
      <c r="AX5" s="82">
        <f>'DJB Daily Readings'!DZ13-'DJB Daily Readings'!DZ12</f>
        <v>4</v>
      </c>
      <c r="AY5" s="82">
        <f>'DJB Daily Readings'!EB13-'DJB Daily Readings'!EB12</f>
        <v>477</v>
      </c>
      <c r="AZ5" s="82">
        <f>'DJB Daily Readings'!ED13-'DJB Daily Readings'!ED12</f>
        <v>148</v>
      </c>
      <c r="BA5" s="82">
        <f>'DJB Daily Readings'!EG13-'DJB Daily Readings'!EG12</f>
        <v>1400</v>
      </c>
      <c r="BB5" s="82">
        <f>'DJB Daily Readings'!EI13-'DJB Daily Readings'!EI12</f>
        <v>200</v>
      </c>
      <c r="BC5" s="82">
        <f>'DJB Daily Readings'!EQ13-'DJB Daily Readings'!EQ12</f>
        <v>900</v>
      </c>
      <c r="BD5" s="82">
        <f>'DJB Daily Readings'!EK13-'DJB Daily Readings'!EK12</f>
        <v>1000</v>
      </c>
      <c r="BE5" s="82">
        <f>'DJB Daily Readings'!EM13-'DJB Daily Readings'!EM12</f>
        <v>100</v>
      </c>
      <c r="BF5" s="82">
        <f>'DJB Daily Readings'!EO13-'DJB Daily Readings'!EO12</f>
        <v>110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54.809999999999995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2020</v>
      </c>
      <c r="E6" s="78">
        <f>237*0.84</f>
        <v>199.07999999999998</v>
      </c>
      <c r="F6" s="79">
        <f>302+19</f>
        <v>321</v>
      </c>
      <c r="G6" s="3">
        <f>'DJB Daily Readings'!C14-'DJB Daily Readings'!C13</f>
        <v>503</v>
      </c>
      <c r="H6" s="3">
        <f>'DJB Daily Readings'!F14-'DJB Daily Readings'!F13</f>
        <v>438</v>
      </c>
      <c r="I6" s="3">
        <f>'DJB Daily Readings'!K14-'DJB Daily Readings'!K13</f>
        <v>143</v>
      </c>
      <c r="J6" s="3">
        <f>'DJB Daily Readings'!K14-'DJB Daily Readings'!K13</f>
        <v>143</v>
      </c>
      <c r="K6" s="3">
        <f>'DJB Daily Readings'!O14-'DJB Daily Readings'!O13</f>
        <v>45</v>
      </c>
      <c r="L6" s="3">
        <f>'DJB Daily Readings'!R14-'DJB Daily Readings'!R13</f>
        <v>8</v>
      </c>
      <c r="M6" s="3">
        <f>'DJB Daily Readings'!U14-'DJB Daily Readings'!U13</f>
        <v>1948.8000000007451</v>
      </c>
      <c r="N6" s="3">
        <f>'DJB Daily Readings'!X14-'DJB Daily Readings'!X13</f>
        <v>4774.5600000023842</v>
      </c>
      <c r="O6" s="3">
        <f>'DJB Daily Readings'!AA14-'DJB Daily Readings'!AA13</f>
        <v>535.91999999992549</v>
      </c>
      <c r="P6" s="3">
        <f>'DJB Daily Readings'!AD14-'DJB Daily Readings'!AD13</f>
        <v>6284.8799999989569</v>
      </c>
      <c r="Q6" s="3">
        <f>'DJB Daily Readings'!AG14-'DJB Daily Readings'!AG13</f>
        <v>292.32000000216067</v>
      </c>
      <c r="R6" s="3">
        <f>'DJB Daily Readings'!AJ14-'DJB Daily Readings'!AJ13</f>
        <v>6333.6000000014901</v>
      </c>
      <c r="S6" s="3">
        <f>'DJB Daily Readings'!AM14-'DJB Daily Readings'!AM13</f>
        <v>4043.7599999997765</v>
      </c>
      <c r="T6" s="3">
        <f>'DJB Daily Readings'!AP14-'DJB Daily Readings'!AP13</f>
        <v>4920.7200000006706</v>
      </c>
      <c r="U6" s="3">
        <f>'DJB Daily Readings'!AS14-'DJB Daily Readings'!AS13</f>
        <v>3361.6800000006333</v>
      </c>
      <c r="V6" s="3">
        <f>'DJB Daily Readings'!AV14-'DJB Daily Readings'!AV13</f>
        <v>5261.7599999997765</v>
      </c>
      <c r="W6" s="3">
        <f>'DJB Daily Readings'!AZ14-'DJB Daily Readings'!AZ13</f>
        <v>0</v>
      </c>
      <c r="X6" s="3">
        <f>'DJB Daily Readings'!BC14-'DJB Daily Readings'!BC13</f>
        <v>30900</v>
      </c>
      <c r="Y6" s="3">
        <f>'DJB Daily Readings'!BF14-'DJB Daily Readings'!BF13</f>
        <v>0</v>
      </c>
      <c r="Z6" s="3">
        <f>('DJB Daily Readings'!CK14-'DJB Daily Readings'!CK13)*1.89</f>
        <v>166.32</v>
      </c>
      <c r="AA6" s="3">
        <f>('DJB Daily Readings'!CN14-'DJB Daily Readings'!CN13)*1.89</f>
        <v>185.22</v>
      </c>
      <c r="AB6" s="3">
        <f>('DJB Daily Readings'!CQ14-'DJB Daily Readings'!CQ13)*1.89</f>
        <v>602.91</v>
      </c>
      <c r="AC6" s="3">
        <f>'DJB Daily Readings'!CT14-'DJB Daily Readings'!CT13</f>
        <v>176</v>
      </c>
      <c r="AD6" s="84">
        <f>('DJB Daily Readings'!BY14-'DJB Daily Readings'!BY13)*1.89</f>
        <v>37.799999999999997</v>
      </c>
      <c r="AE6" s="84">
        <f>('DJB Daily Readings'!CA14-'DJB Daily Readings'!CA13)*1.89</f>
        <v>30.24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22.68</v>
      </c>
      <c r="AI6" s="84">
        <f>('DJB Daily Readings'!CI14-'DJB Daily Readings'!CI13)*1.89</f>
        <v>45.36</v>
      </c>
      <c r="AJ6" s="81">
        <f>'DJB Daily Readings'!CY14-'DJB Daily Readings'!CY13</f>
        <v>22</v>
      </c>
      <c r="AK6" s="81">
        <f>'DJB Daily Readings'!CW14-'DJB Daily Readings'!CW13</f>
        <v>18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7</v>
      </c>
      <c r="AS6" s="82">
        <f>'DJB Daily Readings'!DM14-'DJB Daily Readings'!DM13</f>
        <v>13</v>
      </c>
      <c r="AT6" s="82">
        <f>'DJB Daily Readings'!DQ14-'DJB Daily Readings'!DQ13</f>
        <v>10</v>
      </c>
      <c r="AU6" s="82">
        <f>'DJB Daily Readings'!DT14-'DJB Daily Readings'!DT13</f>
        <v>1421</v>
      </c>
      <c r="AW6" s="82">
        <f>'DJB Daily Readings'!DX14-'DJB Daily Readings'!DX13</f>
        <v>1137</v>
      </c>
      <c r="AX6" s="82">
        <f>'DJB Daily Readings'!DZ14-'DJB Daily Readings'!DZ13</f>
        <v>5</v>
      </c>
      <c r="AY6" s="82">
        <f>'DJB Daily Readings'!EB14-'DJB Daily Readings'!EB13</f>
        <v>488</v>
      </c>
      <c r="AZ6" s="82">
        <f>'DJB Daily Readings'!ED14-'DJB Daily Readings'!ED13</f>
        <v>145</v>
      </c>
      <c r="BA6" s="82">
        <f>'DJB Daily Readings'!EG14-'DJB Daily Readings'!EG13</f>
        <v>1700</v>
      </c>
      <c r="BB6" s="82">
        <f>'DJB Daily Readings'!EI14-'DJB Daily Readings'!EI13</f>
        <v>200</v>
      </c>
      <c r="BC6" s="82">
        <f>'DJB Daily Readings'!EQ14-'DJB Daily Readings'!EQ13</f>
        <v>400</v>
      </c>
      <c r="BD6" s="82">
        <f>'DJB Daily Readings'!EK14-'DJB Daily Readings'!EK13</f>
        <v>1200</v>
      </c>
      <c r="BE6" s="82">
        <f>'DJB Daily Readings'!EM14-'DJB Daily Readings'!EM13</f>
        <v>0</v>
      </c>
      <c r="BF6" s="82">
        <f>'DJB Daily Readings'!EO14-'DJB Daily Readings'!EO13</f>
        <v>120</v>
      </c>
      <c r="BG6" s="82">
        <f>('DJB Daily Readings'!ET14-'DJB Daily Readings'!ET13)*1.89</f>
        <v>30.24</v>
      </c>
      <c r="BH6" s="82">
        <f>('DJB Daily Readings'!EV14-'DJB Daily Readings'!EV13)*1.89</f>
        <v>26.459999999999997</v>
      </c>
      <c r="BI6" s="82">
        <f>('DJB Daily Readings'!EZ14-'DJB Daily Readings'!EZ13)*1.89</f>
        <v>66.149999999999991</v>
      </c>
      <c r="BJ6" s="82">
        <f>('DJB Daily Readings'!EX14-'DJB Daily Readings'!EX13)*1.89</f>
        <v>0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2020</v>
      </c>
      <c r="E7" s="78">
        <f>237*0.92</f>
        <v>218.04000000000002</v>
      </c>
      <c r="F7" s="79">
        <f>357+24</f>
        <v>381</v>
      </c>
      <c r="G7" s="3">
        <f>'DJB Daily Readings'!C15-'DJB Daily Readings'!C14</f>
        <v>541</v>
      </c>
      <c r="H7" s="3">
        <f>'DJB Daily Readings'!F15-'DJB Daily Readings'!F14</f>
        <v>488</v>
      </c>
      <c r="I7" s="3">
        <f>'DJB Daily Readings'!K15-'DJB Daily Readings'!K14</f>
        <v>155</v>
      </c>
      <c r="J7" s="3">
        <f>'DJB Daily Readings'!K15-'DJB Daily Readings'!K14</f>
        <v>155</v>
      </c>
      <c r="K7" s="3">
        <f>'DJB Daily Readings'!O15-'DJB Daily Readings'!O14</f>
        <v>66</v>
      </c>
      <c r="L7" s="3">
        <f>'DJB Daily Readings'!R15-'DJB Daily Readings'!R14</f>
        <v>14</v>
      </c>
      <c r="M7" s="3">
        <f>'DJB Daily Readings'!U15-'DJB Daily Readings'!U14</f>
        <v>1948.7999999998137</v>
      </c>
      <c r="N7" s="3">
        <f>'DJB Daily Readings'!X15-'DJB Daily Readings'!X14</f>
        <v>5018.160000000149</v>
      </c>
      <c r="O7" s="3">
        <f>'DJB Daily Readings'!AA15-'DJB Daily Readings'!AA14</f>
        <v>633.35999999940395</v>
      </c>
      <c r="P7" s="3">
        <f>'DJB Daily Readings'!AD15-'DJB Daily Readings'!AD14</f>
        <v>7454.1599999982864</v>
      </c>
      <c r="Q7" s="3">
        <f>'DJB Daily Readings'!AG15-'DJB Daily Readings'!AG14</f>
        <v>341.03999999910593</v>
      </c>
      <c r="R7" s="3">
        <f>'DJB Daily Readings'!AJ15-'DJB Daily Readings'!AJ14</f>
        <v>6041.2799999993294</v>
      </c>
      <c r="S7" s="3">
        <f>'DJB Daily Readings'!AM15-'DJB Daily Readings'!AM14</f>
        <v>4287.3600000012666</v>
      </c>
      <c r="T7" s="3">
        <f>'DJB Daily Readings'!AP15-'DJB Daily Readings'!AP14</f>
        <v>4969.4399999994785</v>
      </c>
      <c r="U7" s="3">
        <f>'DJB Daily Readings'!AS15-'DJB Daily Readings'!AS14</f>
        <v>3312.9599999999627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36100</v>
      </c>
      <c r="Y7" s="3">
        <f>'DJB Daily Readings'!BF15-'DJB Daily Readings'!BF14</f>
        <v>0</v>
      </c>
      <c r="Z7" s="3">
        <f>('DJB Daily Readings'!CK15-'DJB Daily Readings'!CK14)*1.89</f>
        <v>166.32</v>
      </c>
      <c r="AA7" s="3">
        <f>('DJB Daily Readings'!CN15-'DJB Daily Readings'!CN14)*1.89</f>
        <v>192.78</v>
      </c>
      <c r="AB7" s="3">
        <f>('DJB Daily Readings'!CQ15-'DJB Daily Readings'!CQ14)*1.89</f>
        <v>436.59</v>
      </c>
      <c r="AC7" s="3">
        <f>'DJB Daily Readings'!CT15-'DJB Daily Readings'!CT14</f>
        <v>174</v>
      </c>
      <c r="AD7" s="84">
        <f>('DJB Daily Readings'!BY15-'DJB Daily Readings'!BY14)*1.89</f>
        <v>41.58</v>
      </c>
      <c r="AE7" s="84">
        <f>('DJB Daily Readings'!CA15-'DJB Daily Readings'!CA14)*1.89</f>
        <v>35.909999999999997</v>
      </c>
      <c r="AF7" s="84">
        <f>('DJB Daily Readings'!CC15-'DJB Daily Readings'!CC14)*1.89</f>
        <v>13.229999999999999</v>
      </c>
      <c r="AG7" s="84">
        <f>('DJB Daily Readings'!CE15-'DJB Daily Readings'!CE14)*1.89</f>
        <v>18.899999999999999</v>
      </c>
      <c r="AH7" s="84">
        <f>('DJB Daily Readings'!CG15-'DJB Daily Readings'!CG14)*1.89</f>
        <v>22.68</v>
      </c>
      <c r="AI7" s="84">
        <f>('DJB Daily Readings'!CI15-'DJB Daily Readings'!CI14)*1.89</f>
        <v>51.029999999999994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9</v>
      </c>
      <c r="AT7" s="82">
        <f>'DJB Daily Readings'!DQ15-'DJB Daily Readings'!DQ14</f>
        <v>10</v>
      </c>
      <c r="AU7" s="82">
        <f>'DJB Daily Readings'!DT15-'DJB Daily Readings'!DT14</f>
        <v>1512</v>
      </c>
      <c r="AW7" s="82">
        <f>'DJB Daily Readings'!DX15-'DJB Daily Readings'!DX14</f>
        <v>1165</v>
      </c>
      <c r="AX7" s="82">
        <f>'DJB Daily Readings'!DZ15-'DJB Daily Readings'!DZ14</f>
        <v>4</v>
      </c>
      <c r="AY7" s="82">
        <f>'DJB Daily Readings'!EB15-'DJB Daily Readings'!EB14</f>
        <v>570</v>
      </c>
      <c r="AZ7" s="82">
        <f>'DJB Daily Readings'!ED15-'DJB Daily Readings'!ED14</f>
        <v>154</v>
      </c>
      <c r="BA7" s="82">
        <f>'DJB Daily Readings'!EG15-'DJB Daily Readings'!EG14</f>
        <v>2200</v>
      </c>
      <c r="BB7" s="82">
        <f>'DJB Daily Readings'!EI15-'DJB Daily Readings'!EI14</f>
        <v>210</v>
      </c>
      <c r="BC7" s="82">
        <f>'DJB Daily Readings'!EQ15-'DJB Daily Readings'!EQ14</f>
        <v>0</v>
      </c>
      <c r="BD7" s="82">
        <f>'DJB Daily Readings'!EK15-'DJB Daily Readings'!EK14</f>
        <v>1400</v>
      </c>
      <c r="BE7" s="82">
        <f>'DJB Daily Readings'!EM15-'DJB Daily Readings'!EM14</f>
        <v>0</v>
      </c>
      <c r="BF7" s="82">
        <f>'DJB Daily Readings'!EO15-'DJB Daily Readings'!EO14</f>
        <v>120</v>
      </c>
      <c r="BG7" s="82">
        <f>('DJB Daily Readings'!ET15-'DJB Daily Readings'!ET14)*1.89</f>
        <v>32.129999999999995</v>
      </c>
      <c r="BH7" s="82">
        <f>('DJB Daily Readings'!EV15-'DJB Daily Readings'!EV14)*1.89</f>
        <v>26.459999999999997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2020</v>
      </c>
      <c r="E8" s="78">
        <f>237*0.82</f>
        <v>194.33999999999997</v>
      </c>
      <c r="F8" s="79">
        <f>350+36</f>
        <v>386</v>
      </c>
      <c r="G8" s="3">
        <f>'DJB Daily Readings'!C16-'DJB Daily Readings'!C15</f>
        <v>589</v>
      </c>
      <c r="H8" s="3">
        <f>'DJB Daily Readings'!F16-'DJB Daily Readings'!F15</f>
        <v>483</v>
      </c>
      <c r="I8" s="3">
        <f>'DJB Daily Readings'!K16-'DJB Daily Readings'!K15</f>
        <v>164</v>
      </c>
      <c r="J8" s="3">
        <f>'DJB Daily Readings'!K16-'DJB Daily Readings'!K15</f>
        <v>164</v>
      </c>
      <c r="K8" s="3">
        <f>'DJB Daily Readings'!O16-'DJB Daily Readings'!O15</f>
        <v>73</v>
      </c>
      <c r="L8" s="3">
        <f>'DJB Daily Readings'!R16-'DJB Daily Readings'!R15</f>
        <v>16</v>
      </c>
      <c r="M8" s="3">
        <f>'DJB Daily Readings'!U16-'DJB Daily Readings'!U15</f>
        <v>1948.7999999998137</v>
      </c>
      <c r="N8" s="3">
        <f>'DJB Daily Readings'!X16-'DJB Daily Readings'!X15</f>
        <v>4823.2799999974668</v>
      </c>
      <c r="O8" s="3">
        <f>'DJB Daily Readings'!AA16-'DJB Daily Readings'!AA15</f>
        <v>584.64000000059605</v>
      </c>
      <c r="P8" s="3">
        <f>'DJB Daily Readings'!AD16-'DJB Daily Readings'!AD15</f>
        <v>7113.1200000010431</v>
      </c>
      <c r="Q8" s="3">
        <f>'DJB Daily Readings'!AG16-'DJB Daily Readings'!AG15</f>
        <v>341.03999999910593</v>
      </c>
      <c r="R8" s="3">
        <f>'DJB Daily Readings'!AJ16-'DJB Daily Readings'!AJ15</f>
        <v>5846.4000000003725</v>
      </c>
      <c r="S8" s="3">
        <f>'DJB Daily Readings'!AM16-'DJB Daily Readings'!AM15</f>
        <v>4287.359999999404</v>
      </c>
      <c r="T8" s="3">
        <f>'DJB Daily Readings'!AP16-'DJB Daily Readings'!AP15</f>
        <v>4920.7200000006706</v>
      </c>
      <c r="U8" s="3">
        <f>'DJB Daily Readings'!AS16-'DJB Daily Readings'!AS15</f>
        <v>3507.8400000007823</v>
      </c>
      <c r="V8" s="3">
        <f>'DJB Daily Readings'!AV16-'DJB Daily Readings'!AV15</f>
        <v>5310.4799999985844</v>
      </c>
      <c r="W8" s="3">
        <f>'DJB Daily Readings'!AZ16-'DJB Daily Readings'!AZ15</f>
        <v>0</v>
      </c>
      <c r="X8" s="3">
        <f>'DJB Daily Readings'!BC16-'DJB Daily Readings'!BC15</f>
        <v>38200</v>
      </c>
      <c r="Y8" s="3">
        <f>'DJB Daily Readings'!BF16-'DJB Daily Readings'!BF15</f>
        <v>4700</v>
      </c>
      <c r="Z8" s="3">
        <f>('DJB Daily Readings'!CK16-'DJB Daily Readings'!CK15)*1.89</f>
        <v>160.65</v>
      </c>
      <c r="AA8" s="3">
        <f>('DJB Daily Readings'!CN16-'DJB Daily Readings'!CN15)*1.89</f>
        <v>187.10999999999999</v>
      </c>
      <c r="AB8" s="3">
        <f>('DJB Daily Readings'!CQ16-'DJB Daily Readings'!CQ15)*1.89</f>
        <v>423.35999999999996</v>
      </c>
      <c r="AC8" s="3">
        <f>'DJB Daily Readings'!CT16-'DJB Daily Readings'!CT15</f>
        <v>171</v>
      </c>
      <c r="AD8" s="84">
        <f>('DJB Daily Readings'!BY16-'DJB Daily Readings'!BY15)*1.89</f>
        <v>34.019999999999996</v>
      </c>
      <c r="AE8" s="84">
        <f>('DJB Daily Readings'!CA16-'DJB Daily Readings'!CA15)*1.89</f>
        <v>30.24</v>
      </c>
      <c r="AF8" s="84">
        <f>('DJB Daily Readings'!CC16-'DJB Daily Readings'!CC15)*1.89</f>
        <v>17.009999999999998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52.919999999999995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16</v>
      </c>
      <c r="AM8" s="82">
        <f>'DJB Daily Readings'!DA16-'DJB Daily Readings'!DA15</f>
        <v>21</v>
      </c>
      <c r="AN8" s="82">
        <f>'DJB Daily Readings'!DG16-'DJB Daily Readings'!DG15</f>
        <v>7</v>
      </c>
      <c r="AO8" s="82">
        <f>'DJB Daily Readings'!DE16-'DJB Daily Readings'!DE15</f>
        <v>12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8</v>
      </c>
      <c r="AT8" s="82">
        <f>'DJB Daily Readings'!DQ16-'DJB Daily Readings'!DQ15</f>
        <v>14</v>
      </c>
      <c r="AU8" s="82">
        <f>'DJB Daily Readings'!DT16-'DJB Daily Readings'!DT15</f>
        <v>1595</v>
      </c>
      <c r="AW8" s="82">
        <f>'DJB Daily Readings'!DX16-'DJB Daily Readings'!DX15</f>
        <v>1214</v>
      </c>
      <c r="AX8" s="82">
        <f>'DJB Daily Readings'!DZ16-'DJB Daily Readings'!DZ15</f>
        <v>4</v>
      </c>
      <c r="AY8" s="82">
        <f>'DJB Daily Readings'!EB16-'DJB Daily Readings'!EB15</f>
        <v>596</v>
      </c>
      <c r="AZ8" s="82">
        <f>'DJB Daily Readings'!ED16-'DJB Daily Readings'!ED15</f>
        <v>156</v>
      </c>
      <c r="BA8" s="82">
        <f>'DJB Daily Readings'!EG16-'DJB Daily Readings'!EG15</f>
        <v>2700</v>
      </c>
      <c r="BB8" s="82">
        <f>'DJB Daily Readings'!EI16-'DJB Daily Readings'!EI15</f>
        <v>230</v>
      </c>
      <c r="BC8" s="82">
        <f>'DJB Daily Readings'!EQ16-'DJB Daily Readings'!EQ15</f>
        <v>1200</v>
      </c>
      <c r="BD8" s="82">
        <f>'DJB Daily Readings'!EK16-'DJB Daily Readings'!EK15</f>
        <v>1500</v>
      </c>
      <c r="BE8" s="82">
        <f>'DJB Daily Readings'!EM16-'DJB Daily Readings'!EM15</f>
        <v>0</v>
      </c>
      <c r="BF8" s="82">
        <f>'DJB Daily Readings'!EO16-'DJB Daily Readings'!EO15</f>
        <v>140</v>
      </c>
      <c r="BG8" s="82">
        <f>('DJB Daily Readings'!ET16-'DJB Daily Readings'!ET15)*1.89</f>
        <v>32.129999999999995</v>
      </c>
      <c r="BH8" s="82">
        <f>('DJB Daily Readings'!EV16-'DJB Daily Readings'!EV15)*1.89</f>
        <v>30.24</v>
      </c>
      <c r="BI8" s="82">
        <f>('DJB Daily Readings'!EZ16-'DJB Daily Readings'!EZ15)*1.89</f>
        <v>130.41</v>
      </c>
      <c r="BJ8" s="82">
        <f>('DJB Daily Readings'!EX16-'DJB Daily Readings'!EX15)*1.89</f>
        <v>0</v>
      </c>
      <c r="BK8" s="82">
        <f>('DJB Daily Readings'!FB16-'DJB Daily Readings'!FB15)*1.89</f>
        <v>52.919999999999995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2020</v>
      </c>
      <c r="E9" s="78">
        <f>237*0.75</f>
        <v>177.75</v>
      </c>
      <c r="F9" s="79">
        <f>311+23</f>
        <v>334</v>
      </c>
      <c r="G9" s="3">
        <f>'DJB Daily Readings'!C17-'DJB Daily Readings'!C16</f>
        <v>529</v>
      </c>
      <c r="H9" s="3">
        <f>'DJB Daily Readings'!F17-'DJB Daily Readings'!F16</f>
        <v>480</v>
      </c>
      <c r="I9" s="3">
        <f>'DJB Daily Readings'!K17-'DJB Daily Readings'!K16</f>
        <v>145</v>
      </c>
      <c r="J9" s="3">
        <f>'DJB Daily Readings'!K17-'DJB Daily Readings'!K16</f>
        <v>145</v>
      </c>
      <c r="K9" s="3">
        <f>'DJB Daily Readings'!O17-'DJB Daily Readings'!O16</f>
        <v>58</v>
      </c>
      <c r="L9" s="3">
        <f>'DJB Daily Readings'!R17-'DJB Daily Readings'!R16</f>
        <v>14</v>
      </c>
      <c r="M9" s="3">
        <f>'DJB Daily Readings'!U17-'DJB Daily Readings'!U16</f>
        <v>2192.4000000003725</v>
      </c>
      <c r="N9" s="3">
        <f>'DJB Daily Readings'!X17-'DJB Daily Readings'!X16</f>
        <v>4920.7200000025332</v>
      </c>
      <c r="O9" s="3">
        <f>'DJB Daily Readings'!AA17-'DJB Daily Readings'!AA16</f>
        <v>97.439999999478459</v>
      </c>
      <c r="P9" s="3">
        <f>'DJB Daily Readings'!AD17-'DJB Daily Readings'!AD16</f>
        <v>535.91999999992549</v>
      </c>
      <c r="Q9" s="3">
        <f>'DJB Daily Readings'!AG17-'DJB Daily Readings'!AG16</f>
        <v>7990.0800000000745</v>
      </c>
      <c r="R9" s="3">
        <f>'DJB Daily Readings'!AJ17-'DJB Daily Readings'!AJ16</f>
        <v>5846.4000000003725</v>
      </c>
      <c r="S9" s="3">
        <f>'DJB Daily Readings'!AM17-'DJB Daily Readings'!AM16</f>
        <v>3556.5600000005215</v>
      </c>
      <c r="T9" s="3">
        <f>'DJB Daily Readings'!AP17-'DJB Daily Readings'!AP16</f>
        <v>4725.839999999851</v>
      </c>
      <c r="U9" s="3">
        <f>'DJB Daily Readings'!AS17-'DJB Daily Readings'!AS16</f>
        <v>3215.5199999986216</v>
      </c>
      <c r="V9" s="3">
        <f>'DJB Daily Readings'!AV17-'DJB Daily Readings'!AV16</f>
        <v>5456.640000000596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32100</v>
      </c>
      <c r="Z9" s="3">
        <f>('DJB Daily Readings'!CK17-'DJB Daily Readings'!CK16)*1.89</f>
        <v>160.65</v>
      </c>
      <c r="AA9" s="3">
        <f>('DJB Daily Readings'!CN17-'DJB Daily Readings'!CN16)*1.89</f>
        <v>177.66</v>
      </c>
      <c r="AB9" s="3">
        <f>('DJB Daily Readings'!CQ17-'DJB Daily Readings'!CQ16)*1.89</f>
        <v>410.13</v>
      </c>
      <c r="AC9" s="3">
        <f>'DJB Daily Readings'!CT17-'DJB Daily Readings'!CT16</f>
        <v>170</v>
      </c>
      <c r="AD9" s="84">
        <f>('DJB Daily Readings'!BY17-'DJB Daily Readings'!BY16)*1.89</f>
        <v>39.69</v>
      </c>
      <c r="AE9" s="84">
        <f>('DJB Daily Readings'!CA17-'DJB Daily Readings'!CA16)*1.89</f>
        <v>45.36</v>
      </c>
      <c r="AF9" s="84">
        <f>('DJB Daily Readings'!CC17-'DJB Daily Readings'!CC16)*1.89</f>
        <v>15.12</v>
      </c>
      <c r="AG9" s="84">
        <f>('DJB Daily Readings'!CE17-'DJB Daily Readings'!CE16)*1.89</f>
        <v>20.79</v>
      </c>
      <c r="AH9" s="84">
        <f>('DJB Daily Readings'!CG17-'DJB Daily Readings'!CG16)*1.89</f>
        <v>11.34</v>
      </c>
      <c r="AI9" s="84">
        <f>('DJB Daily Readings'!CI17-'DJB Daily Readings'!CI16)*1.89</f>
        <v>39.69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10</v>
      </c>
      <c r="AM9" s="82">
        <f>'DJB Daily Readings'!DA17-'DJB Daily Readings'!DA16</f>
        <v>16</v>
      </c>
      <c r="AN9" s="82">
        <f>'DJB Daily Readings'!DG17-'DJB Daily Readings'!DG16</f>
        <v>7</v>
      </c>
      <c r="AO9" s="82">
        <f>'DJB Daily Readings'!DE17-'DJB Daily Readings'!DE16</f>
        <v>11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10</v>
      </c>
      <c r="AT9" s="82">
        <f>'DJB Daily Readings'!DQ17-'DJB Daily Readings'!DQ16</f>
        <v>9</v>
      </c>
      <c r="AU9" s="82">
        <f>'DJB Daily Readings'!DT17-'DJB Daily Readings'!DT16</f>
        <v>481</v>
      </c>
      <c r="AW9" s="82">
        <f>'DJB Daily Readings'!DX17-'DJB Daily Readings'!DX16</f>
        <v>1159</v>
      </c>
      <c r="AX9" s="82">
        <f>'DJB Daily Readings'!DZ17-'DJB Daily Readings'!DZ16</f>
        <v>4</v>
      </c>
      <c r="AY9" s="82">
        <f>'DJB Daily Readings'!EB17-'DJB Daily Readings'!EB16</f>
        <v>531</v>
      </c>
      <c r="AZ9" s="82">
        <f>'DJB Daily Readings'!ED17-'DJB Daily Readings'!ED16</f>
        <v>146</v>
      </c>
      <c r="BA9" s="82">
        <f>'DJB Daily Readings'!EG17-'DJB Daily Readings'!EG16</f>
        <v>2800</v>
      </c>
      <c r="BB9" s="82">
        <f>'DJB Daily Readings'!EI17-'DJB Daily Readings'!EI16</f>
        <v>230</v>
      </c>
      <c r="BC9" s="82">
        <f>'DJB Daily Readings'!EQ17-'DJB Daily Readings'!EQ16</f>
        <v>900</v>
      </c>
      <c r="BD9" s="82">
        <f>'DJB Daily Readings'!EK17-'DJB Daily Readings'!EK16</f>
        <v>1500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30.24</v>
      </c>
      <c r="BH9" s="82">
        <f>('DJB Daily Readings'!EV17-'DJB Daily Readings'!EV16)*1.89</f>
        <v>28.349999999999998</v>
      </c>
      <c r="BI9" s="82">
        <f>('DJB Daily Readings'!EZ17-'DJB Daily Readings'!EZ16)*1.89</f>
        <v>66.149999999999991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2020</v>
      </c>
      <c r="E10" s="78">
        <f>237*0.77</f>
        <v>182.49</v>
      </c>
      <c r="F10" s="79">
        <f>296+24</f>
        <v>320</v>
      </c>
      <c r="G10" s="3">
        <f>'DJB Daily Readings'!C18-'DJB Daily Readings'!C17</f>
        <v>521</v>
      </c>
      <c r="H10" s="3">
        <f>'DJB Daily Readings'!F18-'DJB Daily Readings'!F17</f>
        <v>418</v>
      </c>
      <c r="I10" s="3">
        <f>'DJB Daily Readings'!K18-'DJB Daily Readings'!K17</f>
        <v>150</v>
      </c>
      <c r="J10" s="3">
        <f>'DJB Daily Readings'!K18-'DJB Daily Readings'!K17</f>
        <v>150</v>
      </c>
      <c r="K10" s="3">
        <f>'DJB Daily Readings'!O18-'DJB Daily Readings'!O17</f>
        <v>84</v>
      </c>
      <c r="L10" s="3">
        <f>'DJB Daily Readings'!R18-'DJB Daily Readings'!R17</f>
        <v>19</v>
      </c>
      <c r="M10" s="3">
        <f>'DJB Daily Readings'!U18-'DJB Daily Readings'!U17</f>
        <v>2143.679999999702</v>
      </c>
      <c r="N10" s="3">
        <f>'DJB Daily Readings'!X18-'DJB Daily Readings'!X17</f>
        <v>4823.2799999974668</v>
      </c>
      <c r="O10" s="3">
        <f>'DJB Daily Readings'!AA18-'DJB Daily Readings'!AA17</f>
        <v>48.720000000670552</v>
      </c>
      <c r="P10" s="3">
        <f>'DJB Daily Readings'!AD18-'DJB Daily Readings'!AD17</f>
        <v>535.92000000178814</v>
      </c>
      <c r="Q10" s="3">
        <f>'DJB Daily Readings'!AG18-'DJB Daily Readings'!AG17</f>
        <v>8087.519999999553</v>
      </c>
      <c r="R10" s="3">
        <f>'DJB Daily Readings'!AJ18-'DJB Daily Readings'!AJ17</f>
        <v>6090</v>
      </c>
      <c r="S10" s="3">
        <f>'DJB Daily Readings'!AM18-'DJB Daily Readings'!AM17</f>
        <v>3800.160000000149</v>
      </c>
      <c r="T10" s="3">
        <f>'DJB Daily Readings'!AP18-'DJB Daily Readings'!AP17</f>
        <v>4677.1199999991804</v>
      </c>
      <c r="U10" s="3">
        <f>'DJB Daily Readings'!AS18-'DJB Daily Readings'!AS17</f>
        <v>3410.4000000003725</v>
      </c>
      <c r="V10" s="3">
        <f>'DJB Daily Readings'!AV18-'DJB Daily Readings'!AV17</f>
        <v>4920.7199999988079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39100</v>
      </c>
      <c r="Z10" s="3">
        <f>('DJB Daily Readings'!CK18-'DJB Daily Readings'!CK17)*1.89</f>
        <v>162.54</v>
      </c>
      <c r="AA10" s="3">
        <f>('DJB Daily Readings'!CN18-'DJB Daily Readings'!CN17)*1.89</f>
        <v>175.76999999999998</v>
      </c>
      <c r="AB10" s="3">
        <f>('DJB Daily Readings'!CQ18-'DJB Daily Readings'!CQ17)*1.89</f>
        <v>415.79999999999995</v>
      </c>
      <c r="AC10" s="3">
        <f>'DJB Daily Readings'!CT18-'DJB Daily Readings'!CT17</f>
        <v>169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9</v>
      </c>
      <c r="AM10" s="82">
        <f>'DJB Daily Readings'!DA18-'DJB Daily Readings'!DA17</f>
        <v>17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2</v>
      </c>
      <c r="AT10" s="82">
        <f>'DJB Daily Readings'!DQ18-'DJB Daily Readings'!DQ17</f>
        <v>11</v>
      </c>
      <c r="AU10" s="82">
        <f>'DJB Daily Readings'!DT18-'DJB Daily Readings'!DT17</f>
        <v>2424</v>
      </c>
      <c r="AW10" s="82">
        <f>'DJB Daily Readings'!DX18-'DJB Daily Readings'!DX17</f>
        <v>1086</v>
      </c>
      <c r="AX10" s="82">
        <f>'DJB Daily Readings'!DZ18-'DJB Daily Readings'!DZ17</f>
        <v>5</v>
      </c>
      <c r="AY10" s="82">
        <f>'DJB Daily Readings'!EB18-'DJB Daily Readings'!EB17</f>
        <v>549</v>
      </c>
      <c r="AZ10" s="82">
        <f>'DJB Daily Readings'!ED18-'DJB Daily Readings'!ED17</f>
        <v>145</v>
      </c>
      <c r="BA10" s="82">
        <f>'DJB Daily Readings'!EG18-'DJB Daily Readings'!EG17</f>
        <v>2900</v>
      </c>
      <c r="BB10" s="82">
        <f>'DJB Daily Readings'!EI18-'DJB Daily Readings'!EI17</f>
        <v>210</v>
      </c>
      <c r="BC10" s="82">
        <f>'DJB Daily Readings'!EQ18-'DJB Daily Readings'!EQ17</f>
        <v>1000</v>
      </c>
      <c r="BD10" s="82">
        <f>'DJB Daily Readings'!EK18-'DJB Daily Readings'!EK17</f>
        <v>1500</v>
      </c>
      <c r="BE10" s="82">
        <f>'DJB Daily Readings'!EM18-'DJB Daily Readings'!EM17</f>
        <v>100</v>
      </c>
      <c r="BF10" s="82">
        <f>'DJB Daily Readings'!EO18-'DJB Daily Readings'!EO17</f>
        <v>150</v>
      </c>
      <c r="BG10" s="82">
        <f>('DJB Daily Readings'!ET18-'DJB Daily Readings'!ET17)*1.89</f>
        <v>28.349999999999998</v>
      </c>
      <c r="BH10" s="82">
        <f>('DJB Daily Readings'!EV18-'DJB Daily Readings'!EV17)*1.89</f>
        <v>24.57</v>
      </c>
      <c r="BI10" s="82">
        <f>('DJB Daily Readings'!EZ18-'DJB Daily Readings'!EZ17)*1.89</f>
        <v>64.259999999999991</v>
      </c>
      <c r="BJ10" s="82">
        <f>('DJB Daily Readings'!EX18-'DJB Daily Readings'!EX17)*1.89</f>
        <v>0</v>
      </c>
      <c r="BK10" s="82">
        <f>('DJB Daily Readings'!FB18-'DJB Daily Readings'!FB17)*1.89</f>
        <v>51.029999999999994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2020</v>
      </c>
      <c r="E11" s="78">
        <f>237*0.79</f>
        <v>187.23000000000002</v>
      </c>
      <c r="F11" s="79">
        <f>325+28</f>
        <v>353</v>
      </c>
      <c r="G11" s="3">
        <f>'DJB Daily Readings'!C19-'DJB Daily Readings'!C18</f>
        <v>504</v>
      </c>
      <c r="H11" s="3">
        <f>'DJB Daily Readings'!F19-'DJB Daily Readings'!F18</f>
        <v>423</v>
      </c>
      <c r="I11" s="3">
        <f>'DJB Daily Readings'!K19-'DJB Daily Readings'!K18</f>
        <v>158</v>
      </c>
      <c r="J11" s="3">
        <f>'DJB Daily Readings'!K19-'DJB Daily Readings'!K18</f>
        <v>158</v>
      </c>
      <c r="K11" s="3">
        <f>'DJB Daily Readings'!O19-'DJB Daily Readings'!O18</f>
        <v>80</v>
      </c>
      <c r="L11" s="3">
        <f>'DJB Daily Readings'!R19-'DJB Daily Readings'!R18</f>
        <v>14</v>
      </c>
      <c r="M11" s="3">
        <f>'DJB Daily Readings'!U19-'DJB Daily Readings'!U18</f>
        <v>2289.8399999989197</v>
      </c>
      <c r="N11" s="3">
        <f>'DJB Daily Readings'!X19-'DJB Daily Readings'!X18</f>
        <v>4920.7200000025332</v>
      </c>
      <c r="O11" s="3">
        <f>'DJB Daily Readings'!AA19-'DJB Daily Readings'!AA18</f>
        <v>0</v>
      </c>
      <c r="P11" s="3">
        <f>'DJB Daily Readings'!AD19-'DJB Daily Readings'!AD18</f>
        <v>2094.9599999990314</v>
      </c>
      <c r="Q11" s="3">
        <f>'DJB Daily Readings'!AG19-'DJB Daily Readings'!AG18</f>
        <v>7161.8400000017136</v>
      </c>
      <c r="R11" s="3">
        <f>'DJB Daily Readings'!AJ19-'DJB Daily Readings'!AJ18</f>
        <v>6090</v>
      </c>
      <c r="S11" s="3">
        <f>'DJB Daily Readings'!AM19-'DJB Daily Readings'!AM18</f>
        <v>3946.320000000298</v>
      </c>
      <c r="T11" s="3">
        <f>'DJB Daily Readings'!AP19-'DJB Daily Readings'!AP18</f>
        <v>4677.1199999991804</v>
      </c>
      <c r="U11" s="3">
        <f>'DJB Daily Readings'!AS19-'DJB Daily Readings'!AS18</f>
        <v>3312.9599999999627</v>
      </c>
      <c r="V11" s="3">
        <f>'DJB Daily Readings'!AV19-'DJB Daily Readings'!AV18</f>
        <v>5213.0400000009686</v>
      </c>
      <c r="W11" s="3">
        <f>'DJB Daily Readings'!AZ19-'DJB Daily Readings'!AZ18</f>
        <v>0</v>
      </c>
      <c r="X11" s="3">
        <f>'DJB Daily Readings'!BC19-'DJB Daily Readings'!BC18</f>
        <v>8200</v>
      </c>
      <c r="Y11" s="3">
        <f>'DJB Daily Readings'!BF19-'DJB Daily Readings'!BF18</f>
        <v>34800</v>
      </c>
      <c r="Z11" s="3">
        <f>('DJB Daily Readings'!CK19-'DJB Daily Readings'!CK18)*1.89</f>
        <v>170.1</v>
      </c>
      <c r="AA11" s="3">
        <f>('DJB Daily Readings'!CN19-'DJB Daily Readings'!CN18)*1.89</f>
        <v>192.78</v>
      </c>
      <c r="AB11" s="3">
        <f>('DJB Daily Readings'!CQ19-'DJB Daily Readings'!CQ18)*1.89</f>
        <v>455.48999999999995</v>
      </c>
      <c r="AC11" s="3">
        <f>'DJB Daily Readings'!CT19-'DJB Daily Readings'!CT18</f>
        <v>175</v>
      </c>
      <c r="AD11" s="84">
        <f>('DJB Daily Readings'!BY19-'DJB Daily Readings'!BY18)*1.89</f>
        <v>71.819999999999993</v>
      </c>
      <c r="AE11" s="84">
        <f>('DJB Daily Readings'!CA19-'DJB Daily Readings'!CA18)*1.89</f>
        <v>35.909999999999997</v>
      </c>
      <c r="AF11" s="84">
        <f>('DJB Daily Readings'!CC19-'DJB Daily Readings'!CC18)*1.89</f>
        <v>22.68</v>
      </c>
      <c r="AG11" s="84">
        <f>('DJB Daily Readings'!CE19-'DJB Daily Readings'!CE18)*1.89</f>
        <v>43.47</v>
      </c>
      <c r="AH11" s="84">
        <f>('DJB Daily Readings'!CG19-'DJB Daily Readings'!CG18)*1.89</f>
        <v>26.459999999999997</v>
      </c>
      <c r="AI11" s="84">
        <f>('DJB Daily Readings'!CI19-'DJB Daily Readings'!CI18)*1.89</f>
        <v>103.94999999999999</v>
      </c>
      <c r="AJ11" s="81">
        <f>'DJB Daily Readings'!CY19-'DJB Daily Readings'!CY18</f>
        <v>30</v>
      </c>
      <c r="AK11" s="81">
        <f>'DJB Daily Readings'!CW19-'DJB Daily Readings'!CW18</f>
        <v>3</v>
      </c>
      <c r="AL11" s="82">
        <f>'DJB Daily Readings'!DC19-'DJB Daily Readings'!DC18</f>
        <v>9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1423</v>
      </c>
      <c r="AW11" s="82">
        <f>'DJB Daily Readings'!DX19-'DJB Daily Readings'!DX18</f>
        <v>1077</v>
      </c>
      <c r="AX11" s="82">
        <f>'DJB Daily Readings'!DZ19-'DJB Daily Readings'!DZ18</f>
        <v>4</v>
      </c>
      <c r="AY11" s="82">
        <f>'DJB Daily Readings'!EB19-'DJB Daily Readings'!EB18</f>
        <v>558</v>
      </c>
      <c r="AZ11" s="82">
        <f>'DJB Daily Readings'!ED19-'DJB Daily Readings'!ED18</f>
        <v>146</v>
      </c>
      <c r="BA11" s="82">
        <f>'DJB Daily Readings'!EG19-'DJB Daily Readings'!EG18</f>
        <v>4800</v>
      </c>
      <c r="BB11" s="82">
        <f>'DJB Daily Readings'!EI19-'DJB Daily Readings'!EI18</f>
        <v>460</v>
      </c>
      <c r="BC11" s="82">
        <f>'DJB Daily Readings'!EQ19-'DJB Daily Readings'!EQ18</f>
        <v>1800</v>
      </c>
      <c r="BD11" s="82">
        <f>'DJB Daily Readings'!EK19-'DJB Daily Readings'!EK18</f>
        <v>2900</v>
      </c>
      <c r="BE11" s="82">
        <f>'DJB Daily Readings'!EM19-'DJB Daily Readings'!EM18</f>
        <v>0</v>
      </c>
      <c r="BF11" s="82">
        <f>'DJB Daily Readings'!EO19-'DJB Daily Readings'!EO18</f>
        <v>220</v>
      </c>
      <c r="BG11" s="82">
        <f>('DJB Daily Readings'!ET19-'DJB Daily Readings'!ET18)*1.89</f>
        <v>30.24</v>
      </c>
      <c r="BH11" s="82">
        <f>('DJB Daily Readings'!EV19-'DJB Daily Readings'!EV18)*1.89</f>
        <v>24.57</v>
      </c>
      <c r="BI11" s="82">
        <f>('DJB Daily Readings'!EZ19-'DJB Daily Readings'!EZ18)*1.89</f>
        <v>62.37</v>
      </c>
      <c r="BJ11" s="82">
        <f>('DJB Daily Readings'!EX19-'DJB Daily Readings'!EX18)*1.89</f>
        <v>0</v>
      </c>
      <c r="BK11" s="82">
        <f>('DJB Daily Readings'!FB19-'DJB Daily Readings'!FB18)*1.89</f>
        <v>47.25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2020</v>
      </c>
      <c r="E12" s="78">
        <f>237*0.76</f>
        <v>180.12</v>
      </c>
      <c r="F12" s="79">
        <f>294+30</f>
        <v>324</v>
      </c>
      <c r="G12" s="3">
        <f>'DJB Daily Readings'!C20-'DJB Daily Readings'!C19</f>
        <v>547</v>
      </c>
      <c r="H12" s="3">
        <f>'DJB Daily Readings'!F20-'DJB Daily Readings'!F19</f>
        <v>446</v>
      </c>
      <c r="I12" s="3">
        <f>'DJB Daily Readings'!K20-'DJB Daily Readings'!K19</f>
        <v>173</v>
      </c>
      <c r="J12" s="3">
        <f>'DJB Daily Readings'!K20-'DJB Daily Readings'!K19</f>
        <v>173</v>
      </c>
      <c r="K12" s="3">
        <f>'DJB Daily Readings'!O20-'DJB Daily Readings'!O19</f>
        <v>69</v>
      </c>
      <c r="L12" s="3">
        <f>'DJB Daily Readings'!R20-'DJB Daily Readings'!R19</f>
        <v>16</v>
      </c>
      <c r="M12" s="3">
        <f>'DJB Daily Readings'!U20-'DJB Daily Readings'!U19</f>
        <v>2241.1200000001118</v>
      </c>
      <c r="N12" s="3">
        <f>'DJB Daily Readings'!X20-'DJB Daily Readings'!X19</f>
        <v>4823.2799999974668</v>
      </c>
      <c r="O12" s="3">
        <f>'DJB Daily Readings'!AA20-'DJB Daily Readings'!AA19</f>
        <v>97.439999999478459</v>
      </c>
      <c r="P12" s="3">
        <f>'DJB Daily Readings'!AD20-'DJB Daily Readings'!AD19</f>
        <v>584.64000000059605</v>
      </c>
      <c r="Q12" s="3">
        <f>'DJB Daily Readings'!AG20-'DJB Daily Readings'!AG19</f>
        <v>6869.519999999553</v>
      </c>
      <c r="R12" s="3">
        <f>'DJB Daily Readings'!AJ20-'DJB Daily Readings'!AJ19</f>
        <v>6090</v>
      </c>
      <c r="S12" s="3">
        <f>'DJB Daily Readings'!AM20-'DJB Daily Readings'!AM19</f>
        <v>3897.5999999996275</v>
      </c>
      <c r="T12" s="3">
        <f>'DJB Daily Readings'!AP20-'DJB Daily Readings'!AP19</f>
        <v>4482.2400000002235</v>
      </c>
      <c r="U12" s="3">
        <f>'DJB Daily Readings'!AS20-'DJB Daily Readings'!AS19</f>
        <v>3118.0800000000745</v>
      </c>
      <c r="V12" s="3">
        <f>'DJB Daily Readings'!AV20-'DJB Daily Readings'!AV19</f>
        <v>5213.0400000009686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33800</v>
      </c>
      <c r="Z12" s="3">
        <f>('DJB Daily Readings'!CK20-'DJB Daily Readings'!CK19)*1.89</f>
        <v>168.20999999999998</v>
      </c>
      <c r="AA12" s="3">
        <f>('DJB Daily Readings'!CN20-'DJB Daily Readings'!CN19)*1.89</f>
        <v>192.78</v>
      </c>
      <c r="AB12" s="3">
        <f>('DJB Daily Readings'!CQ20-'DJB Daily Readings'!CQ19)*1.89</f>
        <v>531.08999999999992</v>
      </c>
      <c r="AC12" s="3">
        <f>'DJB Daily Readings'!CT20-'DJB Daily Readings'!CT19</f>
        <v>176</v>
      </c>
      <c r="AD12" s="84">
        <f>('DJB Daily Readings'!BY20-'DJB Daily Readings'!BY19)*1.89</f>
        <v>37.799999999999997</v>
      </c>
      <c r="AE12" s="84">
        <f>('DJB Daily Readings'!CA20-'DJB Daily Readings'!CA19)*1.89</f>
        <v>28.349999999999998</v>
      </c>
      <c r="AF12" s="84">
        <f>('DJB Daily Readings'!CC20-'DJB Daily Readings'!CC19)*1.89</f>
        <v>11.34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39.69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10</v>
      </c>
      <c r="AM12" s="82">
        <f>'DJB Daily Readings'!DA20-'DJB Daily Readings'!DA19</f>
        <v>12</v>
      </c>
      <c r="AN12" s="82">
        <f>'DJB Daily Readings'!DG20-'DJB Daily Readings'!DG19</f>
        <v>5</v>
      </c>
      <c r="AO12" s="82">
        <f>'DJB Daily Readings'!DE20-'DJB Daily Readings'!DE19</f>
        <v>8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0</v>
      </c>
      <c r="AT12" s="82">
        <f>'DJB Daily Readings'!DQ20-'DJB Daily Readings'!DQ19</f>
        <v>10</v>
      </c>
      <c r="AU12" s="82">
        <f>'DJB Daily Readings'!DT20-'DJB Daily Readings'!DT19</f>
        <v>1456</v>
      </c>
      <c r="AW12" s="82">
        <f>'DJB Daily Readings'!DX20-'DJB Daily Readings'!DX19</f>
        <v>1088</v>
      </c>
      <c r="AX12" s="82">
        <f>'DJB Daily Readings'!DZ20-'DJB Daily Readings'!DZ19</f>
        <v>4</v>
      </c>
      <c r="AY12" s="82">
        <f>'DJB Daily Readings'!EB20-'DJB Daily Readings'!EB19</f>
        <v>533</v>
      </c>
      <c r="AZ12" s="82">
        <f>'DJB Daily Readings'!ED20-'DJB Daily Readings'!ED19</f>
        <v>149</v>
      </c>
      <c r="BA12" s="82">
        <f>'DJB Daily Readings'!EG20-'DJB Daily Readings'!EG19</f>
        <v>0</v>
      </c>
      <c r="BB12" s="82">
        <f>'DJB Daily Readings'!EI20-'DJB Daily Readings'!EI19</f>
        <v>0</v>
      </c>
      <c r="BC12" s="82">
        <f>'DJB Daily Readings'!EQ20-'DJB Daily Readings'!EQ19</f>
        <v>0</v>
      </c>
      <c r="BD12" s="82">
        <f>'DJB Daily Readings'!EK20-'DJB Daily Readings'!EK19</f>
        <v>0</v>
      </c>
      <c r="BE12" s="82">
        <f>'DJB Daily Readings'!EM20-'DJB Daily Readings'!EM19</f>
        <v>0</v>
      </c>
      <c r="BF12" s="82">
        <f>'DJB Daily Readings'!EO20-'DJB Daily Readings'!EO19</f>
        <v>0</v>
      </c>
      <c r="BG12" s="82">
        <f>('DJB Daily Readings'!ET20-'DJB Daily Readings'!ET19)*1.89</f>
        <v>30.24</v>
      </c>
      <c r="BH12" s="82">
        <f>('DJB Daily Readings'!EV20-'DJB Daily Readings'!EV19)*1.89</f>
        <v>24.57</v>
      </c>
      <c r="BI12" s="82">
        <f>('DJB Daily Readings'!EZ20-'DJB Daily Readings'!EZ19)*1.89</f>
        <v>60.48</v>
      </c>
      <c r="BJ12" s="82">
        <f>('DJB Daily Readings'!EX20-'DJB Daily Readings'!EX19)*1.89</f>
        <v>0</v>
      </c>
      <c r="BK12" s="82">
        <f>('DJB Daily Readings'!FB20-'DJB Daily Readings'!FB19)*1.89</f>
        <v>51.029999999999994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2020</v>
      </c>
      <c r="E13" s="78">
        <f>237*0.78</f>
        <v>184.86</v>
      </c>
      <c r="F13" s="79">
        <f>331+47</f>
        <v>378</v>
      </c>
      <c r="G13" s="3">
        <f>'DJB Daily Readings'!C21-'DJB Daily Readings'!C20</f>
        <v>478</v>
      </c>
      <c r="H13" s="3">
        <f>'DJB Daily Readings'!F21-'DJB Daily Readings'!F20</f>
        <v>423</v>
      </c>
      <c r="I13" s="3">
        <f>'DJB Daily Readings'!K21-'DJB Daily Readings'!K20</f>
        <v>136</v>
      </c>
      <c r="J13" s="3">
        <f>'DJB Daily Readings'!K21-'DJB Daily Readings'!K20</f>
        <v>136</v>
      </c>
      <c r="K13" s="3">
        <f>'DJB Daily Readings'!O21-'DJB Daily Readings'!O20</f>
        <v>38</v>
      </c>
      <c r="L13" s="3">
        <f>'DJB Daily Readings'!R21-'DJB Daily Readings'!R20</f>
        <v>3</v>
      </c>
      <c r="M13" s="3">
        <f>'DJB Daily Readings'!U21-'DJB Daily Readings'!U20</f>
        <v>1997.5200000004843</v>
      </c>
      <c r="N13" s="3">
        <f>'DJB Daily Readings'!X21-'DJB Daily Readings'!X20</f>
        <v>4628.4000000003725</v>
      </c>
      <c r="O13" s="3">
        <f>'DJB Daily Readings'!AA21-'DJB Daily Readings'!AA20</f>
        <v>-48.720000000670552</v>
      </c>
      <c r="P13" s="3">
        <f>'DJB Daily Readings'!AD21-'DJB Daily Readings'!AD20</f>
        <v>584.6399999987334</v>
      </c>
      <c r="Q13" s="3">
        <f>'DJB Daily Readings'!AG21-'DJB Daily Readings'!AG20</f>
        <v>4579.679999999702</v>
      </c>
      <c r="R13" s="3">
        <f>'DJB Daily Readings'!AJ21-'DJB Daily Readings'!AJ20</f>
        <v>5651.519999999553</v>
      </c>
      <c r="S13" s="3">
        <f>'DJB Daily Readings'!AM21-'DJB Daily Readings'!AM20</f>
        <v>3215.519999999553</v>
      </c>
      <c r="T13" s="3">
        <f>'DJB Daily Readings'!AP21-'DJB Daily Readings'!AP20</f>
        <v>4530.9600000008941</v>
      </c>
      <c r="U13" s="3">
        <f>'DJB Daily Readings'!AS21-'DJB Daily Readings'!AS20</f>
        <v>2971.9199999999255</v>
      </c>
      <c r="V13" s="3">
        <f>'DJB Daily Readings'!AV21-'DJB Daily Readings'!AV20</f>
        <v>4872</v>
      </c>
      <c r="W13" s="3">
        <f>'DJB Daily Readings'!AZ21-'DJB Daily Readings'!AZ20</f>
        <v>0</v>
      </c>
      <c r="X13" s="3">
        <f>'DJB Daily Readings'!BC21-'DJB Daily Readings'!BC20</f>
        <v>100</v>
      </c>
      <c r="Y13" s="3">
        <f>'DJB Daily Readings'!BF21-'DJB Daily Readings'!BF20</f>
        <v>34000</v>
      </c>
      <c r="Z13" s="3">
        <f>('DJB Daily Readings'!CK21-'DJB Daily Readings'!CK20)*1.89</f>
        <v>158.76</v>
      </c>
      <c r="AA13" s="3">
        <f>('DJB Daily Readings'!CN21-'DJB Daily Readings'!CN20)*1.89</f>
        <v>175.76999999999998</v>
      </c>
      <c r="AB13" s="3">
        <f>('DJB Daily Readings'!CQ21-'DJB Daily Readings'!CQ20)*1.89</f>
        <v>481.95</v>
      </c>
      <c r="AC13" s="3">
        <f>'DJB Daily Readings'!CT21-'DJB Daily Readings'!CT20</f>
        <v>172</v>
      </c>
      <c r="AD13" s="84">
        <f>('DJB Daily Readings'!BY21-'DJB Daily Readings'!BY20)*1.89</f>
        <v>39.69</v>
      </c>
      <c r="AE13" s="84">
        <f>('DJB Daily Readings'!CA21-'DJB Daily Readings'!CA20)*1.89</f>
        <v>28.349999999999998</v>
      </c>
      <c r="AF13" s="84">
        <f>('DJB Daily Readings'!CC21-'DJB Daily Readings'!CC20)*1.89</f>
        <v>7.56</v>
      </c>
      <c r="AG13" s="84">
        <f>('DJB Daily Readings'!CE21-'DJB Daily Readings'!CE20)*1.89</f>
        <v>20.79</v>
      </c>
      <c r="AH13" s="84">
        <f>('DJB Daily Readings'!CG21-'DJB Daily Readings'!CG20)*1.89</f>
        <v>13.229999999999999</v>
      </c>
      <c r="AI13" s="84">
        <f>('DJB Daily Readings'!CI21-'DJB Daily Readings'!CI20)*1.89</f>
        <v>45.36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12</v>
      </c>
      <c r="AM13" s="82">
        <f>'DJB Daily Readings'!DA21-'DJB Daily Readings'!DA20</f>
        <v>14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4</v>
      </c>
      <c r="AS13" s="82">
        <f>'DJB Daily Readings'!DM21-'DJB Daily Readings'!DM20</f>
        <v>21</v>
      </c>
      <c r="AT13" s="82">
        <f>'DJB Daily Readings'!DQ21-'DJB Daily Readings'!DQ20</f>
        <v>9</v>
      </c>
      <c r="AU13" s="82">
        <f>'DJB Daily Readings'!DT21-'DJB Daily Readings'!DT20</f>
        <v>1397</v>
      </c>
      <c r="AW13" s="82">
        <f>'DJB Daily Readings'!DX21-'DJB Daily Readings'!DX20</f>
        <v>1039</v>
      </c>
      <c r="AX13" s="82">
        <f>'DJB Daily Readings'!DZ21-'DJB Daily Readings'!DZ20</f>
        <v>4</v>
      </c>
      <c r="AY13" s="82">
        <f>'DJB Daily Readings'!EB21-'DJB Daily Readings'!EB20</f>
        <v>477</v>
      </c>
      <c r="AZ13" s="82">
        <f>'DJB Daily Readings'!ED21-'DJB Daily Readings'!ED20</f>
        <v>144</v>
      </c>
      <c r="BA13" s="82">
        <f>'DJB Daily Readings'!EG21-'DJB Daily Readings'!EG20</f>
        <v>1100</v>
      </c>
      <c r="BB13" s="82">
        <f>'DJB Daily Readings'!EI21-'DJB Daily Readings'!EI20</f>
        <v>170</v>
      </c>
      <c r="BC13" s="82">
        <f>'DJB Daily Readings'!EQ21-'DJB Daily Readings'!EQ20</f>
        <v>400</v>
      </c>
      <c r="BD13" s="82">
        <f>'DJB Daily Readings'!EK21-'DJB Daily Readings'!EK20</f>
        <v>700</v>
      </c>
      <c r="BE13" s="82">
        <f>'DJB Daily Readings'!EM21-'DJB Daily Readings'!EM20</f>
        <v>0</v>
      </c>
      <c r="BF13" s="82">
        <f>'DJB Daily Readings'!EO21-'DJB Daily Readings'!EO20</f>
        <v>160</v>
      </c>
      <c r="BG13" s="82">
        <f>('DJB Daily Readings'!ET21-'DJB Daily Readings'!ET20)*1.89</f>
        <v>30.24</v>
      </c>
      <c r="BH13" s="82">
        <f>('DJB Daily Readings'!EV21-'DJB Daily Readings'!EV20)*1.89</f>
        <v>24.57</v>
      </c>
      <c r="BI13" s="82">
        <f>('DJB Daily Readings'!EZ21-'DJB Daily Readings'!EZ20)*1.89</f>
        <v>56.699999999999996</v>
      </c>
      <c r="BJ13" s="82">
        <f>('DJB Daily Readings'!EX21-'DJB Daily Readings'!EX20)*1.89</f>
        <v>0</v>
      </c>
      <c r="BK13" s="82">
        <f>('DJB Daily Readings'!FB21-'DJB Daily Readings'!FB20)*1.89</f>
        <v>51.029999999999994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2020</v>
      </c>
      <c r="E14" s="78">
        <f>237*0.9</f>
        <v>213.3</v>
      </c>
      <c r="F14" s="79">
        <f>390+53</f>
        <v>443</v>
      </c>
      <c r="G14" s="3">
        <f>'DJB Daily Readings'!C22-'DJB Daily Readings'!C21</f>
        <v>513</v>
      </c>
      <c r="H14" s="3">
        <f>'DJB Daily Readings'!F22-'DJB Daily Readings'!F21</f>
        <v>450</v>
      </c>
      <c r="I14" s="3">
        <f>'DJB Daily Readings'!K22-'DJB Daily Readings'!K21</f>
        <v>123</v>
      </c>
      <c r="J14" s="3">
        <f>'DJB Daily Readings'!K22-'DJB Daily Readings'!K21</f>
        <v>123</v>
      </c>
      <c r="K14" s="3">
        <f>'DJB Daily Readings'!O22-'DJB Daily Readings'!O21</f>
        <v>51</v>
      </c>
      <c r="L14" s="3">
        <f>'DJB Daily Readings'!R22-'DJB Daily Readings'!R21</f>
        <v>9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0</v>
      </c>
      <c r="P14" s="3">
        <f>'DJB Daily Readings'!AD22-'DJB Daily Readings'!AD21</f>
        <v>535.91999999992549</v>
      </c>
      <c r="Q14" s="3">
        <f>'DJB Daily Readings'!AG22-'DJB Daily Readings'!AG21</f>
        <v>5602.8000000007451</v>
      </c>
      <c r="R14" s="3">
        <f>'DJB Daily Readings'!AJ22-'DJB Daily Readings'!AJ21</f>
        <v>5846.4000000003725</v>
      </c>
      <c r="S14" s="3">
        <f>'DJB Daily Readings'!AM22-'DJB Daily Readings'!AM21</f>
        <v>3751.4400000013411</v>
      </c>
      <c r="T14" s="3">
        <f>'DJB Daily Readings'!AP22-'DJB Daily Readings'!AP21</f>
        <v>4628.3999999985099</v>
      </c>
      <c r="U14" s="3">
        <f>'DJB Daily Readings'!AS22-'DJB Daily Readings'!AS21</f>
        <v>2971.9200000008568</v>
      </c>
      <c r="V14" s="3">
        <f>'DJB Daily Readings'!AV22-'DJB Daily Readings'!AV21</f>
        <v>5456.640000000596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28200</v>
      </c>
      <c r="Z14" s="3">
        <f>('DJB Daily Readings'!CK22-'DJB Daily Readings'!CK21)*1.89</f>
        <v>183.32999999999998</v>
      </c>
      <c r="AA14" s="3">
        <f>('DJB Daily Readings'!CN22-'DJB Daily Readings'!CN21)*1.89</f>
        <v>162.54</v>
      </c>
      <c r="AB14" s="3">
        <f>('DJB Daily Readings'!CQ22-'DJB Daily Readings'!CQ21)*1.89</f>
        <v>790.02</v>
      </c>
      <c r="AC14" s="3">
        <f>'DJB Daily Readings'!CT22-'DJB Daily Readings'!CT21</f>
        <v>159</v>
      </c>
      <c r="AD14" s="84">
        <f>('DJB Daily Readings'!BY22-'DJB Daily Readings'!BY21)*1.89</f>
        <v>34.019999999999996</v>
      </c>
      <c r="AE14" s="84">
        <f>('DJB Daily Readings'!CA22-'DJB Daily Readings'!CA21)*1.89</f>
        <v>26.459999999999997</v>
      </c>
      <c r="AF14" s="84">
        <f>('DJB Daily Readings'!CC22-'DJB Daily Readings'!CC21)*1.89</f>
        <v>20.79</v>
      </c>
      <c r="AG14" s="84">
        <f>('DJB Daily Readings'!CE22-'DJB Daily Readings'!CE21)*1.89</f>
        <v>18.899999999999999</v>
      </c>
      <c r="AH14" s="84">
        <f>('DJB Daily Readings'!CG22-'DJB Daily Readings'!CG21)*1.89</f>
        <v>13.229999999999999</v>
      </c>
      <c r="AI14" s="84">
        <f>('DJB Daily Readings'!CI22-'DJB Daily Readings'!CI21)*1.89</f>
        <v>52.919999999999995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15</v>
      </c>
      <c r="AM14" s="82">
        <f>'DJB Daily Readings'!DA22-'DJB Daily Readings'!DA21</f>
        <v>15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3</v>
      </c>
      <c r="AS14" s="82">
        <f>'DJB Daily Readings'!DM22-'DJB Daily Readings'!DM21</f>
        <v>8</v>
      </c>
      <c r="AT14" s="82">
        <f>'DJB Daily Readings'!DQ22-'DJB Daily Readings'!DQ21</f>
        <v>10</v>
      </c>
      <c r="AU14" s="82">
        <f>'DJB Daily Readings'!DT22-'DJB Daily Readings'!DT21</f>
        <v>1532</v>
      </c>
      <c r="AW14" s="82">
        <f>'DJB Daily Readings'!DX22-'DJB Daily Readings'!DX21</f>
        <v>1096</v>
      </c>
      <c r="AX14" s="82">
        <f>'DJB Daily Readings'!DZ22-'DJB Daily Readings'!DZ21</f>
        <v>5</v>
      </c>
      <c r="AY14" s="82">
        <f>'DJB Daily Readings'!EB22-'DJB Daily Readings'!EB21</f>
        <v>520</v>
      </c>
      <c r="AZ14" s="82">
        <f>'DJB Daily Readings'!ED22-'DJB Daily Readings'!ED21</f>
        <v>154</v>
      </c>
      <c r="BA14" s="82">
        <f>'DJB Daily Readings'!EG22-'DJB Daily Readings'!EG21</f>
        <v>1300</v>
      </c>
      <c r="BB14" s="82">
        <f>'DJB Daily Readings'!EI22-'DJB Daily Readings'!EI21</f>
        <v>210</v>
      </c>
      <c r="BC14" s="82">
        <f>'DJB Daily Readings'!EQ22-'DJB Daily Readings'!EQ21</f>
        <v>100</v>
      </c>
      <c r="BD14" s="82">
        <f>'DJB Daily Readings'!EK22-'DJB Daily Readings'!EK21</f>
        <v>900</v>
      </c>
      <c r="BE14" s="82">
        <f>'DJB Daily Readings'!EM22-'DJB Daily Readings'!EM21</f>
        <v>100</v>
      </c>
      <c r="BF14" s="82">
        <f>'DJB Daily Readings'!EO22-'DJB Daily Readings'!EO21</f>
        <v>130</v>
      </c>
      <c r="BG14" s="82">
        <f>('DJB Daily Readings'!ET22-'DJB Daily Readings'!ET21)*1.89</f>
        <v>34.019999999999996</v>
      </c>
      <c r="BH14" s="82">
        <f>('DJB Daily Readings'!EV22-'DJB Daily Readings'!EV21)*1.89</f>
        <v>26.459999999999997</v>
      </c>
      <c r="BI14" s="82">
        <f>('DJB Daily Readings'!EZ22-'DJB Daily Readings'!EZ21)*1.89</f>
        <v>66.149999999999991</v>
      </c>
      <c r="BJ14" s="82">
        <f>('DJB Daily Readings'!EX22-'DJB Daily Readings'!EX21)*1.89</f>
        <v>0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2020</v>
      </c>
      <c r="E15" s="78">
        <f>237*0.92</f>
        <v>218.04000000000002</v>
      </c>
      <c r="F15" s="79">
        <f>396+65</f>
        <v>461</v>
      </c>
      <c r="G15" s="3">
        <f>'DJB Daily Readings'!C23-'DJB Daily Readings'!C22</f>
        <v>556</v>
      </c>
      <c r="H15" s="3">
        <f>'DJB Daily Readings'!F23-'DJB Daily Readings'!F22</f>
        <v>482</v>
      </c>
      <c r="I15" s="3">
        <f>'DJB Daily Readings'!K23-'DJB Daily Readings'!K22</f>
        <v>156</v>
      </c>
      <c r="J15" s="3">
        <f>'DJB Daily Readings'!K23-'DJB Daily Readings'!K22</f>
        <v>156</v>
      </c>
      <c r="K15" s="3">
        <f>'DJB Daily Readings'!O23-'DJB Daily Readings'!O22</f>
        <v>55</v>
      </c>
      <c r="L15" s="3">
        <f>'DJB Daily Readings'!R23-'DJB Daily Readings'!R22</f>
        <v>10</v>
      </c>
      <c r="M15" s="3">
        <f>'DJB Daily Readings'!U23-'DJB Daily Readings'!U22</f>
        <v>2289.839999999851</v>
      </c>
      <c r="N15" s="3">
        <f>'DJB Daily Readings'!X23-'DJB Daily Readings'!X22</f>
        <v>4872</v>
      </c>
      <c r="O15" s="3">
        <f>'DJB Daily Readings'!AA23-'DJB Daily Readings'!AA22</f>
        <v>194.88000000081956</v>
      </c>
      <c r="P15" s="3">
        <f>'DJB Daily Readings'!AD23-'DJB Daily Readings'!AD22</f>
        <v>584.64000000059605</v>
      </c>
      <c r="Q15" s="3">
        <f>'DJB Daily Readings'!AG23-'DJB Daily Readings'!AG22</f>
        <v>6577.1999999992549</v>
      </c>
      <c r="R15" s="3">
        <f>'DJB Daily Readings'!AJ23-'DJB Daily Readings'!AJ22</f>
        <v>6138.7199999988079</v>
      </c>
      <c r="S15" s="3">
        <f>'DJB Daily Readings'!AM23-'DJB Daily Readings'!AM22</f>
        <v>3702.7199999988079</v>
      </c>
      <c r="T15" s="3">
        <f>'DJB Daily Readings'!AP23-'DJB Daily Readings'!AP22</f>
        <v>4774.5600000023842</v>
      </c>
      <c r="U15" s="3">
        <f>'DJB Daily Readings'!AS23-'DJB Daily Readings'!AS22</f>
        <v>2971.9199999989942</v>
      </c>
      <c r="V15" s="3">
        <f>'DJB Daily Readings'!AV23-'DJB Daily Readings'!AV22</f>
        <v>5748.9599999990314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17800</v>
      </c>
      <c r="Z15" s="3">
        <f>('DJB Daily Readings'!CK23-'DJB Daily Readings'!CK22)*1.89</f>
        <v>173.88</v>
      </c>
      <c r="AA15" s="3">
        <f>('DJB Daily Readings'!CN23-'DJB Daily Readings'!CN22)*1.89</f>
        <v>181.44</v>
      </c>
      <c r="AB15" s="3">
        <f>('DJB Daily Readings'!CQ23-'DJB Daily Readings'!CQ22)*1.89</f>
        <v>682.29</v>
      </c>
      <c r="AC15" s="3">
        <f>'DJB Daily Readings'!CT23-'DJB Daily Readings'!CT22</f>
        <v>162</v>
      </c>
      <c r="AD15" s="84">
        <f>('DJB Daily Readings'!BY23-'DJB Daily Readings'!BY22)*1.89</f>
        <v>41.58</v>
      </c>
      <c r="AE15" s="84">
        <f>('DJB Daily Readings'!CA23-'DJB Daily Readings'!CA22)*1.89</f>
        <v>30.24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9.4499999999999993</v>
      </c>
      <c r="AI15" s="84">
        <f>('DJB Daily Readings'!CI23-'DJB Daily Readings'!CI22)*1.89</f>
        <v>54.809999999999995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15</v>
      </c>
      <c r="AM15" s="82">
        <f>'DJB Daily Readings'!DA23-'DJB Daily Readings'!DA22</f>
        <v>14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3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1632</v>
      </c>
      <c r="AW15" s="82">
        <f>'DJB Daily Readings'!DX23-'DJB Daily Readings'!DX22</f>
        <v>1146</v>
      </c>
      <c r="AX15" s="82">
        <f>'DJB Daily Readings'!DZ23-'DJB Daily Readings'!DZ22</f>
        <v>4</v>
      </c>
      <c r="AY15" s="82">
        <f>'DJB Daily Readings'!EB23-'DJB Daily Readings'!EB22</f>
        <v>548</v>
      </c>
      <c r="AZ15" s="82">
        <f>'DJB Daily Readings'!ED23-'DJB Daily Readings'!ED22</f>
        <v>157</v>
      </c>
      <c r="BA15" s="82">
        <f>'DJB Daily Readings'!EG23-'DJB Daily Readings'!EG22</f>
        <v>1800</v>
      </c>
      <c r="BB15" s="82">
        <f>'DJB Daily Readings'!EI23-'DJB Daily Readings'!EI22</f>
        <v>210</v>
      </c>
      <c r="BC15" s="82">
        <f>'DJB Daily Readings'!EQ23-'DJB Daily Readings'!EQ22</f>
        <v>1000</v>
      </c>
      <c r="BD15" s="82">
        <f>'DJB Daily Readings'!EK23-'DJB Daily Readings'!EK22</f>
        <v>1000</v>
      </c>
      <c r="BE15" s="82">
        <f>'DJB Daily Readings'!EM23-'DJB Daily Readings'!EM22</f>
        <v>0</v>
      </c>
      <c r="BF15" s="82">
        <f>'DJB Daily Readings'!EO23-'DJB Daily Readings'!EO22</f>
        <v>130</v>
      </c>
      <c r="BG15" s="82">
        <f>('DJB Daily Readings'!ET23-'DJB Daily Readings'!ET22)*1.89</f>
        <v>34.019999999999996</v>
      </c>
      <c r="BH15" s="82">
        <f>('DJB Daily Readings'!EV23-'DJB Daily Readings'!EV22)*1.89</f>
        <v>26.459999999999997</v>
      </c>
      <c r="BI15" s="82">
        <f>('DJB Daily Readings'!EZ23-'DJB Daily Readings'!EZ22)*1.89</f>
        <v>62.37</v>
      </c>
      <c r="BJ15" s="82">
        <f>('DJB Daily Readings'!EX23-'DJB Daily Readings'!EX22)*1.89</f>
        <v>0</v>
      </c>
      <c r="BK15" s="82">
        <f>('DJB Daily Readings'!FB23-'DJB Daily Readings'!FB22)*1.89</f>
        <v>52.919999999999995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2020</v>
      </c>
      <c r="E16" s="78">
        <f>237*0.93</f>
        <v>220.41000000000003</v>
      </c>
      <c r="F16" s="79">
        <f>382+74</f>
        <v>456</v>
      </c>
      <c r="G16" s="3">
        <f>'DJB Daily Readings'!C24-'DJB Daily Readings'!C23</f>
        <v>553</v>
      </c>
      <c r="H16" s="3">
        <f>'DJB Daily Readings'!F24-'DJB Daily Readings'!F23</f>
        <v>482</v>
      </c>
      <c r="I16" s="3">
        <f>'DJB Daily Readings'!K24-'DJB Daily Readings'!K23</f>
        <v>140</v>
      </c>
      <c r="J16" s="3">
        <f>'DJB Daily Readings'!K24-'DJB Daily Readings'!K23</f>
        <v>140</v>
      </c>
      <c r="K16" s="3">
        <f>'DJB Daily Readings'!O24-'DJB Daily Readings'!O23</f>
        <v>44</v>
      </c>
      <c r="L16" s="3">
        <f>'DJB Daily Readings'!R24-'DJB Daily Readings'!R23</f>
        <v>4</v>
      </c>
      <c r="M16" s="3">
        <f>'DJB Daily Readings'!U24-'DJB Daily Readings'!U23</f>
        <v>1900.0800000000745</v>
      </c>
      <c r="N16" s="3">
        <f>'DJB Daily Readings'!X24-'DJB Daily Readings'!X23</f>
        <v>4774.5600000005215</v>
      </c>
      <c r="O16" s="3">
        <f>'DJB Daily Readings'!AA24-'DJB Daily Readings'!AA23</f>
        <v>243.59999999962747</v>
      </c>
      <c r="P16" s="3">
        <f>'DJB Daily Readings'!AD24-'DJB Daily Readings'!AD23</f>
        <v>6966.9600000008941</v>
      </c>
      <c r="Q16" s="3">
        <f>'DJB Daily Readings'!AG24-'DJB Daily Readings'!AG23</f>
        <v>633.35999999940395</v>
      </c>
      <c r="R16" s="3">
        <f>'DJB Daily Readings'!AJ24-'DJB Daily Readings'!AJ23</f>
        <v>5456.640000000596</v>
      </c>
      <c r="S16" s="3">
        <f>'DJB Daily Readings'!AM24-'DJB Daily Readings'!AM23</f>
        <v>3751.4399999994785</v>
      </c>
      <c r="T16" s="3">
        <f>'DJB Daily Readings'!AP24-'DJB Daily Readings'!AP23</f>
        <v>4774.5599999986589</v>
      </c>
      <c r="U16" s="3">
        <f>'DJB Daily Readings'!AS24-'DJB Daily Readings'!AS23</f>
        <v>3166.7999999998137</v>
      </c>
      <c r="V16" s="3">
        <f>'DJB Daily Readings'!AV24-'DJB Daily Readings'!AV23</f>
        <v>5505.359999999404</v>
      </c>
      <c r="W16" s="3">
        <f>'DJB Daily Readings'!AZ24-'DJB Daily Readings'!AZ23</f>
        <v>0</v>
      </c>
      <c r="X16" s="3">
        <f>'DJB Daily Readings'!BC24-'DJB Daily Readings'!BC23</f>
        <v>33400</v>
      </c>
      <c r="Y16" s="3">
        <f>'DJB Daily Readings'!BF24-'DJB Daily Readings'!BF23</f>
        <v>1200</v>
      </c>
      <c r="Z16" s="3">
        <f>('DJB Daily Readings'!CK24-'DJB Daily Readings'!CK23)*1.89</f>
        <v>170.1</v>
      </c>
      <c r="AA16" s="3">
        <f>('DJB Daily Readings'!CN24-'DJB Daily Readings'!CN23)*1.89</f>
        <v>185.22</v>
      </c>
      <c r="AB16" s="3">
        <f>('DJB Daily Readings'!CQ24-'DJB Daily Readings'!CQ23)*1.89</f>
        <v>453.59999999999997</v>
      </c>
      <c r="AC16" s="3">
        <f>'DJB Daily Readings'!CT24-'DJB Daily Readings'!CT23</f>
        <v>158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17</v>
      </c>
      <c r="AM16" s="82">
        <f>'DJB Daily Readings'!DA24-'DJB Daily Readings'!DA23</f>
        <v>22</v>
      </c>
      <c r="AN16" s="82">
        <f>'DJB Daily Readings'!DG24-'DJB Daily Readings'!DG23</f>
        <v>9</v>
      </c>
      <c r="AO16" s="82">
        <f>'DJB Daily Readings'!DE24-'DJB Daily Readings'!DE23</f>
        <v>13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6</v>
      </c>
      <c r="AT16" s="82">
        <f>'DJB Daily Readings'!DQ24-'DJB Daily Readings'!DQ23</f>
        <v>10</v>
      </c>
      <c r="AU16" s="82">
        <f>'DJB Daily Readings'!DT24-'DJB Daily Readings'!DT23</f>
        <v>1492</v>
      </c>
      <c r="AW16" s="82">
        <f>'DJB Daily Readings'!DX24-'DJB Daily Readings'!DX23</f>
        <v>1081</v>
      </c>
      <c r="AX16" s="82">
        <f>'DJB Daily Readings'!DZ24-'DJB Daily Readings'!DZ23</f>
        <v>4</v>
      </c>
      <c r="AY16" s="82">
        <f>'DJB Daily Readings'!EB24-'DJB Daily Readings'!EB23</f>
        <v>493</v>
      </c>
      <c r="AZ16" s="82">
        <f>'DJB Daily Readings'!ED24-'DJB Daily Readings'!ED23</f>
        <v>144</v>
      </c>
      <c r="BA16" s="82">
        <f>'DJB Daily Readings'!EG24-'DJB Daily Readings'!EG23</f>
        <v>2300</v>
      </c>
      <c r="BB16" s="82">
        <f>'DJB Daily Readings'!EI24-'DJB Daily Readings'!EI23</f>
        <v>230</v>
      </c>
      <c r="BC16" s="82">
        <f>'DJB Daily Readings'!EQ24-'DJB Daily Readings'!EQ23</f>
        <v>1300</v>
      </c>
      <c r="BD16" s="82">
        <f>'DJB Daily Readings'!EK24-'DJB Daily Readings'!EK23</f>
        <v>1400</v>
      </c>
      <c r="BE16" s="82">
        <f>'DJB Daily Readings'!EM24-'DJB Daily Readings'!EM23</f>
        <v>0</v>
      </c>
      <c r="BF16" s="82">
        <f>'DJB Daily Readings'!EO24-'DJB Daily Readings'!EO23</f>
        <v>130</v>
      </c>
      <c r="BG16" s="82">
        <f>('DJB Daily Readings'!ET24-'DJB Daily Readings'!ET23)*1.89</f>
        <v>30.24</v>
      </c>
      <c r="BH16" s="82">
        <f>('DJB Daily Readings'!EV24-'DJB Daily Readings'!EV23)*1.89</f>
        <v>30.24</v>
      </c>
      <c r="BI16" s="82">
        <f>('DJB Daily Readings'!EZ24-'DJB Daily Readings'!EZ23)*1.89</f>
        <v>60.48</v>
      </c>
      <c r="BJ16" s="82">
        <f>('DJB Daily Readings'!EX24-'DJB Daily Readings'!EX23)*1.89</f>
        <v>0</v>
      </c>
      <c r="BK16" s="82">
        <f>('DJB Daily Readings'!FB24-'DJB Daily Readings'!FB23)*1.89</f>
        <v>47.25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2020</v>
      </c>
      <c r="E17" s="78">
        <f>237*0.9</f>
        <v>213.3</v>
      </c>
      <c r="F17" s="79">
        <f>377+74</f>
        <v>451</v>
      </c>
      <c r="G17" s="3">
        <f>'DJB Daily Readings'!C25-'DJB Daily Readings'!C24</f>
        <v>487</v>
      </c>
      <c r="H17" s="3">
        <f>'DJB Daily Readings'!F25-'DJB Daily Readings'!F24</f>
        <v>438</v>
      </c>
      <c r="I17" s="3">
        <f>'DJB Daily Readings'!K25-'DJB Daily Readings'!K24</f>
        <v>130</v>
      </c>
      <c r="J17" s="3">
        <f>'DJB Daily Readings'!K25-'DJB Daily Readings'!K24</f>
        <v>130</v>
      </c>
      <c r="K17" s="3">
        <f>'DJB Daily Readings'!O25-'DJB Daily Readings'!O24</f>
        <v>50</v>
      </c>
      <c r="L17" s="3">
        <f>'DJB Daily Readings'!R25-'DJB Daily Readings'!R24</f>
        <v>12</v>
      </c>
      <c r="M17" s="3">
        <f>'DJB Daily Readings'!U25-'DJB Daily Readings'!U24</f>
        <v>1900.0800000000745</v>
      </c>
      <c r="N17" s="3">
        <f>'DJB Daily Readings'!X25-'DJB Daily Readings'!X24</f>
        <v>4823.2799999993294</v>
      </c>
      <c r="O17" s="3">
        <f>'DJB Daily Readings'!AA25-'DJB Daily Readings'!AA24</f>
        <v>341.04000000096858</v>
      </c>
      <c r="P17" s="3">
        <f>'DJB Daily Readings'!AD25-'DJB Daily Readings'!AD24</f>
        <v>6236.1599999982864</v>
      </c>
      <c r="Q17" s="3">
        <f>'DJB Daily Readings'!AG25-'DJB Daily Readings'!AG24</f>
        <v>535.92000000178814</v>
      </c>
      <c r="R17" s="3">
        <f>'DJB Daily Readings'!AJ25-'DJB Daily Readings'!AJ24</f>
        <v>5602.7999999988824</v>
      </c>
      <c r="S17" s="3">
        <f>'DJB Daily Readings'!AM25-'DJB Daily Readings'!AM24</f>
        <v>3507.8400000017136</v>
      </c>
      <c r="T17" s="3">
        <f>'DJB Daily Readings'!AP25-'DJB Daily Readings'!AP24</f>
        <v>4628.4000000003725</v>
      </c>
      <c r="U17" s="3">
        <f>'DJB Daily Readings'!AS25-'DJB Daily Readings'!AS24</f>
        <v>3069.3600000003353</v>
      </c>
      <c r="V17" s="3">
        <f>'DJB Daily Readings'!AV25-'DJB Daily Readings'!AV24</f>
        <v>5359.1999999992549</v>
      </c>
      <c r="W17" s="3">
        <f>'DJB Daily Readings'!AZ25-'DJB Daily Readings'!AZ24</f>
        <v>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173.88</v>
      </c>
      <c r="AA17" s="3">
        <f>('DJB Daily Readings'!CN25-'DJB Daily Readings'!CN24)*1.89</f>
        <v>175.76999999999998</v>
      </c>
      <c r="AB17" s="3">
        <f>('DJB Daily Readings'!CQ25-'DJB Daily Readings'!CQ24)*1.89</f>
        <v>563.22</v>
      </c>
      <c r="AC17" s="3">
        <f>'DJB Daily Readings'!CT25-'DJB Daily Readings'!CT24</f>
        <v>161</v>
      </c>
      <c r="AD17" s="84">
        <f>('DJB Daily Readings'!BY25-'DJB Daily Readings'!BY24)*1.89</f>
        <v>79.38</v>
      </c>
      <c r="AE17" s="84">
        <f>('DJB Daily Readings'!CA25-'DJB Daily Readings'!CA24)*1.89</f>
        <v>47.25</v>
      </c>
      <c r="AF17" s="84">
        <f>('DJB Daily Readings'!CC25-'DJB Daily Readings'!CC24)*1.89</f>
        <v>22.68</v>
      </c>
      <c r="AG17" s="84">
        <f>('DJB Daily Readings'!CE25-'DJB Daily Readings'!CE24)*1.89</f>
        <v>41.58</v>
      </c>
      <c r="AH17" s="84">
        <f>('DJB Daily Readings'!CG25-'DJB Daily Readings'!CG24)*1.89</f>
        <v>35.909999999999997</v>
      </c>
      <c r="AI17" s="84">
        <f>('DJB Daily Readings'!CI25-'DJB Daily Readings'!CI24)*1.89</f>
        <v>103.94999999999999</v>
      </c>
      <c r="AJ17" s="81">
        <f>'DJB Daily Readings'!CY25-'DJB Daily Readings'!CY24</f>
        <v>30</v>
      </c>
      <c r="AK17" s="81">
        <f>'DJB Daily Readings'!CW25-'DJB Daily Readings'!CW24</f>
        <v>3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4</v>
      </c>
      <c r="AO17" s="82">
        <f>'DJB Daily Readings'!DE25-'DJB Daily Readings'!DE24</f>
        <v>5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0</v>
      </c>
      <c r="AT17" s="82">
        <f>'DJB Daily Readings'!DQ25-'DJB Daily Readings'!DQ24</f>
        <v>9</v>
      </c>
      <c r="AU17" s="82">
        <f>'DJB Daily Readings'!DT25-'DJB Daily Readings'!DT24</f>
        <v>1524</v>
      </c>
      <c r="AW17" s="82">
        <f>'DJB Daily Readings'!DX25-'DJB Daily Readings'!DX24</f>
        <v>1083</v>
      </c>
      <c r="AX17" s="82">
        <f>'DJB Daily Readings'!DZ25-'DJB Daily Readings'!DZ24</f>
        <v>4</v>
      </c>
      <c r="AY17" s="82">
        <f>'DJB Daily Readings'!EB25-'DJB Daily Readings'!EB24</f>
        <v>514</v>
      </c>
      <c r="AZ17" s="82">
        <f>'DJB Daily Readings'!ED25-'DJB Daily Readings'!ED24</f>
        <v>143</v>
      </c>
      <c r="BA17" s="82">
        <f>'DJB Daily Readings'!EG25-'DJB Daily Readings'!EG24</f>
        <v>2100</v>
      </c>
      <c r="BB17" s="82">
        <f>'DJB Daily Readings'!EI25-'DJB Daily Readings'!EI24</f>
        <v>220</v>
      </c>
      <c r="BC17" s="82">
        <f>'DJB Daily Readings'!EQ25-'DJB Daily Readings'!EQ24</f>
        <v>1000</v>
      </c>
      <c r="BD17" s="82">
        <f>'DJB Daily Readings'!EK25-'DJB Daily Readings'!EK24</f>
        <v>1200</v>
      </c>
      <c r="BE17" s="82">
        <f>'DJB Daily Readings'!EM25-'DJB Daily Readings'!EM24</f>
        <v>100</v>
      </c>
      <c r="BF17" s="82">
        <f>'DJB Daily Readings'!EO25-'DJB Daily Readings'!EO24</f>
        <v>120</v>
      </c>
      <c r="BG17" s="82">
        <f>('DJB Daily Readings'!ET25-'DJB Daily Readings'!ET24)*1.89</f>
        <v>28.349999999999998</v>
      </c>
      <c r="BH17" s="82">
        <f>('DJB Daily Readings'!EV25-'DJB Daily Readings'!EV24)*1.89</f>
        <v>26.459999999999997</v>
      </c>
      <c r="BI17" s="82">
        <f>('DJB Daily Readings'!EZ25-'DJB Daily Readings'!EZ24)*1.89</f>
        <v>52.919999999999995</v>
      </c>
      <c r="BJ17" s="82">
        <f>('DJB Daily Readings'!EX25-'DJB Daily Readings'!EX24)*1.89</f>
        <v>0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2020</v>
      </c>
      <c r="E18" s="78">
        <f>237*0.95</f>
        <v>225.14999999999998</v>
      </c>
      <c r="F18" s="79">
        <f>370+73</f>
        <v>443</v>
      </c>
      <c r="G18" s="3">
        <f>'DJB Daily Readings'!C26-'DJB Daily Readings'!C25</f>
        <v>558</v>
      </c>
      <c r="H18" s="3">
        <f>'DJB Daily Readings'!F26-'DJB Daily Readings'!F25</f>
        <v>424</v>
      </c>
      <c r="I18" s="3">
        <f>'DJB Daily Readings'!K26-'DJB Daily Readings'!K25</f>
        <v>142</v>
      </c>
      <c r="J18" s="3">
        <f>'DJB Daily Readings'!K26-'DJB Daily Readings'!K25</f>
        <v>142</v>
      </c>
      <c r="K18" s="3">
        <f>'DJB Daily Readings'!O26-'DJB Daily Readings'!O25</f>
        <v>50</v>
      </c>
      <c r="L18" s="3">
        <f>'DJB Daily Readings'!R26-'DJB Daily Readings'!R25</f>
        <v>0</v>
      </c>
      <c r="M18" s="3">
        <f>'DJB Daily Readings'!U26-'DJB Daily Readings'!U25</f>
        <v>1948.7999999998137</v>
      </c>
      <c r="N18" s="3">
        <f>'DJB Daily Readings'!X26-'DJB Daily Readings'!X25</f>
        <v>4969.4400000013411</v>
      </c>
      <c r="O18" s="3">
        <f>'DJB Daily Readings'!AA26-'DJB Daily Readings'!AA25</f>
        <v>438.47999999858439</v>
      </c>
      <c r="P18" s="3">
        <f>'DJB Daily Readings'!AD26-'DJB Daily Readings'!AD25</f>
        <v>6918.2400000002235</v>
      </c>
      <c r="Q18" s="3">
        <f>'DJB Daily Readings'!AG26-'DJB Daily Readings'!AG25</f>
        <v>535.91999999806285</v>
      </c>
      <c r="R18" s="3">
        <f>'DJB Daily Readings'!AJ26-'DJB Daily Readings'!AJ25</f>
        <v>5748.9600000008941</v>
      </c>
      <c r="S18" s="3">
        <f>'DJB Daily Readings'!AM26-'DJB Daily Readings'!AM25</f>
        <v>3897.5999999996275</v>
      </c>
      <c r="T18" s="3">
        <f>'DJB Daily Readings'!AP26-'DJB Daily Readings'!AP25</f>
        <v>5066.8799999989569</v>
      </c>
      <c r="U18" s="3">
        <f>'DJB Daily Readings'!AS26-'DJB Daily Readings'!AS25</f>
        <v>3312.9599999990314</v>
      </c>
      <c r="V18" s="3">
        <f>'DJB Daily Readings'!AV26-'DJB Daily Readings'!AV25</f>
        <v>5554.0800000019372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177.66</v>
      </c>
      <c r="AA18" s="3">
        <f>('DJB Daily Readings'!CN26-'DJB Daily Readings'!CN25)*1.89</f>
        <v>179.54999999999998</v>
      </c>
      <c r="AB18" s="3">
        <f>('DJB Daily Readings'!CQ26-'DJB Daily Readings'!CQ25)*1.89</f>
        <v>481.95</v>
      </c>
      <c r="AC18" s="3">
        <f>'DJB Daily Readings'!CT26-'DJB Daily Readings'!CT25</f>
        <v>167</v>
      </c>
      <c r="AD18" s="84">
        <f>('DJB Daily Readings'!BY26-'DJB Daily Readings'!BY25)*1.89</f>
        <v>39.69</v>
      </c>
      <c r="AE18" s="84">
        <f>('DJB Daily Readings'!CA26-'DJB Daily Readings'!CA25)*1.89</f>
        <v>37.799999999999997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18.899999999999999</v>
      </c>
      <c r="AI18" s="84">
        <f>('DJB Daily Readings'!CI26-'DJB Daily Readings'!CI25)*1.89</f>
        <v>45.36</v>
      </c>
      <c r="AJ18" s="81">
        <f>'DJB Daily Readings'!CY26-'DJB Daily Readings'!CY25</f>
        <v>3</v>
      </c>
      <c r="AK18" s="81">
        <f>'DJB Daily Readings'!CW26-'DJB Daily Readings'!CW25</f>
        <v>0</v>
      </c>
      <c r="AL18" s="82">
        <f>'DJB Daily Readings'!DC26-'DJB Daily Readings'!DC25</f>
        <v>12</v>
      </c>
      <c r="AM18" s="82">
        <f>'DJB Daily Readings'!DA26-'DJB Daily Readings'!DA25</f>
        <v>14</v>
      </c>
      <c r="AN18" s="82">
        <f>'DJB Daily Readings'!DG26-'DJB Daily Readings'!DG25</f>
        <v>3</v>
      </c>
      <c r="AO18" s="82">
        <f>'DJB Daily Readings'!DE26-'DJB Daily Readings'!DE25</f>
        <v>5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2</v>
      </c>
      <c r="AS18" s="82">
        <f>'DJB Daily Readings'!DM26-'DJB Daily Readings'!DM25</f>
        <v>15</v>
      </c>
      <c r="AT18" s="82">
        <f>'DJB Daily Readings'!DQ26-'DJB Daily Readings'!DQ25</f>
        <v>10</v>
      </c>
      <c r="AU18" s="82">
        <f>'DJB Daily Readings'!DT26-'DJB Daily Readings'!DT25</f>
        <v>1512</v>
      </c>
      <c r="AW18" s="82">
        <f>'DJB Daily Readings'!DX26-'DJB Daily Readings'!DX25</f>
        <v>1106</v>
      </c>
      <c r="AX18" s="82">
        <f>'DJB Daily Readings'!DZ26-'DJB Daily Readings'!DZ25</f>
        <v>5</v>
      </c>
      <c r="AY18" s="82">
        <f>'DJB Daily Readings'!EB26-'DJB Daily Readings'!EB25</f>
        <v>564</v>
      </c>
      <c r="AZ18" s="82">
        <f>'DJB Daily Readings'!ED26-'DJB Daily Readings'!ED25</f>
        <v>146</v>
      </c>
      <c r="BA18" s="82">
        <f>'DJB Daily Readings'!EG26-'DJB Daily Readings'!EG25</f>
        <v>2400</v>
      </c>
      <c r="BB18" s="82">
        <f>'DJB Daily Readings'!EI26-'DJB Daily Readings'!EI25</f>
        <v>230</v>
      </c>
      <c r="BC18" s="82">
        <f>'DJB Daily Readings'!EQ26-'DJB Daily Readings'!EQ25</f>
        <v>1600</v>
      </c>
      <c r="BD18" s="82">
        <f>'DJB Daily Readings'!EK26-'DJB Daily Readings'!EK25</f>
        <v>1500</v>
      </c>
      <c r="BE18" s="82">
        <f>'DJB Daily Readings'!EM26-'DJB Daily Readings'!EM25</f>
        <v>0</v>
      </c>
      <c r="BF18" s="82">
        <f>'DJB Daily Readings'!EO26-'DJB Daily Readings'!EO25</f>
        <v>140</v>
      </c>
      <c r="BG18" s="82">
        <f>('DJB Daily Readings'!ET26-'DJB Daily Readings'!ET25)*1.89</f>
        <v>34.019999999999996</v>
      </c>
      <c r="BH18" s="82">
        <f>('DJB Daily Readings'!EV26-'DJB Daily Readings'!EV25)*1.89</f>
        <v>26.459999999999997</v>
      </c>
      <c r="BI18" s="82">
        <f>('DJB Daily Readings'!EZ26-'DJB Daily Readings'!EZ25)*1.89</f>
        <v>56.699999999999996</v>
      </c>
      <c r="BJ18" s="82">
        <f>('DJB Daily Readings'!EX26-'DJB Daily Readings'!EX25)*1.89</f>
        <v>0</v>
      </c>
      <c r="BK18" s="82">
        <f>('DJB Daily Readings'!FB26-'DJB Daily Readings'!FB25)*1.89</f>
        <v>47.25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2020</v>
      </c>
      <c r="E19" s="78">
        <f>237*0.96</f>
        <v>227.51999999999998</v>
      </c>
      <c r="F19" s="79">
        <f>360+79</f>
        <v>439</v>
      </c>
      <c r="G19" s="3">
        <f>'DJB Daily Readings'!C27-'DJB Daily Readings'!C26</f>
        <v>530</v>
      </c>
      <c r="H19" s="3">
        <f>'DJB Daily Readings'!F27-'DJB Daily Readings'!F26</f>
        <v>452</v>
      </c>
      <c r="I19" s="3">
        <f>'DJB Daily Readings'!K27-'DJB Daily Readings'!K26</f>
        <v>140</v>
      </c>
      <c r="J19" s="3">
        <f>'DJB Daily Readings'!K27-'DJB Daily Readings'!K26</f>
        <v>140</v>
      </c>
      <c r="K19" s="3">
        <f>'DJB Daily Readings'!O27-'DJB Daily Readings'!O26</f>
        <v>149</v>
      </c>
      <c r="L19" s="3">
        <f>'DJB Daily Readings'!R27-'DJB Daily Readings'!R26</f>
        <v>0</v>
      </c>
      <c r="M19" s="3">
        <f>'DJB Daily Readings'!U27-'DJB Daily Readings'!U26</f>
        <v>1851.3600000003353</v>
      </c>
      <c r="N19" s="3">
        <f>'DJB Daily Readings'!X27-'DJB Daily Readings'!X26</f>
        <v>4774.5599999986589</v>
      </c>
      <c r="O19" s="3">
        <f>'DJB Daily Readings'!AA27-'DJB Daily Readings'!AA26</f>
        <v>5943.839999999851</v>
      </c>
      <c r="P19" s="3">
        <f>'DJB Daily Readings'!AD27-'DJB Daily Readings'!AD26</f>
        <v>1900.0800000000745</v>
      </c>
      <c r="Q19" s="3">
        <f>'DJB Daily Readings'!AG27-'DJB Daily Readings'!AG26</f>
        <v>487.20000000111759</v>
      </c>
      <c r="R19" s="3">
        <f>'DJB Daily Readings'!AJ27-'DJB Daily Readings'!AJ26</f>
        <v>5846.4000000003725</v>
      </c>
      <c r="S19" s="3">
        <f>'DJB Daily Readings'!AM27-'DJB Daily Readings'!AM26</f>
        <v>3702.7199999988079</v>
      </c>
      <c r="T19" s="3">
        <f>'DJB Daily Readings'!AP27-'DJB Daily Readings'!AP26</f>
        <v>4530.9600000008941</v>
      </c>
      <c r="U19" s="3">
        <f>'DJB Daily Readings'!AS27-'DJB Daily Readings'!AS26</f>
        <v>2923.2000000001863</v>
      </c>
      <c r="V19" s="3">
        <f>'DJB Daily Readings'!AV27-'DJB Daily Readings'!AV26</f>
        <v>5407.9199999980628</v>
      </c>
      <c r="W19" s="3">
        <f>'DJB Daily Readings'!AZ27-'DJB Daily Readings'!AZ26</f>
        <v>30300</v>
      </c>
      <c r="X19" s="3">
        <f>'DJB Daily Readings'!BC27-'DJB Daily Readings'!BC26</f>
        <v>46800</v>
      </c>
      <c r="Y19" s="3">
        <f>'DJB Daily Readings'!BF27-'DJB Daily Readings'!BF26</f>
        <v>0</v>
      </c>
      <c r="Z19" s="3">
        <f>('DJB Daily Readings'!CK27-'DJB Daily Readings'!CK26)*1.89</f>
        <v>164.42999999999998</v>
      </c>
      <c r="AA19" s="3">
        <f>('DJB Daily Readings'!CN27-'DJB Daily Readings'!CN26)*1.89</f>
        <v>177.66</v>
      </c>
      <c r="AB19" s="3">
        <f>('DJB Daily Readings'!CQ27-'DJB Daily Readings'!CQ26)*1.89</f>
        <v>498.96</v>
      </c>
      <c r="AC19" s="3">
        <f>'DJB Daily Readings'!CT27-'DJB Daily Readings'!CT26</f>
        <v>153</v>
      </c>
      <c r="AD19" s="84">
        <f>('DJB Daily Readings'!BY27-'DJB Daily Readings'!BY26)*1.89</f>
        <v>37.799999999999997</v>
      </c>
      <c r="AE19" s="84">
        <f>('DJB Daily Readings'!CA27-'DJB Daily Readings'!CA26)*1.89</f>
        <v>30.24</v>
      </c>
      <c r="AF19" s="84">
        <f>('DJB Daily Readings'!CC27-'DJB Daily Readings'!CC26)*1.89</f>
        <v>13.229999999999999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45.36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12</v>
      </c>
      <c r="AM19" s="82">
        <f>'DJB Daily Readings'!DA27-'DJB Daily Readings'!DA26</f>
        <v>14</v>
      </c>
      <c r="AN19" s="82">
        <f>'DJB Daily Readings'!DG27-'DJB Daily Readings'!DG26</f>
        <v>3</v>
      </c>
      <c r="AO19" s="82">
        <f>'DJB Daily Readings'!DE27-'DJB Daily Readings'!DE26</f>
        <v>5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3</v>
      </c>
      <c r="AS19" s="82">
        <f>'DJB Daily Readings'!DM27-'DJB Daily Readings'!DM26</f>
        <v>5</v>
      </c>
      <c r="AT19" s="82">
        <f>'DJB Daily Readings'!DQ27-'DJB Daily Readings'!DQ26</f>
        <v>18</v>
      </c>
      <c r="AU19" s="82">
        <f>'DJB Daily Readings'!DT27-'DJB Daily Readings'!DT26</f>
        <v>1503</v>
      </c>
      <c r="AW19" s="82">
        <f>'DJB Daily Readings'!DX27-'DJB Daily Readings'!DX26</f>
        <v>1098</v>
      </c>
      <c r="AX19" s="82">
        <f>'DJB Daily Readings'!DZ27-'DJB Daily Readings'!DZ26</f>
        <v>4</v>
      </c>
      <c r="AY19" s="82">
        <f>'DJB Daily Readings'!EB27-'DJB Daily Readings'!EB26</f>
        <v>559</v>
      </c>
      <c r="AZ19" s="82">
        <f>'DJB Daily Readings'!ED27-'DJB Daily Readings'!ED26</f>
        <v>145</v>
      </c>
      <c r="BA19" s="82">
        <f>'DJB Daily Readings'!EG27-'DJB Daily Readings'!EG26</f>
        <v>0</v>
      </c>
      <c r="BB19" s="82">
        <f>'DJB Daily Readings'!EI27-'DJB Daily Readings'!EI26</f>
        <v>0</v>
      </c>
      <c r="BC19" s="82">
        <f>'DJB Daily Readings'!EQ27-'DJB Daily Readings'!EQ26</f>
        <v>0</v>
      </c>
      <c r="BD19" s="82">
        <f>'DJB Daily Readings'!EK27-'DJB Daily Readings'!EK26</f>
        <v>0</v>
      </c>
      <c r="BE19" s="82">
        <f>'DJB Daily Readings'!EM27-'DJB Daily Readings'!EM26</f>
        <v>0</v>
      </c>
      <c r="BF19" s="82">
        <f>'DJB Daily Readings'!EO27-'DJB Daily Readings'!EO26</f>
        <v>0</v>
      </c>
      <c r="BG19" s="82">
        <f>('DJB Daily Readings'!ET27-'DJB Daily Readings'!ET26)*1.89</f>
        <v>30.24</v>
      </c>
      <c r="BH19" s="82">
        <f>('DJB Daily Readings'!EV27-'DJB Daily Readings'!EV26)*1.89</f>
        <v>26.459999999999997</v>
      </c>
      <c r="BI19" s="82">
        <f>('DJB Daily Readings'!EZ27-'DJB Daily Readings'!EZ26)*1.89</f>
        <v>62.37</v>
      </c>
      <c r="BJ19" s="82">
        <f>('DJB Daily Readings'!EX27-'DJB Daily Readings'!EX26)*1.89</f>
        <v>0</v>
      </c>
      <c r="BK19" s="82">
        <f>('DJB Daily Readings'!FB27-'DJB Daily Readings'!FB26)*1.89</f>
        <v>49.14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2020</v>
      </c>
      <c r="E20" s="78">
        <f>237*0.98</f>
        <v>232.26</v>
      </c>
      <c r="F20" s="79">
        <f>367+70</f>
        <v>437</v>
      </c>
      <c r="G20" s="3">
        <f>'DJB Daily Readings'!C28-'DJB Daily Readings'!C27</f>
        <v>583</v>
      </c>
      <c r="H20" s="3">
        <f>'DJB Daily Readings'!F28-'DJB Daily Readings'!F27</f>
        <v>493</v>
      </c>
      <c r="I20" s="3">
        <f>'DJB Daily Readings'!K28-'DJB Daily Readings'!K27</f>
        <v>140</v>
      </c>
      <c r="J20" s="3">
        <f>'DJB Daily Readings'!K28-'DJB Daily Readings'!K27</f>
        <v>140</v>
      </c>
      <c r="K20" s="3">
        <f>'DJB Daily Readings'!O28-'DJB Daily Readings'!O27</f>
        <v>76</v>
      </c>
      <c r="L20" s="3">
        <f>'DJB Daily Readings'!R28-'DJB Daily Readings'!R27</f>
        <v>3</v>
      </c>
      <c r="M20" s="3">
        <f>'DJB Daily Readings'!U28-'DJB Daily Readings'!U27</f>
        <v>1997.5200000004843</v>
      </c>
      <c r="N20" s="3">
        <f>'DJB Daily Readings'!X28-'DJB Daily Readings'!X27</f>
        <v>4872</v>
      </c>
      <c r="O20" s="3">
        <f>'DJB Daily Readings'!AA28-'DJB Daily Readings'!AA27</f>
        <v>8331.1200000010431</v>
      </c>
      <c r="P20" s="3">
        <f>'DJB Daily Readings'!AD28-'DJB Daily Readings'!AD27</f>
        <v>48.720000000670552</v>
      </c>
      <c r="Q20" s="3">
        <f>'DJB Daily Readings'!AG28-'DJB Daily Readings'!AG27</f>
        <v>584.64000000059605</v>
      </c>
      <c r="R20" s="3">
        <f>'DJB Daily Readings'!AJ28-'DJB Daily Readings'!AJ27</f>
        <v>5846.3999999985099</v>
      </c>
      <c r="S20" s="3">
        <f>'DJB Daily Readings'!AM28-'DJB Daily Readings'!AM27</f>
        <v>3702.7200000006706</v>
      </c>
      <c r="T20" s="3">
        <f>'DJB Daily Readings'!AP28-'DJB Daily Readings'!AP27</f>
        <v>4872</v>
      </c>
      <c r="U20" s="3">
        <f>'DJB Daily Readings'!AS28-'DJB Daily Readings'!AS27</f>
        <v>2923.2000000001863</v>
      </c>
      <c r="V20" s="3">
        <f>'DJB Daily Readings'!AV28-'DJB Daily Readings'!AV27</f>
        <v>5261.7599999997765</v>
      </c>
      <c r="W20" s="3">
        <f>'DJB Daily Readings'!AZ28-'DJB Daily Readings'!AZ27</f>
        <v>45900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177.66</v>
      </c>
      <c r="AA20" s="3">
        <f>('DJB Daily Readings'!CN28-'DJB Daily Readings'!CN27)*1.89</f>
        <v>179.54999999999998</v>
      </c>
      <c r="AB20" s="3">
        <f>('DJB Daily Readings'!CQ28-'DJB Daily Readings'!CQ27)*1.89</f>
        <v>474.39</v>
      </c>
      <c r="AC20" s="3">
        <f>'DJB Daily Readings'!CT28-'DJB Daily Readings'!CT27</f>
        <v>165</v>
      </c>
      <c r="AD20" s="84">
        <f>('DJB Daily Readings'!BY28-'DJB Daily Readings'!BY27)*1.89</f>
        <v>34.019999999999996</v>
      </c>
      <c r="AE20" s="84">
        <f>('DJB Daily Readings'!CA28-'DJB Daily Readings'!CA27)*1.89</f>
        <v>30.24</v>
      </c>
      <c r="AF20" s="84">
        <f>('DJB Daily Readings'!CC28-'DJB Daily Readings'!CC27)*1.89</f>
        <v>17.009999999999998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12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10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1</v>
      </c>
      <c r="AU20" s="82">
        <f>'DJB Daily Readings'!DT28-'DJB Daily Readings'!DT27</f>
        <v>1551</v>
      </c>
      <c r="AW20" s="82">
        <f>'DJB Daily Readings'!DX28-'DJB Daily Readings'!DX27</f>
        <v>1104</v>
      </c>
      <c r="AX20" s="82">
        <f>'DJB Daily Readings'!DZ28-'DJB Daily Readings'!DZ27</f>
        <v>4</v>
      </c>
      <c r="AY20" s="82">
        <f>'DJB Daily Readings'!EB28-'DJB Daily Readings'!EB27</f>
        <v>577</v>
      </c>
      <c r="AZ20" s="82">
        <f>'DJB Daily Readings'!ED28-'DJB Daily Readings'!ED27</f>
        <v>146</v>
      </c>
      <c r="BA20" s="82">
        <f>'DJB Daily Readings'!EG28-'DJB Daily Readings'!EG27</f>
        <v>5600</v>
      </c>
      <c r="BB20" s="82">
        <f>'DJB Daily Readings'!EI28-'DJB Daily Readings'!EI27</f>
        <v>470</v>
      </c>
      <c r="BC20" s="82">
        <f>'DJB Daily Readings'!EQ28-'DJB Daily Readings'!EQ27</f>
        <v>3100</v>
      </c>
      <c r="BD20" s="82">
        <f>'DJB Daily Readings'!EK28-'DJB Daily Readings'!EK27</f>
        <v>3000</v>
      </c>
      <c r="BE20" s="82">
        <f>'DJB Daily Readings'!EM28-'DJB Daily Readings'!EM27</f>
        <v>0</v>
      </c>
      <c r="BF20" s="82">
        <f>'DJB Daily Readings'!EO28-'DJB Daily Readings'!EO27</f>
        <v>280</v>
      </c>
      <c r="BG20" s="82">
        <f>('DJB Daily Readings'!ET28-'DJB Daily Readings'!ET27)*1.89</f>
        <v>28.349999999999998</v>
      </c>
      <c r="BH20" s="82">
        <f>('DJB Daily Readings'!EV28-'DJB Daily Readings'!EV27)*1.89</f>
        <v>28.349999999999998</v>
      </c>
      <c r="BI20" s="82">
        <f>('DJB Daily Readings'!EZ28-'DJB Daily Readings'!EZ27)*1.89</f>
        <v>60.48</v>
      </c>
      <c r="BJ20" s="82">
        <f>('DJB Daily Readings'!EX28-'DJB Daily Readings'!EX27)*1.89</f>
        <v>0</v>
      </c>
      <c r="BK20" s="82">
        <f>('DJB Daily Readings'!FB28-'DJB Daily Readings'!FB27)*1.89</f>
        <v>54.809999999999995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2020</v>
      </c>
      <c r="E21" s="78">
        <f>237*0.96</f>
        <v>227.51999999999998</v>
      </c>
      <c r="F21" s="79">
        <f>380+74</f>
        <v>454</v>
      </c>
      <c r="G21" s="3">
        <f>'DJB Daily Readings'!C29-'DJB Daily Readings'!C28</f>
        <v>549</v>
      </c>
      <c r="H21" s="3">
        <f>'DJB Daily Readings'!F29-'DJB Daily Readings'!F28</f>
        <v>452</v>
      </c>
      <c r="I21" s="3">
        <f>'DJB Daily Readings'!K29-'DJB Daily Readings'!K28</f>
        <v>146</v>
      </c>
      <c r="J21" s="3">
        <f>'DJB Daily Readings'!K29-'DJB Daily Readings'!K28</f>
        <v>146</v>
      </c>
      <c r="K21" s="3">
        <f>'DJB Daily Readings'!O29-'DJB Daily Readings'!O28</f>
        <v>0</v>
      </c>
      <c r="L21" s="3">
        <f>'DJB Daily Readings'!R29-'DJB Daily Readings'!R28</f>
        <v>0</v>
      </c>
      <c r="M21" s="3">
        <f>'DJB Daily Readings'!U29-'DJB Daily Readings'!U28</f>
        <v>1900.0800000000745</v>
      </c>
      <c r="N21" s="3">
        <f>'DJB Daily Readings'!X29-'DJB Daily Readings'!X28</f>
        <v>4823.2800000011921</v>
      </c>
      <c r="O21" s="3">
        <f>'DJB Daily Readings'!AA29-'DJB Daily Readings'!AA28</f>
        <v>8087.519999999553</v>
      </c>
      <c r="P21" s="3">
        <f>'DJB Daily Readings'!AD29-'DJB Daily Readings'!AD28</f>
        <v>48.719999998807907</v>
      </c>
      <c r="Q21" s="3">
        <f>'DJB Daily Readings'!AG29-'DJB Daily Readings'!AG28</f>
        <v>584.64000000059605</v>
      </c>
      <c r="R21" s="3">
        <f>'DJB Daily Readings'!AJ29-'DJB Daily Readings'!AJ28</f>
        <v>5943.8400000017136</v>
      </c>
      <c r="S21" s="3">
        <f>'DJB Daily Readings'!AM29-'DJB Daily Readings'!AM28</f>
        <v>3654</v>
      </c>
      <c r="T21" s="3">
        <f>'DJB Daily Readings'!AP29-'DJB Daily Readings'!AP28</f>
        <v>4677.1199999991804</v>
      </c>
      <c r="U21" s="3">
        <f>'DJB Daily Readings'!AS29-'DJB Daily Readings'!AS28</f>
        <v>3069.3600000012666</v>
      </c>
      <c r="V21" s="3">
        <f>'DJB Daily Readings'!AV29-'DJB Daily Readings'!AV28</f>
        <v>5992.5600000023842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171.98999999999998</v>
      </c>
      <c r="AA21" s="3">
        <f>('DJB Daily Readings'!CN29-'DJB Daily Readings'!CN28)*1.89</f>
        <v>183.32999999999998</v>
      </c>
      <c r="AB21" s="3">
        <f>('DJB Daily Readings'!CQ29-'DJB Daily Readings'!CQ28)*1.89</f>
        <v>463.04999999999995</v>
      </c>
      <c r="AC21" s="3">
        <f>'DJB Daily Readings'!CT29-'DJB Daily Readings'!CT28</f>
        <v>162</v>
      </c>
      <c r="AD21" s="84">
        <f>('DJB Daily Readings'!BY29-'DJB Daily Readings'!BY28)*1.89</f>
        <v>45.36</v>
      </c>
      <c r="AE21" s="84">
        <f>('DJB Daily Readings'!CA29-'DJB Daily Readings'!CA28)*1.89</f>
        <v>26.459999999999997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17.009999999999998</v>
      </c>
      <c r="AH21" s="84">
        <f>('DJB Daily Readings'!CG29-'DJB Daily Readings'!CG28)*1.89</f>
        <v>13.229999999999999</v>
      </c>
      <c r="AI21" s="84">
        <f>('DJB Daily Readings'!CI29-'DJB Daily Readings'!CI28)*1.89</f>
        <v>58.589999999999996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8</v>
      </c>
      <c r="AO21" s="82">
        <f>'DJB Daily Readings'!DE29-'DJB Daily Readings'!DE28</f>
        <v>12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15</v>
      </c>
      <c r="AT21" s="82">
        <f>'DJB Daily Readings'!DQ29-'DJB Daily Readings'!DQ28</f>
        <v>9</v>
      </c>
      <c r="AU21" s="82">
        <f>'DJB Daily Readings'!DT29-'DJB Daily Readings'!DT28</f>
        <v>1565</v>
      </c>
      <c r="AW21" s="82">
        <f>'DJB Daily Readings'!DX29-'DJB Daily Readings'!DX28</f>
        <v>1043</v>
      </c>
      <c r="AX21" s="82">
        <f>'DJB Daily Readings'!DZ29-'DJB Daily Readings'!DZ28</f>
        <v>4</v>
      </c>
      <c r="AY21" s="82">
        <f>'DJB Daily Readings'!EB29-'DJB Daily Readings'!EB28</f>
        <v>598</v>
      </c>
      <c r="AZ21" s="82">
        <f>'DJB Daily Readings'!ED29-'DJB Daily Readings'!ED28</f>
        <v>149</v>
      </c>
      <c r="BA21" s="82">
        <f>'DJB Daily Readings'!EG29-'DJB Daily Readings'!EG28</f>
        <v>2700</v>
      </c>
      <c r="BB21" s="82">
        <f>'DJB Daily Readings'!EI29-'DJB Daily Readings'!EI28</f>
        <v>240</v>
      </c>
      <c r="BC21" s="82">
        <f>'DJB Daily Readings'!EQ29-'DJB Daily Readings'!EQ28</f>
        <v>1700</v>
      </c>
      <c r="BD21" s="82">
        <f>'DJB Daily Readings'!EK29-'DJB Daily Readings'!EK28</f>
        <v>1600</v>
      </c>
      <c r="BE21" s="82">
        <f>'DJB Daily Readings'!EM29-'DJB Daily Readings'!EM28</f>
        <v>0</v>
      </c>
      <c r="BF21" s="82">
        <f>'DJB Daily Readings'!EO29-'DJB Daily Readings'!EO28</f>
        <v>140</v>
      </c>
      <c r="BG21" s="82">
        <f>('DJB Daily Readings'!ET29-'DJB Daily Readings'!ET28)*1.89</f>
        <v>34.019999999999996</v>
      </c>
      <c r="BH21" s="82">
        <f>('DJB Daily Readings'!EV29-'DJB Daily Readings'!EV28)*1.89</f>
        <v>26.459999999999997</v>
      </c>
      <c r="BI21" s="82">
        <f>('DJB Daily Readings'!EZ29-'DJB Daily Readings'!EZ28)*1.89</f>
        <v>60.48</v>
      </c>
      <c r="BJ21" s="82">
        <f>('DJB Daily Readings'!EX29-'DJB Daily Readings'!EX28)*1.89</f>
        <v>0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2020</v>
      </c>
      <c r="E22" s="78">
        <f>237*0.94</f>
        <v>222.78</v>
      </c>
      <c r="F22" s="79">
        <f>400+85</f>
        <v>485</v>
      </c>
      <c r="G22" s="3">
        <f>'DJB Daily Readings'!C30-'DJB Daily Readings'!C29</f>
        <v>667</v>
      </c>
      <c r="H22" s="3">
        <f>'DJB Daily Readings'!F30-'DJB Daily Readings'!F29</f>
        <v>565</v>
      </c>
      <c r="I22" s="3">
        <f>'DJB Daily Readings'!K30-'DJB Daily Readings'!K29</f>
        <v>162</v>
      </c>
      <c r="J22" s="3">
        <f>'DJB Daily Readings'!K30-'DJB Daily Readings'!K29</f>
        <v>162</v>
      </c>
      <c r="K22" s="3">
        <f>'DJB Daily Readings'!O30-'DJB Daily Readings'!O29</f>
        <v>89</v>
      </c>
      <c r="L22" s="3">
        <f>'DJB Daily Readings'!R30-'DJB Daily Readings'!R29</f>
        <v>17</v>
      </c>
      <c r="M22" s="3">
        <f>'DJB Daily Readings'!U30-'DJB Daily Readings'!U29</f>
        <v>2094.9599999990314</v>
      </c>
      <c r="N22" s="3">
        <f>'DJB Daily Readings'!X30-'DJB Daily Readings'!X29</f>
        <v>4823.2799999993294</v>
      </c>
      <c r="O22" s="3">
        <f>'DJB Daily Readings'!AA30-'DJB Daily Readings'!AA29</f>
        <v>10474.800000000745</v>
      </c>
      <c r="P22" s="3">
        <f>'DJB Daily Readings'!AD30-'DJB Daily Readings'!AD29</f>
        <v>48.720000000670552</v>
      </c>
      <c r="Q22" s="3">
        <f>'DJB Daily Readings'!AG30-'DJB Daily Readings'!AG29</f>
        <v>779.51999999769032</v>
      </c>
      <c r="R22" s="3">
        <f>'DJB Daily Readings'!AJ30-'DJB Daily Readings'!AJ29</f>
        <v>5943.839999999851</v>
      </c>
      <c r="S22" s="3">
        <f>'DJB Daily Readings'!AM30-'DJB Daily Readings'!AM29</f>
        <v>4092.4799999985844</v>
      </c>
      <c r="T22" s="3">
        <f>'DJB Daily Readings'!AP30-'DJB Daily Readings'!AP29</f>
        <v>5018.160000000149</v>
      </c>
      <c r="U22" s="3">
        <f>'DJB Daily Readings'!AS30-'DJB Daily Readings'!AS29</f>
        <v>3312.9599999999627</v>
      </c>
      <c r="V22" s="3">
        <f>'DJB Daily Readings'!AV30-'DJB Daily Readings'!AV29</f>
        <v>5748.9599999990314</v>
      </c>
      <c r="W22" s="3">
        <f>'DJB Daily Readings'!AZ30-'DJB Daily Readings'!AZ29</f>
        <v>40200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175.76999999999998</v>
      </c>
      <c r="AA22" s="3">
        <f>('DJB Daily Readings'!CN30-'DJB Daily Readings'!CN29)*1.89</f>
        <v>185.22</v>
      </c>
      <c r="AB22" s="3">
        <f>('DJB Daily Readings'!CQ30-'DJB Daily Readings'!CQ29)*1.89</f>
        <v>472.5</v>
      </c>
      <c r="AC22" s="3">
        <f>'DJB Daily Readings'!CT30-'DJB Daily Readings'!CT29</f>
        <v>165</v>
      </c>
      <c r="AD22" s="84">
        <f>('DJB Daily Readings'!BY30-'DJB Daily Readings'!BY29)*1.89</f>
        <v>-85879.709999999992</v>
      </c>
      <c r="AE22" s="84">
        <f>('DJB Daily Readings'!CA30-'DJB Daily Readings'!CA29)*1.89</f>
        <v>-75857.039999999994</v>
      </c>
      <c r="AF22" s="84">
        <f>('DJB Daily Readings'!CC30-'DJB Daily Readings'!CC29)*1.89</f>
        <v>-25465.859999999997</v>
      </c>
      <c r="AG22" s="84">
        <f>('DJB Daily Readings'!CE30-'DJB Daily Readings'!CE29)*1.89</f>
        <v>-32250.959999999999</v>
      </c>
      <c r="AH22" s="84">
        <f>('DJB Daily Readings'!CG30-'DJB Daily Readings'!CG29)*1.89</f>
        <v>-36696.239999999998</v>
      </c>
      <c r="AI22" s="84">
        <f>('DJB Daily Readings'!CI30-'DJB Daily Readings'!CI29)*1.89</f>
        <v>-78329.159999999989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18</v>
      </c>
      <c r="AM22" s="82">
        <f>'DJB Daily Readings'!DA30-'DJB Daily Readings'!DA29</f>
        <v>19</v>
      </c>
      <c r="AN22" s="82">
        <f>'DJB Daily Readings'!DG30-'DJB Daily Readings'!DG29</f>
        <v>9</v>
      </c>
      <c r="AO22" s="82">
        <f>'DJB Daily Readings'!DE30-'DJB Daily Readings'!DE29</f>
        <v>11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3</v>
      </c>
      <c r="AS22" s="82">
        <f>'DJB Daily Readings'!DM30-'DJB Daily Readings'!DM29</f>
        <v>8</v>
      </c>
      <c r="AT22" s="82">
        <f>'DJB Daily Readings'!DQ30-'DJB Daily Readings'!DQ29</f>
        <v>10</v>
      </c>
      <c r="AU22" s="82">
        <f>'DJB Daily Readings'!DT30-'DJB Daily Readings'!DT29</f>
        <v>1611</v>
      </c>
      <c r="AW22" s="82">
        <f>'DJB Daily Readings'!DX30-'DJB Daily Readings'!DX29</f>
        <v>1096</v>
      </c>
      <c r="AX22" s="82">
        <f>'DJB Daily Readings'!DZ30-'DJB Daily Readings'!DZ29</f>
        <v>5</v>
      </c>
      <c r="AY22" s="82">
        <f>'DJB Daily Readings'!EB30-'DJB Daily Readings'!EB29</f>
        <v>613</v>
      </c>
      <c r="AZ22" s="82">
        <f>'DJB Daily Readings'!ED30-'DJB Daily Readings'!ED29</f>
        <v>153</v>
      </c>
      <c r="BA22" s="82">
        <f>'DJB Daily Readings'!EG30-'DJB Daily Readings'!EG29</f>
        <v>-6854700</v>
      </c>
      <c r="BB22" s="82">
        <f>'DJB Daily Readings'!EI30-'DJB Daily Readings'!EI29</f>
        <v>-606680</v>
      </c>
      <c r="BC22" s="82">
        <f>'DJB Daily Readings'!EQ30-'DJB Daily Readings'!EQ29</f>
        <v>-10745600</v>
      </c>
      <c r="BD22" s="82">
        <f>'DJB Daily Readings'!EK30-'DJB Daily Readings'!EK29</f>
        <v>-4656100</v>
      </c>
      <c r="BE22" s="82">
        <f>'DJB Daily Readings'!EM30-'DJB Daily Readings'!EM29</f>
        <v>-1989100</v>
      </c>
      <c r="BF22" s="82">
        <f>'DJB Daily Readings'!EO30-'DJB Daily Readings'!EO29</f>
        <v>-682730</v>
      </c>
      <c r="BG22" s="82">
        <f>('DJB Daily Readings'!ET30-'DJB Daily Readings'!ET29)*1.89</f>
        <v>30.24</v>
      </c>
      <c r="BH22" s="82">
        <f>('DJB Daily Readings'!EV30-'DJB Daily Readings'!EV29)*1.89</f>
        <v>28.349999999999998</v>
      </c>
      <c r="BI22" s="82">
        <f>('DJB Daily Readings'!EZ30-'DJB Daily Readings'!EZ29)*1.89</f>
        <v>62.37</v>
      </c>
      <c r="BJ22" s="82">
        <f>('DJB Daily Readings'!EX30-'DJB Daily Readings'!EX29)*1.89</f>
        <v>0</v>
      </c>
      <c r="BK22" s="82">
        <f>('DJB Daily Readings'!FB30-'DJB Daily Readings'!FB29)*1.89</f>
        <v>56.699999999999996</v>
      </c>
    </row>
    <row r="23" spans="1:63" x14ac:dyDescent="0.25">
      <c r="A23" t="s">
        <v>59</v>
      </c>
      <c r="B23">
        <f t="shared" si="0"/>
        <v>22</v>
      </c>
      <c r="C23">
        <v>2</v>
      </c>
      <c r="D23">
        <v>2020</v>
      </c>
      <c r="E23" s="78"/>
    </row>
    <row r="24" spans="1:63" x14ac:dyDescent="0.25">
      <c r="A24" t="s">
        <v>59</v>
      </c>
      <c r="B24">
        <f t="shared" si="0"/>
        <v>23</v>
      </c>
      <c r="C24">
        <v>2</v>
      </c>
      <c r="D24">
        <v>2020</v>
      </c>
      <c r="E24" s="78"/>
    </row>
    <row r="25" spans="1:63" x14ac:dyDescent="0.25">
      <c r="A25" t="s">
        <v>59</v>
      </c>
      <c r="B25">
        <f t="shared" si="0"/>
        <v>24</v>
      </c>
      <c r="C25">
        <v>2</v>
      </c>
      <c r="D25">
        <v>2020</v>
      </c>
      <c r="E25" s="78"/>
    </row>
    <row r="26" spans="1:63" x14ac:dyDescent="0.25">
      <c r="A26" t="s">
        <v>59</v>
      </c>
      <c r="B26">
        <f>B25+1</f>
        <v>25</v>
      </c>
      <c r="C26">
        <v>2</v>
      </c>
      <c r="D26">
        <v>2020</v>
      </c>
      <c r="E26" s="78"/>
    </row>
    <row r="27" spans="1:63" x14ac:dyDescent="0.25">
      <c r="A27" t="s">
        <v>59</v>
      </c>
      <c r="B27">
        <f t="shared" si="0"/>
        <v>26</v>
      </c>
      <c r="C27">
        <v>2</v>
      </c>
      <c r="D27">
        <v>2020</v>
      </c>
      <c r="E27" s="78"/>
    </row>
    <row r="28" spans="1:63" x14ac:dyDescent="0.25">
      <c r="A28" t="s">
        <v>59</v>
      </c>
      <c r="B28">
        <f t="shared" si="0"/>
        <v>27</v>
      </c>
      <c r="C28">
        <v>2</v>
      </c>
      <c r="D28">
        <v>2020</v>
      </c>
      <c r="E28" s="78"/>
    </row>
    <row r="29" spans="1:63" x14ac:dyDescent="0.25">
      <c r="A29" t="s">
        <v>59</v>
      </c>
      <c r="B29">
        <f t="shared" si="0"/>
        <v>28</v>
      </c>
      <c r="C29">
        <v>2</v>
      </c>
      <c r="D29">
        <v>2020</v>
      </c>
      <c r="E29" s="78"/>
    </row>
    <row r="30" spans="1:63" x14ac:dyDescent="0.25">
      <c r="A30" t="s">
        <v>59</v>
      </c>
      <c r="B30">
        <f t="shared" si="0"/>
        <v>29</v>
      </c>
      <c r="C30">
        <v>2</v>
      </c>
      <c r="D30">
        <v>2020</v>
      </c>
      <c r="E30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2"/>
  <sheetViews>
    <sheetView zoomScale="85" zoomScaleNormal="85" workbookViewId="0">
      <pane xSplit="1" ySplit="8" topLeftCell="AV9" activePane="bottomRight" state="frozen"/>
      <selection pane="topRight" activeCell="B1" sqref="B1"/>
      <selection pane="bottomLeft" activeCell="A9" sqref="A9"/>
      <selection pane="bottomRight" activeCell="BC15" sqref="BC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2" t="s">
        <v>105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2"/>
      <c r="BL1" s="482"/>
      <c r="BM1" s="482"/>
      <c r="BN1" s="482"/>
      <c r="BO1" s="482"/>
      <c r="BP1" s="482"/>
      <c r="BQ1" s="482"/>
      <c r="BR1" s="482"/>
      <c r="BS1" s="482"/>
      <c r="BT1" s="482"/>
      <c r="BU1" s="482"/>
      <c r="BV1" s="482"/>
      <c r="BW1" s="482"/>
      <c r="BX1" s="482"/>
      <c r="BY1" s="482"/>
      <c r="BZ1" s="482"/>
      <c r="CA1" s="482"/>
      <c r="CB1" s="482"/>
      <c r="CC1" s="482"/>
      <c r="CD1" s="482"/>
      <c r="CE1" s="482"/>
      <c r="CF1" s="482"/>
      <c r="CG1" s="482"/>
      <c r="CH1" s="482"/>
      <c r="CI1" s="482"/>
      <c r="CJ1" s="482"/>
      <c r="CK1" s="482"/>
      <c r="CL1" s="482"/>
      <c r="CM1" s="482"/>
      <c r="CN1" s="482"/>
      <c r="CO1" s="482"/>
      <c r="CP1" s="482"/>
      <c r="CQ1" s="482"/>
      <c r="CR1" s="482"/>
      <c r="CS1" s="482"/>
      <c r="CT1" s="482"/>
      <c r="CU1" s="482"/>
      <c r="CV1" s="482"/>
      <c r="CW1" s="482"/>
      <c r="CX1" s="482"/>
      <c r="CY1" s="482"/>
      <c r="CZ1" s="482"/>
      <c r="DA1" s="482"/>
      <c r="DB1" s="482"/>
      <c r="DC1" s="482"/>
      <c r="DD1" s="482"/>
      <c r="DE1" s="482"/>
      <c r="DF1" s="482"/>
      <c r="DG1" s="482"/>
      <c r="DH1" s="482"/>
      <c r="DI1" s="482"/>
      <c r="DJ1" s="482"/>
      <c r="DK1" s="482"/>
      <c r="DL1" s="482"/>
      <c r="DM1" s="482"/>
      <c r="DN1" s="482"/>
      <c r="DO1" s="482"/>
      <c r="DP1" s="482"/>
      <c r="DQ1" s="482"/>
      <c r="DR1" s="482"/>
      <c r="DS1" s="482"/>
      <c r="DT1" s="482"/>
      <c r="DU1" s="482"/>
      <c r="DV1" s="482"/>
      <c r="DW1" s="482"/>
      <c r="DX1" s="482"/>
      <c r="DY1" s="482"/>
      <c r="DZ1" s="482"/>
      <c r="EA1" s="482"/>
      <c r="EB1" s="482"/>
      <c r="EC1" s="482"/>
      <c r="ED1" s="482"/>
      <c r="EE1" s="482"/>
      <c r="EF1" s="482"/>
      <c r="EG1" s="482"/>
      <c r="EH1" s="482"/>
      <c r="EI1" s="482"/>
      <c r="EJ1" s="482"/>
      <c r="EK1" s="482"/>
      <c r="EL1" s="482"/>
      <c r="EM1" s="482"/>
      <c r="EN1" s="482"/>
      <c r="EO1" s="482"/>
      <c r="EP1" s="482"/>
      <c r="EQ1" s="482"/>
      <c r="ER1" s="482"/>
      <c r="ES1" s="482"/>
      <c r="ET1" s="482"/>
      <c r="EU1" s="482"/>
      <c r="EV1" s="482"/>
      <c r="EW1" s="482"/>
      <c r="EX1" s="482"/>
      <c r="EY1" s="482"/>
      <c r="EZ1" s="482"/>
      <c r="FA1" s="482"/>
      <c r="FB1" s="482"/>
      <c r="FC1" s="482"/>
    </row>
    <row r="2" spans="1:159" ht="16.5" customHeight="1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  <c r="BJ2" s="482"/>
      <c r="BK2" s="482"/>
      <c r="BL2" s="482"/>
      <c r="BM2" s="482"/>
      <c r="BN2" s="482"/>
      <c r="BO2" s="482"/>
      <c r="BP2" s="482"/>
      <c r="BQ2" s="482"/>
      <c r="BR2" s="482"/>
      <c r="BS2" s="482"/>
      <c r="BT2" s="482"/>
      <c r="BU2" s="482"/>
      <c r="BV2" s="482"/>
      <c r="BW2" s="482"/>
      <c r="BX2" s="482"/>
      <c r="BY2" s="482"/>
      <c r="BZ2" s="482"/>
      <c r="CA2" s="482"/>
      <c r="CB2" s="482"/>
      <c r="CC2" s="482"/>
      <c r="CD2" s="482"/>
      <c r="CE2" s="482"/>
      <c r="CF2" s="482"/>
      <c r="CG2" s="482"/>
      <c r="CH2" s="482"/>
      <c r="CI2" s="482"/>
      <c r="CJ2" s="482"/>
      <c r="CK2" s="482"/>
      <c r="CL2" s="482"/>
      <c r="CM2" s="482"/>
      <c r="CN2" s="482"/>
      <c r="CO2" s="482"/>
      <c r="CP2" s="482"/>
      <c r="CQ2" s="482"/>
      <c r="CR2" s="482"/>
      <c r="CS2" s="482"/>
      <c r="CT2" s="482"/>
      <c r="CU2" s="482"/>
      <c r="CV2" s="482"/>
      <c r="CW2" s="482"/>
      <c r="CX2" s="482"/>
      <c r="CY2" s="482"/>
      <c r="CZ2" s="482"/>
      <c r="DA2" s="482"/>
      <c r="DB2" s="482"/>
      <c r="DC2" s="482"/>
      <c r="DD2" s="482"/>
      <c r="DE2" s="482"/>
      <c r="DF2" s="482"/>
      <c r="DG2" s="482"/>
      <c r="DH2" s="482"/>
      <c r="DI2" s="482"/>
      <c r="DJ2" s="482"/>
      <c r="DK2" s="482"/>
      <c r="DL2" s="482"/>
      <c r="DM2" s="482"/>
      <c r="DN2" s="482"/>
      <c r="DO2" s="482"/>
      <c r="DP2" s="482"/>
      <c r="DQ2" s="482"/>
      <c r="DR2" s="482"/>
      <c r="DS2" s="482"/>
      <c r="DT2" s="482"/>
      <c r="DU2" s="482"/>
      <c r="DV2" s="482"/>
      <c r="DW2" s="482"/>
      <c r="DX2" s="482"/>
      <c r="DY2" s="482"/>
      <c r="DZ2" s="482"/>
      <c r="EA2" s="482"/>
      <c r="EB2" s="482"/>
      <c r="EC2" s="482"/>
      <c r="ED2" s="482"/>
      <c r="EE2" s="482"/>
      <c r="EF2" s="482"/>
      <c r="EG2" s="482"/>
      <c r="EH2" s="482"/>
      <c r="EI2" s="482"/>
      <c r="EJ2" s="482"/>
      <c r="EK2" s="482"/>
      <c r="EL2" s="482"/>
      <c r="EM2" s="482"/>
      <c r="EN2" s="482"/>
      <c r="EO2" s="482"/>
      <c r="EP2" s="482"/>
      <c r="EQ2" s="482"/>
      <c r="ER2" s="482"/>
      <c r="ES2" s="482"/>
      <c r="ET2" s="482"/>
      <c r="EU2" s="482"/>
      <c r="EV2" s="482"/>
      <c r="EW2" s="482"/>
      <c r="EX2" s="482"/>
      <c r="EY2" s="482"/>
      <c r="EZ2" s="482"/>
      <c r="FA2" s="482"/>
      <c r="FB2" s="482"/>
      <c r="FC2" s="482"/>
    </row>
    <row r="3" spans="1:159" ht="4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482"/>
      <c r="BT3" s="482"/>
      <c r="BU3" s="482"/>
      <c r="BV3" s="482"/>
      <c r="BW3" s="482"/>
      <c r="BX3" s="482"/>
      <c r="BY3" s="482"/>
      <c r="BZ3" s="482"/>
      <c r="CA3" s="482"/>
      <c r="CB3" s="482"/>
      <c r="CC3" s="482"/>
      <c r="CD3" s="482"/>
      <c r="CE3" s="482"/>
      <c r="CF3" s="482"/>
      <c r="CG3" s="482"/>
      <c r="CH3" s="482"/>
      <c r="CI3" s="482"/>
      <c r="CJ3" s="482"/>
      <c r="CK3" s="482"/>
      <c r="CL3" s="482"/>
      <c r="CM3" s="482"/>
      <c r="CN3" s="482"/>
      <c r="CO3" s="482"/>
      <c r="CP3" s="482"/>
      <c r="CQ3" s="482"/>
      <c r="CR3" s="482"/>
      <c r="CS3" s="482"/>
      <c r="CT3" s="482"/>
      <c r="CU3" s="482"/>
      <c r="CV3" s="482"/>
      <c r="CW3" s="482"/>
      <c r="CX3" s="482"/>
      <c r="CY3" s="482"/>
      <c r="CZ3" s="482"/>
      <c r="DA3" s="482"/>
      <c r="DB3" s="482"/>
      <c r="DC3" s="482"/>
      <c r="DD3" s="482"/>
      <c r="DE3" s="482"/>
      <c r="DF3" s="482"/>
      <c r="DG3" s="482"/>
      <c r="DH3" s="482"/>
      <c r="DI3" s="482"/>
      <c r="DJ3" s="482"/>
      <c r="DK3" s="482"/>
      <c r="DL3" s="482"/>
      <c r="DM3" s="482"/>
      <c r="DN3" s="482"/>
      <c r="DO3" s="482"/>
      <c r="DP3" s="482"/>
      <c r="DQ3" s="482"/>
      <c r="DR3" s="482"/>
      <c r="DS3" s="482"/>
      <c r="DT3" s="482"/>
      <c r="DU3" s="482"/>
      <c r="DV3" s="482"/>
      <c r="DW3" s="482"/>
      <c r="DX3" s="482"/>
      <c r="DY3" s="482"/>
      <c r="DZ3" s="482"/>
      <c r="EA3" s="482"/>
      <c r="EB3" s="482"/>
      <c r="EC3" s="482"/>
      <c r="ED3" s="482"/>
      <c r="EE3" s="482"/>
      <c r="EF3" s="482"/>
      <c r="EG3" s="482"/>
      <c r="EH3" s="482"/>
      <c r="EI3" s="482"/>
      <c r="EJ3" s="482"/>
      <c r="EK3" s="482"/>
      <c r="EL3" s="482"/>
      <c r="EM3" s="482"/>
      <c r="EN3" s="482"/>
      <c r="EO3" s="482"/>
      <c r="EP3" s="482"/>
      <c r="EQ3" s="482"/>
      <c r="ER3" s="482"/>
      <c r="ES3" s="482"/>
      <c r="ET3" s="482"/>
      <c r="EU3" s="482"/>
      <c r="EV3" s="482"/>
      <c r="EW3" s="482"/>
      <c r="EX3" s="482"/>
      <c r="EY3" s="482"/>
      <c r="EZ3" s="482"/>
      <c r="FA3" s="482"/>
      <c r="FB3" s="482"/>
      <c r="FC3" s="482"/>
    </row>
    <row r="4" spans="1:159" ht="16.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  <c r="BE4" s="482"/>
      <c r="BF4" s="482"/>
      <c r="BG4" s="482"/>
      <c r="BH4" s="482"/>
      <c r="BI4" s="482"/>
      <c r="BJ4" s="482"/>
      <c r="BK4" s="482"/>
      <c r="BL4" s="482"/>
      <c r="BM4" s="482"/>
      <c r="BN4" s="482"/>
      <c r="BO4" s="482"/>
      <c r="BP4" s="482"/>
      <c r="BQ4" s="482"/>
      <c r="BR4" s="482"/>
      <c r="BS4" s="482"/>
      <c r="BT4" s="482"/>
      <c r="BU4" s="482"/>
      <c r="BV4" s="482"/>
      <c r="BW4" s="482"/>
      <c r="BX4" s="482"/>
      <c r="BY4" s="482"/>
      <c r="BZ4" s="482"/>
      <c r="CA4" s="482"/>
      <c r="CB4" s="482"/>
      <c r="CC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CU4" s="482"/>
      <c r="CV4" s="482"/>
      <c r="CW4" s="482"/>
      <c r="CX4" s="482"/>
      <c r="CY4" s="482"/>
      <c r="CZ4" s="482"/>
      <c r="DA4" s="482"/>
      <c r="DB4" s="482"/>
      <c r="DC4" s="482"/>
      <c r="DD4" s="482"/>
      <c r="DE4" s="482"/>
      <c r="DF4" s="482"/>
      <c r="DG4" s="482"/>
      <c r="DH4" s="482"/>
      <c r="DI4" s="482"/>
      <c r="DJ4" s="482"/>
      <c r="DK4" s="482"/>
      <c r="DL4" s="482"/>
      <c r="DM4" s="482"/>
      <c r="DN4" s="482"/>
      <c r="DO4" s="482"/>
      <c r="DP4" s="482"/>
      <c r="DQ4" s="482"/>
      <c r="DR4" s="482"/>
      <c r="DS4" s="482"/>
      <c r="DT4" s="482"/>
      <c r="DU4" s="482"/>
      <c r="DV4" s="482"/>
      <c r="DW4" s="482"/>
      <c r="DX4" s="482"/>
      <c r="DY4" s="482"/>
      <c r="DZ4" s="482"/>
      <c r="EA4" s="482"/>
      <c r="EB4" s="482"/>
      <c r="EC4" s="482"/>
      <c r="ED4" s="482"/>
      <c r="EE4" s="482"/>
      <c r="EF4" s="482"/>
      <c r="EG4" s="482"/>
      <c r="EH4" s="482"/>
      <c r="EI4" s="482"/>
      <c r="EJ4" s="482"/>
      <c r="EK4" s="482"/>
      <c r="EL4" s="482"/>
      <c r="EM4" s="482"/>
      <c r="EN4" s="482"/>
      <c r="EO4" s="482"/>
      <c r="EP4" s="482"/>
      <c r="EQ4" s="482"/>
      <c r="ER4" s="482"/>
      <c r="ES4" s="482"/>
      <c r="ET4" s="482"/>
      <c r="EU4" s="482"/>
      <c r="EV4" s="482"/>
      <c r="EW4" s="482"/>
      <c r="EX4" s="482"/>
      <c r="EY4" s="482"/>
      <c r="EZ4" s="482"/>
      <c r="FA4" s="482"/>
      <c r="FB4" s="482"/>
      <c r="FC4" s="482"/>
    </row>
    <row r="5" spans="1:159" ht="10.5" customHeight="1" thickBot="1" x14ac:dyDescent="0.3">
      <c r="A5" s="483"/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3"/>
      <c r="T5" s="482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  <c r="AJ5" s="483"/>
      <c r="AK5" s="483"/>
      <c r="AL5" s="483"/>
      <c r="AM5" s="483"/>
      <c r="AN5" s="483"/>
      <c r="AO5" s="483"/>
      <c r="AP5" s="483"/>
      <c r="AQ5" s="483"/>
      <c r="AR5" s="483"/>
      <c r="AS5" s="483"/>
      <c r="AT5" s="483"/>
      <c r="AU5" s="483"/>
      <c r="AV5" s="483"/>
      <c r="AW5" s="483"/>
      <c r="AX5" s="483"/>
      <c r="AY5" s="482"/>
      <c r="AZ5" s="483"/>
      <c r="BA5" s="483"/>
      <c r="BB5" s="483"/>
      <c r="BC5" s="483"/>
      <c r="BD5" s="483"/>
      <c r="BE5" s="483"/>
      <c r="BF5" s="483"/>
      <c r="BG5" s="483"/>
      <c r="BH5" s="483"/>
      <c r="BI5" s="483"/>
      <c r="BJ5" s="483"/>
      <c r="BK5" s="483"/>
      <c r="BL5" s="483"/>
      <c r="BM5" s="483"/>
      <c r="BN5" s="483"/>
      <c r="BO5" s="483"/>
      <c r="BP5" s="483"/>
      <c r="BQ5" s="483"/>
      <c r="BR5" s="483"/>
      <c r="BS5" s="483"/>
      <c r="BT5" s="483"/>
      <c r="BU5" s="482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  <c r="CI5" s="483"/>
      <c r="CJ5" s="483"/>
      <c r="CK5" s="483"/>
      <c r="CL5" s="483"/>
      <c r="CM5" s="483"/>
      <c r="CN5" s="483"/>
      <c r="CO5" s="483"/>
      <c r="CP5" s="483"/>
      <c r="CQ5" s="483"/>
      <c r="CR5" s="483"/>
      <c r="CS5" s="483"/>
      <c r="CT5" s="483"/>
      <c r="CU5" s="483"/>
      <c r="CV5" s="483"/>
      <c r="CW5" s="483"/>
      <c r="CX5" s="483"/>
      <c r="CY5" s="483"/>
      <c r="CZ5" s="483"/>
      <c r="DA5" s="483"/>
      <c r="DB5" s="483"/>
      <c r="DC5" s="483"/>
      <c r="DD5" s="483"/>
      <c r="DE5" s="483"/>
      <c r="DF5" s="483"/>
      <c r="DG5" s="483"/>
      <c r="DH5" s="483"/>
      <c r="DI5" s="483"/>
      <c r="DJ5" s="483"/>
      <c r="DK5" s="483"/>
      <c r="DL5" s="483"/>
      <c r="DM5" s="483"/>
      <c r="DN5" s="483"/>
      <c r="DO5" s="483"/>
      <c r="DP5" s="483"/>
      <c r="DQ5" s="483"/>
      <c r="DR5" s="483"/>
      <c r="DS5" s="482"/>
      <c r="DT5" s="483"/>
      <c r="DU5" s="483"/>
      <c r="DV5" s="483"/>
      <c r="DW5" s="483"/>
      <c r="DX5" s="483"/>
      <c r="DY5" s="483"/>
      <c r="DZ5" s="483"/>
      <c r="EA5" s="483"/>
      <c r="EB5" s="483"/>
      <c r="EC5" s="483"/>
      <c r="ED5" s="483"/>
      <c r="EE5" s="483"/>
      <c r="EF5" s="482"/>
      <c r="EG5" s="483"/>
      <c r="EH5" s="483"/>
      <c r="EI5" s="483"/>
      <c r="EJ5" s="483"/>
      <c r="EK5" s="483"/>
      <c r="EL5" s="483"/>
      <c r="EM5" s="483"/>
      <c r="EN5" s="483"/>
      <c r="EO5" s="483"/>
      <c r="EP5" s="483"/>
      <c r="EQ5" s="483"/>
      <c r="ER5" s="483"/>
      <c r="ES5" s="482"/>
      <c r="ET5" s="483"/>
      <c r="EU5" s="483"/>
      <c r="EV5" s="483"/>
      <c r="EW5" s="483"/>
      <c r="EX5" s="483"/>
      <c r="EY5" s="483"/>
      <c r="EZ5" s="483"/>
      <c r="FA5" s="483"/>
      <c r="FB5" s="483"/>
      <c r="FC5" s="483"/>
    </row>
    <row r="6" spans="1:159" ht="24.75" customHeight="1" thickBot="1" x14ac:dyDescent="0.3">
      <c r="A6" s="484" t="s">
        <v>191</v>
      </c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6"/>
      <c r="T6" s="508"/>
      <c r="U6" s="487" t="s">
        <v>192</v>
      </c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8"/>
      <c r="AI6" s="488"/>
      <c r="AJ6" s="488"/>
      <c r="AK6" s="488"/>
      <c r="AL6" s="488"/>
      <c r="AM6" s="488"/>
      <c r="AN6" s="488"/>
      <c r="AO6" s="488"/>
      <c r="AP6" s="488"/>
      <c r="AQ6" s="488"/>
      <c r="AR6" s="488"/>
      <c r="AS6" s="488"/>
      <c r="AT6" s="488"/>
      <c r="AU6" s="488"/>
      <c r="AV6" s="488"/>
      <c r="AW6" s="488"/>
      <c r="AX6" s="489"/>
      <c r="AY6" s="415"/>
      <c r="AZ6" s="487" t="s">
        <v>193</v>
      </c>
      <c r="BA6" s="488"/>
      <c r="BB6" s="488"/>
      <c r="BC6" s="488"/>
      <c r="BD6" s="488"/>
      <c r="BE6" s="488"/>
      <c r="BF6" s="488"/>
      <c r="BG6" s="488"/>
      <c r="BH6" s="488"/>
      <c r="BI6" s="488"/>
      <c r="BJ6" s="488"/>
      <c r="BK6" s="488"/>
      <c r="BL6" s="488"/>
      <c r="BM6" s="488"/>
      <c r="BN6" s="488"/>
      <c r="BO6" s="488"/>
      <c r="BP6" s="488"/>
      <c r="BQ6" s="488"/>
      <c r="BR6" s="488"/>
      <c r="BS6" s="488"/>
      <c r="BT6" s="489"/>
      <c r="BU6" s="382"/>
      <c r="BV6" s="490" t="s">
        <v>194</v>
      </c>
      <c r="BW6" s="491"/>
      <c r="BX6" s="491"/>
      <c r="BY6" s="491"/>
      <c r="BZ6" s="491"/>
      <c r="CA6" s="491"/>
      <c r="CB6" s="491"/>
      <c r="CC6" s="491"/>
      <c r="CD6" s="491"/>
      <c r="CE6" s="491"/>
      <c r="CF6" s="491"/>
      <c r="CG6" s="491"/>
      <c r="CH6" s="491"/>
      <c r="CI6" s="491"/>
      <c r="CJ6" s="491"/>
      <c r="CK6" s="491"/>
      <c r="CL6" s="491"/>
      <c r="CM6" s="491"/>
      <c r="CN6" s="491"/>
      <c r="CO6" s="491"/>
      <c r="CP6" s="491"/>
      <c r="CQ6" s="491"/>
      <c r="CR6" s="491"/>
      <c r="CS6" s="491"/>
      <c r="CT6" s="491"/>
      <c r="CU6" s="492"/>
      <c r="CV6" s="441"/>
      <c r="CW6" s="500" t="s">
        <v>195</v>
      </c>
      <c r="CX6" s="500"/>
      <c r="CY6" s="500"/>
      <c r="CZ6" s="500"/>
      <c r="DA6" s="500"/>
      <c r="DB6" s="500"/>
      <c r="DC6" s="500"/>
      <c r="DD6" s="500"/>
      <c r="DE6" s="500"/>
      <c r="DF6" s="500"/>
      <c r="DG6" s="500"/>
      <c r="DH6" s="500"/>
      <c r="DI6" s="500"/>
      <c r="DJ6" s="500"/>
      <c r="DK6" s="500"/>
      <c r="DL6" s="500"/>
      <c r="DM6" s="500"/>
      <c r="DN6" s="500"/>
      <c r="DO6" s="500"/>
      <c r="DP6" s="500"/>
      <c r="DQ6" s="500"/>
      <c r="DR6" s="501"/>
      <c r="DS6" s="426"/>
      <c r="DT6" s="391" t="s">
        <v>196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6"/>
      <c r="EG6" s="391" t="s">
        <v>197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198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3" t="s">
        <v>18</v>
      </c>
      <c r="B7" s="495" t="s">
        <v>108</v>
      </c>
      <c r="C7" s="454" t="s">
        <v>109</v>
      </c>
      <c r="D7" s="452"/>
      <c r="E7" s="455"/>
      <c r="F7" s="497" t="s">
        <v>0</v>
      </c>
      <c r="G7" s="498"/>
      <c r="H7" s="499"/>
      <c r="I7" s="502" t="s">
        <v>1</v>
      </c>
      <c r="J7" s="502"/>
      <c r="K7" s="503" t="s">
        <v>110</v>
      </c>
      <c r="L7" s="504"/>
      <c r="M7" s="505" t="s">
        <v>111</v>
      </c>
      <c r="N7" s="499"/>
      <c r="O7" s="505" t="s">
        <v>2</v>
      </c>
      <c r="P7" s="498"/>
      <c r="Q7" s="499"/>
      <c r="R7" s="503" t="s">
        <v>112</v>
      </c>
      <c r="S7" s="506"/>
      <c r="T7" s="508"/>
      <c r="U7" s="507" t="s">
        <v>3</v>
      </c>
      <c r="V7" s="467"/>
      <c r="W7" s="468"/>
      <c r="X7" s="466" t="s">
        <v>4</v>
      </c>
      <c r="Y7" s="467"/>
      <c r="Z7" s="468"/>
      <c r="AA7" s="466" t="s">
        <v>5</v>
      </c>
      <c r="AB7" s="467"/>
      <c r="AC7" s="468"/>
      <c r="AD7" s="466" t="s">
        <v>6</v>
      </c>
      <c r="AE7" s="467"/>
      <c r="AF7" s="468"/>
      <c r="AG7" s="466" t="s">
        <v>7</v>
      </c>
      <c r="AH7" s="467"/>
      <c r="AI7" s="468"/>
      <c r="AJ7" s="463" t="s">
        <v>113</v>
      </c>
      <c r="AK7" s="464"/>
      <c r="AL7" s="465"/>
      <c r="AM7" s="463" t="s">
        <v>114</v>
      </c>
      <c r="AN7" s="464"/>
      <c r="AO7" s="465"/>
      <c r="AP7" s="466" t="s">
        <v>8</v>
      </c>
      <c r="AQ7" s="467"/>
      <c r="AR7" s="468"/>
      <c r="AS7" s="463" t="s">
        <v>115</v>
      </c>
      <c r="AT7" s="464"/>
      <c r="AU7" s="465"/>
      <c r="AV7" s="469" t="s">
        <v>9</v>
      </c>
      <c r="AW7" s="470"/>
      <c r="AX7" s="471"/>
      <c r="AY7" s="415"/>
      <c r="AZ7" s="472" t="s">
        <v>10</v>
      </c>
      <c r="BA7" s="470"/>
      <c r="BB7" s="473"/>
      <c r="BC7" s="474" t="s">
        <v>11</v>
      </c>
      <c r="BD7" s="474"/>
      <c r="BE7" s="474"/>
      <c r="BF7" s="474" t="s">
        <v>12</v>
      </c>
      <c r="BG7" s="474"/>
      <c r="BH7" s="474"/>
      <c r="BI7" s="458" t="s">
        <v>116</v>
      </c>
      <c r="BJ7" s="458"/>
      <c r="BK7" s="458" t="s">
        <v>117</v>
      </c>
      <c r="BL7" s="458"/>
      <c r="BM7" s="458" t="s">
        <v>118</v>
      </c>
      <c r="BN7" s="458"/>
      <c r="BO7" s="458" t="s">
        <v>119</v>
      </c>
      <c r="BP7" s="458"/>
      <c r="BQ7" s="459" t="s">
        <v>120</v>
      </c>
      <c r="BR7" s="460"/>
      <c r="BS7" s="461" t="s">
        <v>121</v>
      </c>
      <c r="BT7" s="462"/>
      <c r="BU7" s="383"/>
      <c r="BV7" s="384" t="s">
        <v>13</v>
      </c>
      <c r="BW7" s="385"/>
      <c r="BX7" s="386"/>
      <c r="BY7" s="387" t="s">
        <v>122</v>
      </c>
      <c r="BZ7" s="387"/>
      <c r="CA7" s="388" t="s">
        <v>123</v>
      </c>
      <c r="CB7" s="389"/>
      <c r="CC7" s="388" t="s">
        <v>124</v>
      </c>
      <c r="CD7" s="389"/>
      <c r="CE7" s="388" t="s">
        <v>125</v>
      </c>
      <c r="CF7" s="389"/>
      <c r="CG7" s="388" t="s">
        <v>126</v>
      </c>
      <c r="CH7" s="389"/>
      <c r="CI7" s="388" t="s">
        <v>127</v>
      </c>
      <c r="CJ7" s="389"/>
      <c r="CK7" s="438" t="s">
        <v>14</v>
      </c>
      <c r="CL7" s="385"/>
      <c r="CM7" s="386"/>
      <c r="CN7" s="438" t="s">
        <v>15</v>
      </c>
      <c r="CO7" s="385"/>
      <c r="CP7" s="386"/>
      <c r="CQ7" s="438" t="s">
        <v>16</v>
      </c>
      <c r="CR7" s="385"/>
      <c r="CS7" s="386"/>
      <c r="CT7" s="439" t="s">
        <v>17</v>
      </c>
      <c r="CU7" s="440"/>
      <c r="CV7" s="442"/>
      <c r="CW7" s="409" t="s">
        <v>199</v>
      </c>
      <c r="CX7" s="410"/>
      <c r="CY7" s="410"/>
      <c r="CZ7" s="410"/>
      <c r="DA7" s="451" t="s">
        <v>187</v>
      </c>
      <c r="DB7" s="452"/>
      <c r="DC7" s="452"/>
      <c r="DD7" s="453"/>
      <c r="DE7" s="451" t="s">
        <v>82</v>
      </c>
      <c r="DF7" s="452"/>
      <c r="DG7" s="452"/>
      <c r="DH7" s="452"/>
      <c r="DI7" s="409" t="s">
        <v>83</v>
      </c>
      <c r="DJ7" s="451"/>
      <c r="DK7" s="451"/>
      <c r="DL7" s="417"/>
      <c r="DM7" s="454" t="s">
        <v>84</v>
      </c>
      <c r="DN7" s="452"/>
      <c r="DO7" s="452"/>
      <c r="DP7" s="455"/>
      <c r="DQ7" s="454" t="s">
        <v>85</v>
      </c>
      <c r="DR7" s="455"/>
      <c r="DS7" s="427"/>
      <c r="DT7" s="424" t="s">
        <v>86</v>
      </c>
      <c r="DU7" s="425"/>
      <c r="DV7" s="432" t="s">
        <v>202</v>
      </c>
      <c r="DW7" s="425"/>
      <c r="DX7" s="390" t="s">
        <v>87</v>
      </c>
      <c r="DY7" s="432"/>
      <c r="DZ7" s="432" t="s">
        <v>88</v>
      </c>
      <c r="EA7" s="425"/>
      <c r="EB7" s="432" t="s">
        <v>89</v>
      </c>
      <c r="EC7" s="425"/>
      <c r="ED7" s="432" t="s">
        <v>90</v>
      </c>
      <c r="EE7" s="433"/>
      <c r="EF7" s="367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201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200</v>
      </c>
      <c r="FA7" s="410"/>
      <c r="FB7" s="410" t="s">
        <v>99</v>
      </c>
      <c r="FC7" s="417"/>
    </row>
    <row r="8" spans="1:159" s="4" customFormat="1" ht="44.25" customHeight="1" thickBot="1" x14ac:dyDescent="0.3">
      <c r="A8" s="494"/>
      <c r="B8" s="49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0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1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2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27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6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1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'[1]February - 2020'!B9</f>
        <v>0.79</v>
      </c>
      <c r="C9" s="263">
        <f>'[1]February - 2020'!E9</f>
        <v>530552</v>
      </c>
      <c r="D9" s="399">
        <f>C10-C9</f>
        <v>482</v>
      </c>
      <c r="E9" s="401">
        <f>'[1]February - 2020'!G9</f>
        <v>506</v>
      </c>
      <c r="F9" s="168">
        <f>'[1]February - 2020'!H9</f>
        <v>699410</v>
      </c>
      <c r="G9" s="358">
        <f>F10-F9</f>
        <v>441</v>
      </c>
      <c r="H9" s="401">
        <f>'[1]February - 2020'!J9</f>
        <v>416</v>
      </c>
      <c r="I9" s="264">
        <f>'[1]February - 2020'!K9</f>
        <v>24884</v>
      </c>
      <c r="J9" s="358">
        <f>I10-I9</f>
        <v>132</v>
      </c>
      <c r="K9" s="264">
        <f>'[1]February - 2020'!N9</f>
        <v>615621</v>
      </c>
      <c r="L9" s="357">
        <f>K10-K9</f>
        <v>147</v>
      </c>
      <c r="M9" s="264">
        <f>'[1]February - 2020'!Q9</f>
        <v>156875</v>
      </c>
      <c r="N9" s="357">
        <f>M10-M9</f>
        <v>0</v>
      </c>
      <c r="O9" s="264">
        <f>'[1]February - 2020'!S9</f>
        <v>95774</v>
      </c>
      <c r="P9" s="358">
        <f>O10-O9</f>
        <v>61</v>
      </c>
      <c r="Q9" s="401">
        <f>'[1]February - 2020'!U9</f>
        <v>84</v>
      </c>
      <c r="R9" s="264">
        <f>'[1]February - 2020'!V9</f>
        <v>7324</v>
      </c>
      <c r="S9" s="403">
        <f>R10-R9</f>
        <v>20</v>
      </c>
      <c r="T9" s="509"/>
      <c r="U9" s="269">
        <f>'[1]February - 2020'!AC9</f>
        <v>5523094.0800000001</v>
      </c>
      <c r="V9" s="405">
        <f>U10-U9</f>
        <v>1851.3600000003353</v>
      </c>
      <c r="W9" s="397">
        <f>'[1]February - 2020'!AD9</f>
        <v>1851.3600000003353</v>
      </c>
      <c r="X9" s="255">
        <f>'[1]February - 2020'!AF9</f>
        <v>10784659.199999999</v>
      </c>
      <c r="Y9" s="358">
        <f>X10-X9</f>
        <v>4628.4000000003725</v>
      </c>
      <c r="Z9" s="397">
        <f>'[1]February - 2020'!AG9</f>
        <v>4628.4000000003725</v>
      </c>
      <c r="AA9" s="255">
        <f>'[1]February - 2020'!AI9</f>
        <v>9842901.5999999996</v>
      </c>
      <c r="AB9" s="358">
        <f>AA10-AA9</f>
        <v>535.91999999992549</v>
      </c>
      <c r="AC9" s="397">
        <f>'[1]February - 2020'!AJ9</f>
        <v>535.91999999992549</v>
      </c>
      <c r="AD9" s="255">
        <f>'[1]February - 2020'!AL9</f>
        <v>13177493.280000001</v>
      </c>
      <c r="AE9" s="358">
        <f>AD10-AD9</f>
        <v>5213.0399999972433</v>
      </c>
      <c r="AF9" s="397">
        <f>'[1]February - 2020'!AM9</f>
        <v>5213.0399999972433</v>
      </c>
      <c r="AG9" s="255">
        <f>'[1]February - 2020'!AO9</f>
        <v>13192547.76</v>
      </c>
      <c r="AH9" s="358">
        <f>AG10-AG9</f>
        <v>243.59999999962747</v>
      </c>
      <c r="AI9" s="397">
        <f>'[1]February - 2020'!AP9</f>
        <v>243.59999999962747</v>
      </c>
      <c r="AJ9" s="255">
        <f>'[1]February - 2020'!AR9</f>
        <v>12115884.48</v>
      </c>
      <c r="AK9" s="358">
        <f>AJ10-AJ9</f>
        <v>6284.8799999989569</v>
      </c>
      <c r="AL9" s="397">
        <f>'[1]February - 2020'!AS9</f>
        <v>6284.8799999989569</v>
      </c>
      <c r="AM9" s="255">
        <f>'[1]February - 2020'!AU9</f>
        <v>10538477.040000001</v>
      </c>
      <c r="AN9" s="358">
        <f>AM10-AM9</f>
        <v>3605.2799999974668</v>
      </c>
      <c r="AO9" s="397">
        <f>'[1]February - 2020'!AV9</f>
        <v>3605.2799999974668</v>
      </c>
      <c r="AP9" s="255">
        <f>'[1]February - 2020'!AX9</f>
        <v>10199239.68</v>
      </c>
      <c r="AQ9" s="358">
        <f>AP10-AP9</f>
        <v>4530.9600000008941</v>
      </c>
      <c r="AR9" s="397">
        <f>'[1]February - 2020'!AY9</f>
        <v>4530.9600000008941</v>
      </c>
      <c r="AS9" s="255">
        <f>'[1]February - 2020'!BA9</f>
        <v>8140186.3199999994</v>
      </c>
      <c r="AT9" s="358">
        <f>AS10-AS9</f>
        <v>2923.2000000001863</v>
      </c>
      <c r="AU9" s="397">
        <f>'[1]February - 2020'!BB9</f>
        <v>2923.2000000001863</v>
      </c>
      <c r="AV9" s="255">
        <f>'[1]February - 2020'!BD9</f>
        <v>12049138.08</v>
      </c>
      <c r="AW9" s="358">
        <f>AV10-AV9</f>
        <v>4725.839999999851</v>
      </c>
      <c r="AX9" s="478">
        <f>'[1]February - 2020'!BE9</f>
        <v>4725.839999999851</v>
      </c>
      <c r="AY9" s="475"/>
      <c r="AZ9" s="272">
        <f>'[1]February - 2020'!BK9</f>
        <v>49766400</v>
      </c>
      <c r="BA9" s="480">
        <f>AZ10-AZ9</f>
        <v>100</v>
      </c>
      <c r="BB9" s="476">
        <f>'[1]February - 2020'!BL9</f>
        <v>100</v>
      </c>
      <c r="BC9" s="272">
        <f>'[1]February - 2020'!BN9</f>
        <v>54058400</v>
      </c>
      <c r="BD9" s="480">
        <f>BC10-BC9</f>
        <v>26800</v>
      </c>
      <c r="BE9" s="476">
        <f>'[1]February - 2020'!BO9</f>
        <v>26800</v>
      </c>
      <c r="BF9" s="272">
        <f>'[1]February - 2020'!BQ9</f>
        <v>47821500</v>
      </c>
      <c r="BG9" s="480">
        <f>BF10-BF9</f>
        <v>0</v>
      </c>
      <c r="BH9" s="476">
        <f>'[1]February - 2020'!BR9</f>
        <v>0</v>
      </c>
      <c r="BI9" s="26"/>
      <c r="BJ9" s="357"/>
      <c r="BK9" s="26"/>
      <c r="BL9" s="26"/>
      <c r="BM9" s="26"/>
      <c r="BN9" s="26"/>
      <c r="BO9" s="26"/>
      <c r="BP9" s="26"/>
      <c r="BQ9" s="26"/>
      <c r="BR9" s="26"/>
      <c r="BS9" s="273">
        <f>'[1]February - 2020'!BT9</f>
        <v>4101280</v>
      </c>
      <c r="BT9" s="375">
        <f>BS10-BS9</f>
        <v>4030</v>
      </c>
      <c r="BU9" s="383"/>
      <c r="BV9" s="88">
        <f>'[1]February - 2020'!BW9</f>
        <v>0.75</v>
      </c>
      <c r="BW9" s="377">
        <f>BV10-BV9</f>
        <v>-9.9999999999999978E-2</v>
      </c>
      <c r="BX9" s="379">
        <f>'[1]February - 2020'!$BX$9:$BX$10</f>
        <v>-9.9999999999999978E-2</v>
      </c>
      <c r="BY9" s="89">
        <f>'[1]February - 2020'!BZ9</f>
        <v>45036</v>
      </c>
      <c r="BZ9" s="381">
        <f>BY10-BY9</f>
        <v>0</v>
      </c>
      <c r="CA9" s="89">
        <f>'[1]February - 2020'!CB9</f>
        <v>39830</v>
      </c>
      <c r="CB9" s="381">
        <f>CA10-CA9</f>
        <v>0</v>
      </c>
      <c r="CC9" s="89">
        <f>'[1]February - 2020'!CD9</f>
        <v>13343</v>
      </c>
      <c r="CD9" s="381">
        <f>CC10-CC9</f>
        <v>0</v>
      </c>
      <c r="CE9" s="89">
        <f>'[1]February - 2020'!CF9</f>
        <v>16850</v>
      </c>
      <c r="CF9" s="381">
        <f>CE10-CE9</f>
        <v>0</v>
      </c>
      <c r="CG9" s="89">
        <f>'[1]February - 2020'!CH9</f>
        <v>19241</v>
      </c>
      <c r="CH9" s="381">
        <f>CG10-CG9</f>
        <v>0</v>
      </c>
      <c r="CI9" s="89">
        <f>'[1]February - 2020'!CJ9</f>
        <v>40927</v>
      </c>
      <c r="CJ9" s="381">
        <f>CI10-CI9</f>
        <v>0</v>
      </c>
      <c r="CK9" s="89">
        <f>'[1]February - 2020'!CL9</f>
        <v>176561</v>
      </c>
      <c r="CL9" s="381">
        <f>CK10-CK9</f>
        <v>90</v>
      </c>
      <c r="CM9" s="394">
        <f>'[1]February - 2020'!CM9</f>
        <v>90</v>
      </c>
      <c r="CN9" s="89">
        <f>'[1]February - 2020'!CO9</f>
        <v>128182</v>
      </c>
      <c r="CO9" s="381">
        <f>CN10-CN9</f>
        <v>94</v>
      </c>
      <c r="CP9" s="394">
        <f>'[1]February - 2020'!CP9</f>
        <v>94</v>
      </c>
      <c r="CQ9" s="89">
        <f>'[1]February - 2020'!CR9</f>
        <v>244371</v>
      </c>
      <c r="CR9" s="381">
        <f>CQ10-CQ9</f>
        <v>430</v>
      </c>
      <c r="CS9" s="394">
        <f>'[1]February - 2020'!CS9</f>
        <v>430</v>
      </c>
      <c r="CT9" s="89">
        <f>'[1]February - 2020'!CU9</f>
        <v>475824</v>
      </c>
      <c r="CU9" s="456">
        <f>CT10-CT9</f>
        <v>176</v>
      </c>
      <c r="CV9" s="442"/>
      <c r="CW9" s="256">
        <f>'[1]February - 2020'!CX9</f>
        <v>323</v>
      </c>
      <c r="CX9" s="369">
        <f>CW10-CW9</f>
        <v>0</v>
      </c>
      <c r="CY9" s="257">
        <f>'[1]February - 2020'!CZ9</f>
        <v>1245</v>
      </c>
      <c r="CZ9" s="369">
        <f>CY10-CY9</f>
        <v>0</v>
      </c>
      <c r="DA9" s="257">
        <f>'[1]February - 2020'!DB9</f>
        <v>18925</v>
      </c>
      <c r="DB9" s="369">
        <f>DA10-DA9</f>
        <v>16</v>
      </c>
      <c r="DC9" s="257">
        <f>'[1]February - 2020'!DD9</f>
        <v>19507</v>
      </c>
      <c r="DD9" s="369">
        <f>DC10-DC9</f>
        <v>13</v>
      </c>
      <c r="DE9" s="257">
        <f>'[1]February - 2020'!DF9</f>
        <v>13665</v>
      </c>
      <c r="DF9" s="369">
        <f>DE10-DE9</f>
        <v>9</v>
      </c>
      <c r="DG9" s="257">
        <f>'[1]February - 2020'!DH9</f>
        <v>17317</v>
      </c>
      <c r="DH9" s="369">
        <f>DG10-DG9</f>
        <v>8</v>
      </c>
      <c r="DI9" s="257">
        <f>'[1]February - 2020'!DJ9</f>
        <v>825</v>
      </c>
      <c r="DJ9" s="369">
        <f>DI10-DI9</f>
        <v>0</v>
      </c>
      <c r="DK9" s="257">
        <f>'[1]February - 2020'!DL9</f>
        <v>3570</v>
      </c>
      <c r="DL9" s="369">
        <f>DK10-DK9</f>
        <v>0</v>
      </c>
      <c r="DM9" s="257">
        <f>'[1]February - 2020'!DN9</f>
        <v>1029</v>
      </c>
      <c r="DN9" s="369">
        <f>DM10-DM9</f>
        <v>2</v>
      </c>
      <c r="DO9" s="257">
        <f>'[1]February - 2020'!DP9</f>
        <v>1186</v>
      </c>
      <c r="DP9" s="369">
        <f>DO10-DO9</f>
        <v>3</v>
      </c>
      <c r="DQ9" s="257">
        <f>'[1]February - 2020'!DR9</f>
        <v>17096</v>
      </c>
      <c r="DR9" s="371">
        <f>DQ10-DQ9</f>
        <v>9</v>
      </c>
      <c r="DS9" s="427"/>
      <c r="DT9" s="210">
        <f>'[1]February - 2020'!DU9</f>
        <v>2774401</v>
      </c>
      <c r="DU9" s="373">
        <f>DT10-DT9</f>
        <v>1449</v>
      </c>
      <c r="DV9" s="91">
        <f>'[1]February - 2020'!DW9</f>
        <v>4606</v>
      </c>
      <c r="DW9" s="434">
        <f>DV10-DV9</f>
        <v>4</v>
      </c>
      <c r="DX9" s="91">
        <f>'[1]February - 2020'!DY9</f>
        <v>1832847</v>
      </c>
      <c r="DY9" s="373">
        <f>DX10-DX9</f>
        <v>1005</v>
      </c>
      <c r="DZ9" s="91">
        <f>'[1]February - 2020'!EA9</f>
        <v>252592</v>
      </c>
      <c r="EA9" s="373">
        <f>DZ10-DZ9</f>
        <v>4</v>
      </c>
      <c r="EB9" s="91">
        <f>'[1]February - 2020'!EC9</f>
        <v>457619</v>
      </c>
      <c r="EC9" s="373">
        <f>EB10-EB9</f>
        <v>483</v>
      </c>
      <c r="ED9" s="91">
        <f>'[1]February - 2020'!EG9</f>
        <v>89138</v>
      </c>
      <c r="EE9" s="436">
        <f>ED10-ED9</f>
        <v>145</v>
      </c>
      <c r="EF9" s="367"/>
      <c r="EG9" s="235">
        <f>'[1]February - 2020'!EJ9</f>
        <v>6811900</v>
      </c>
      <c r="EH9" s="359">
        <f>EG10-EG9</f>
        <v>1300</v>
      </c>
      <c r="EI9" s="90">
        <f>'[1]February - 2020'!EL9</f>
        <v>602310</v>
      </c>
      <c r="EJ9" s="359">
        <f>EI10-EI9</f>
        <v>220</v>
      </c>
      <c r="EK9" s="90">
        <f>'[1]February - 2020'!EN9</f>
        <v>4630900</v>
      </c>
      <c r="EL9" s="359">
        <f>EK10-EK9</f>
        <v>800</v>
      </c>
      <c r="EM9" s="90">
        <f>'[1]February - 2020'!EP9</f>
        <v>1988600</v>
      </c>
      <c r="EN9" s="359">
        <f>EM10-EM9</f>
        <v>100</v>
      </c>
      <c r="EO9" s="90">
        <f>'[1]February - 2020'!ER9</f>
        <v>680160</v>
      </c>
      <c r="EP9" s="359">
        <f>EO10-EO9</f>
        <v>110</v>
      </c>
      <c r="EQ9" s="90">
        <f>'[1]February - 2020'!ET9</f>
        <v>10727900</v>
      </c>
      <c r="ER9" s="422">
        <f>EQ10-EQ9</f>
        <v>600</v>
      </c>
      <c r="ES9" s="414"/>
      <c r="ET9" s="284">
        <f>'[1]February - 2020'!EW9</f>
        <v>28120</v>
      </c>
      <c r="EU9" s="370">
        <f>ET10-ET9</f>
        <v>17</v>
      </c>
      <c r="EV9" s="285">
        <f>'[1]February - 2020'!EY9</f>
        <v>24582</v>
      </c>
      <c r="EW9" s="370">
        <f>EV10-EV9</f>
        <v>15</v>
      </c>
      <c r="EX9" s="285">
        <f>'[1]February - 2020'!FA9</f>
        <v>0</v>
      </c>
      <c r="EY9" s="370">
        <v>0</v>
      </c>
      <c r="EZ9" s="285">
        <f>'[1]February - 2020'!FC9</f>
        <v>44546</v>
      </c>
      <c r="FA9" s="370">
        <f>EZ10-EZ9</f>
        <v>35</v>
      </c>
      <c r="FB9" s="285">
        <f>'[1]February - 2020'!FE9</f>
        <v>21127</v>
      </c>
      <c r="FC9" s="372">
        <f>FB10-FB9</f>
        <v>26</v>
      </c>
    </row>
    <row r="10" spans="1:159" ht="30" customHeight="1" x14ac:dyDescent="0.25">
      <c r="A10" s="207">
        <v>43831</v>
      </c>
      <c r="B10" s="209">
        <f>'[1]February - 2020'!B10</f>
        <v>0.73</v>
      </c>
      <c r="C10" s="250">
        <f>'[1]February - 2020'!E10</f>
        <v>531034</v>
      </c>
      <c r="D10" s="400"/>
      <c r="E10" s="402"/>
      <c r="F10" s="168">
        <f>'[1]February - 2020'!H10</f>
        <v>699851</v>
      </c>
      <c r="G10" s="396"/>
      <c r="H10" s="402"/>
      <c r="I10" s="168">
        <f>'[1]February - 2020'!K10</f>
        <v>25016</v>
      </c>
      <c r="J10" s="396"/>
      <c r="K10" s="168">
        <f>'[1]February - 2020'!N10</f>
        <v>615768</v>
      </c>
      <c r="L10" s="358"/>
      <c r="M10" s="168">
        <f>'[1]February - 2020'!Q10</f>
        <v>156875</v>
      </c>
      <c r="N10" s="358"/>
      <c r="O10" s="168">
        <f>'[1]February - 2020'!S10</f>
        <v>95835</v>
      </c>
      <c r="P10" s="396"/>
      <c r="Q10" s="402"/>
      <c r="R10" s="168">
        <f>'[1]February - 2020'!V10</f>
        <v>7344</v>
      </c>
      <c r="S10" s="404"/>
      <c r="T10" s="509"/>
      <c r="U10" s="269">
        <f>'[1]February - 2020'!AC10</f>
        <v>5524945.4400000004</v>
      </c>
      <c r="V10" s="406"/>
      <c r="W10" s="398"/>
      <c r="X10" s="287">
        <f>'[1]February - 2020'!AF10</f>
        <v>10789287.6</v>
      </c>
      <c r="Y10" s="396"/>
      <c r="Z10" s="398"/>
      <c r="AA10" s="287">
        <f>'[1]February - 2020'!AI10</f>
        <v>9843437.5199999996</v>
      </c>
      <c r="AB10" s="396"/>
      <c r="AC10" s="398"/>
      <c r="AD10" s="287">
        <f>'[1]February - 2020'!AL10</f>
        <v>13182706.319999998</v>
      </c>
      <c r="AE10" s="396"/>
      <c r="AF10" s="398"/>
      <c r="AG10" s="287">
        <f>'[1]February - 2020'!AO10</f>
        <v>13192791.359999999</v>
      </c>
      <c r="AH10" s="396"/>
      <c r="AI10" s="398"/>
      <c r="AJ10" s="287">
        <f>'[1]February - 2020'!AR10</f>
        <v>12122169.359999999</v>
      </c>
      <c r="AK10" s="396"/>
      <c r="AL10" s="398"/>
      <c r="AM10" s="287">
        <f>'[1]February - 2020'!AU10</f>
        <v>10542082.319999998</v>
      </c>
      <c r="AN10" s="396"/>
      <c r="AO10" s="398"/>
      <c r="AP10" s="287">
        <f>'[1]February - 2020'!AX10</f>
        <v>10203770.640000001</v>
      </c>
      <c r="AQ10" s="396"/>
      <c r="AR10" s="398"/>
      <c r="AS10" s="287">
        <f>'[1]February - 2020'!BA10</f>
        <v>8143109.5199999996</v>
      </c>
      <c r="AT10" s="396"/>
      <c r="AU10" s="398"/>
      <c r="AV10" s="287">
        <f>'[1]February - 2020'!BD10</f>
        <v>12053863.92</v>
      </c>
      <c r="AW10" s="396"/>
      <c r="AX10" s="479"/>
      <c r="AY10" s="475"/>
      <c r="AZ10" s="272">
        <f>'[1]February - 2020'!BK10</f>
        <v>49766500</v>
      </c>
      <c r="BA10" s="481"/>
      <c r="BB10" s="477"/>
      <c r="BC10" s="272">
        <f>'[1]February - 2020'!BN10</f>
        <v>54085200</v>
      </c>
      <c r="BD10" s="481"/>
      <c r="BE10" s="477"/>
      <c r="BF10" s="272">
        <f>'[1]February - 2020'!BQ10</f>
        <v>47821500</v>
      </c>
      <c r="BG10" s="481"/>
      <c r="BH10" s="477"/>
      <c r="BI10" s="25"/>
      <c r="BJ10" s="358"/>
      <c r="BK10" s="25"/>
      <c r="BL10" s="25"/>
      <c r="BM10" s="25"/>
      <c r="BN10" s="25"/>
      <c r="BO10" s="25"/>
      <c r="BP10" s="25"/>
      <c r="BQ10" s="25"/>
      <c r="BR10" s="25"/>
      <c r="BS10" s="273">
        <f>'[1]February - 2020'!BT10</f>
        <v>4105310</v>
      </c>
      <c r="BT10" s="376"/>
      <c r="BU10" s="383"/>
      <c r="BV10" s="88">
        <f>'[1]February - 2020'!BW10</f>
        <v>0.65</v>
      </c>
      <c r="BW10" s="378"/>
      <c r="BX10" s="380"/>
      <c r="BY10" s="89">
        <f>'[1]February - 2020'!BZ10</f>
        <v>45036</v>
      </c>
      <c r="BZ10" s="375"/>
      <c r="CA10" s="89">
        <f>'[1]February - 2020'!CB10</f>
        <v>39830</v>
      </c>
      <c r="CB10" s="375"/>
      <c r="CC10" s="89">
        <f>'[1]February - 2020'!CD10</f>
        <v>13343</v>
      </c>
      <c r="CD10" s="375"/>
      <c r="CE10" s="89">
        <f>'[1]February - 2020'!CF10</f>
        <v>16850</v>
      </c>
      <c r="CF10" s="375"/>
      <c r="CG10" s="89">
        <f>'[1]February - 2020'!CH10</f>
        <v>19241</v>
      </c>
      <c r="CH10" s="375"/>
      <c r="CI10" s="89">
        <f>'[1]February - 2020'!CJ10</f>
        <v>40927</v>
      </c>
      <c r="CJ10" s="375"/>
      <c r="CK10" s="89">
        <f>'[1]February - 2020'!CL10</f>
        <v>176651</v>
      </c>
      <c r="CL10" s="375"/>
      <c r="CM10" s="395"/>
      <c r="CN10" s="89">
        <f>'[1]February - 2020'!CO10</f>
        <v>128276</v>
      </c>
      <c r="CO10" s="375"/>
      <c r="CP10" s="395"/>
      <c r="CQ10" s="89">
        <f>'[1]February - 2020'!CR10</f>
        <v>244801</v>
      </c>
      <c r="CR10" s="375"/>
      <c r="CS10" s="395"/>
      <c r="CT10" s="89">
        <f>'[1]February - 2020'!CU10</f>
        <v>476000</v>
      </c>
      <c r="CU10" s="457"/>
      <c r="CV10" s="442"/>
      <c r="CW10" s="256">
        <f>'[1]February - 2020'!CX10</f>
        <v>323</v>
      </c>
      <c r="CX10" s="370"/>
      <c r="CY10" s="257">
        <f>'[1]February - 2020'!CZ10</f>
        <v>1245</v>
      </c>
      <c r="CZ10" s="370"/>
      <c r="DA10" s="257">
        <f>'[1]February - 2020'!DB10</f>
        <v>18941</v>
      </c>
      <c r="DB10" s="370"/>
      <c r="DC10" s="257">
        <f>'[1]February - 2020'!DD10</f>
        <v>19520</v>
      </c>
      <c r="DD10" s="370"/>
      <c r="DE10" s="257">
        <f>'[1]February - 2020'!DF10</f>
        <v>13674</v>
      </c>
      <c r="DF10" s="370"/>
      <c r="DG10" s="257">
        <f>'[1]February - 2020'!DH10</f>
        <v>17325</v>
      </c>
      <c r="DH10" s="370"/>
      <c r="DI10" s="257">
        <f>'[1]February - 2020'!DJ10</f>
        <v>825</v>
      </c>
      <c r="DJ10" s="370"/>
      <c r="DK10" s="257">
        <f>'[1]February - 2020'!DL10</f>
        <v>3570</v>
      </c>
      <c r="DL10" s="370"/>
      <c r="DM10" s="257">
        <f>'[1]February - 2020'!DN10</f>
        <v>1031</v>
      </c>
      <c r="DN10" s="370"/>
      <c r="DO10" s="257">
        <f>'[1]February - 2020'!DP10</f>
        <v>1189</v>
      </c>
      <c r="DP10" s="370"/>
      <c r="DQ10" s="257">
        <f>'[1]February - 2020'!DR10</f>
        <v>17105</v>
      </c>
      <c r="DR10" s="372"/>
      <c r="DS10" s="427"/>
      <c r="DT10" s="210">
        <f>'[1]February - 2020'!DU10</f>
        <v>2775850</v>
      </c>
      <c r="DU10" s="374"/>
      <c r="DV10" s="91">
        <f>'[1]February - 2020'!DW10</f>
        <v>4610</v>
      </c>
      <c r="DW10" s="435"/>
      <c r="DX10" s="91">
        <f>'[1]February - 2020'!DY10</f>
        <v>1833852</v>
      </c>
      <c r="DY10" s="374"/>
      <c r="DZ10" s="91">
        <f>'[1]February - 2020'!EA10</f>
        <v>252596</v>
      </c>
      <c r="EA10" s="374"/>
      <c r="EB10" s="91">
        <f>'[1]February - 2020'!EC10</f>
        <v>458102</v>
      </c>
      <c r="EC10" s="374"/>
      <c r="ED10" s="91">
        <f>'[1]February - 2020'!EG10</f>
        <v>89283</v>
      </c>
      <c r="EE10" s="437"/>
      <c r="EF10" s="367"/>
      <c r="EG10" s="235">
        <f>'[1]February - 2020'!EJ10</f>
        <v>6813200</v>
      </c>
      <c r="EH10" s="360"/>
      <c r="EI10" s="90">
        <f>'[1]February - 2020'!EL10</f>
        <v>602530</v>
      </c>
      <c r="EJ10" s="360"/>
      <c r="EK10" s="90">
        <f>'[1]February - 2020'!EN10</f>
        <v>4631700</v>
      </c>
      <c r="EL10" s="360"/>
      <c r="EM10" s="90">
        <f>'[1]February - 2020'!EP10</f>
        <v>1988700</v>
      </c>
      <c r="EN10" s="360"/>
      <c r="EO10" s="90">
        <f>'[1]February - 2020'!ER10</f>
        <v>680270</v>
      </c>
      <c r="EP10" s="360"/>
      <c r="EQ10" s="90">
        <f>'[1]February - 2020'!ET10</f>
        <v>10728500</v>
      </c>
      <c r="ER10" s="423"/>
      <c r="ES10" s="414"/>
      <c r="ET10" s="284">
        <f>'[1]February - 2020'!EW10</f>
        <v>28137</v>
      </c>
      <c r="EU10" s="418"/>
      <c r="EV10" s="285">
        <f>'[1]February - 2020'!EY10</f>
        <v>24597</v>
      </c>
      <c r="EW10" s="418"/>
      <c r="EX10" s="285">
        <f>'[1]February - 2020'!FA10</f>
        <v>0</v>
      </c>
      <c r="EY10" s="418"/>
      <c r="EZ10" s="285">
        <f>'[1]February - 2020'!FC10</f>
        <v>44581</v>
      </c>
      <c r="FA10" s="418"/>
      <c r="FB10" s="285">
        <f>'[1]February - 2020'!FE10</f>
        <v>21153</v>
      </c>
      <c r="FC10" s="419"/>
    </row>
    <row r="11" spans="1:159" ht="30" customHeight="1" x14ac:dyDescent="0.25">
      <c r="A11" s="207">
        <v>43832</v>
      </c>
      <c r="B11" s="209">
        <f>'[1]February - 2020'!B11</f>
        <v>0.68</v>
      </c>
      <c r="C11" s="250">
        <f>'[1]February - 2020'!E11</f>
        <v>531509</v>
      </c>
      <c r="D11" s="170">
        <f>'[1]February - 2020'!F11</f>
        <v>475</v>
      </c>
      <c r="E11" s="168">
        <f>'[1]February - 2020'!G11</f>
        <v>475</v>
      </c>
      <c r="F11" s="168">
        <f>'[1]February - 2020'!H11</f>
        <v>700274</v>
      </c>
      <c r="G11" s="170">
        <f>'[1]February - 2020'!I11</f>
        <v>423</v>
      </c>
      <c r="H11" s="168">
        <f>'[1]February - 2020'!J11</f>
        <v>365</v>
      </c>
      <c r="I11" s="168">
        <f>'[1]February - 2020'!K11</f>
        <v>25203</v>
      </c>
      <c r="J11" s="170">
        <f>'[1]February - 2020'!L11</f>
        <v>187</v>
      </c>
      <c r="K11" s="168">
        <f>'[1]February - 2020'!N11</f>
        <v>615918</v>
      </c>
      <c r="L11" s="170">
        <f>'[1]February - 2020'!O11</f>
        <v>150</v>
      </c>
      <c r="M11" s="168">
        <f>'[1]February - 2020'!Q11</f>
        <v>156876</v>
      </c>
      <c r="N11" s="170">
        <f>'[1]February - 2020'!R11</f>
        <v>1</v>
      </c>
      <c r="O11" s="168">
        <f>'[1]February - 2020'!S11</f>
        <v>95898</v>
      </c>
      <c r="P11" s="170">
        <f>'[1]February - 2020'!T11</f>
        <v>63</v>
      </c>
      <c r="Q11" s="168">
        <f>'[1]February - 2020'!U11</f>
        <v>105</v>
      </c>
      <c r="R11" s="168">
        <f>'[1]February - 2020'!V11</f>
        <v>7357</v>
      </c>
      <c r="S11" s="208">
        <f>'[1]February - 2020'!W11</f>
        <v>13</v>
      </c>
      <c r="T11" s="509"/>
      <c r="U11" s="269">
        <f>'[1]February - 2020'!AC11</f>
        <v>5526942.96</v>
      </c>
      <c r="V11" s="239">
        <f>'[1]February - 2020'!AD11</f>
        <v>1997.519999999553</v>
      </c>
      <c r="W11" s="92">
        <f>'[1]February - 2020'!AD11</f>
        <v>1997.519999999553</v>
      </c>
      <c r="X11" s="287">
        <f>'[1]February - 2020'!AF11</f>
        <v>10794257.040000001</v>
      </c>
      <c r="Y11" s="239">
        <f>'[1]February - 2020'!AG11</f>
        <v>4969.4400000013411</v>
      </c>
      <c r="Z11" s="92">
        <f>'[1]February - 2020'!AG11</f>
        <v>4969.4400000013411</v>
      </c>
      <c r="AA11" s="287">
        <f>'[1]February - 2020'!AI11</f>
        <v>9844070.8800000008</v>
      </c>
      <c r="AB11" s="251">
        <f>'[1]February - 2020'!AJ11</f>
        <v>633.3600000012666</v>
      </c>
      <c r="AC11" s="92">
        <f>'[1]February - 2020'!AJ11</f>
        <v>633.3600000012666</v>
      </c>
      <c r="AD11" s="287">
        <f>'[1]February - 2020'!AL11</f>
        <v>13188504</v>
      </c>
      <c r="AE11" s="251">
        <f>'[1]February - 2020'!AM11</f>
        <v>5797.6800000015646</v>
      </c>
      <c r="AF11" s="92">
        <f>'[1]February - 2020'!AM11</f>
        <v>5797.6800000015646</v>
      </c>
      <c r="AG11" s="287">
        <f>'[1]February - 2020'!AO11</f>
        <v>13193083.68</v>
      </c>
      <c r="AH11" s="251">
        <f>'[1]February - 2020'!AP11</f>
        <v>292.32000000029802</v>
      </c>
      <c r="AI11" s="92">
        <f>'[1]February - 2020'!AP11</f>
        <v>292.32000000029802</v>
      </c>
      <c r="AJ11" s="287">
        <f>'[1]February - 2020'!AR11</f>
        <v>12128405.52</v>
      </c>
      <c r="AK11" s="251">
        <f>'[1]February - 2020'!AS11</f>
        <v>6236.160000000149</v>
      </c>
      <c r="AL11" s="92">
        <f>'[1]February - 2020'!AS11</f>
        <v>6236.160000000149</v>
      </c>
      <c r="AM11" s="287">
        <f>'[1]February - 2020'!AU11</f>
        <v>10545931.199999999</v>
      </c>
      <c r="AN11" s="251">
        <f>'[1]February - 2020'!AV11</f>
        <v>3848.8800000008196</v>
      </c>
      <c r="AO11" s="92">
        <f>'[1]February - 2020'!AV11</f>
        <v>3848.8800000008196</v>
      </c>
      <c r="AP11" s="287">
        <f>'[1]February - 2020'!AX11</f>
        <v>10208740.08</v>
      </c>
      <c r="AQ11" s="251">
        <f>'[1]February - 2020'!AY11</f>
        <v>4969.4399999994785</v>
      </c>
      <c r="AR11" s="92">
        <f>'[1]February - 2020'!AY11</f>
        <v>4969.4399999994785</v>
      </c>
      <c r="AS11" s="287">
        <f>'[1]February - 2020'!BA11</f>
        <v>8146325.04</v>
      </c>
      <c r="AT11" s="251">
        <f>'[1]February - 2020'!BB11</f>
        <v>3215.5200000004843</v>
      </c>
      <c r="AU11" s="92">
        <f>'[1]February - 2020'!BB11</f>
        <v>3215.5200000004843</v>
      </c>
      <c r="AV11" s="287">
        <f>'[1]February - 2020'!BD11</f>
        <v>12059174.4</v>
      </c>
      <c r="AW11" s="252">
        <f>'[1]February - 2020'!BE11</f>
        <v>5310.480000000447</v>
      </c>
      <c r="AX11" s="253">
        <f>'[1]February - 2020'!BE11</f>
        <v>5310.480000000447</v>
      </c>
      <c r="AY11" s="475"/>
      <c r="AZ11" s="272">
        <f>'[1]February - 2020'!BK11</f>
        <v>49766500</v>
      </c>
      <c r="BA11" s="179">
        <f>'[1]February - 2020'!BL11</f>
        <v>0</v>
      </c>
      <c r="BB11" s="93">
        <f>'[1]February - 2020'!BL11</f>
        <v>0</v>
      </c>
      <c r="BC11" s="272">
        <f>'[1]February - 2020'!BN11</f>
        <v>54117600</v>
      </c>
      <c r="BD11" s="245">
        <f>'[1]February - 2020'!BO11</f>
        <v>32400</v>
      </c>
      <c r="BE11" s="93">
        <f>'[1]February - 2020'!BO11</f>
        <v>32400</v>
      </c>
      <c r="BF11" s="272">
        <f>'[1]February - 2020'!BQ11</f>
        <v>47821500</v>
      </c>
      <c r="BG11" s="245">
        <f>'[1]February - 2020'!BR11</f>
        <v>0</v>
      </c>
      <c r="BH11" s="93">
        <f>'[1]February - 2020'!BR11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- 2020'!BT11</f>
        <v>4108730</v>
      </c>
      <c r="BT11" s="185">
        <f>'[1]February - 2020'!BU11</f>
        <v>3420</v>
      </c>
      <c r="BU11" s="383"/>
      <c r="BV11" s="88">
        <f>'[1]February - 2020'!BW11</f>
        <v>0.77</v>
      </c>
      <c r="BW11" s="241">
        <f>'[1]February - 2020'!BX11</f>
        <v>0.12</v>
      </c>
      <c r="BX11" s="88">
        <f>'[1]February - 2020'!BX11</f>
        <v>0.12</v>
      </c>
      <c r="BY11" s="89">
        <f>'[1]February - 2020'!BZ11</f>
        <v>45077</v>
      </c>
      <c r="BZ11" s="191">
        <f>'[1]February - 2020'!CA11</f>
        <v>41</v>
      </c>
      <c r="CA11" s="89">
        <f>'[1]February - 2020'!CB11</f>
        <v>39862</v>
      </c>
      <c r="CB11" s="191">
        <f>'[1]February - 2020'!CC11</f>
        <v>32</v>
      </c>
      <c r="CC11" s="89">
        <f>'[1]February - 2020'!CD11</f>
        <v>13354</v>
      </c>
      <c r="CD11" s="191">
        <f>'[1]February - 2020'!CE11</f>
        <v>11</v>
      </c>
      <c r="CE11" s="89">
        <f>'[1]February - 2020'!CF11</f>
        <v>16873</v>
      </c>
      <c r="CF11" s="191">
        <f>'[1]February - 2020'!CG11</f>
        <v>23</v>
      </c>
      <c r="CG11" s="89">
        <f>'[1]February - 2020'!CH11</f>
        <v>19254</v>
      </c>
      <c r="CH11" s="191">
        <f>'[1]February - 2020'!CI11</f>
        <v>13</v>
      </c>
      <c r="CI11" s="89">
        <f>'[1]February - 2020'!CJ11</f>
        <v>40978</v>
      </c>
      <c r="CJ11" s="191">
        <f>'[1]February - 2020'!CK11</f>
        <v>51</v>
      </c>
      <c r="CK11" s="89">
        <f>'[1]February - 2020'!CL11</f>
        <v>176735</v>
      </c>
      <c r="CL11" s="246">
        <f>'[1]February - 2020'!CM11</f>
        <v>84</v>
      </c>
      <c r="CM11" s="89">
        <f>'[1]February - 2020'!CM11</f>
        <v>84</v>
      </c>
      <c r="CN11" s="89">
        <f>'[1]February - 2020'!CO11</f>
        <v>128372</v>
      </c>
      <c r="CO11" s="246">
        <f>'[1]February - 2020'!CP11</f>
        <v>96</v>
      </c>
      <c r="CP11" s="89">
        <f>'[1]February - 2020'!CP11</f>
        <v>96</v>
      </c>
      <c r="CQ11" s="89">
        <f>'[1]February - 2020'!CR11</f>
        <v>245201</v>
      </c>
      <c r="CR11" s="246">
        <f>'[1]February - 2020'!CS11</f>
        <v>400</v>
      </c>
      <c r="CS11" s="89">
        <f>'[1]February - 2020'!CS11</f>
        <v>400</v>
      </c>
      <c r="CT11" s="89">
        <f>'[1]February - 2020'!CU11</f>
        <v>476166</v>
      </c>
      <c r="CU11" s="191">
        <f>'[1]February - 2020'!CV11</f>
        <v>166</v>
      </c>
      <c r="CV11" s="442"/>
      <c r="CW11" s="256">
        <f>'[1]February - 2020'!CX11</f>
        <v>323</v>
      </c>
      <c r="CX11" s="198">
        <f>'[1]February - 2020'!CY11</f>
        <v>0</v>
      </c>
      <c r="CY11" s="257">
        <f>'[1]February - 2020'!CZ11</f>
        <v>1245</v>
      </c>
      <c r="CZ11" s="198">
        <f>'[1]February - 2020'!DA11</f>
        <v>0</v>
      </c>
      <c r="DA11" s="257">
        <f>'[1]February - 2020'!DB11</f>
        <v>18954</v>
      </c>
      <c r="DB11" s="198">
        <f>'[1]February - 2020'!DC11</f>
        <v>13</v>
      </c>
      <c r="DC11" s="257">
        <f>'[1]February - 2020'!DD11</f>
        <v>19534</v>
      </c>
      <c r="DD11" s="198">
        <f>'[1]February - 2020'!DE11</f>
        <v>14</v>
      </c>
      <c r="DE11" s="257">
        <f>'[1]February - 2020'!DF11</f>
        <v>13682</v>
      </c>
      <c r="DF11" s="198">
        <f>'[1]February - 2020'!DG11</f>
        <v>8</v>
      </c>
      <c r="DG11" s="257">
        <f>'[1]February - 2020'!DH11</f>
        <v>17333</v>
      </c>
      <c r="DH11" s="198">
        <f>'[1]February - 2020'!DI11</f>
        <v>8</v>
      </c>
      <c r="DI11" s="257">
        <f>'[1]February - 2020'!DJ11</f>
        <v>825</v>
      </c>
      <c r="DJ11" s="198">
        <f>'[1]February - 2020'!DK11</f>
        <v>0</v>
      </c>
      <c r="DK11" s="257">
        <f>'[1]February - 2020'!DL11</f>
        <v>3570</v>
      </c>
      <c r="DL11" s="198">
        <f>'[1]February - 2020'!DM11</f>
        <v>0</v>
      </c>
      <c r="DM11" s="257">
        <f>'[1]February - 2020'!DN11</f>
        <v>1035</v>
      </c>
      <c r="DN11" s="198">
        <f>'[1]February - 2020'!DO11</f>
        <v>4</v>
      </c>
      <c r="DO11" s="257">
        <f>'[1]February - 2020'!DP11</f>
        <v>1191</v>
      </c>
      <c r="DP11" s="198">
        <f>'[1]February - 2020'!DQ11</f>
        <v>2</v>
      </c>
      <c r="DQ11" s="257">
        <f>'[1]February - 2020'!DR11</f>
        <v>17115</v>
      </c>
      <c r="DR11" s="206">
        <f>'[1]February - 2020'!DS11</f>
        <v>10</v>
      </c>
      <c r="DS11" s="427"/>
      <c r="DT11" s="210">
        <f>'[1]February - 2020'!DU11</f>
        <v>2777333</v>
      </c>
      <c r="DU11" s="221">
        <f>'[1]February - 2020'!DV11</f>
        <v>1483</v>
      </c>
      <c r="DV11" s="91">
        <f>'[1]February - 2020'!DW11</f>
        <v>4615</v>
      </c>
      <c r="DW11" s="215">
        <f>'[1]February - 2020'!DX11</f>
        <v>5</v>
      </c>
      <c r="DX11" s="91">
        <f>'[1]February - 2020'!DY11</f>
        <v>1834901</v>
      </c>
      <c r="DY11" s="215">
        <f>'[1]February - 2020'!DZ11</f>
        <v>1049</v>
      </c>
      <c r="DZ11" s="91">
        <f>'[1]February - 2020'!EA11</f>
        <v>252600</v>
      </c>
      <c r="EA11" s="215">
        <f>'[1]February - 2020'!EB11</f>
        <v>4</v>
      </c>
      <c r="EB11" s="91">
        <f>'[1]February - 2020'!EC11</f>
        <v>458550</v>
      </c>
      <c r="EC11" s="215">
        <f>'[1]February - 2020'!ED11</f>
        <v>448</v>
      </c>
      <c r="ED11" s="91">
        <f>'[1]February - 2020'!EG11</f>
        <v>89428</v>
      </c>
      <c r="EE11" s="229">
        <f>'[1]February - 2020'!EH11</f>
        <v>145</v>
      </c>
      <c r="EF11" s="367"/>
      <c r="EG11" s="235">
        <f>'[1]February - 2020'!EJ11</f>
        <v>6815100</v>
      </c>
      <c r="EH11" s="230">
        <f>'[1]February - 2020'!EK11</f>
        <v>1900</v>
      </c>
      <c r="EI11" s="90">
        <f>'[1]February - 2020'!EL11</f>
        <v>602760</v>
      </c>
      <c r="EJ11" s="230">
        <f>'[1]February - 2020'!EM11</f>
        <v>230</v>
      </c>
      <c r="EK11" s="90">
        <f>'[1]February - 2020'!EN11</f>
        <v>4632500</v>
      </c>
      <c r="EL11" s="230">
        <f>'[1]February - 2020'!EO11</f>
        <v>800</v>
      </c>
      <c r="EM11" s="90">
        <f>'[1]February - 2020'!EP11</f>
        <v>1988700</v>
      </c>
      <c r="EN11" s="230">
        <f>'[1]February - 2020'!EQ11</f>
        <v>0</v>
      </c>
      <c r="EO11" s="90">
        <f>'[1]February - 2020'!ER11</f>
        <v>680390</v>
      </c>
      <c r="EP11" s="230">
        <f>'[1]February - 2020'!ES11</f>
        <v>120</v>
      </c>
      <c r="EQ11" s="90">
        <f>'[1]February - 2020'!ET11</f>
        <v>10729200</v>
      </c>
      <c r="ER11" s="230">
        <f>'[1]February - 2020'!EU11</f>
        <v>700</v>
      </c>
      <c r="ES11" s="414"/>
      <c r="ET11" s="284">
        <f>'[1]February - 2020'!EW11</f>
        <v>28155</v>
      </c>
      <c r="EU11" s="278">
        <f>'[1]February - 2020'!EX11</f>
        <v>18</v>
      </c>
      <c r="EV11" s="285">
        <f>'[1]February - 2020'!EY11</f>
        <v>24611</v>
      </c>
      <c r="EW11" s="278">
        <f>'[1]February - 2020'!EZ11</f>
        <v>14</v>
      </c>
      <c r="EX11" s="285">
        <f>'[1]February - 2020'!FA11</f>
        <v>0</v>
      </c>
      <c r="EY11" s="278">
        <f>'[1]February - 2020'!FB11</f>
        <v>0</v>
      </c>
      <c r="EZ11" s="285">
        <f>'[1]February - 2020'!FC11</f>
        <v>44581</v>
      </c>
      <c r="FA11" s="278">
        <f>'[1]February - 2020'!FD11</f>
        <v>0</v>
      </c>
      <c r="FB11" s="285">
        <f>'[1]February - 2020'!FE11</f>
        <v>21176</v>
      </c>
      <c r="FC11" s="279">
        <f>'[1]February - 2020'!FF11</f>
        <v>23</v>
      </c>
    </row>
    <row r="12" spans="1:159" ht="30" customHeight="1" x14ac:dyDescent="0.25">
      <c r="A12" s="207">
        <v>43833</v>
      </c>
      <c r="B12" s="209">
        <f>'[1]February - 2020'!B12</f>
        <v>0.7</v>
      </c>
      <c r="C12" s="250">
        <f>'[1]February - 2020'!E12</f>
        <v>532110</v>
      </c>
      <c r="D12" s="170">
        <f>'[1]February - 2020'!F12</f>
        <v>601</v>
      </c>
      <c r="E12" s="168">
        <f>'[1]February - 2020'!G12</f>
        <v>467</v>
      </c>
      <c r="F12" s="168">
        <f>'[1]February - 2020'!H12</f>
        <v>700784</v>
      </c>
      <c r="G12" s="170">
        <f>'[1]February - 2020'!I12</f>
        <v>510</v>
      </c>
      <c r="H12" s="168">
        <f>'[1]February - 2020'!J12</f>
        <v>369</v>
      </c>
      <c r="I12" s="168">
        <f>'[1]February - 2020'!K12</f>
        <v>25335</v>
      </c>
      <c r="J12" s="170">
        <f>'[1]February - 2020'!L12</f>
        <v>132</v>
      </c>
      <c r="K12" s="168">
        <f>'[1]February - 2020'!N12</f>
        <v>616061</v>
      </c>
      <c r="L12" s="170">
        <f>'[1]February - 2020'!O12</f>
        <v>143</v>
      </c>
      <c r="M12" s="168">
        <f>'[1]February - 2020'!Q12</f>
        <v>156876</v>
      </c>
      <c r="N12" s="170">
        <f>'[1]February - 2020'!R12</f>
        <v>0</v>
      </c>
      <c r="O12" s="168">
        <f>'[1]February - 2020'!S12</f>
        <v>95956</v>
      </c>
      <c r="P12" s="170">
        <f>'[1]February - 2020'!T12</f>
        <v>58</v>
      </c>
      <c r="Q12" s="168">
        <f>'[1]February - 2020'!U12</f>
        <v>69</v>
      </c>
      <c r="R12" s="168">
        <f>'[1]February - 2020'!V12</f>
        <v>7367</v>
      </c>
      <c r="S12" s="208">
        <f>'[1]February - 2020'!W12</f>
        <v>10</v>
      </c>
      <c r="T12" s="509"/>
      <c r="U12" s="269">
        <f>'[1]February - 2020'!AC12</f>
        <v>5528940.4799999995</v>
      </c>
      <c r="V12" s="288">
        <f>'[1]February - 2020'!AD12</f>
        <v>1997.519999999553</v>
      </c>
      <c r="W12" s="92">
        <f>'[1]February - 2020'!AD12</f>
        <v>1997.519999999553</v>
      </c>
      <c r="X12" s="287">
        <f>'[1]February - 2020'!AF12</f>
        <v>10799031.6</v>
      </c>
      <c r="Y12" s="288">
        <f>'[1]February - 2020'!AG12</f>
        <v>4774.5599999986589</v>
      </c>
      <c r="Z12" s="92">
        <f>'[1]February - 2020'!AG12</f>
        <v>4774.5599999986589</v>
      </c>
      <c r="AA12" s="287">
        <f>'[1]February - 2020'!AI12</f>
        <v>9844606.7999999989</v>
      </c>
      <c r="AB12" s="288">
        <f>'[1]February - 2020'!AJ12</f>
        <v>535.91999999806285</v>
      </c>
      <c r="AC12" s="92">
        <f>'[1]February - 2020'!AJ12</f>
        <v>535.91999999806285</v>
      </c>
      <c r="AD12" s="287">
        <f>'[1]February - 2020'!AL12</f>
        <v>13193765.76</v>
      </c>
      <c r="AE12" s="288">
        <f>'[1]February - 2020'!AM12</f>
        <v>5261.7599999997765</v>
      </c>
      <c r="AF12" s="92">
        <f>'[1]February - 2020'!AM12</f>
        <v>5261.7599999997765</v>
      </c>
      <c r="AG12" s="287">
        <f>'[1]February - 2020'!AO12</f>
        <v>13193376</v>
      </c>
      <c r="AH12" s="288">
        <f>'[1]February - 2020'!AP12</f>
        <v>292.32000000029802</v>
      </c>
      <c r="AI12" s="92">
        <f>'[1]February - 2020'!AP12</f>
        <v>292.32000000029802</v>
      </c>
      <c r="AJ12" s="287">
        <f>'[1]February - 2020'!AR12</f>
        <v>12134641.68</v>
      </c>
      <c r="AK12" s="288">
        <f>'[1]February - 2020'!AS12</f>
        <v>6236.160000000149</v>
      </c>
      <c r="AL12" s="92">
        <f>'[1]February - 2020'!AS12</f>
        <v>6236.160000000149</v>
      </c>
      <c r="AM12" s="287">
        <f>'[1]February - 2020'!AU12</f>
        <v>10549439.040000001</v>
      </c>
      <c r="AN12" s="288">
        <f>'[1]February - 2020'!AV12</f>
        <v>3507.8400000017136</v>
      </c>
      <c r="AO12" s="92">
        <f>'[1]February - 2020'!AV12</f>
        <v>3507.8400000017136</v>
      </c>
      <c r="AP12" s="287">
        <f>'[1]February - 2020'!AX12</f>
        <v>10213514.640000001</v>
      </c>
      <c r="AQ12" s="288">
        <f>'[1]February - 2020'!AY12</f>
        <v>4774.5600000005215</v>
      </c>
      <c r="AR12" s="92">
        <f>'[1]February - 2020'!AY12</f>
        <v>4774.5600000005215</v>
      </c>
      <c r="AS12" s="287">
        <f>'[1]February - 2020'!BA12</f>
        <v>8149589.2800000003</v>
      </c>
      <c r="AT12" s="288">
        <f>'[1]February - 2020'!BB12</f>
        <v>3264.2400000002235</v>
      </c>
      <c r="AU12" s="92">
        <f>'[1]February - 2020'!BB12</f>
        <v>3264.2400000002235</v>
      </c>
      <c r="AV12" s="287">
        <f>'[1]February - 2020'!BD12</f>
        <v>12064582.319999998</v>
      </c>
      <c r="AW12" s="252">
        <f>'[1]February - 2020'!BE12</f>
        <v>5407.9199999980628</v>
      </c>
      <c r="AX12" s="253">
        <f>'[1]February - 2020'!BE12</f>
        <v>5407.9199999980628</v>
      </c>
      <c r="AY12" s="475"/>
      <c r="AZ12" s="272">
        <f>'[1]February - 2020'!BK12</f>
        <v>49766500</v>
      </c>
      <c r="BA12" s="179">
        <f>'[1]February - 2020'!BL12</f>
        <v>0</v>
      </c>
      <c r="BB12" s="93">
        <f>'[1]February - 2020'!BL12</f>
        <v>0</v>
      </c>
      <c r="BC12" s="272">
        <f>'[1]February - 2020'!BN12</f>
        <v>54148300</v>
      </c>
      <c r="BD12" s="245">
        <f>'[1]February - 2020'!BO12</f>
        <v>30700</v>
      </c>
      <c r="BE12" s="93">
        <f>'[1]February - 2020'!BO12</f>
        <v>30700</v>
      </c>
      <c r="BF12" s="272">
        <f>'[1]February - 2020'!BQ12</f>
        <v>47821500</v>
      </c>
      <c r="BG12" s="245">
        <f>'[1]February - 2020'!BR12</f>
        <v>0</v>
      </c>
      <c r="BH12" s="93">
        <f>'[1]February - 2020'!BR12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- 2020'!BT12</f>
        <v>4113850</v>
      </c>
      <c r="BT12" s="185">
        <f>'[1]February - 2020'!BU12</f>
        <v>5120</v>
      </c>
      <c r="BU12" s="383"/>
      <c r="BV12" s="88">
        <f>'[1]February - 2020'!BW12</f>
        <v>0.66</v>
      </c>
      <c r="BW12" s="241">
        <f>'[1]February - 2020'!BX12</f>
        <v>-0.10999999999999999</v>
      </c>
      <c r="BX12" s="88">
        <f>'[1]February - 2020'!BX12</f>
        <v>-0.10999999999999999</v>
      </c>
      <c r="BY12" s="89">
        <f>'[1]February - 2020'!BZ12</f>
        <v>45096</v>
      </c>
      <c r="BZ12" s="191">
        <f>'[1]February - 2020'!CA12</f>
        <v>19</v>
      </c>
      <c r="CA12" s="89">
        <f>'[1]February - 2020'!CB12</f>
        <v>39876</v>
      </c>
      <c r="CB12" s="191">
        <f>'[1]February - 2020'!CC12</f>
        <v>14</v>
      </c>
      <c r="CC12" s="89">
        <f>'[1]February - 2020'!CD12</f>
        <v>13358</v>
      </c>
      <c r="CD12" s="191">
        <f>'[1]February - 2020'!CE12</f>
        <v>4</v>
      </c>
      <c r="CE12" s="89">
        <f>'[1]February - 2020'!CF12</f>
        <v>16883</v>
      </c>
      <c r="CF12" s="191">
        <f>'[1]February - 2020'!CG12</f>
        <v>10</v>
      </c>
      <c r="CG12" s="89">
        <f>'[1]February - 2020'!CH12</f>
        <v>19264</v>
      </c>
      <c r="CH12" s="191">
        <f>'[1]February - 2020'!CI12</f>
        <v>10</v>
      </c>
      <c r="CI12" s="89">
        <f>'[1]February - 2020'!CJ12</f>
        <v>41001</v>
      </c>
      <c r="CJ12" s="191">
        <f>'[1]February - 2020'!CK12</f>
        <v>23</v>
      </c>
      <c r="CK12" s="89">
        <f>'[1]February - 2020'!CL12</f>
        <v>176820</v>
      </c>
      <c r="CL12" s="246">
        <f>'[1]February - 2020'!CM12</f>
        <v>85</v>
      </c>
      <c r="CM12" s="89">
        <f>'[1]February - 2020'!CM12</f>
        <v>85</v>
      </c>
      <c r="CN12" s="89">
        <f>'[1]February - 2020'!CO12</f>
        <v>128465</v>
      </c>
      <c r="CO12" s="246">
        <f>'[1]February - 2020'!CP12</f>
        <v>93</v>
      </c>
      <c r="CP12" s="89">
        <f>'[1]February - 2020'!CP12</f>
        <v>93</v>
      </c>
      <c r="CQ12" s="89">
        <f>'[1]February - 2020'!CR12</f>
        <v>245625</v>
      </c>
      <c r="CR12" s="246">
        <f>'[1]February - 2020'!CS12</f>
        <v>424</v>
      </c>
      <c r="CS12" s="89">
        <f>'[1]February - 2020'!CS12</f>
        <v>424</v>
      </c>
      <c r="CT12" s="89">
        <f>'[1]February - 2020'!CU12</f>
        <v>476335</v>
      </c>
      <c r="CU12" s="191">
        <f>'[1]February - 2020'!CV12</f>
        <v>169</v>
      </c>
      <c r="CV12" s="442"/>
      <c r="CW12" s="256">
        <f>'[1]February - 2020'!CX12</f>
        <v>323</v>
      </c>
      <c r="CX12" s="198">
        <f>'[1]February - 2020'!CY12</f>
        <v>0</v>
      </c>
      <c r="CY12" s="257">
        <f>'[1]February - 2020'!CZ12</f>
        <v>1245</v>
      </c>
      <c r="CZ12" s="198">
        <f>'[1]February - 2020'!DA12</f>
        <v>0</v>
      </c>
      <c r="DA12" s="257">
        <f>'[1]February - 2020'!DB12</f>
        <v>18967</v>
      </c>
      <c r="DB12" s="198">
        <f>'[1]February - 2020'!DC12</f>
        <v>13</v>
      </c>
      <c r="DC12" s="257">
        <f>'[1]February - 2020'!DD12</f>
        <v>19545</v>
      </c>
      <c r="DD12" s="198">
        <f>'[1]February - 2020'!DE12</f>
        <v>11</v>
      </c>
      <c r="DE12" s="257">
        <f>'[1]February - 2020'!DF12</f>
        <v>13691</v>
      </c>
      <c r="DF12" s="198">
        <f>'[1]February - 2020'!DG12</f>
        <v>9</v>
      </c>
      <c r="DG12" s="257">
        <f>'[1]February - 2020'!DH12</f>
        <v>17339</v>
      </c>
      <c r="DH12" s="198">
        <f>'[1]February - 2020'!DI12</f>
        <v>6</v>
      </c>
      <c r="DI12" s="257">
        <f>'[1]February - 2020'!DJ12</f>
        <v>825</v>
      </c>
      <c r="DJ12" s="198">
        <f>'[1]February - 2020'!DK12</f>
        <v>0</v>
      </c>
      <c r="DK12" s="257">
        <f>'[1]February - 2020'!DL12</f>
        <v>3570</v>
      </c>
      <c r="DL12" s="198">
        <f>'[1]February - 2020'!DM12</f>
        <v>0</v>
      </c>
      <c r="DM12" s="257">
        <f>'[1]February - 2020'!DN12</f>
        <v>1038</v>
      </c>
      <c r="DN12" s="198">
        <f>'[1]February - 2020'!DO12</f>
        <v>3</v>
      </c>
      <c r="DO12" s="257">
        <f>'[1]February - 2020'!DP12</f>
        <v>1194</v>
      </c>
      <c r="DP12" s="198">
        <f>'[1]February - 2020'!DQ12</f>
        <v>3</v>
      </c>
      <c r="DQ12" s="257">
        <f>'[1]February - 2020'!DR12</f>
        <v>17125</v>
      </c>
      <c r="DR12" s="206">
        <f>'[1]February - 2020'!DS12</f>
        <v>10</v>
      </c>
      <c r="DS12" s="427"/>
      <c r="DT12" s="210">
        <f>'[1]February - 2020'!DU12</f>
        <v>2778771</v>
      </c>
      <c r="DU12" s="221">
        <f>'[1]February - 2020'!DV12</f>
        <v>1438</v>
      </c>
      <c r="DV12" s="91">
        <f>'[1]February - 2020'!DW12</f>
        <v>4619</v>
      </c>
      <c r="DW12" s="215">
        <f>'[1]February - 2020'!DX12</f>
        <v>4</v>
      </c>
      <c r="DX12" s="91">
        <f>'[1]February - 2020'!DY12</f>
        <v>1836046</v>
      </c>
      <c r="DY12" s="215">
        <f>'[1]February - 2020'!DZ12</f>
        <v>1145</v>
      </c>
      <c r="DZ12" s="91">
        <f>'[1]February - 2020'!EA12</f>
        <v>252604</v>
      </c>
      <c r="EA12" s="215">
        <f>'[1]February - 2020'!EB12</f>
        <v>4</v>
      </c>
      <c r="EB12" s="91">
        <f>'[1]February - 2020'!EC12</f>
        <v>459040</v>
      </c>
      <c r="EC12" s="215">
        <f>'[1]February - 2020'!ED12</f>
        <v>490</v>
      </c>
      <c r="ED12" s="91">
        <f>'[1]February - 2020'!EG12</f>
        <v>89572</v>
      </c>
      <c r="EE12" s="229">
        <f>'[1]February - 2020'!EH12</f>
        <v>144</v>
      </c>
      <c r="EF12" s="367"/>
      <c r="EG12" s="235">
        <f>'[1]February - 2020'!EJ12</f>
        <v>6816900</v>
      </c>
      <c r="EH12" s="230">
        <f>'[1]February - 2020'!EK12</f>
        <v>1800</v>
      </c>
      <c r="EI12" s="90">
        <f>'[1]February - 2020'!EL12</f>
        <v>602960</v>
      </c>
      <c r="EJ12" s="230">
        <f>'[1]February - 2020'!EM12</f>
        <v>200</v>
      </c>
      <c r="EK12" s="90">
        <f>'[1]February - 2020'!EN12</f>
        <v>4633800</v>
      </c>
      <c r="EL12" s="230">
        <f>'[1]February - 2020'!EO12</f>
        <v>1300</v>
      </c>
      <c r="EM12" s="90">
        <f>'[1]February - 2020'!EP12</f>
        <v>1988700</v>
      </c>
      <c r="EN12" s="230">
        <f>'[1]February - 2020'!EQ12</f>
        <v>0</v>
      </c>
      <c r="EO12" s="90">
        <f>'[1]February - 2020'!ER12</f>
        <v>680510</v>
      </c>
      <c r="EP12" s="230">
        <f>'[1]February - 2020'!ES12</f>
        <v>120</v>
      </c>
      <c r="EQ12" s="90">
        <f>'[1]February - 2020'!ET12</f>
        <v>10729200</v>
      </c>
      <c r="ER12" s="230">
        <f>'[1]February - 2020'!EU12</f>
        <v>0</v>
      </c>
      <c r="ES12" s="414"/>
      <c r="ET12" s="284">
        <f>'[1]February - 2020'!EW12</f>
        <v>28169</v>
      </c>
      <c r="EU12" s="278">
        <f>'[1]February - 2020'!EX12</f>
        <v>14</v>
      </c>
      <c r="EV12" s="285">
        <f>'[1]February - 2020'!EY12</f>
        <v>24624</v>
      </c>
      <c r="EW12" s="278">
        <f>'[1]February - 2020'!EZ12</f>
        <v>13</v>
      </c>
      <c r="EX12" s="285">
        <f>'[1]February - 2020'!FA12</f>
        <v>0</v>
      </c>
      <c r="EY12" s="278">
        <f>'[1]February - 2020'!FB12</f>
        <v>0</v>
      </c>
      <c r="EZ12" s="285">
        <f>'[1]February - 2020'!FC12</f>
        <v>44642</v>
      </c>
      <c r="FA12" s="278">
        <f>'[1]February - 2020'!FD12</f>
        <v>61</v>
      </c>
      <c r="FB12" s="285">
        <f>'[1]February - 2020'!FE12</f>
        <v>21203</v>
      </c>
      <c r="FC12" s="279">
        <f>'[1]February - 2020'!FF12</f>
        <v>27</v>
      </c>
    </row>
    <row r="13" spans="1:159" ht="30" customHeight="1" x14ac:dyDescent="0.25">
      <c r="A13" s="207">
        <v>43834</v>
      </c>
      <c r="B13" s="209">
        <f>'[1]February - 2020'!B13</f>
        <v>0.86</v>
      </c>
      <c r="C13" s="250">
        <f>'[1]February - 2020'!E13</f>
        <v>532580</v>
      </c>
      <c r="D13" s="170">
        <f>'[1]February - 2020'!F13</f>
        <v>470</v>
      </c>
      <c r="E13" s="168">
        <f>'[1]February - 2020'!G13</f>
        <v>448</v>
      </c>
      <c r="F13" s="168">
        <f>'[1]February - 2020'!H13</f>
        <v>701193</v>
      </c>
      <c r="G13" s="170">
        <f>'[1]February - 2020'!I13</f>
        <v>409</v>
      </c>
      <c r="H13" s="168">
        <f>'[1]February - 2020'!J13</f>
        <v>379</v>
      </c>
      <c r="I13" s="168">
        <f>'[1]February - 2020'!K13</f>
        <v>25527</v>
      </c>
      <c r="J13" s="170">
        <f>'[1]February - 2020'!L13</f>
        <v>192</v>
      </c>
      <c r="K13" s="168">
        <f>'[1]February - 2020'!N13</f>
        <v>616216</v>
      </c>
      <c r="L13" s="170">
        <f>'[1]February - 2020'!O13</f>
        <v>155</v>
      </c>
      <c r="M13" s="168">
        <f>'[1]February - 2020'!Q13</f>
        <v>156876</v>
      </c>
      <c r="N13" s="170">
        <f>'[1]February - 2020'!R13</f>
        <v>0</v>
      </c>
      <c r="O13" s="168">
        <f>'[1]February - 2020'!S13</f>
        <v>96005</v>
      </c>
      <c r="P13" s="170">
        <f>'[1]February - 2020'!T13</f>
        <v>49</v>
      </c>
      <c r="Q13" s="168">
        <f>'[1]February - 2020'!U13</f>
        <v>64</v>
      </c>
      <c r="R13" s="168">
        <f>'[1]February - 2020'!V13</f>
        <v>7378</v>
      </c>
      <c r="S13" s="208">
        <f>'[1]February - 2020'!W13</f>
        <v>11</v>
      </c>
      <c r="T13" s="509"/>
      <c r="U13" s="269">
        <f>'[1]February - 2020'!AC13</f>
        <v>5530791.8399999999</v>
      </c>
      <c r="V13" s="288">
        <f>'[1]February - 2020'!AD13</f>
        <v>1851.3600000003353</v>
      </c>
      <c r="W13" s="92">
        <f>'[1]February - 2020'!AD13</f>
        <v>1851.3600000003353</v>
      </c>
      <c r="X13" s="287">
        <f>'[1]February - 2020'!AF13</f>
        <v>10803952.319999998</v>
      </c>
      <c r="Y13" s="288">
        <f>'[1]February - 2020'!AG13</f>
        <v>4920.7199999988079</v>
      </c>
      <c r="Z13" s="92">
        <f>'[1]February - 2020'!AG13</f>
        <v>4920.7199999988079</v>
      </c>
      <c r="AA13" s="287">
        <f>'[1]February - 2020'!AI13</f>
        <v>9845240.1600000001</v>
      </c>
      <c r="AB13" s="288">
        <f>'[1]February - 2020'!AJ13</f>
        <v>633.3600000012666</v>
      </c>
      <c r="AC13" s="92">
        <f>'[1]February - 2020'!AJ13</f>
        <v>633.3600000012666</v>
      </c>
      <c r="AD13" s="287">
        <f>'[1]February - 2020'!AL13</f>
        <v>13199417.280000001</v>
      </c>
      <c r="AE13" s="288">
        <f>'[1]February - 2020'!AM13</f>
        <v>5651.5200000014156</v>
      </c>
      <c r="AF13" s="92">
        <f>'[1]February - 2020'!AM13</f>
        <v>5651.5200000014156</v>
      </c>
      <c r="AG13" s="287">
        <f>'[1]February - 2020'!AO13</f>
        <v>13193668.319999998</v>
      </c>
      <c r="AH13" s="288">
        <f>'[1]February - 2020'!AP13</f>
        <v>292.31999999843538</v>
      </c>
      <c r="AI13" s="92">
        <f>'[1]February - 2020'!AP13</f>
        <v>292.31999999843538</v>
      </c>
      <c r="AJ13" s="287">
        <f>'[1]February - 2020'!AR13</f>
        <v>12140536.799999999</v>
      </c>
      <c r="AK13" s="288">
        <f>'[1]February - 2020'!AS13</f>
        <v>5895.1199999991804</v>
      </c>
      <c r="AL13" s="92">
        <f>'[1]February - 2020'!AS13</f>
        <v>5895.1199999991804</v>
      </c>
      <c r="AM13" s="287">
        <f>'[1]February - 2020'!AU13</f>
        <v>10553628.959999999</v>
      </c>
      <c r="AN13" s="288">
        <f>'[1]February - 2020'!AV13</f>
        <v>4189.9199999980628</v>
      </c>
      <c r="AO13" s="92">
        <f>'[1]February - 2020'!AV13</f>
        <v>4189.9199999980628</v>
      </c>
      <c r="AP13" s="287">
        <f>'[1]February - 2020'!AX13</f>
        <v>10218191.76</v>
      </c>
      <c r="AQ13" s="288">
        <f>'[1]February - 2020'!AY13</f>
        <v>4677.1199999991804</v>
      </c>
      <c r="AR13" s="92">
        <f>'[1]February - 2020'!AY13</f>
        <v>4677.1199999991804</v>
      </c>
      <c r="AS13" s="287">
        <f>'[1]February - 2020'!BA13</f>
        <v>8153048.3999999994</v>
      </c>
      <c r="AT13" s="288">
        <f>'[1]February - 2020'!BB13</f>
        <v>3459.1199999991804</v>
      </c>
      <c r="AU13" s="92">
        <f>'[1]February - 2020'!BB13</f>
        <v>3459.1199999991804</v>
      </c>
      <c r="AV13" s="287">
        <f>'[1]February - 2020'!BD13</f>
        <v>12069844.08</v>
      </c>
      <c r="AW13" s="252">
        <f>'[1]February - 2020'!BE13</f>
        <v>5261.7600000016391</v>
      </c>
      <c r="AX13" s="253">
        <f>'[1]February - 2020'!BE13</f>
        <v>5261.7600000016391</v>
      </c>
      <c r="AY13" s="475"/>
      <c r="AZ13" s="272">
        <f>'[1]February - 2020'!BK13</f>
        <v>49766500</v>
      </c>
      <c r="BA13" s="179">
        <f>'[1]February - 2020'!BL13</f>
        <v>0</v>
      </c>
      <c r="BB13" s="93">
        <f>'[1]February - 2020'!BL13</f>
        <v>0</v>
      </c>
      <c r="BC13" s="272">
        <f>'[1]February - 2020'!BN13</f>
        <v>54172600</v>
      </c>
      <c r="BD13" s="245">
        <f>'[1]February - 2020'!BO13</f>
        <v>24300</v>
      </c>
      <c r="BE13" s="93">
        <f>'[1]February - 2020'!BO13</f>
        <v>24300</v>
      </c>
      <c r="BF13" s="272">
        <f>'[1]February - 2020'!BQ13</f>
        <v>47821500</v>
      </c>
      <c r="BG13" s="245">
        <f>'[1]February - 2020'!BR13</f>
        <v>0</v>
      </c>
      <c r="BH13" s="93">
        <f>'[1]February - 2020'!BR13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- 2020'!BT13</f>
        <v>4117620</v>
      </c>
      <c r="BT13" s="185">
        <f>'[1]February - 2020'!BU13</f>
        <v>3770</v>
      </c>
      <c r="BU13" s="383"/>
      <c r="BV13" s="88">
        <f>'[1]February - 2020'!BW13</f>
        <v>0.79</v>
      </c>
      <c r="BW13" s="241">
        <f>'[1]February - 2020'!BX13</f>
        <v>0.13</v>
      </c>
      <c r="BX13" s="88">
        <f>'[1]February - 2020'!BX13</f>
        <v>0.13</v>
      </c>
      <c r="BY13" s="89">
        <f>'[1]February - 2020'!BZ13</f>
        <v>45114</v>
      </c>
      <c r="BZ13" s="191">
        <f>'[1]February - 2020'!CA13</f>
        <v>18</v>
      </c>
      <c r="CA13" s="89">
        <f>'[1]February - 2020'!CB13</f>
        <v>39891</v>
      </c>
      <c r="CB13" s="191">
        <f>'[1]February - 2020'!CC13</f>
        <v>15</v>
      </c>
      <c r="CC13" s="89">
        <f>'[1]February - 2020'!CD13</f>
        <v>13365</v>
      </c>
      <c r="CD13" s="191">
        <f>'[1]February - 2020'!CE13</f>
        <v>7</v>
      </c>
      <c r="CE13" s="89">
        <f>'[1]February - 2020'!CF13</f>
        <v>16893</v>
      </c>
      <c r="CF13" s="191">
        <f>'[1]February - 2020'!CG13</f>
        <v>10</v>
      </c>
      <c r="CG13" s="89">
        <f>'[1]February - 2020'!CH13</f>
        <v>19273</v>
      </c>
      <c r="CH13" s="191">
        <f>'[1]February - 2020'!CI13</f>
        <v>9</v>
      </c>
      <c r="CI13" s="89">
        <f>'[1]February - 2020'!CJ13</f>
        <v>41026</v>
      </c>
      <c r="CJ13" s="191">
        <f>'[1]February - 2020'!CK13</f>
        <v>25</v>
      </c>
      <c r="CK13" s="89">
        <f>'[1]February - 2020'!CL13</f>
        <v>176909</v>
      </c>
      <c r="CL13" s="246">
        <f>'[1]February - 2020'!CM13</f>
        <v>89</v>
      </c>
      <c r="CM13" s="89">
        <f>'[1]February - 2020'!CM13</f>
        <v>89</v>
      </c>
      <c r="CN13" s="89">
        <f>'[1]February - 2020'!CO13</f>
        <v>128560</v>
      </c>
      <c r="CO13" s="246">
        <f>'[1]February - 2020'!CP13</f>
        <v>95</v>
      </c>
      <c r="CP13" s="89">
        <f>'[1]February - 2020'!CP13</f>
        <v>95</v>
      </c>
      <c r="CQ13" s="89">
        <f>'[1]February - 2020'!CR13</f>
        <v>246039</v>
      </c>
      <c r="CR13" s="246">
        <f>'[1]February - 2020'!CS13</f>
        <v>414</v>
      </c>
      <c r="CS13" s="89">
        <f>'[1]February - 2020'!CS13</f>
        <v>414</v>
      </c>
      <c r="CT13" s="89">
        <f>'[1]February - 2020'!CU13</f>
        <v>476510</v>
      </c>
      <c r="CU13" s="191">
        <f>'[1]February - 2020'!CV13</f>
        <v>175</v>
      </c>
      <c r="CV13" s="442"/>
      <c r="CW13" s="256">
        <f>'[1]February - 2020'!CX13</f>
        <v>323</v>
      </c>
      <c r="CX13" s="198">
        <f>'[1]February - 2020'!CY13</f>
        <v>0</v>
      </c>
      <c r="CY13" s="257">
        <f>'[1]February - 2020'!CZ13</f>
        <v>1245</v>
      </c>
      <c r="CZ13" s="198">
        <f>'[1]February - 2020'!DA13</f>
        <v>0</v>
      </c>
      <c r="DA13" s="257">
        <f>'[1]February - 2020'!DB13</f>
        <v>18978</v>
      </c>
      <c r="DB13" s="198">
        <f>'[1]February - 2020'!DC13</f>
        <v>11</v>
      </c>
      <c r="DC13" s="257">
        <f>'[1]February - 2020'!DD13</f>
        <v>19555</v>
      </c>
      <c r="DD13" s="198">
        <f>'[1]February - 2020'!DE13</f>
        <v>10</v>
      </c>
      <c r="DE13" s="257">
        <f>'[1]February - 2020'!DF13</f>
        <v>13699</v>
      </c>
      <c r="DF13" s="198">
        <f>'[1]February - 2020'!DG13</f>
        <v>8</v>
      </c>
      <c r="DG13" s="257">
        <f>'[1]February - 2020'!DH13</f>
        <v>17346</v>
      </c>
      <c r="DH13" s="198">
        <f>'[1]February - 2020'!DI13</f>
        <v>7</v>
      </c>
      <c r="DI13" s="257">
        <f>'[1]February - 2020'!DJ13</f>
        <v>825</v>
      </c>
      <c r="DJ13" s="198">
        <f>'[1]February - 2020'!DK13</f>
        <v>0</v>
      </c>
      <c r="DK13" s="257">
        <f>'[1]February - 2020'!DL13</f>
        <v>3570</v>
      </c>
      <c r="DL13" s="198">
        <f>'[1]February - 2020'!DM13</f>
        <v>0</v>
      </c>
      <c r="DM13" s="257">
        <f>'[1]February - 2020'!DN13</f>
        <v>1038</v>
      </c>
      <c r="DN13" s="198">
        <f>'[1]February - 2020'!DO13</f>
        <v>0</v>
      </c>
      <c r="DO13" s="257">
        <f>'[1]February - 2020'!DP13</f>
        <v>1194</v>
      </c>
      <c r="DP13" s="198">
        <f>'[1]February - 2020'!DQ13</f>
        <v>0</v>
      </c>
      <c r="DQ13" s="257">
        <f>'[1]February - 2020'!DR13</f>
        <v>17134</v>
      </c>
      <c r="DR13" s="206">
        <f>'[1]February - 2020'!DS13</f>
        <v>9</v>
      </c>
      <c r="DS13" s="427"/>
      <c r="DT13" s="210">
        <f>'[1]February - 2020'!DU13</f>
        <v>2780150</v>
      </c>
      <c r="DU13" s="221">
        <f>'[1]February - 2020'!DV13</f>
        <v>1379</v>
      </c>
      <c r="DV13" s="91">
        <f>'[1]February - 2020'!DW13</f>
        <v>4624</v>
      </c>
      <c r="DW13" s="215">
        <f>'[1]February - 2020'!DX13</f>
        <v>5</v>
      </c>
      <c r="DX13" s="91">
        <f>'[1]February - 2020'!DY13</f>
        <v>1837233</v>
      </c>
      <c r="DY13" s="215">
        <f>'[1]February - 2020'!DZ13</f>
        <v>1187</v>
      </c>
      <c r="DZ13" s="91">
        <f>'[1]February - 2020'!EA13</f>
        <v>252608</v>
      </c>
      <c r="EA13" s="215">
        <f>'[1]February - 2020'!EB13</f>
        <v>4</v>
      </c>
      <c r="EB13" s="91">
        <f>'[1]February - 2020'!EC13</f>
        <v>459517</v>
      </c>
      <c r="EC13" s="215">
        <f>'[1]February - 2020'!ED13</f>
        <v>477</v>
      </c>
      <c r="ED13" s="91">
        <f>'[1]February - 2020'!EG13</f>
        <v>89720</v>
      </c>
      <c r="EE13" s="229">
        <f>'[1]February - 2020'!EH13</f>
        <v>148</v>
      </c>
      <c r="EF13" s="367"/>
      <c r="EG13" s="235">
        <f>'[1]February - 2020'!EJ13</f>
        <v>6818300</v>
      </c>
      <c r="EH13" s="230">
        <f>'[1]February - 2020'!EK13</f>
        <v>1400</v>
      </c>
      <c r="EI13" s="90">
        <f>'[1]February - 2020'!EL13</f>
        <v>603160</v>
      </c>
      <c r="EJ13" s="230">
        <f>'[1]February - 2020'!EM13</f>
        <v>200</v>
      </c>
      <c r="EK13" s="90">
        <f>'[1]February - 2020'!EN13</f>
        <v>4634800</v>
      </c>
      <c r="EL13" s="230">
        <f>'[1]February - 2020'!EO13</f>
        <v>1000</v>
      </c>
      <c r="EM13" s="90">
        <f>'[1]February - 2020'!EP13</f>
        <v>1988800</v>
      </c>
      <c r="EN13" s="230">
        <f>'[1]February - 2020'!EQ13</f>
        <v>100</v>
      </c>
      <c r="EO13" s="90">
        <f>'[1]February - 2020'!ER13</f>
        <v>680620</v>
      </c>
      <c r="EP13" s="230">
        <f>'[1]February - 2020'!ES13</f>
        <v>110</v>
      </c>
      <c r="EQ13" s="90">
        <f>'[1]February - 2020'!ET13</f>
        <v>10730100</v>
      </c>
      <c r="ER13" s="230">
        <f>'[1]February - 2020'!EU13</f>
        <v>900</v>
      </c>
      <c r="ES13" s="414"/>
      <c r="ET13" s="284">
        <f>'[1]February - 2020'!EW13</f>
        <v>28184</v>
      </c>
      <c r="EU13" s="278">
        <f>'[1]February - 2020'!EX13</f>
        <v>15</v>
      </c>
      <c r="EV13" s="285">
        <f>'[1]February - 2020'!EY13</f>
        <v>24638</v>
      </c>
      <c r="EW13" s="278">
        <f>'[1]February - 2020'!EZ13</f>
        <v>14</v>
      </c>
      <c r="EX13" s="285">
        <f>'[1]February - 2020'!FA13</f>
        <v>0</v>
      </c>
      <c r="EY13" s="278">
        <f>'[1]February - 2020'!FB13</f>
        <v>0</v>
      </c>
      <c r="EZ13" s="285">
        <f>'[1]February - 2020'!FC13</f>
        <v>44671</v>
      </c>
      <c r="FA13" s="278">
        <f>'[1]February - 2020'!FD13</f>
        <v>29</v>
      </c>
      <c r="FB13" s="285">
        <f>'[1]February - 2020'!FE13</f>
        <v>21228</v>
      </c>
      <c r="FC13" s="279">
        <f>'[1]February - 2020'!FF13</f>
        <v>25</v>
      </c>
    </row>
    <row r="14" spans="1:159" ht="30" customHeight="1" x14ac:dyDescent="0.25">
      <c r="A14" s="207">
        <v>43835</v>
      </c>
      <c r="B14" s="209">
        <f>'[1]February - 2020'!B14</f>
        <v>0.84</v>
      </c>
      <c r="C14" s="250">
        <f>'[1]February - 2020'!E14</f>
        <v>533083</v>
      </c>
      <c r="D14" s="170">
        <f>'[1]February - 2020'!F14</f>
        <v>503</v>
      </c>
      <c r="E14" s="168">
        <f>'[1]February - 2020'!G14</f>
        <v>448</v>
      </c>
      <c r="F14" s="168">
        <f>'[1]February - 2020'!H14</f>
        <v>701631</v>
      </c>
      <c r="G14" s="170">
        <f>'[1]February - 2020'!I14</f>
        <v>438</v>
      </c>
      <c r="H14" s="168">
        <f>'[1]February - 2020'!J14</f>
        <v>376</v>
      </c>
      <c r="I14" s="168">
        <f>'[1]February - 2020'!K14</f>
        <v>25708</v>
      </c>
      <c r="J14" s="170">
        <f>'[1]February - 2020'!L14</f>
        <v>181</v>
      </c>
      <c r="K14" s="168">
        <f>'[1]February - 2020'!N14</f>
        <v>616359</v>
      </c>
      <c r="L14" s="170">
        <f>'[1]February - 2020'!O14</f>
        <v>143</v>
      </c>
      <c r="M14" s="168">
        <f>'[1]February - 2020'!Q14</f>
        <v>156876</v>
      </c>
      <c r="N14" s="170">
        <f>'[1]February - 2020'!R14</f>
        <v>0</v>
      </c>
      <c r="O14" s="168">
        <f>'[1]February - 2020'!S14</f>
        <v>96050</v>
      </c>
      <c r="P14" s="170">
        <f>'[1]February - 2020'!T14</f>
        <v>45</v>
      </c>
      <c r="Q14" s="168">
        <f>'[1]February - 2020'!U14</f>
        <v>77</v>
      </c>
      <c r="R14" s="168">
        <f>'[1]February - 2020'!V14</f>
        <v>7386</v>
      </c>
      <c r="S14" s="208">
        <f>'[1]February - 2020'!W14</f>
        <v>8</v>
      </c>
      <c r="T14" s="509"/>
      <c r="U14" s="269">
        <f>'[1]February - 2020'!AC14</f>
        <v>5532740.6400000006</v>
      </c>
      <c r="V14" s="288">
        <f>'[1]February - 2020'!AD14</f>
        <v>1948.8000000007451</v>
      </c>
      <c r="W14" s="92">
        <f>'[1]February - 2020'!AD14</f>
        <v>1948.8000000007451</v>
      </c>
      <c r="X14" s="287">
        <f>'[1]February - 2020'!AF14</f>
        <v>10808726.880000001</v>
      </c>
      <c r="Y14" s="288">
        <f>'[1]February - 2020'!AG14</f>
        <v>4774.5600000023842</v>
      </c>
      <c r="Z14" s="92">
        <f>'[1]February - 2020'!AG14</f>
        <v>4774.5600000023842</v>
      </c>
      <c r="AA14" s="287">
        <f>'[1]February - 2020'!AI14</f>
        <v>9845776.0800000001</v>
      </c>
      <c r="AB14" s="288">
        <f>'[1]February - 2020'!AJ14</f>
        <v>535.91999999992549</v>
      </c>
      <c r="AC14" s="92">
        <f>'[1]February - 2020'!AJ14</f>
        <v>535.91999999992549</v>
      </c>
      <c r="AD14" s="287">
        <f>'[1]February - 2020'!AL14</f>
        <v>13205702.16</v>
      </c>
      <c r="AE14" s="288">
        <f>'[1]February - 2020'!AM14</f>
        <v>6284.8799999989569</v>
      </c>
      <c r="AF14" s="92">
        <f>'[1]February - 2020'!AM14</f>
        <v>6284.8799999989569</v>
      </c>
      <c r="AG14" s="287">
        <f>'[1]February - 2020'!AO14</f>
        <v>13193960.640000001</v>
      </c>
      <c r="AH14" s="288">
        <f>'[1]February - 2020'!AP14</f>
        <v>292.32000000216067</v>
      </c>
      <c r="AI14" s="92">
        <f>'[1]February - 2020'!AP14</f>
        <v>292.32000000216067</v>
      </c>
      <c r="AJ14" s="287">
        <f>'[1]February - 2020'!AR14</f>
        <v>12146870.4</v>
      </c>
      <c r="AK14" s="288">
        <f>'[1]February - 2020'!AS14</f>
        <v>6333.6000000014901</v>
      </c>
      <c r="AL14" s="92">
        <f>'[1]February - 2020'!AS14</f>
        <v>6333.6000000014901</v>
      </c>
      <c r="AM14" s="287">
        <f>'[1]February - 2020'!AU14</f>
        <v>10557672.719999999</v>
      </c>
      <c r="AN14" s="288">
        <f>'[1]February - 2020'!AV14</f>
        <v>4043.7599999997765</v>
      </c>
      <c r="AO14" s="92">
        <f>'[1]February - 2020'!AV14</f>
        <v>4043.7599999997765</v>
      </c>
      <c r="AP14" s="287">
        <f>'[1]February - 2020'!AX14</f>
        <v>10223112.48</v>
      </c>
      <c r="AQ14" s="288">
        <f>'[1]February - 2020'!AY14</f>
        <v>4920.7200000006706</v>
      </c>
      <c r="AR14" s="92">
        <f>'[1]February - 2020'!AY14</f>
        <v>4920.7200000006706</v>
      </c>
      <c r="AS14" s="287">
        <f>'[1]February - 2020'!BA14</f>
        <v>8156410.0800000001</v>
      </c>
      <c r="AT14" s="288">
        <f>'[1]February - 2020'!BB14</f>
        <v>3361.6800000006333</v>
      </c>
      <c r="AU14" s="92">
        <f>'[1]February - 2020'!BB14</f>
        <v>3361.6800000006333</v>
      </c>
      <c r="AV14" s="287">
        <f>'[1]February - 2020'!BD14</f>
        <v>12075105.84</v>
      </c>
      <c r="AW14" s="252">
        <f>'[1]February - 2020'!BE14</f>
        <v>5261.7599999997765</v>
      </c>
      <c r="AX14" s="253">
        <f>'[1]February - 2020'!BE14</f>
        <v>5261.7599999997765</v>
      </c>
      <c r="AY14" s="475"/>
      <c r="AZ14" s="272">
        <f>'[1]February - 2020'!BK14</f>
        <v>49766500</v>
      </c>
      <c r="BA14" s="179">
        <f>'[1]February - 2020'!BL14</f>
        <v>0</v>
      </c>
      <c r="BB14" s="93">
        <f>'[1]February - 2020'!BL14</f>
        <v>0</v>
      </c>
      <c r="BC14" s="272">
        <f>'[1]February - 2020'!BN14</f>
        <v>54203500</v>
      </c>
      <c r="BD14" s="245">
        <f>'[1]February - 2020'!BO14</f>
        <v>30900</v>
      </c>
      <c r="BE14" s="93">
        <f>'[1]February - 2020'!BO14</f>
        <v>30900</v>
      </c>
      <c r="BF14" s="272">
        <f>'[1]February - 2020'!BQ14</f>
        <v>47821500</v>
      </c>
      <c r="BG14" s="245">
        <f>'[1]February - 2020'!BR14</f>
        <v>0</v>
      </c>
      <c r="BH14" s="93">
        <f>'[1]February - 2020'!BR14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- 2020'!BT14</f>
        <v>4121700</v>
      </c>
      <c r="BT14" s="185">
        <f>'[1]February - 2020'!BU14</f>
        <v>4080</v>
      </c>
      <c r="BU14" s="383"/>
      <c r="BV14" s="88">
        <f>'[1]February - 2020'!BW14</f>
        <v>0.7</v>
      </c>
      <c r="BW14" s="241">
        <f>'[1]February - 2020'!BX14</f>
        <v>-9.000000000000008E-2</v>
      </c>
      <c r="BX14" s="88">
        <f>'[1]February - 2020'!BX14</f>
        <v>-9.000000000000008E-2</v>
      </c>
      <c r="BY14" s="89">
        <f>'[1]February - 2020'!BZ14</f>
        <v>45134</v>
      </c>
      <c r="BZ14" s="191">
        <f>'[1]February - 2020'!CA14</f>
        <v>20</v>
      </c>
      <c r="CA14" s="89">
        <f>'[1]February - 2020'!CB14</f>
        <v>39907</v>
      </c>
      <c r="CB14" s="191">
        <f>'[1]February - 2020'!CC14</f>
        <v>16</v>
      </c>
      <c r="CC14" s="89">
        <f>'[1]February - 2020'!CD14</f>
        <v>13371</v>
      </c>
      <c r="CD14" s="191">
        <f>'[1]February - 2020'!CE14</f>
        <v>6</v>
      </c>
      <c r="CE14" s="89">
        <f>'[1]February - 2020'!CF14</f>
        <v>16903</v>
      </c>
      <c r="CF14" s="191">
        <f>'[1]February - 2020'!CG14</f>
        <v>10</v>
      </c>
      <c r="CG14" s="89">
        <f>'[1]February - 2020'!CH14</f>
        <v>19285</v>
      </c>
      <c r="CH14" s="191">
        <f>'[1]February - 2020'!CI14</f>
        <v>12</v>
      </c>
      <c r="CI14" s="89">
        <f>'[1]February - 2020'!CJ14</f>
        <v>41050</v>
      </c>
      <c r="CJ14" s="191">
        <f>'[1]February - 2020'!CK14</f>
        <v>24</v>
      </c>
      <c r="CK14" s="89">
        <f>'[1]February - 2020'!CL14</f>
        <v>176997</v>
      </c>
      <c r="CL14" s="246">
        <f>'[1]February - 2020'!CM14</f>
        <v>88</v>
      </c>
      <c r="CM14" s="89">
        <f>'[1]February - 2020'!CM14</f>
        <v>88</v>
      </c>
      <c r="CN14" s="89">
        <f>'[1]February - 2020'!CO14</f>
        <v>128658</v>
      </c>
      <c r="CO14" s="246">
        <f>'[1]February - 2020'!CP14</f>
        <v>98</v>
      </c>
      <c r="CP14" s="89">
        <f>'[1]February - 2020'!CP14</f>
        <v>98</v>
      </c>
      <c r="CQ14" s="89">
        <f>'[1]February - 2020'!CR14</f>
        <v>246358</v>
      </c>
      <c r="CR14" s="246">
        <f>'[1]February - 2020'!CS14</f>
        <v>319</v>
      </c>
      <c r="CS14" s="89">
        <f>'[1]February - 2020'!CS14</f>
        <v>319</v>
      </c>
      <c r="CT14" s="89">
        <f>'[1]February - 2020'!CU14</f>
        <v>476686</v>
      </c>
      <c r="CU14" s="191">
        <f>'[1]February - 2020'!CV14</f>
        <v>176</v>
      </c>
      <c r="CV14" s="442"/>
      <c r="CW14" s="256">
        <f>'[1]February - 2020'!CX14</f>
        <v>341</v>
      </c>
      <c r="CX14" s="198">
        <f>'[1]February - 2020'!CY14</f>
        <v>18</v>
      </c>
      <c r="CY14" s="257">
        <f>'[1]February - 2020'!CZ14</f>
        <v>1267</v>
      </c>
      <c r="CZ14" s="198">
        <f>'[1]February - 2020'!DA14</f>
        <v>22</v>
      </c>
      <c r="DA14" s="257">
        <f>'[1]February - 2020'!DB14</f>
        <v>18991</v>
      </c>
      <c r="DB14" s="198">
        <f>'[1]February - 2020'!DC14</f>
        <v>13</v>
      </c>
      <c r="DC14" s="257">
        <f>'[1]February - 2020'!DD14</f>
        <v>19567</v>
      </c>
      <c r="DD14" s="198">
        <f>'[1]February - 2020'!DE14</f>
        <v>12</v>
      </c>
      <c r="DE14" s="257">
        <f>'[1]February - 2020'!DF14</f>
        <v>13708</v>
      </c>
      <c r="DF14" s="198">
        <f>'[1]February - 2020'!DG14</f>
        <v>9</v>
      </c>
      <c r="DG14" s="257">
        <f>'[1]February - 2020'!DH14</f>
        <v>17353</v>
      </c>
      <c r="DH14" s="198">
        <f>'[1]February - 2020'!DI14</f>
        <v>7</v>
      </c>
      <c r="DI14" s="257">
        <f>'[1]February - 2020'!DJ14</f>
        <v>825</v>
      </c>
      <c r="DJ14" s="198">
        <f>'[1]February - 2020'!DK14</f>
        <v>0</v>
      </c>
      <c r="DK14" s="257">
        <f>'[1]February - 2020'!DL14</f>
        <v>3570</v>
      </c>
      <c r="DL14" s="198">
        <f>'[1]February - 2020'!DM14</f>
        <v>0</v>
      </c>
      <c r="DM14" s="257">
        <f>'[1]February - 2020'!DN14</f>
        <v>1051</v>
      </c>
      <c r="DN14" s="198">
        <f>'[1]February - 2020'!DO14</f>
        <v>13</v>
      </c>
      <c r="DO14" s="257">
        <f>'[1]February - 2020'!DP14</f>
        <v>1201</v>
      </c>
      <c r="DP14" s="198">
        <f>'[1]February - 2020'!DQ14</f>
        <v>7</v>
      </c>
      <c r="DQ14" s="257">
        <f>'[1]February - 2020'!DR14</f>
        <v>17144</v>
      </c>
      <c r="DR14" s="206">
        <f>'[1]February - 2020'!DS14</f>
        <v>10</v>
      </c>
      <c r="DS14" s="427"/>
      <c r="DT14" s="210">
        <f>'[1]February - 2020'!DU14</f>
        <v>2781571</v>
      </c>
      <c r="DU14" s="221">
        <f>'[1]February - 2020'!DV14</f>
        <v>1421</v>
      </c>
      <c r="DV14" s="91">
        <f>'[1]February - 2020'!DW14</f>
        <v>4628</v>
      </c>
      <c r="DW14" s="215">
        <f>'[1]February - 2020'!DX14</f>
        <v>4</v>
      </c>
      <c r="DX14" s="91">
        <f>'[1]February - 2020'!DY14</f>
        <v>1838370</v>
      </c>
      <c r="DY14" s="215">
        <f>'[1]February - 2020'!DZ14</f>
        <v>1137</v>
      </c>
      <c r="DZ14" s="91">
        <f>'[1]February - 2020'!EA14</f>
        <v>252613</v>
      </c>
      <c r="EA14" s="215">
        <f>'[1]February - 2020'!EB14</f>
        <v>5</v>
      </c>
      <c r="EB14" s="91">
        <f>'[1]February - 2020'!EC14</f>
        <v>460005</v>
      </c>
      <c r="EC14" s="215">
        <f>'[1]February - 2020'!ED14</f>
        <v>488</v>
      </c>
      <c r="ED14" s="91">
        <f>'[1]February - 2020'!EG14</f>
        <v>89865</v>
      </c>
      <c r="EE14" s="229">
        <f>'[1]February - 2020'!EH14</f>
        <v>145</v>
      </c>
      <c r="EF14" s="367"/>
      <c r="EG14" s="235">
        <f>'[1]February - 2020'!EJ14</f>
        <v>6820000</v>
      </c>
      <c r="EH14" s="230">
        <f>'[1]February - 2020'!EK14</f>
        <v>1700</v>
      </c>
      <c r="EI14" s="90">
        <f>'[1]February - 2020'!EL14</f>
        <v>603360</v>
      </c>
      <c r="EJ14" s="230">
        <f>'[1]February - 2020'!EM14</f>
        <v>200</v>
      </c>
      <c r="EK14" s="90">
        <f>'[1]February - 2020'!EN14</f>
        <v>4636000</v>
      </c>
      <c r="EL14" s="230">
        <f>'[1]February - 2020'!EO14</f>
        <v>1200</v>
      </c>
      <c r="EM14" s="90">
        <f>'[1]February - 2020'!EP14</f>
        <v>1988800</v>
      </c>
      <c r="EN14" s="230">
        <f>'[1]February - 2020'!EQ14</f>
        <v>0</v>
      </c>
      <c r="EO14" s="90">
        <f>'[1]February - 2020'!ER14</f>
        <v>680740</v>
      </c>
      <c r="EP14" s="230">
        <f>'[1]February - 2020'!ES14</f>
        <v>120</v>
      </c>
      <c r="EQ14" s="90">
        <f>'[1]February - 2020'!ET14</f>
        <v>10730500</v>
      </c>
      <c r="ER14" s="230">
        <f>'[1]February - 2020'!EU14</f>
        <v>400</v>
      </c>
      <c r="ES14" s="414"/>
      <c r="ET14" s="284">
        <f>'[1]February - 2020'!EW14</f>
        <v>28200</v>
      </c>
      <c r="EU14" s="278">
        <f>'[1]February - 2020'!EX14</f>
        <v>16</v>
      </c>
      <c r="EV14" s="285">
        <f>'[1]February - 2020'!EY14</f>
        <v>24652</v>
      </c>
      <c r="EW14" s="278">
        <f>'[1]February - 2020'!EZ14</f>
        <v>14</v>
      </c>
      <c r="EX14" s="285">
        <f>'[1]February - 2020'!FA14</f>
        <v>0</v>
      </c>
      <c r="EY14" s="278">
        <f>'[1]February - 2020'!FB14</f>
        <v>0</v>
      </c>
      <c r="EZ14" s="285">
        <f>'[1]February - 2020'!FC14</f>
        <v>44706</v>
      </c>
      <c r="FA14" s="278">
        <f>'[1]February - 2020'!FD14</f>
        <v>35</v>
      </c>
      <c r="FB14" s="285">
        <f>'[1]February - 2020'!FE14</f>
        <v>21260</v>
      </c>
      <c r="FC14" s="279">
        <f>'[1]February - 2020'!FF14</f>
        <v>32</v>
      </c>
    </row>
    <row r="15" spans="1:159" ht="30" customHeight="1" x14ac:dyDescent="0.25">
      <c r="A15" s="207">
        <v>43836</v>
      </c>
      <c r="B15" s="209">
        <f>'[1]February - 2020'!B15</f>
        <v>0.92</v>
      </c>
      <c r="C15" s="250">
        <f>'[1]February - 2020'!E15</f>
        <v>533624</v>
      </c>
      <c r="D15" s="170">
        <f>'[1]February - 2020'!F15</f>
        <v>541</v>
      </c>
      <c r="E15" s="168">
        <f>'[1]February - 2020'!G15</f>
        <v>449</v>
      </c>
      <c r="F15" s="168">
        <f>'[1]February - 2020'!H15</f>
        <v>702119</v>
      </c>
      <c r="G15" s="170">
        <f>'[1]February - 2020'!I15</f>
        <v>488</v>
      </c>
      <c r="H15" s="168">
        <f>'[1]February - 2020'!J15</f>
        <v>393</v>
      </c>
      <c r="I15" s="168">
        <f>'[1]February - 2020'!K15</f>
        <v>25888</v>
      </c>
      <c r="J15" s="170">
        <f>'[1]February - 2020'!L15</f>
        <v>180</v>
      </c>
      <c r="K15" s="168">
        <f>'[1]February - 2020'!N15</f>
        <v>616514</v>
      </c>
      <c r="L15" s="170">
        <f>'[1]February - 2020'!O15</f>
        <v>155</v>
      </c>
      <c r="M15" s="168">
        <f>'[1]February - 2020'!Q15</f>
        <v>156876</v>
      </c>
      <c r="N15" s="170">
        <f>'[1]February - 2020'!R15</f>
        <v>0</v>
      </c>
      <c r="O15" s="168">
        <f>'[1]February - 2020'!S15</f>
        <v>96116</v>
      </c>
      <c r="P15" s="170">
        <f>'[1]February - 2020'!T15</f>
        <v>66</v>
      </c>
      <c r="Q15" s="168">
        <f>'[1]February - 2020'!U15</f>
        <v>58</v>
      </c>
      <c r="R15" s="168">
        <f>'[1]February - 2020'!V15</f>
        <v>7400</v>
      </c>
      <c r="S15" s="208">
        <f>'[1]February - 2020'!W15</f>
        <v>14</v>
      </c>
      <c r="T15" s="509"/>
      <c r="U15" s="269">
        <f>'[1]February - 2020'!AC15</f>
        <v>5534689.4400000004</v>
      </c>
      <c r="V15" s="288">
        <f>'[1]February - 2020'!AD15</f>
        <v>1948.7999999998137</v>
      </c>
      <c r="W15" s="92">
        <f>'[1]February - 2020'!AD15</f>
        <v>1948.7999999998137</v>
      </c>
      <c r="X15" s="287">
        <f>'[1]February - 2020'!AF15</f>
        <v>10813745.040000001</v>
      </c>
      <c r="Y15" s="288">
        <f>'[1]February - 2020'!AG15</f>
        <v>5018.160000000149</v>
      </c>
      <c r="Z15" s="92">
        <f>'[1]February - 2020'!AG15</f>
        <v>5018.160000000149</v>
      </c>
      <c r="AA15" s="287">
        <f>'[1]February - 2020'!AI15</f>
        <v>9846409.4399999995</v>
      </c>
      <c r="AB15" s="288">
        <f>'[1]February - 2020'!AJ15</f>
        <v>633.35999999940395</v>
      </c>
      <c r="AC15" s="92">
        <f>'[1]February - 2020'!AJ15</f>
        <v>633.35999999940395</v>
      </c>
      <c r="AD15" s="287">
        <f>'[1]February - 2020'!AL15</f>
        <v>13213156.319999998</v>
      </c>
      <c r="AE15" s="288">
        <f>'[1]February - 2020'!AM15</f>
        <v>7454.1599999982864</v>
      </c>
      <c r="AF15" s="92">
        <f>'[1]February - 2020'!AM15</f>
        <v>7454.1599999982864</v>
      </c>
      <c r="AG15" s="287">
        <f>'[1]February - 2020'!AO15</f>
        <v>13194301.68</v>
      </c>
      <c r="AH15" s="288">
        <f>'[1]February - 2020'!AP15</f>
        <v>341.03999999910593</v>
      </c>
      <c r="AI15" s="92">
        <f>'[1]February - 2020'!AP15</f>
        <v>341.03999999910593</v>
      </c>
      <c r="AJ15" s="287">
        <f>'[1]February - 2020'!AR15</f>
        <v>12152911.68</v>
      </c>
      <c r="AK15" s="288">
        <f>'[1]February - 2020'!AS15</f>
        <v>6041.2799999993294</v>
      </c>
      <c r="AL15" s="92">
        <f>'[1]February - 2020'!AS15</f>
        <v>6041.2799999993294</v>
      </c>
      <c r="AM15" s="287">
        <f>'[1]February - 2020'!AU15</f>
        <v>10561960.08</v>
      </c>
      <c r="AN15" s="288">
        <f>'[1]February - 2020'!AV15</f>
        <v>4287.3600000012666</v>
      </c>
      <c r="AO15" s="92">
        <f>'[1]February - 2020'!AV15</f>
        <v>4287.3600000012666</v>
      </c>
      <c r="AP15" s="287">
        <f>'[1]February - 2020'!AX15</f>
        <v>10228081.92</v>
      </c>
      <c r="AQ15" s="288">
        <f>'[1]February - 2020'!AY15</f>
        <v>4969.4399999994785</v>
      </c>
      <c r="AR15" s="92">
        <f>'[1]February - 2020'!AY15</f>
        <v>4969.4399999994785</v>
      </c>
      <c r="AS15" s="287">
        <f>'[1]February - 2020'!BA15</f>
        <v>8159723.04</v>
      </c>
      <c r="AT15" s="288">
        <f>'[1]February - 2020'!BB15</f>
        <v>3312.9599999999627</v>
      </c>
      <c r="AU15" s="92">
        <f>'[1]February - 2020'!BB15</f>
        <v>3312.9599999999627</v>
      </c>
      <c r="AV15" s="287">
        <f>'[1]February - 2020'!BD15</f>
        <v>12080562.48</v>
      </c>
      <c r="AW15" s="252">
        <f>'[1]February - 2020'!BE15</f>
        <v>5456.640000000596</v>
      </c>
      <c r="AX15" s="253">
        <f>'[1]February - 2020'!BE15</f>
        <v>5456.640000000596</v>
      </c>
      <c r="AY15" s="475"/>
      <c r="AZ15" s="272">
        <f>'[1]February - 2020'!BK15</f>
        <v>49766500</v>
      </c>
      <c r="BA15" s="179">
        <f>'[1]February - 2020'!BL15</f>
        <v>0</v>
      </c>
      <c r="BB15" s="93">
        <f>'[1]February - 2020'!BL15</f>
        <v>0</v>
      </c>
      <c r="BC15" s="272">
        <f>'[1]February - 2020'!BN15</f>
        <v>54239600</v>
      </c>
      <c r="BD15" s="245">
        <f>'[1]February - 2020'!BO15</f>
        <v>36100</v>
      </c>
      <c r="BE15" s="93">
        <f>'[1]February - 2020'!BO15</f>
        <v>36100</v>
      </c>
      <c r="BF15" s="272">
        <f>'[1]February - 2020'!BQ15</f>
        <v>47821500</v>
      </c>
      <c r="BG15" s="245">
        <f>'[1]February - 2020'!BR15</f>
        <v>0</v>
      </c>
      <c r="BH15" s="93">
        <f>'[1]February - 2020'!BR15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- 2020'!BT15</f>
        <v>4126060</v>
      </c>
      <c r="BT15" s="185">
        <f>'[1]February - 2020'!BU15</f>
        <v>4360</v>
      </c>
      <c r="BU15" s="383"/>
      <c r="BV15" s="88">
        <f>'[1]February - 2020'!BW15</f>
        <v>0.66</v>
      </c>
      <c r="BW15" s="241">
        <f>'[1]February - 2020'!BX15</f>
        <v>-3.9999999999999925E-2</v>
      </c>
      <c r="BX15" s="88">
        <f>'[1]February - 2020'!BX15</f>
        <v>-3.9999999999999925E-2</v>
      </c>
      <c r="BY15" s="89">
        <f>'[1]February - 2020'!BZ15</f>
        <v>45156</v>
      </c>
      <c r="BZ15" s="191">
        <f>'[1]February - 2020'!CA15</f>
        <v>22</v>
      </c>
      <c r="CA15" s="89">
        <f>'[1]February - 2020'!CB15</f>
        <v>39926</v>
      </c>
      <c r="CB15" s="191">
        <f>'[1]February - 2020'!CC15</f>
        <v>19</v>
      </c>
      <c r="CC15" s="89">
        <f>'[1]February - 2020'!CD15</f>
        <v>13378</v>
      </c>
      <c r="CD15" s="191">
        <f>'[1]February - 2020'!CE15</f>
        <v>7</v>
      </c>
      <c r="CE15" s="89">
        <f>'[1]February - 2020'!CF15</f>
        <v>16913</v>
      </c>
      <c r="CF15" s="191">
        <f>'[1]February - 2020'!CG15</f>
        <v>10</v>
      </c>
      <c r="CG15" s="89">
        <f>'[1]February - 2020'!CH15</f>
        <v>19297</v>
      </c>
      <c r="CH15" s="191">
        <f>'[1]February - 2020'!CI15</f>
        <v>12</v>
      </c>
      <c r="CI15" s="89">
        <f>'[1]February - 2020'!CJ15</f>
        <v>41077</v>
      </c>
      <c r="CJ15" s="191">
        <f>'[1]February - 2020'!CK15</f>
        <v>27</v>
      </c>
      <c r="CK15" s="89">
        <f>'[1]February - 2020'!CL15</f>
        <v>177085</v>
      </c>
      <c r="CL15" s="246">
        <f>'[1]February - 2020'!CM15</f>
        <v>88</v>
      </c>
      <c r="CM15" s="89">
        <f>'[1]February - 2020'!CM15</f>
        <v>88</v>
      </c>
      <c r="CN15" s="89">
        <f>'[1]February - 2020'!CO15</f>
        <v>128760</v>
      </c>
      <c r="CO15" s="246">
        <f>'[1]February - 2020'!CP15</f>
        <v>102</v>
      </c>
      <c r="CP15" s="89">
        <f>'[1]February - 2020'!CP15</f>
        <v>102</v>
      </c>
      <c r="CQ15" s="89">
        <f>'[1]February - 2020'!CR15</f>
        <v>246589</v>
      </c>
      <c r="CR15" s="246">
        <f>'[1]February - 2020'!CS15</f>
        <v>231</v>
      </c>
      <c r="CS15" s="89">
        <f>'[1]February - 2020'!CS15</f>
        <v>231</v>
      </c>
      <c r="CT15" s="89">
        <f>'[1]February - 2020'!CU15</f>
        <v>476860</v>
      </c>
      <c r="CU15" s="191">
        <f>'[1]February - 2020'!CV15</f>
        <v>174</v>
      </c>
      <c r="CV15" s="442"/>
      <c r="CW15" s="256">
        <f>'[1]February - 2020'!CX15</f>
        <v>341</v>
      </c>
      <c r="CX15" s="198">
        <f>'[1]February - 2020'!CY15</f>
        <v>0</v>
      </c>
      <c r="CY15" s="257">
        <f>'[1]February - 2020'!CZ15</f>
        <v>1267</v>
      </c>
      <c r="CZ15" s="198">
        <f>'[1]February - 2020'!DA15</f>
        <v>0</v>
      </c>
      <c r="DA15" s="257">
        <f>'[1]February - 2020'!DB15</f>
        <v>19006</v>
      </c>
      <c r="DB15" s="198">
        <f>'[1]February - 2020'!DC15</f>
        <v>15</v>
      </c>
      <c r="DC15" s="257">
        <f>'[1]February - 2020'!DD15</f>
        <v>19582</v>
      </c>
      <c r="DD15" s="198">
        <f>'[1]February - 2020'!DE15</f>
        <v>15</v>
      </c>
      <c r="DE15" s="257">
        <f>'[1]February - 2020'!DF15</f>
        <v>13718</v>
      </c>
      <c r="DF15" s="198">
        <f>'[1]February - 2020'!DG15</f>
        <v>10</v>
      </c>
      <c r="DG15" s="257">
        <f>'[1]February - 2020'!DH15</f>
        <v>17359</v>
      </c>
      <c r="DH15" s="198">
        <f>'[1]February - 2020'!DI15</f>
        <v>6</v>
      </c>
      <c r="DI15" s="257">
        <f>'[1]February - 2020'!DJ15</f>
        <v>825</v>
      </c>
      <c r="DJ15" s="198">
        <f>'[1]February - 2020'!DK15</f>
        <v>0</v>
      </c>
      <c r="DK15" s="257">
        <f>'[1]February - 2020'!DL15</f>
        <v>3570</v>
      </c>
      <c r="DL15" s="198">
        <f>'[1]February - 2020'!DM15</f>
        <v>0</v>
      </c>
      <c r="DM15" s="257">
        <f>'[1]February - 2020'!DN15</f>
        <v>1060</v>
      </c>
      <c r="DN15" s="198">
        <f>'[1]February - 2020'!DO15</f>
        <v>9</v>
      </c>
      <c r="DO15" s="257">
        <f>'[1]February - 2020'!DP15</f>
        <v>1203</v>
      </c>
      <c r="DP15" s="198">
        <f>'[1]February - 2020'!DQ15</f>
        <v>2</v>
      </c>
      <c r="DQ15" s="257">
        <f>'[1]February - 2020'!DR15</f>
        <v>17154</v>
      </c>
      <c r="DR15" s="206">
        <f>'[1]February - 2020'!DS15</f>
        <v>10</v>
      </c>
      <c r="DS15" s="427"/>
      <c r="DT15" s="210">
        <f>'[1]February - 2020'!DU15</f>
        <v>2783083</v>
      </c>
      <c r="DU15" s="221">
        <f>'[1]February - 2020'!DV15</f>
        <v>1512</v>
      </c>
      <c r="DV15" s="91">
        <f>'[1]February - 2020'!DW15</f>
        <v>4633</v>
      </c>
      <c r="DW15" s="215">
        <f>'[1]February - 2020'!DX15</f>
        <v>5</v>
      </c>
      <c r="DX15" s="91">
        <f>'[1]February - 2020'!DY15</f>
        <v>1839535</v>
      </c>
      <c r="DY15" s="215">
        <f>'[1]February - 2020'!DZ15</f>
        <v>1165</v>
      </c>
      <c r="DZ15" s="91">
        <f>'[1]February - 2020'!EA15</f>
        <v>252617</v>
      </c>
      <c r="EA15" s="215">
        <f>'[1]February - 2020'!EB15</f>
        <v>4</v>
      </c>
      <c r="EB15" s="91">
        <f>'[1]February - 2020'!EC15</f>
        <v>460575</v>
      </c>
      <c r="EC15" s="215">
        <f>'[1]February - 2020'!ED15</f>
        <v>570</v>
      </c>
      <c r="ED15" s="91">
        <f>'[1]February - 2020'!EG15</f>
        <v>90019</v>
      </c>
      <c r="EE15" s="229">
        <f>'[1]February - 2020'!EH15</f>
        <v>154</v>
      </c>
      <c r="EF15" s="367"/>
      <c r="EG15" s="235">
        <f>'[1]February - 2020'!EJ15</f>
        <v>6822200</v>
      </c>
      <c r="EH15" s="230">
        <f>'[1]February - 2020'!EK15</f>
        <v>2200</v>
      </c>
      <c r="EI15" s="90">
        <f>'[1]February - 2020'!EL15</f>
        <v>603570</v>
      </c>
      <c r="EJ15" s="230">
        <f>'[1]February - 2020'!EM15</f>
        <v>210</v>
      </c>
      <c r="EK15" s="90">
        <f>'[1]February - 2020'!EN15</f>
        <v>4637400</v>
      </c>
      <c r="EL15" s="230">
        <f>'[1]February - 2020'!EO15</f>
        <v>1400</v>
      </c>
      <c r="EM15" s="90">
        <f>'[1]February - 2020'!EP15</f>
        <v>1988800</v>
      </c>
      <c r="EN15" s="230">
        <f>'[1]February - 2020'!EQ15</f>
        <v>0</v>
      </c>
      <c r="EO15" s="90">
        <f>'[1]February - 2020'!ER15</f>
        <v>680860</v>
      </c>
      <c r="EP15" s="230">
        <f>'[1]February - 2020'!ES15</f>
        <v>120</v>
      </c>
      <c r="EQ15" s="90">
        <f>'[1]February - 2020'!ET15</f>
        <v>10730500</v>
      </c>
      <c r="ER15" s="230">
        <f>'[1]February - 2020'!EU15</f>
        <v>0</v>
      </c>
      <c r="ES15" s="414"/>
      <c r="ET15" s="284">
        <f>'[1]February - 2020'!EW15</f>
        <v>28217</v>
      </c>
      <c r="EU15" s="278">
        <f>'[1]February - 2020'!EX15</f>
        <v>17</v>
      </c>
      <c r="EV15" s="285">
        <f>'[1]February - 2020'!EY15</f>
        <v>24666</v>
      </c>
      <c r="EW15" s="278">
        <f>'[1]February - 2020'!EZ15</f>
        <v>14</v>
      </c>
      <c r="EX15" s="285">
        <f>'[1]February - 2020'!FA15</f>
        <v>0</v>
      </c>
      <c r="EY15" s="278">
        <f>'[1]February - 2020'!FB15</f>
        <v>0</v>
      </c>
      <c r="EZ15" s="285">
        <f>'[1]February - 2020'!FC15</f>
        <v>44706</v>
      </c>
      <c r="FA15" s="278">
        <f>'[1]February - 2020'!FD15</f>
        <v>0</v>
      </c>
      <c r="FB15" s="285">
        <f>'[1]February - 2020'!FE15</f>
        <v>21289</v>
      </c>
      <c r="FC15" s="279">
        <f>'[1]February - 2020'!FF15</f>
        <v>29</v>
      </c>
    </row>
    <row r="16" spans="1:159" ht="30" customHeight="1" x14ac:dyDescent="0.25">
      <c r="A16" s="207">
        <v>43837</v>
      </c>
      <c r="B16" s="209">
        <f>'[1]February - 2020'!B16</f>
        <v>0.82</v>
      </c>
      <c r="C16" s="250">
        <f>'[1]February - 2020'!E16</f>
        <v>534213</v>
      </c>
      <c r="D16" s="170">
        <f>'[1]February - 2020'!F16</f>
        <v>589</v>
      </c>
      <c r="E16" s="168">
        <f>'[1]February - 2020'!G16</f>
        <v>465</v>
      </c>
      <c r="F16" s="168">
        <f>'[1]February - 2020'!H16</f>
        <v>702602</v>
      </c>
      <c r="G16" s="170">
        <f>'[1]February - 2020'!I16</f>
        <v>483</v>
      </c>
      <c r="H16" s="168">
        <f>'[1]February - 2020'!J16</f>
        <v>399</v>
      </c>
      <c r="I16" s="168">
        <f>'[1]February - 2020'!K16</f>
        <v>26003</v>
      </c>
      <c r="J16" s="170">
        <f>'[1]February - 2020'!L16</f>
        <v>115</v>
      </c>
      <c r="K16" s="168">
        <f>'[1]February - 2020'!N16</f>
        <v>616678</v>
      </c>
      <c r="L16" s="170">
        <f>'[1]February - 2020'!O16</f>
        <v>164</v>
      </c>
      <c r="M16" s="168">
        <f>'[1]February - 2020'!Q16</f>
        <v>156876</v>
      </c>
      <c r="N16" s="170">
        <f>'[1]February - 2020'!R16</f>
        <v>0</v>
      </c>
      <c r="O16" s="168">
        <f>'[1]February - 2020'!S16</f>
        <v>96189</v>
      </c>
      <c r="P16" s="170">
        <f>'[1]February - 2020'!T16</f>
        <v>73</v>
      </c>
      <c r="Q16" s="168">
        <f>'[1]February - 2020'!U16</f>
        <v>48</v>
      </c>
      <c r="R16" s="168">
        <f>'[1]February - 2020'!V16</f>
        <v>7416</v>
      </c>
      <c r="S16" s="208">
        <f>'[1]February - 2020'!W16</f>
        <v>16</v>
      </c>
      <c r="T16" s="509"/>
      <c r="U16" s="269">
        <f>'[1]February - 2020'!AC16</f>
        <v>5536638.2400000002</v>
      </c>
      <c r="V16" s="288">
        <f>'[1]February - 2020'!AD16</f>
        <v>1948.7999999998137</v>
      </c>
      <c r="W16" s="92">
        <f>'[1]February - 2020'!AD16</f>
        <v>1948.7999999998137</v>
      </c>
      <c r="X16" s="287">
        <f>'[1]February - 2020'!AF16</f>
        <v>10818568.319999998</v>
      </c>
      <c r="Y16" s="288">
        <f>'[1]February - 2020'!AG16</f>
        <v>4823.2799999974668</v>
      </c>
      <c r="Z16" s="92">
        <f>'[1]February - 2020'!AG16</f>
        <v>4823.2799999974668</v>
      </c>
      <c r="AA16" s="287">
        <f>'[1]February - 2020'!AI16</f>
        <v>9846994.0800000001</v>
      </c>
      <c r="AB16" s="288">
        <f>'[1]February - 2020'!AJ16</f>
        <v>584.64000000059605</v>
      </c>
      <c r="AC16" s="92">
        <f>'[1]February - 2020'!AJ16</f>
        <v>584.64000000059605</v>
      </c>
      <c r="AD16" s="287">
        <f>'[1]February - 2020'!AL16</f>
        <v>13220269.439999999</v>
      </c>
      <c r="AE16" s="288">
        <f>'[1]February - 2020'!AM16</f>
        <v>7113.1200000010431</v>
      </c>
      <c r="AF16" s="92">
        <f>'[1]February - 2020'!AM16</f>
        <v>7113.1200000010431</v>
      </c>
      <c r="AG16" s="287">
        <f>'[1]February - 2020'!AO16</f>
        <v>13194642.719999999</v>
      </c>
      <c r="AH16" s="288">
        <f>'[1]February - 2020'!AP16</f>
        <v>341.03999999910593</v>
      </c>
      <c r="AI16" s="92">
        <f>'[1]February - 2020'!AP16</f>
        <v>341.03999999910593</v>
      </c>
      <c r="AJ16" s="287">
        <f>'[1]February - 2020'!AR16</f>
        <v>12158758.08</v>
      </c>
      <c r="AK16" s="288">
        <f>'[1]February - 2020'!AS16</f>
        <v>5846.4000000003725</v>
      </c>
      <c r="AL16" s="92">
        <f>'[1]February - 2020'!AS16</f>
        <v>5846.4000000003725</v>
      </c>
      <c r="AM16" s="287">
        <f>'[1]February - 2020'!AU16</f>
        <v>10566247.439999999</v>
      </c>
      <c r="AN16" s="288">
        <f>'[1]February - 2020'!AV16</f>
        <v>4287.359999999404</v>
      </c>
      <c r="AO16" s="92">
        <f>'[1]February - 2020'!AV16</f>
        <v>4287.359999999404</v>
      </c>
      <c r="AP16" s="287">
        <f>'[1]February - 2020'!AX16</f>
        <v>10233002.640000001</v>
      </c>
      <c r="AQ16" s="288">
        <f>'[1]February - 2020'!AY16</f>
        <v>4920.7200000006706</v>
      </c>
      <c r="AR16" s="92">
        <f>'[1]February - 2020'!AY16</f>
        <v>4920.7200000006706</v>
      </c>
      <c r="AS16" s="287">
        <f>'[1]February - 2020'!BA16</f>
        <v>8163230.8800000008</v>
      </c>
      <c r="AT16" s="288">
        <f>'[1]February - 2020'!BB16</f>
        <v>3507.8400000007823</v>
      </c>
      <c r="AU16" s="92">
        <f>'[1]February - 2020'!BB16</f>
        <v>3507.8400000007823</v>
      </c>
      <c r="AV16" s="287">
        <f>'[1]February - 2020'!BD16</f>
        <v>12085872.959999999</v>
      </c>
      <c r="AW16" s="252">
        <f>'[1]February - 2020'!BE16</f>
        <v>5310.4799999985844</v>
      </c>
      <c r="AX16" s="253">
        <f>'[1]February - 2020'!BE16</f>
        <v>5310.4799999985844</v>
      </c>
      <c r="AY16" s="475"/>
      <c r="AZ16" s="272">
        <f>'[1]February - 2020'!BK16</f>
        <v>49766500</v>
      </c>
      <c r="BA16" s="179">
        <f>'[1]February - 2020'!BL16</f>
        <v>0</v>
      </c>
      <c r="BB16" s="93">
        <f>'[1]February - 2020'!BL16</f>
        <v>0</v>
      </c>
      <c r="BC16" s="272">
        <f>'[1]February - 2020'!BN16</f>
        <v>54277800</v>
      </c>
      <c r="BD16" s="245">
        <f>'[1]February - 2020'!BO16</f>
        <v>38200</v>
      </c>
      <c r="BE16" s="93">
        <f>'[1]February - 2020'!BO16</f>
        <v>38200</v>
      </c>
      <c r="BF16" s="272">
        <f>'[1]February - 2020'!BQ16</f>
        <v>47826200</v>
      </c>
      <c r="BG16" s="245">
        <f>'[1]February - 2020'!BR16</f>
        <v>4700</v>
      </c>
      <c r="BH16" s="93">
        <f>'[1]February - 2020'!BR16</f>
        <v>4700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- 2020'!BT16</f>
        <v>4130500</v>
      </c>
      <c r="BT16" s="185">
        <f>'[1]February - 2020'!BU16</f>
        <v>4440</v>
      </c>
      <c r="BU16" s="383"/>
      <c r="BV16" s="88">
        <f>'[1]February - 2020'!BW16</f>
        <v>0.76</v>
      </c>
      <c r="BW16" s="241">
        <f>'[1]February - 2020'!BX16</f>
        <v>9.9999999999999978E-2</v>
      </c>
      <c r="BX16" s="88">
        <f>'[1]February - 2020'!BX16</f>
        <v>9.9999999999999978E-2</v>
      </c>
      <c r="BY16" s="89">
        <f>'[1]February - 2020'!BZ16</f>
        <v>45174</v>
      </c>
      <c r="BZ16" s="191">
        <f>'[1]February - 2020'!CA16</f>
        <v>18</v>
      </c>
      <c r="CA16" s="89">
        <f>'[1]February - 2020'!CB16</f>
        <v>39942</v>
      </c>
      <c r="CB16" s="191">
        <f>'[1]February - 2020'!CC16</f>
        <v>16</v>
      </c>
      <c r="CC16" s="89">
        <f>'[1]February - 2020'!CD16</f>
        <v>13387</v>
      </c>
      <c r="CD16" s="191">
        <f>'[1]February - 2020'!CE16</f>
        <v>9</v>
      </c>
      <c r="CE16" s="89">
        <f>'[1]February - 2020'!CF16</f>
        <v>16924</v>
      </c>
      <c r="CF16" s="191">
        <f>'[1]February - 2020'!CG16</f>
        <v>11</v>
      </c>
      <c r="CG16" s="89">
        <f>'[1]February - 2020'!CH16</f>
        <v>19309</v>
      </c>
      <c r="CH16" s="191">
        <f>'[1]February - 2020'!CI16</f>
        <v>12</v>
      </c>
      <c r="CI16" s="89">
        <f>'[1]February - 2020'!CJ16</f>
        <v>41105</v>
      </c>
      <c r="CJ16" s="191">
        <f>'[1]February - 2020'!CK16</f>
        <v>28</v>
      </c>
      <c r="CK16" s="89">
        <f>'[1]February - 2020'!CL16</f>
        <v>177170</v>
      </c>
      <c r="CL16" s="246">
        <f>'[1]February - 2020'!CM16</f>
        <v>85</v>
      </c>
      <c r="CM16" s="89">
        <f>'[1]February - 2020'!CM16</f>
        <v>85</v>
      </c>
      <c r="CN16" s="89">
        <f>'[1]February - 2020'!CO16</f>
        <v>128859</v>
      </c>
      <c r="CO16" s="246">
        <f>'[1]February - 2020'!CP16</f>
        <v>99</v>
      </c>
      <c r="CP16" s="89">
        <f>'[1]February - 2020'!CP16</f>
        <v>99</v>
      </c>
      <c r="CQ16" s="89">
        <f>'[1]February - 2020'!CR16</f>
        <v>246813</v>
      </c>
      <c r="CR16" s="246">
        <f>'[1]February - 2020'!CS16</f>
        <v>224</v>
      </c>
      <c r="CS16" s="89">
        <f>'[1]February - 2020'!CS16</f>
        <v>224</v>
      </c>
      <c r="CT16" s="89">
        <f>'[1]February - 2020'!CU16</f>
        <v>477031</v>
      </c>
      <c r="CU16" s="191">
        <f>'[1]February - 2020'!CV16</f>
        <v>171</v>
      </c>
      <c r="CV16" s="442"/>
      <c r="CW16" s="256">
        <f>'[1]February - 2020'!CX16</f>
        <v>341</v>
      </c>
      <c r="CX16" s="198">
        <f>'[1]February - 2020'!CY16</f>
        <v>0</v>
      </c>
      <c r="CY16" s="257">
        <f>'[1]February - 2020'!CZ16</f>
        <v>1267</v>
      </c>
      <c r="CZ16" s="198">
        <f>'[1]February - 2020'!DA16</f>
        <v>0</v>
      </c>
      <c r="DA16" s="257">
        <f>'[1]February - 2020'!DB16</f>
        <v>19027</v>
      </c>
      <c r="DB16" s="198">
        <f>'[1]February - 2020'!DC16</f>
        <v>21</v>
      </c>
      <c r="DC16" s="257">
        <f>'[1]February - 2020'!DD16</f>
        <v>19598</v>
      </c>
      <c r="DD16" s="198">
        <f>'[1]February - 2020'!DE16</f>
        <v>16</v>
      </c>
      <c r="DE16" s="257">
        <f>'[1]February - 2020'!DF16</f>
        <v>13730</v>
      </c>
      <c r="DF16" s="198">
        <f>'[1]February - 2020'!DG16</f>
        <v>12</v>
      </c>
      <c r="DG16" s="257">
        <f>'[1]February - 2020'!DH16</f>
        <v>17366</v>
      </c>
      <c r="DH16" s="198">
        <f>'[1]February - 2020'!DI16</f>
        <v>7</v>
      </c>
      <c r="DI16" s="257">
        <f>'[1]February - 2020'!DJ16</f>
        <v>825</v>
      </c>
      <c r="DJ16" s="198">
        <f>'[1]February - 2020'!DK16</f>
        <v>0</v>
      </c>
      <c r="DK16" s="257">
        <f>'[1]February - 2020'!DL16</f>
        <v>3570</v>
      </c>
      <c r="DL16" s="198">
        <f>'[1]February - 2020'!DM16</f>
        <v>0</v>
      </c>
      <c r="DM16" s="257">
        <f>'[1]February - 2020'!DN16</f>
        <v>1068</v>
      </c>
      <c r="DN16" s="198">
        <f>'[1]February - 2020'!DO16</f>
        <v>8</v>
      </c>
      <c r="DO16" s="257">
        <f>'[1]February - 2020'!DP16</f>
        <v>1207</v>
      </c>
      <c r="DP16" s="198">
        <f>'[1]February - 2020'!DQ16</f>
        <v>4</v>
      </c>
      <c r="DQ16" s="257">
        <f>'[1]February - 2020'!DR16</f>
        <v>17168</v>
      </c>
      <c r="DR16" s="206">
        <f>'[1]February - 2020'!DS16</f>
        <v>14</v>
      </c>
      <c r="DS16" s="427"/>
      <c r="DT16" s="210">
        <f>'[1]February - 2020'!DU16</f>
        <v>2784678</v>
      </c>
      <c r="DU16" s="221">
        <f>'[1]February - 2020'!DV16</f>
        <v>1595</v>
      </c>
      <c r="DV16" s="91">
        <f>'[1]February - 2020'!DW16</f>
        <v>4638</v>
      </c>
      <c r="DW16" s="215">
        <f>'[1]February - 2020'!DX16</f>
        <v>5</v>
      </c>
      <c r="DX16" s="91">
        <f>'[1]February - 2020'!DY16</f>
        <v>1840749</v>
      </c>
      <c r="DY16" s="215">
        <f>'[1]February - 2020'!DZ16</f>
        <v>1214</v>
      </c>
      <c r="DZ16" s="91">
        <f>'[1]February - 2020'!EA16</f>
        <v>252621</v>
      </c>
      <c r="EA16" s="215">
        <f>'[1]February - 2020'!EB16</f>
        <v>4</v>
      </c>
      <c r="EB16" s="91">
        <f>'[1]February - 2020'!EC16</f>
        <v>461171</v>
      </c>
      <c r="EC16" s="215">
        <f>'[1]February - 2020'!ED16</f>
        <v>596</v>
      </c>
      <c r="ED16" s="91">
        <f>'[1]February - 2020'!EG16</f>
        <v>90175</v>
      </c>
      <c r="EE16" s="229">
        <f>'[1]February - 2020'!EH16</f>
        <v>156</v>
      </c>
      <c r="EF16" s="367"/>
      <c r="EG16" s="235">
        <f>'[1]February - 2020'!EJ16</f>
        <v>6824900</v>
      </c>
      <c r="EH16" s="230">
        <f>'[1]February - 2020'!EK16</f>
        <v>2700</v>
      </c>
      <c r="EI16" s="90">
        <f>'[1]February - 2020'!EL16</f>
        <v>603800</v>
      </c>
      <c r="EJ16" s="230">
        <f>'[1]February - 2020'!EM16</f>
        <v>230</v>
      </c>
      <c r="EK16" s="90">
        <f>'[1]February - 2020'!EN16</f>
        <v>4638900</v>
      </c>
      <c r="EL16" s="230">
        <f>'[1]February - 2020'!EO16</f>
        <v>1500</v>
      </c>
      <c r="EM16" s="90">
        <f>'[1]February - 2020'!EP16</f>
        <v>1988800</v>
      </c>
      <c r="EN16" s="230">
        <f>'[1]February - 2020'!EQ16</f>
        <v>0</v>
      </c>
      <c r="EO16" s="90">
        <f>'[1]February - 2020'!ER16</f>
        <v>681000</v>
      </c>
      <c r="EP16" s="230">
        <f>'[1]February - 2020'!ES16</f>
        <v>140</v>
      </c>
      <c r="EQ16" s="90">
        <f>'[1]February - 2020'!ET16</f>
        <v>10731700</v>
      </c>
      <c r="ER16" s="230">
        <f>'[1]February - 2020'!EU16</f>
        <v>1200</v>
      </c>
      <c r="ES16" s="414"/>
      <c r="ET16" s="284">
        <f>'[1]February - 2020'!EW16</f>
        <v>28234</v>
      </c>
      <c r="EU16" s="278">
        <f>'[1]February - 2020'!EX16</f>
        <v>17</v>
      </c>
      <c r="EV16" s="285">
        <f>'[1]February - 2020'!EY16</f>
        <v>24682</v>
      </c>
      <c r="EW16" s="278">
        <f>'[1]February - 2020'!EZ16</f>
        <v>16</v>
      </c>
      <c r="EX16" s="285">
        <f>'[1]February - 2020'!FA16</f>
        <v>0</v>
      </c>
      <c r="EY16" s="278">
        <f>'[1]February - 2020'!FB16</f>
        <v>0</v>
      </c>
      <c r="EZ16" s="285">
        <f>'[1]February - 2020'!FC16</f>
        <v>44775</v>
      </c>
      <c r="FA16" s="278">
        <f>'[1]February - 2020'!FD16</f>
        <v>69</v>
      </c>
      <c r="FB16" s="285">
        <f>'[1]February - 2020'!FE16</f>
        <v>21317</v>
      </c>
      <c r="FC16" s="279">
        <f>'[1]February - 2020'!FF16</f>
        <v>28</v>
      </c>
    </row>
    <row r="17" spans="1:159" ht="30" customHeight="1" x14ac:dyDescent="0.25">
      <c r="A17" s="207">
        <v>43838</v>
      </c>
      <c r="B17" s="209">
        <f>'[1]February - 2020'!B17</f>
        <v>0.75</v>
      </c>
      <c r="C17" s="250">
        <f>'[1]February - 2020'!E17</f>
        <v>534742</v>
      </c>
      <c r="D17" s="170">
        <f>'[1]February - 2020'!F17</f>
        <v>529</v>
      </c>
      <c r="E17" s="168">
        <f>'[1]February - 2020'!G17</f>
        <v>551</v>
      </c>
      <c r="F17" s="168">
        <f>'[1]February - 2020'!H17</f>
        <v>703082</v>
      </c>
      <c r="G17" s="170">
        <f>'[1]February - 2020'!I17</f>
        <v>480</v>
      </c>
      <c r="H17" s="168">
        <f>'[1]February - 2020'!J17</f>
        <v>476</v>
      </c>
      <c r="I17" s="168">
        <f>'[1]February - 2020'!K17</f>
        <v>26170</v>
      </c>
      <c r="J17" s="170">
        <f>'[1]February - 2020'!L17</f>
        <v>167</v>
      </c>
      <c r="K17" s="168">
        <f>'[1]February - 2020'!N17</f>
        <v>616823</v>
      </c>
      <c r="L17" s="170">
        <f>'[1]February - 2020'!O17</f>
        <v>145</v>
      </c>
      <c r="M17" s="168">
        <f>'[1]February - 2020'!Q17</f>
        <v>156876</v>
      </c>
      <c r="N17" s="170">
        <f>'[1]February - 2020'!R17</f>
        <v>0</v>
      </c>
      <c r="O17" s="168">
        <f>'[1]February - 2020'!S17</f>
        <v>96247</v>
      </c>
      <c r="P17" s="170">
        <f>'[1]February - 2020'!T17</f>
        <v>58</v>
      </c>
      <c r="Q17" s="168">
        <f>'[1]February - 2020'!U17</f>
        <v>80</v>
      </c>
      <c r="R17" s="168">
        <f>'[1]February - 2020'!V17</f>
        <v>7430</v>
      </c>
      <c r="S17" s="208">
        <f>'[1]February - 2020'!W17</f>
        <v>14</v>
      </c>
      <c r="T17" s="509"/>
      <c r="U17" s="269">
        <f>'[1]February - 2020'!AC17</f>
        <v>5538830.6400000006</v>
      </c>
      <c r="V17" s="288">
        <f>'[1]February - 2020'!AD17</f>
        <v>2192.4000000003725</v>
      </c>
      <c r="W17" s="92">
        <f>'[1]February - 2020'!AD17</f>
        <v>2192.4000000003725</v>
      </c>
      <c r="X17" s="287">
        <f>'[1]February - 2020'!AF17</f>
        <v>10823489.040000001</v>
      </c>
      <c r="Y17" s="288">
        <f>'[1]February - 2020'!AG17</f>
        <v>4920.7200000025332</v>
      </c>
      <c r="Z17" s="92">
        <f>'[1]February - 2020'!AG17</f>
        <v>4920.7200000025332</v>
      </c>
      <c r="AA17" s="287">
        <f>'[1]February - 2020'!AI17</f>
        <v>9847091.5199999996</v>
      </c>
      <c r="AB17" s="288">
        <f>'[1]February - 2020'!AJ17</f>
        <v>97.439999999478459</v>
      </c>
      <c r="AC17" s="92">
        <f>'[1]February - 2020'!AJ17</f>
        <v>97.439999999478459</v>
      </c>
      <c r="AD17" s="287">
        <f>'[1]February - 2020'!AL17</f>
        <v>13220805.359999999</v>
      </c>
      <c r="AE17" s="288">
        <f>'[1]February - 2020'!AM17</f>
        <v>535.91999999992549</v>
      </c>
      <c r="AF17" s="92">
        <f>'[1]February - 2020'!AM17</f>
        <v>535.91999999992549</v>
      </c>
      <c r="AG17" s="287">
        <f>'[1]February - 2020'!AO17</f>
        <v>13202632.799999999</v>
      </c>
      <c r="AH17" s="288">
        <f>'[1]February - 2020'!AP17</f>
        <v>7990.0800000000745</v>
      </c>
      <c r="AI17" s="92">
        <f>'[1]February - 2020'!AP17</f>
        <v>7990.0800000000745</v>
      </c>
      <c r="AJ17" s="287">
        <f>'[1]February - 2020'!AR17</f>
        <v>12164604.48</v>
      </c>
      <c r="AK17" s="288">
        <f>'[1]February - 2020'!AS17</f>
        <v>5846.4000000003725</v>
      </c>
      <c r="AL17" s="92">
        <f>'[1]February - 2020'!AS17</f>
        <v>5846.4000000003725</v>
      </c>
      <c r="AM17" s="287">
        <f>'[1]February - 2020'!AU17</f>
        <v>10569804</v>
      </c>
      <c r="AN17" s="288">
        <f>'[1]February - 2020'!AV17</f>
        <v>3556.5600000005215</v>
      </c>
      <c r="AO17" s="92">
        <f>'[1]February - 2020'!AV17</f>
        <v>3556.5600000005215</v>
      </c>
      <c r="AP17" s="287">
        <f>'[1]February - 2020'!AX17</f>
        <v>10237728.48</v>
      </c>
      <c r="AQ17" s="288">
        <f>'[1]February - 2020'!AY17</f>
        <v>4725.839999999851</v>
      </c>
      <c r="AR17" s="92">
        <f>'[1]February - 2020'!AY17</f>
        <v>4725.839999999851</v>
      </c>
      <c r="AS17" s="287">
        <f>'[1]February - 2020'!BA17</f>
        <v>8166446.3999999994</v>
      </c>
      <c r="AT17" s="288">
        <f>'[1]February - 2020'!BB17</f>
        <v>3215.5199999986216</v>
      </c>
      <c r="AU17" s="92">
        <f>'[1]February - 2020'!BB17</f>
        <v>3215.5199999986216</v>
      </c>
      <c r="AV17" s="287">
        <f>'[1]February - 2020'!BD17</f>
        <v>12091329.6</v>
      </c>
      <c r="AW17" s="252">
        <f>'[1]February - 2020'!BE17</f>
        <v>5456.640000000596</v>
      </c>
      <c r="AX17" s="253">
        <f>'[1]February - 2020'!BE17</f>
        <v>5456.640000000596</v>
      </c>
      <c r="AY17" s="475"/>
      <c r="AZ17" s="272">
        <f>'[1]February - 2020'!BK17</f>
        <v>49766500</v>
      </c>
      <c r="BA17" s="179">
        <f>'[1]February - 2020'!BL17</f>
        <v>0</v>
      </c>
      <c r="BB17" s="93">
        <f>'[1]February - 2020'!BL17</f>
        <v>0</v>
      </c>
      <c r="BC17" s="272">
        <f>'[1]February - 2020'!BN17</f>
        <v>54277800</v>
      </c>
      <c r="BD17" s="245">
        <f>'[1]February - 2020'!BO17</f>
        <v>0</v>
      </c>
      <c r="BE17" s="93">
        <f>'[1]February - 2020'!BO17</f>
        <v>0</v>
      </c>
      <c r="BF17" s="272">
        <f>'[1]February - 2020'!BQ17</f>
        <v>47858300</v>
      </c>
      <c r="BG17" s="245">
        <f>'[1]February - 2020'!BR17</f>
        <v>32100</v>
      </c>
      <c r="BH17" s="93">
        <f>'[1]February - 2020'!BR17</f>
        <v>32100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- 2020'!BT17</f>
        <v>4134890</v>
      </c>
      <c r="BT17" s="185">
        <f>'[1]February - 2020'!BU17</f>
        <v>4390</v>
      </c>
      <c r="BU17" s="383"/>
      <c r="BV17" s="88">
        <f>'[1]February - 2020'!BW17</f>
        <v>0.69</v>
      </c>
      <c r="BW17" s="241">
        <f>'[1]February - 2020'!BX17</f>
        <v>-7.0000000000000062E-2</v>
      </c>
      <c r="BX17" s="88">
        <f>'[1]February - 2020'!BX17</f>
        <v>-7.0000000000000062E-2</v>
      </c>
      <c r="BY17" s="89">
        <f>'[1]February - 2020'!BZ17</f>
        <v>45195</v>
      </c>
      <c r="BZ17" s="191">
        <f>'[1]February - 2020'!CA17</f>
        <v>21</v>
      </c>
      <c r="CA17" s="89">
        <f>'[1]February - 2020'!CB17</f>
        <v>39966</v>
      </c>
      <c r="CB17" s="191">
        <f>'[1]February - 2020'!CC17</f>
        <v>24</v>
      </c>
      <c r="CC17" s="89">
        <f>'[1]February - 2020'!CD17</f>
        <v>13395</v>
      </c>
      <c r="CD17" s="191">
        <f>'[1]February - 2020'!CE17</f>
        <v>8</v>
      </c>
      <c r="CE17" s="89">
        <f>'[1]February - 2020'!CF17</f>
        <v>16935</v>
      </c>
      <c r="CF17" s="191">
        <f>'[1]February - 2020'!CG17</f>
        <v>11</v>
      </c>
      <c r="CG17" s="89">
        <f>'[1]February - 2020'!CH17</f>
        <v>19315</v>
      </c>
      <c r="CH17" s="191">
        <f>'[1]February - 2020'!CI17</f>
        <v>6</v>
      </c>
      <c r="CI17" s="89">
        <f>'[1]February - 2020'!CJ17</f>
        <v>41126</v>
      </c>
      <c r="CJ17" s="191">
        <f>'[1]February - 2020'!CK17</f>
        <v>21</v>
      </c>
      <c r="CK17" s="89">
        <f>'[1]February - 2020'!CL17</f>
        <v>177255</v>
      </c>
      <c r="CL17" s="246">
        <f>'[1]February - 2020'!CM17</f>
        <v>85</v>
      </c>
      <c r="CM17" s="89">
        <f>'[1]February - 2020'!CM17</f>
        <v>85</v>
      </c>
      <c r="CN17" s="89">
        <f>'[1]February - 2020'!CO17</f>
        <v>128953</v>
      </c>
      <c r="CO17" s="246">
        <f>'[1]February - 2020'!CP17</f>
        <v>94</v>
      </c>
      <c r="CP17" s="89">
        <f>'[1]February - 2020'!CP17</f>
        <v>94</v>
      </c>
      <c r="CQ17" s="89">
        <f>'[1]February - 2020'!CR17</f>
        <v>247030</v>
      </c>
      <c r="CR17" s="246">
        <f>'[1]February - 2020'!CS17</f>
        <v>217</v>
      </c>
      <c r="CS17" s="89">
        <f>'[1]February - 2020'!CS17</f>
        <v>217</v>
      </c>
      <c r="CT17" s="89">
        <f>'[1]February - 2020'!CU17</f>
        <v>477201</v>
      </c>
      <c r="CU17" s="191">
        <f>'[1]February - 2020'!CV17</f>
        <v>170</v>
      </c>
      <c r="CV17" s="442"/>
      <c r="CW17" s="256">
        <f>'[1]February - 2020'!CX17</f>
        <v>341</v>
      </c>
      <c r="CX17" s="198">
        <f>'[1]February - 2020'!CY17</f>
        <v>0</v>
      </c>
      <c r="CY17" s="257">
        <f>'[1]February - 2020'!CZ17</f>
        <v>1267</v>
      </c>
      <c r="CZ17" s="198">
        <f>'[1]February - 2020'!DA17</f>
        <v>0</v>
      </c>
      <c r="DA17" s="257">
        <f>'[1]February - 2020'!DB17</f>
        <v>19043</v>
      </c>
      <c r="DB17" s="198">
        <f>'[1]February - 2020'!DC17</f>
        <v>16</v>
      </c>
      <c r="DC17" s="257">
        <f>'[1]February - 2020'!DD17</f>
        <v>19608</v>
      </c>
      <c r="DD17" s="198">
        <f>'[1]February - 2020'!DE17</f>
        <v>10</v>
      </c>
      <c r="DE17" s="257">
        <f>'[1]February - 2020'!DF17</f>
        <v>13741</v>
      </c>
      <c r="DF17" s="198">
        <f>'[1]February - 2020'!DG17</f>
        <v>11</v>
      </c>
      <c r="DG17" s="257">
        <f>'[1]February - 2020'!DH17</f>
        <v>17373</v>
      </c>
      <c r="DH17" s="198">
        <f>'[1]February - 2020'!DI17</f>
        <v>7</v>
      </c>
      <c r="DI17" s="257">
        <f>'[1]February - 2020'!DJ17</f>
        <v>825</v>
      </c>
      <c r="DJ17" s="198">
        <f>'[1]February - 2020'!DK17</f>
        <v>0</v>
      </c>
      <c r="DK17" s="257">
        <f>'[1]February - 2020'!DL17</f>
        <v>3570</v>
      </c>
      <c r="DL17" s="198">
        <f>'[1]February - 2020'!DM17</f>
        <v>0</v>
      </c>
      <c r="DM17" s="257">
        <f>'[1]February - 2020'!DN17</f>
        <v>1078</v>
      </c>
      <c r="DN17" s="198">
        <f>'[1]February - 2020'!DO17</f>
        <v>10</v>
      </c>
      <c r="DO17" s="257">
        <f>'[1]February - 2020'!DP17</f>
        <v>1209</v>
      </c>
      <c r="DP17" s="198">
        <f>'[1]February - 2020'!DQ17</f>
        <v>2</v>
      </c>
      <c r="DQ17" s="257">
        <f>'[1]February - 2020'!DR17</f>
        <v>17177</v>
      </c>
      <c r="DR17" s="206">
        <f>'[1]February - 2020'!DS17</f>
        <v>9</v>
      </c>
      <c r="DS17" s="427"/>
      <c r="DT17" s="210">
        <f>'[1]February - 2020'!DU17</f>
        <v>2785159</v>
      </c>
      <c r="DU17" s="221">
        <f>'[1]February - 2020'!DV17</f>
        <v>481</v>
      </c>
      <c r="DV17" s="91">
        <f>'[1]February - 2020'!DW17</f>
        <v>4643</v>
      </c>
      <c r="DW17" s="215">
        <f>'[1]February - 2020'!DX17</f>
        <v>5</v>
      </c>
      <c r="DX17" s="91">
        <f>'[1]February - 2020'!DY17</f>
        <v>1841908</v>
      </c>
      <c r="DY17" s="215">
        <f>'[1]February - 2020'!DZ17</f>
        <v>1159</v>
      </c>
      <c r="DZ17" s="91">
        <f>'[1]February - 2020'!EA17</f>
        <v>252625</v>
      </c>
      <c r="EA17" s="215">
        <f>'[1]February - 2020'!EB17</f>
        <v>4</v>
      </c>
      <c r="EB17" s="91">
        <f>'[1]February - 2020'!EC17</f>
        <v>461702</v>
      </c>
      <c r="EC17" s="215">
        <f>'[1]February - 2020'!ED17</f>
        <v>531</v>
      </c>
      <c r="ED17" s="91">
        <f>'[1]February - 2020'!EG17</f>
        <v>90321</v>
      </c>
      <c r="EE17" s="229">
        <f>'[1]February - 2020'!EH17</f>
        <v>146</v>
      </c>
      <c r="EF17" s="367"/>
      <c r="EG17" s="235">
        <f>'[1]February - 2020'!EJ17</f>
        <v>6827700</v>
      </c>
      <c r="EH17" s="230">
        <f>'[1]February - 2020'!EK17</f>
        <v>2800</v>
      </c>
      <c r="EI17" s="90">
        <f>'[1]February - 2020'!EL17</f>
        <v>604030</v>
      </c>
      <c r="EJ17" s="230">
        <f>'[1]February - 2020'!EM17</f>
        <v>230</v>
      </c>
      <c r="EK17" s="90">
        <f>'[1]February - 2020'!EN17</f>
        <v>4640400</v>
      </c>
      <c r="EL17" s="230">
        <f>'[1]February - 2020'!EO17</f>
        <v>1500</v>
      </c>
      <c r="EM17" s="90">
        <f>'[1]February - 2020'!EP17</f>
        <v>1988800</v>
      </c>
      <c r="EN17" s="230">
        <f>'[1]February - 2020'!EQ17</f>
        <v>0</v>
      </c>
      <c r="EO17" s="90">
        <f>'[1]February - 2020'!ER17</f>
        <v>681130</v>
      </c>
      <c r="EP17" s="230">
        <f>'[1]February - 2020'!ES17</f>
        <v>130</v>
      </c>
      <c r="EQ17" s="90">
        <f>'[1]February - 2020'!ET17</f>
        <v>10732600</v>
      </c>
      <c r="ER17" s="230">
        <f>'[1]February - 2020'!EU17</f>
        <v>900</v>
      </c>
      <c r="ES17" s="414"/>
      <c r="ET17" s="284">
        <f>'[1]February - 2020'!EW17</f>
        <v>28250</v>
      </c>
      <c r="EU17" s="278">
        <f>'[1]February - 2020'!EX17</f>
        <v>16</v>
      </c>
      <c r="EV17" s="285">
        <f>'[1]February - 2020'!EY17</f>
        <v>24697</v>
      </c>
      <c r="EW17" s="278">
        <f>'[1]February - 2020'!EZ17</f>
        <v>15</v>
      </c>
      <c r="EX17" s="285">
        <f>'[1]February - 2020'!FA17</f>
        <v>0</v>
      </c>
      <c r="EY17" s="278">
        <f>'[1]February - 2020'!FB17</f>
        <v>0</v>
      </c>
      <c r="EZ17" s="285">
        <f>'[1]February - 2020'!FC17</f>
        <v>44810</v>
      </c>
      <c r="FA17" s="278">
        <f>'[1]February - 2020'!FD17</f>
        <v>35</v>
      </c>
      <c r="FB17" s="285">
        <f>'[1]February - 2020'!FE17</f>
        <v>21343</v>
      </c>
      <c r="FC17" s="279">
        <f>'[1]February - 2020'!FF17</f>
        <v>26</v>
      </c>
    </row>
    <row r="18" spans="1:159" ht="30" customHeight="1" x14ac:dyDescent="0.25">
      <c r="A18" s="207">
        <v>43839</v>
      </c>
      <c r="B18" s="209">
        <f>'[1]February - 2020'!B18</f>
        <v>0.77</v>
      </c>
      <c r="C18" s="250">
        <f>'[1]February - 2020'!E18</f>
        <v>535263</v>
      </c>
      <c r="D18" s="170">
        <f>'[1]February - 2020'!F18</f>
        <v>521</v>
      </c>
      <c r="E18" s="168">
        <f>'[1]February - 2020'!G18</f>
        <v>460</v>
      </c>
      <c r="F18" s="168">
        <f>'[1]February - 2020'!H18</f>
        <v>703500</v>
      </c>
      <c r="G18" s="170">
        <f>'[1]February - 2020'!I18</f>
        <v>418</v>
      </c>
      <c r="H18" s="168">
        <f>'[1]February - 2020'!J18</f>
        <v>374</v>
      </c>
      <c r="I18" s="168">
        <f>'[1]February - 2020'!K18</f>
        <v>26344</v>
      </c>
      <c r="J18" s="170">
        <f>'[1]February - 2020'!L18</f>
        <v>174</v>
      </c>
      <c r="K18" s="168">
        <f>'[1]February - 2020'!N18</f>
        <v>616973</v>
      </c>
      <c r="L18" s="170">
        <f>'[1]February - 2020'!O18</f>
        <v>150</v>
      </c>
      <c r="M18" s="168">
        <f>'[1]February - 2020'!Q18</f>
        <v>156876</v>
      </c>
      <c r="N18" s="170">
        <f>'[1]February - 2020'!R18</f>
        <v>0</v>
      </c>
      <c r="O18" s="168">
        <f>'[1]February - 2020'!S18</f>
        <v>96331</v>
      </c>
      <c r="P18" s="170">
        <f>'[1]February - 2020'!T18</f>
        <v>84</v>
      </c>
      <c r="Q18" s="168">
        <f>'[1]February - 2020'!U18</f>
        <v>77</v>
      </c>
      <c r="R18" s="168">
        <f>'[1]February - 2020'!V18</f>
        <v>7449</v>
      </c>
      <c r="S18" s="208">
        <f>'[1]February - 2020'!W18</f>
        <v>19</v>
      </c>
      <c r="T18" s="509"/>
      <c r="U18" s="269">
        <f>'[1]February - 2020'!AC18</f>
        <v>5540974.3200000003</v>
      </c>
      <c r="V18" s="288">
        <f>'[1]February - 2020'!AD18</f>
        <v>2143.679999999702</v>
      </c>
      <c r="W18" s="92">
        <f>'[1]February - 2020'!AD18</f>
        <v>2143.679999999702</v>
      </c>
      <c r="X18" s="287">
        <f>'[1]February - 2020'!AF18</f>
        <v>10828312.319999998</v>
      </c>
      <c r="Y18" s="288">
        <f>'[1]February - 2020'!AG18</f>
        <v>4823.2799999974668</v>
      </c>
      <c r="Z18" s="92">
        <f>'[1]February - 2020'!AG18</f>
        <v>4823.2799999974668</v>
      </c>
      <c r="AA18" s="287">
        <f>'[1]February - 2020'!AI18</f>
        <v>9847140.2400000002</v>
      </c>
      <c r="AB18" s="288">
        <f>'[1]February - 2020'!AJ18</f>
        <v>48.720000000670552</v>
      </c>
      <c r="AC18" s="92">
        <f>'[1]February - 2020'!AJ18</f>
        <v>48.720000000670552</v>
      </c>
      <c r="AD18" s="287">
        <f>'[1]February - 2020'!AL18</f>
        <v>13221341.280000001</v>
      </c>
      <c r="AE18" s="288">
        <f>'[1]February - 2020'!AM18</f>
        <v>535.92000000178814</v>
      </c>
      <c r="AF18" s="92">
        <f>'[1]February - 2020'!AM18</f>
        <v>535.92000000178814</v>
      </c>
      <c r="AG18" s="287">
        <f>'[1]February - 2020'!AO18</f>
        <v>13210720.319999998</v>
      </c>
      <c r="AH18" s="288">
        <f>'[1]February - 2020'!AP18</f>
        <v>8087.519999999553</v>
      </c>
      <c r="AI18" s="92">
        <f>'[1]February - 2020'!AP18</f>
        <v>8087.519999999553</v>
      </c>
      <c r="AJ18" s="287">
        <f>'[1]February - 2020'!AR18</f>
        <v>12170694.48</v>
      </c>
      <c r="AK18" s="288">
        <f>'[1]February - 2020'!AS18</f>
        <v>6090</v>
      </c>
      <c r="AL18" s="92">
        <f>'[1]February - 2020'!AS18</f>
        <v>6090</v>
      </c>
      <c r="AM18" s="287">
        <f>'[1]February - 2020'!AU18</f>
        <v>10573604.16</v>
      </c>
      <c r="AN18" s="288">
        <f>'[1]February - 2020'!AV18</f>
        <v>3800.160000000149</v>
      </c>
      <c r="AO18" s="92">
        <f>'[1]February - 2020'!AV18</f>
        <v>3800.160000000149</v>
      </c>
      <c r="AP18" s="287">
        <f>'[1]February - 2020'!AX18</f>
        <v>10242405.6</v>
      </c>
      <c r="AQ18" s="288">
        <f>'[1]February - 2020'!AY18</f>
        <v>4677.1199999991804</v>
      </c>
      <c r="AR18" s="92">
        <f>'[1]February - 2020'!AY18</f>
        <v>4677.1199999991804</v>
      </c>
      <c r="AS18" s="287">
        <f>'[1]February - 2020'!BA18</f>
        <v>8169856.7999999998</v>
      </c>
      <c r="AT18" s="288">
        <f>'[1]February - 2020'!BB18</f>
        <v>3410.4000000003725</v>
      </c>
      <c r="AU18" s="92">
        <f>'[1]February - 2020'!BB18</f>
        <v>3410.4000000003725</v>
      </c>
      <c r="AV18" s="287">
        <f>'[1]February - 2020'!BD18</f>
        <v>12096250.319999998</v>
      </c>
      <c r="AW18" s="252">
        <f>'[1]February - 2020'!BE18</f>
        <v>4920.7199999988079</v>
      </c>
      <c r="AX18" s="253">
        <f>'[1]February - 2020'!BE18</f>
        <v>4920.7199999988079</v>
      </c>
      <c r="AY18" s="475"/>
      <c r="AZ18" s="272">
        <f>'[1]February - 2020'!BK18</f>
        <v>49766500</v>
      </c>
      <c r="BA18" s="179">
        <f>'[1]February - 2020'!BL18</f>
        <v>0</v>
      </c>
      <c r="BB18" s="93">
        <f>'[1]February - 2020'!BL18</f>
        <v>0</v>
      </c>
      <c r="BC18" s="272">
        <f>'[1]February - 2020'!BN18</f>
        <v>54277800</v>
      </c>
      <c r="BD18" s="245">
        <f>'[1]February - 2020'!BO18</f>
        <v>0</v>
      </c>
      <c r="BE18" s="93">
        <f>'[1]February - 2020'!BO18</f>
        <v>0</v>
      </c>
      <c r="BF18" s="272">
        <f>'[1]February - 2020'!BQ18</f>
        <v>47897400</v>
      </c>
      <c r="BG18" s="245">
        <f>'[1]February - 2020'!BR18</f>
        <v>39100</v>
      </c>
      <c r="BH18" s="93">
        <f>'[1]February - 2020'!BR18</f>
        <v>39100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- 2020'!BT18</f>
        <v>4138500</v>
      </c>
      <c r="BT18" s="185">
        <f>'[1]February - 2020'!BU18</f>
        <v>3610</v>
      </c>
      <c r="BU18" s="383"/>
      <c r="BV18" s="88">
        <f>'[1]February - 2020'!BW18</f>
        <v>0.61</v>
      </c>
      <c r="BW18" s="241">
        <f>'[1]February - 2020'!BX18</f>
        <v>-7.999999999999996E-2</v>
      </c>
      <c r="BX18" s="88">
        <f>'[1]February - 2020'!BX18</f>
        <v>-7.999999999999996E-2</v>
      </c>
      <c r="BY18" s="89">
        <f>'[1]February - 2020'!BZ18</f>
        <v>45195</v>
      </c>
      <c r="BZ18" s="191">
        <f>'[1]February - 2020'!CA18</f>
        <v>0</v>
      </c>
      <c r="CA18" s="89">
        <f>'[1]February - 2020'!CB18</f>
        <v>39966</v>
      </c>
      <c r="CB18" s="191">
        <f>'[1]February - 2020'!CC18</f>
        <v>0</v>
      </c>
      <c r="CC18" s="89">
        <f>'[1]February - 2020'!CD18</f>
        <v>13395</v>
      </c>
      <c r="CD18" s="191">
        <f>'[1]February - 2020'!CE18</f>
        <v>0</v>
      </c>
      <c r="CE18" s="89">
        <f>'[1]February - 2020'!CF18</f>
        <v>16935</v>
      </c>
      <c r="CF18" s="191">
        <f>'[1]February - 2020'!CG18</f>
        <v>0</v>
      </c>
      <c r="CG18" s="89">
        <f>'[1]February - 2020'!CH18</f>
        <v>19315</v>
      </c>
      <c r="CH18" s="191">
        <f>'[1]February - 2020'!CI18</f>
        <v>0</v>
      </c>
      <c r="CI18" s="89">
        <f>'[1]February - 2020'!CJ18</f>
        <v>41126</v>
      </c>
      <c r="CJ18" s="191">
        <f>'[1]February - 2020'!CK18</f>
        <v>0</v>
      </c>
      <c r="CK18" s="89">
        <f>'[1]February - 2020'!CL18</f>
        <v>177341</v>
      </c>
      <c r="CL18" s="246">
        <f>'[1]February - 2020'!CM18</f>
        <v>86</v>
      </c>
      <c r="CM18" s="89">
        <f>'[1]February - 2020'!CM18</f>
        <v>86</v>
      </c>
      <c r="CN18" s="89">
        <f>'[1]February - 2020'!CO18</f>
        <v>129046</v>
      </c>
      <c r="CO18" s="246">
        <f>'[1]February - 2020'!CP18</f>
        <v>93</v>
      </c>
      <c r="CP18" s="89">
        <f>'[1]February - 2020'!CP18</f>
        <v>93</v>
      </c>
      <c r="CQ18" s="89">
        <f>'[1]February - 2020'!CR18</f>
        <v>247250</v>
      </c>
      <c r="CR18" s="246">
        <f>'[1]February - 2020'!CS18</f>
        <v>220</v>
      </c>
      <c r="CS18" s="89">
        <f>'[1]February - 2020'!CS18</f>
        <v>220</v>
      </c>
      <c r="CT18" s="89">
        <f>'[1]February - 2020'!CU18</f>
        <v>477370</v>
      </c>
      <c r="CU18" s="191">
        <f>'[1]February - 2020'!CV18</f>
        <v>169</v>
      </c>
      <c r="CV18" s="442"/>
      <c r="CW18" s="256">
        <f>'[1]February - 2020'!CX18</f>
        <v>341</v>
      </c>
      <c r="CX18" s="198">
        <f>'[1]February - 2020'!CY18</f>
        <v>0</v>
      </c>
      <c r="CY18" s="257">
        <f>'[1]February - 2020'!CZ18</f>
        <v>1267</v>
      </c>
      <c r="CZ18" s="198">
        <f>'[1]February - 2020'!DA18</f>
        <v>0</v>
      </c>
      <c r="DA18" s="257">
        <f>'[1]February - 2020'!DB18</f>
        <v>19060</v>
      </c>
      <c r="DB18" s="198">
        <f>'[1]February - 2020'!DC18</f>
        <v>17</v>
      </c>
      <c r="DC18" s="257">
        <f>'[1]February - 2020'!DD18</f>
        <v>19617</v>
      </c>
      <c r="DD18" s="198">
        <f>'[1]February - 2020'!DE18</f>
        <v>9</v>
      </c>
      <c r="DE18" s="257">
        <f>'[1]February - 2020'!DF18</f>
        <v>13750</v>
      </c>
      <c r="DF18" s="198">
        <f>'[1]February - 2020'!DG18</f>
        <v>9</v>
      </c>
      <c r="DG18" s="257">
        <f>'[1]February - 2020'!DH18</f>
        <v>17379</v>
      </c>
      <c r="DH18" s="198">
        <f>'[1]February - 2020'!DI18</f>
        <v>6</v>
      </c>
      <c r="DI18" s="257">
        <f>'[1]February - 2020'!DJ18</f>
        <v>825</v>
      </c>
      <c r="DJ18" s="198">
        <f>'[1]February - 2020'!DK18</f>
        <v>0</v>
      </c>
      <c r="DK18" s="257">
        <f>'[1]February - 2020'!DL18</f>
        <v>3570</v>
      </c>
      <c r="DL18" s="198">
        <f>'[1]February - 2020'!DM18</f>
        <v>0</v>
      </c>
      <c r="DM18" s="257">
        <f>'[1]February - 2020'!DN18</f>
        <v>1080</v>
      </c>
      <c r="DN18" s="198">
        <f>'[1]February - 2020'!DO18</f>
        <v>2</v>
      </c>
      <c r="DO18" s="257">
        <f>'[1]February - 2020'!DP18</f>
        <v>1211</v>
      </c>
      <c r="DP18" s="198">
        <f>'[1]February - 2020'!DQ18</f>
        <v>2</v>
      </c>
      <c r="DQ18" s="257">
        <f>'[1]February - 2020'!DR18</f>
        <v>17188</v>
      </c>
      <c r="DR18" s="206">
        <f>'[1]February - 2020'!DS18</f>
        <v>11</v>
      </c>
      <c r="DS18" s="427"/>
      <c r="DT18" s="210">
        <f>'[1]February - 2020'!DU18</f>
        <v>2787583</v>
      </c>
      <c r="DU18" s="221">
        <f>'[1]February - 2020'!DV18</f>
        <v>2424</v>
      </c>
      <c r="DV18" s="91">
        <f>'[1]February - 2020'!DW18</f>
        <v>4648</v>
      </c>
      <c r="DW18" s="215">
        <f>'[1]February - 2020'!DX18</f>
        <v>5</v>
      </c>
      <c r="DX18" s="91">
        <f>'[1]February - 2020'!DY18</f>
        <v>1842994</v>
      </c>
      <c r="DY18" s="215">
        <f>'[1]February - 2020'!DZ18</f>
        <v>1086</v>
      </c>
      <c r="DZ18" s="91">
        <f>'[1]February - 2020'!EA18</f>
        <v>252630</v>
      </c>
      <c r="EA18" s="215">
        <f>'[1]February - 2020'!EB18</f>
        <v>5</v>
      </c>
      <c r="EB18" s="91">
        <f>'[1]February - 2020'!EC18</f>
        <v>462251</v>
      </c>
      <c r="EC18" s="215">
        <f>'[1]February - 2020'!ED18</f>
        <v>549</v>
      </c>
      <c r="ED18" s="91">
        <f>'[1]February - 2020'!EG18</f>
        <v>90466</v>
      </c>
      <c r="EE18" s="229">
        <f>'[1]February - 2020'!EH18</f>
        <v>145</v>
      </c>
      <c r="EF18" s="367"/>
      <c r="EG18" s="235">
        <f>'[1]February - 2020'!EJ18</f>
        <v>6830600</v>
      </c>
      <c r="EH18" s="230">
        <f>'[1]February - 2020'!EK18</f>
        <v>2900</v>
      </c>
      <c r="EI18" s="90">
        <f>'[1]February - 2020'!EL18</f>
        <v>604240</v>
      </c>
      <c r="EJ18" s="230">
        <f>'[1]February - 2020'!EM18</f>
        <v>210</v>
      </c>
      <c r="EK18" s="90">
        <f>'[1]February - 2020'!EN18</f>
        <v>4641900</v>
      </c>
      <c r="EL18" s="230">
        <f>'[1]February - 2020'!EO18</f>
        <v>1500</v>
      </c>
      <c r="EM18" s="90">
        <f>'[1]February - 2020'!EP18</f>
        <v>1988900</v>
      </c>
      <c r="EN18" s="230">
        <f>'[1]February - 2020'!EQ18</f>
        <v>100</v>
      </c>
      <c r="EO18" s="90">
        <f>'[1]February - 2020'!ER18</f>
        <v>681280</v>
      </c>
      <c r="EP18" s="230">
        <f>'[1]February - 2020'!ES18</f>
        <v>150</v>
      </c>
      <c r="EQ18" s="90">
        <f>'[1]February - 2020'!ET18</f>
        <v>10733600</v>
      </c>
      <c r="ER18" s="230">
        <f>'[1]February - 2020'!EU18</f>
        <v>1000</v>
      </c>
      <c r="ES18" s="414"/>
      <c r="ET18" s="284">
        <f>'[1]February - 2020'!EW18</f>
        <v>28265</v>
      </c>
      <c r="EU18" s="278">
        <f>'[1]February - 2020'!EX18</f>
        <v>15</v>
      </c>
      <c r="EV18" s="285">
        <f>'[1]February - 2020'!EY18</f>
        <v>24710</v>
      </c>
      <c r="EW18" s="278">
        <f>'[1]February - 2020'!EZ18</f>
        <v>13</v>
      </c>
      <c r="EX18" s="285">
        <f>'[1]February - 2020'!FA18</f>
        <v>0</v>
      </c>
      <c r="EY18" s="278">
        <f>'[1]February - 2020'!FB18</f>
        <v>0</v>
      </c>
      <c r="EZ18" s="285">
        <f>'[1]February - 2020'!FC18</f>
        <v>44844</v>
      </c>
      <c r="FA18" s="278">
        <f>'[1]February - 2020'!FD18</f>
        <v>34</v>
      </c>
      <c r="FB18" s="285">
        <f>'[1]February - 2020'!FE18</f>
        <v>21370</v>
      </c>
      <c r="FC18" s="279">
        <f>'[1]February - 2020'!FF18</f>
        <v>27</v>
      </c>
    </row>
    <row r="19" spans="1:159" ht="30" customHeight="1" x14ac:dyDescent="0.25">
      <c r="A19" s="207">
        <v>43840</v>
      </c>
      <c r="B19" s="209">
        <f>'[1]February - 2020'!B19</f>
        <v>0.79</v>
      </c>
      <c r="C19" s="250">
        <f>'[1]February - 2020'!E19</f>
        <v>535767</v>
      </c>
      <c r="D19" s="170">
        <f>'[1]February - 2020'!F19</f>
        <v>504</v>
      </c>
      <c r="E19" s="168">
        <f>'[1]February - 2020'!G19</f>
        <v>439</v>
      </c>
      <c r="F19" s="168">
        <f>'[1]February - 2020'!H19</f>
        <v>703923</v>
      </c>
      <c r="G19" s="170">
        <f>'[1]February - 2020'!I19</f>
        <v>423</v>
      </c>
      <c r="H19" s="168">
        <f>'[1]February - 2020'!J19</f>
        <v>362</v>
      </c>
      <c r="I19" s="168">
        <f>'[1]February - 2020'!K19</f>
        <v>26457</v>
      </c>
      <c r="J19" s="170">
        <f>'[1]February - 2020'!L19</f>
        <v>113</v>
      </c>
      <c r="K19" s="168">
        <f>'[1]February - 2020'!N19</f>
        <v>617131</v>
      </c>
      <c r="L19" s="170">
        <f>'[1]February - 2020'!O19</f>
        <v>158</v>
      </c>
      <c r="M19" s="168">
        <f>'[1]February - 2020'!Q19</f>
        <v>156876</v>
      </c>
      <c r="N19" s="170">
        <f>'[1]February - 2020'!R19</f>
        <v>0</v>
      </c>
      <c r="O19" s="168">
        <f>'[1]February - 2020'!S19</f>
        <v>96411</v>
      </c>
      <c r="P19" s="170">
        <f>'[1]February - 2020'!T19</f>
        <v>80</v>
      </c>
      <c r="Q19" s="168">
        <f>'[1]February - 2020'!U19</f>
        <v>63</v>
      </c>
      <c r="R19" s="168">
        <f>'[1]February - 2020'!V19</f>
        <v>7463</v>
      </c>
      <c r="S19" s="208">
        <f>'[1]February - 2020'!W19</f>
        <v>14</v>
      </c>
      <c r="T19" s="509"/>
      <c r="U19" s="169">
        <f>'[1]February - 2020'!AC19</f>
        <v>5543264.1599999992</v>
      </c>
      <c r="V19" s="288">
        <f>'[1]February - 2020'!AD19</f>
        <v>2289.8399999989197</v>
      </c>
      <c r="W19" s="92">
        <f>'[1]February - 2020'!AD19</f>
        <v>2289.8399999989197</v>
      </c>
      <c r="X19" s="287">
        <f>'[1]February - 2020'!AF19</f>
        <v>10833233.040000001</v>
      </c>
      <c r="Y19" s="288">
        <f>'[1]February - 2020'!AG19</f>
        <v>4920.7200000025332</v>
      </c>
      <c r="Z19" s="92">
        <f>'[1]February - 2020'!AG19</f>
        <v>4920.7200000025332</v>
      </c>
      <c r="AA19" s="287">
        <f>'[1]February - 2020'!AI19</f>
        <v>9847140.2400000002</v>
      </c>
      <c r="AB19" s="288">
        <f>'[1]February - 2020'!AJ19</f>
        <v>0</v>
      </c>
      <c r="AC19" s="92">
        <f>'[1]February - 2020'!AJ19</f>
        <v>0</v>
      </c>
      <c r="AD19" s="287">
        <f>'[1]February - 2020'!AL19</f>
        <v>13223436.24</v>
      </c>
      <c r="AE19" s="288">
        <f>'[1]February - 2020'!AM19</f>
        <v>2094.9599999990314</v>
      </c>
      <c r="AF19" s="92">
        <f>'[1]February - 2020'!AM19</f>
        <v>2094.9599999990314</v>
      </c>
      <c r="AG19" s="287">
        <f>'[1]February - 2020'!AO19</f>
        <v>13217882.16</v>
      </c>
      <c r="AH19" s="288">
        <f>'[1]February - 2020'!AP19</f>
        <v>7161.8400000017136</v>
      </c>
      <c r="AI19" s="92">
        <f>'[1]February - 2020'!AP19</f>
        <v>7161.8400000017136</v>
      </c>
      <c r="AJ19" s="287">
        <f>'[1]February - 2020'!AR19</f>
        <v>12176784.48</v>
      </c>
      <c r="AK19" s="288">
        <f>'[1]February - 2020'!AS19</f>
        <v>6090</v>
      </c>
      <c r="AL19" s="92">
        <f>'[1]February - 2020'!AS19</f>
        <v>6090</v>
      </c>
      <c r="AM19" s="287">
        <f>'[1]February - 2020'!AU19</f>
        <v>10577550.48</v>
      </c>
      <c r="AN19" s="288">
        <f>'[1]February - 2020'!AV19</f>
        <v>3946.320000000298</v>
      </c>
      <c r="AO19" s="92">
        <f>'[1]February - 2020'!AV19</f>
        <v>3946.320000000298</v>
      </c>
      <c r="AP19" s="287">
        <f>'[1]February - 2020'!AX19</f>
        <v>10247082.719999999</v>
      </c>
      <c r="AQ19" s="288">
        <f>'[1]February - 2020'!AY19</f>
        <v>4677.1199999991804</v>
      </c>
      <c r="AR19" s="92">
        <f>'[1]February - 2020'!AY19</f>
        <v>4677.1199999991804</v>
      </c>
      <c r="AS19" s="287">
        <f>'[1]February - 2020'!BA19</f>
        <v>8173169.7599999998</v>
      </c>
      <c r="AT19" s="288">
        <f>'[1]February - 2020'!BB19</f>
        <v>3312.9599999999627</v>
      </c>
      <c r="AU19" s="92">
        <f>'[1]February - 2020'!BB19</f>
        <v>3312.9599999999627</v>
      </c>
      <c r="AV19" s="287">
        <f>'[1]February - 2020'!BD19</f>
        <v>12101463.359999999</v>
      </c>
      <c r="AW19" s="252">
        <f>'[1]February - 2020'!BE19</f>
        <v>5213.0400000009686</v>
      </c>
      <c r="AX19" s="253">
        <f>'[1]February - 2020'!BE19</f>
        <v>5213.0400000009686</v>
      </c>
      <c r="AY19" s="475"/>
      <c r="AZ19" s="272">
        <f>'[1]February - 2020'!BK19</f>
        <v>49766500</v>
      </c>
      <c r="BA19" s="179">
        <f>'[1]February - 2020'!BL19</f>
        <v>0</v>
      </c>
      <c r="BB19" s="93">
        <f>'[1]February - 2020'!BL19</f>
        <v>0</v>
      </c>
      <c r="BC19" s="272">
        <f>'[1]February - 2020'!BN19</f>
        <v>54286000</v>
      </c>
      <c r="BD19" s="245">
        <f>'[1]February - 2020'!BO19</f>
        <v>8200</v>
      </c>
      <c r="BE19" s="93">
        <f>'[1]February - 2020'!BO19</f>
        <v>8200</v>
      </c>
      <c r="BF19" s="272">
        <f>'[1]February - 2020'!BQ19</f>
        <v>47932200</v>
      </c>
      <c r="BG19" s="245">
        <f>'[1]February - 2020'!BR19</f>
        <v>34800</v>
      </c>
      <c r="BH19" s="93">
        <f>'[1]February - 2020'!BR19</f>
        <v>34800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- 2020'!BT19</f>
        <v>4142320</v>
      </c>
      <c r="BT19" s="185">
        <f>'[1]February - 2020'!BU19</f>
        <v>3820</v>
      </c>
      <c r="BU19" s="383"/>
      <c r="BV19" s="88">
        <f>'[1]February - 2020'!BW19</f>
        <v>0.54</v>
      </c>
      <c r="BW19" s="241">
        <f>'[1]February - 2020'!BX19</f>
        <v>-6.9999999999999951E-2</v>
      </c>
      <c r="BX19" s="88">
        <f>'[1]February - 2020'!BX19</f>
        <v>-6.9999999999999951E-2</v>
      </c>
      <c r="BY19" s="89">
        <f>'[1]February - 2020'!BZ19</f>
        <v>45233</v>
      </c>
      <c r="BZ19" s="191">
        <f>'[1]February - 2020'!CA19</f>
        <v>38</v>
      </c>
      <c r="CA19" s="89">
        <f>'[1]February - 2020'!CB19</f>
        <v>39985</v>
      </c>
      <c r="CB19" s="191">
        <f>'[1]February - 2020'!CC19</f>
        <v>19</v>
      </c>
      <c r="CC19" s="89">
        <f>'[1]February - 2020'!CD19</f>
        <v>13407</v>
      </c>
      <c r="CD19" s="191">
        <f>'[1]February - 2020'!CE19</f>
        <v>12</v>
      </c>
      <c r="CE19" s="89">
        <f>'[1]February - 2020'!CF19</f>
        <v>16958</v>
      </c>
      <c r="CF19" s="191">
        <f>'[1]February - 2020'!CG19</f>
        <v>23</v>
      </c>
      <c r="CG19" s="89">
        <f>'[1]February - 2020'!CH19</f>
        <v>19329</v>
      </c>
      <c r="CH19" s="191">
        <f>'[1]February - 2020'!CI19</f>
        <v>14</v>
      </c>
      <c r="CI19" s="89">
        <f>'[1]February - 2020'!CJ19</f>
        <v>41181</v>
      </c>
      <c r="CJ19" s="191">
        <f>'[1]February - 2020'!CK19</f>
        <v>55</v>
      </c>
      <c r="CK19" s="89">
        <f>'[1]February - 2020'!CL19</f>
        <v>177431</v>
      </c>
      <c r="CL19" s="246">
        <f>'[1]February - 2020'!CM19</f>
        <v>90</v>
      </c>
      <c r="CM19" s="89">
        <f>'[1]February - 2020'!CM19</f>
        <v>90</v>
      </c>
      <c r="CN19" s="89">
        <f>'[1]February - 2020'!CO19</f>
        <v>129148</v>
      </c>
      <c r="CO19" s="246">
        <f>'[1]February - 2020'!CP19</f>
        <v>102</v>
      </c>
      <c r="CP19" s="89">
        <f>'[1]February - 2020'!CP19</f>
        <v>102</v>
      </c>
      <c r="CQ19" s="89">
        <f>'[1]February - 2020'!CR19</f>
        <v>247491</v>
      </c>
      <c r="CR19" s="246">
        <f>'[1]February - 2020'!CS19</f>
        <v>241</v>
      </c>
      <c r="CS19" s="89">
        <f>'[1]February - 2020'!CS19</f>
        <v>241</v>
      </c>
      <c r="CT19" s="89">
        <f>'[1]February - 2020'!CU19</f>
        <v>477545</v>
      </c>
      <c r="CU19" s="191">
        <f>'[1]February - 2020'!CV19</f>
        <v>175</v>
      </c>
      <c r="CV19" s="442"/>
      <c r="CW19" s="256">
        <f>'[1]February - 2020'!CX19</f>
        <v>344</v>
      </c>
      <c r="CX19" s="198">
        <f>'[1]February - 2020'!CY19</f>
        <v>3</v>
      </c>
      <c r="CY19" s="257">
        <f>'[1]February - 2020'!CZ19</f>
        <v>1297</v>
      </c>
      <c r="CZ19" s="198">
        <f>'[1]February - 2020'!DA19</f>
        <v>30</v>
      </c>
      <c r="DA19" s="257">
        <f>'[1]February - 2020'!DB19</f>
        <v>19075</v>
      </c>
      <c r="DB19" s="198">
        <f>'[1]February - 2020'!DC19</f>
        <v>15</v>
      </c>
      <c r="DC19" s="257">
        <f>'[1]February - 2020'!DD19</f>
        <v>19626</v>
      </c>
      <c r="DD19" s="198">
        <f>'[1]February - 2020'!DE19</f>
        <v>9</v>
      </c>
      <c r="DE19" s="257">
        <f>'[1]February - 2020'!DF19</f>
        <v>13759</v>
      </c>
      <c r="DF19" s="198">
        <f>'[1]February - 2020'!DG19</f>
        <v>9</v>
      </c>
      <c r="DG19" s="257">
        <f>'[1]February - 2020'!DH19</f>
        <v>17386</v>
      </c>
      <c r="DH19" s="198">
        <f>'[1]February - 2020'!DI19</f>
        <v>7</v>
      </c>
      <c r="DI19" s="257">
        <f>'[1]February - 2020'!DJ19</f>
        <v>825</v>
      </c>
      <c r="DJ19" s="198">
        <f>'[1]February - 2020'!DK19</f>
        <v>0</v>
      </c>
      <c r="DK19" s="257">
        <f>'[1]February - 2020'!DL19</f>
        <v>3570</v>
      </c>
      <c r="DL19" s="198">
        <f>'[1]February - 2020'!DM19</f>
        <v>0</v>
      </c>
      <c r="DM19" s="257">
        <f>'[1]February - 2020'!DN19</f>
        <v>1080</v>
      </c>
      <c r="DN19" s="198">
        <f>'[1]February - 2020'!DO19</f>
        <v>0</v>
      </c>
      <c r="DO19" s="257">
        <f>'[1]February - 2020'!DP19</f>
        <v>1211</v>
      </c>
      <c r="DP19" s="198">
        <f>'[1]February - 2020'!DQ19</f>
        <v>0</v>
      </c>
      <c r="DQ19" s="257">
        <f>'[1]February - 2020'!DR19</f>
        <v>17197</v>
      </c>
      <c r="DR19" s="206">
        <f>'[1]February - 2020'!DS19</f>
        <v>9</v>
      </c>
      <c r="DS19" s="427"/>
      <c r="DT19" s="210">
        <f>'[1]February - 2020'!DU19</f>
        <v>2789006</v>
      </c>
      <c r="DU19" s="221">
        <f>'[1]February - 2020'!DV19</f>
        <v>1423</v>
      </c>
      <c r="DV19" s="91">
        <f>'[1]February - 2020'!DW19</f>
        <v>4653</v>
      </c>
      <c r="DW19" s="215">
        <f>'[1]February - 2020'!DX19</f>
        <v>5</v>
      </c>
      <c r="DX19" s="91">
        <f>'[1]February - 2020'!DY19</f>
        <v>1844071</v>
      </c>
      <c r="DY19" s="215">
        <f>'[1]February - 2020'!DZ19</f>
        <v>1077</v>
      </c>
      <c r="DZ19" s="91">
        <f>'[1]February - 2020'!EA19</f>
        <v>252634</v>
      </c>
      <c r="EA19" s="215">
        <f>'[1]February - 2020'!EB19</f>
        <v>4</v>
      </c>
      <c r="EB19" s="91">
        <f>'[1]February - 2020'!EC19</f>
        <v>462809</v>
      </c>
      <c r="EC19" s="215">
        <f>'[1]February - 2020'!ED19</f>
        <v>558</v>
      </c>
      <c r="ED19" s="91">
        <f>'[1]February - 2020'!EG19</f>
        <v>90612</v>
      </c>
      <c r="EE19" s="229">
        <f>'[1]February - 2020'!EH19</f>
        <v>146</v>
      </c>
      <c r="EF19" s="367"/>
      <c r="EG19" s="235">
        <f>'[1]February - 2020'!EJ19</f>
        <v>6835400</v>
      </c>
      <c r="EH19" s="230">
        <f>'[1]February - 2020'!EK19</f>
        <v>4800</v>
      </c>
      <c r="EI19" s="90">
        <f>'[1]February - 2020'!EL19</f>
        <v>604700</v>
      </c>
      <c r="EJ19" s="230">
        <f>'[1]February - 2020'!EM19</f>
        <v>460</v>
      </c>
      <c r="EK19" s="90">
        <f>'[1]February - 2020'!EN19</f>
        <v>4644800</v>
      </c>
      <c r="EL19" s="230">
        <f>'[1]February - 2020'!EO19</f>
        <v>2900</v>
      </c>
      <c r="EM19" s="90">
        <f>'[1]February - 2020'!EP19</f>
        <v>1988900</v>
      </c>
      <c r="EN19" s="230">
        <f>'[1]February - 2020'!EQ19</f>
        <v>0</v>
      </c>
      <c r="EO19" s="90">
        <f>'[1]February - 2020'!ER19</f>
        <v>681500</v>
      </c>
      <c r="EP19" s="230">
        <f>'[1]February - 2020'!ES19</f>
        <v>220</v>
      </c>
      <c r="EQ19" s="90">
        <f>'[1]February - 2020'!ET19</f>
        <v>10735400</v>
      </c>
      <c r="ER19" s="230">
        <f>'[1]February - 2020'!EU19</f>
        <v>1800</v>
      </c>
      <c r="ES19" s="414"/>
      <c r="ET19" s="284">
        <f>'[1]February - 2020'!EW19</f>
        <v>28281</v>
      </c>
      <c r="EU19" s="278">
        <f>'[1]February - 2020'!EX19</f>
        <v>16</v>
      </c>
      <c r="EV19" s="285">
        <f>'[1]February - 2020'!EY19</f>
        <v>24723</v>
      </c>
      <c r="EW19" s="278">
        <f>'[1]February - 2020'!EZ19</f>
        <v>13</v>
      </c>
      <c r="EX19" s="285">
        <f>'[1]February - 2020'!FA19</f>
        <v>0</v>
      </c>
      <c r="EY19" s="278">
        <f>'[1]February - 2020'!FB19</f>
        <v>0</v>
      </c>
      <c r="EZ19" s="285">
        <f>'[1]February - 2020'!FC19</f>
        <v>44877</v>
      </c>
      <c r="FA19" s="278">
        <f>'[1]February - 2020'!FD19</f>
        <v>33</v>
      </c>
      <c r="FB19" s="285">
        <f>'[1]February - 2020'!FE19</f>
        <v>21395</v>
      </c>
      <c r="FC19" s="279">
        <f>'[1]February - 2020'!FF19</f>
        <v>25</v>
      </c>
    </row>
    <row r="20" spans="1:159" ht="30" customHeight="1" x14ac:dyDescent="0.25">
      <c r="A20" s="207">
        <v>43841</v>
      </c>
      <c r="B20" s="209">
        <f>'[1]February - 2020'!B20</f>
        <v>0.76</v>
      </c>
      <c r="C20" s="250">
        <f>'[1]February - 2020'!E20</f>
        <v>536314</v>
      </c>
      <c r="D20" s="170">
        <f>'[1]February - 2020'!F20</f>
        <v>547</v>
      </c>
      <c r="E20" s="168">
        <f>'[1]February - 2020'!G20</f>
        <v>484</v>
      </c>
      <c r="F20" s="168">
        <f>'[1]February - 2020'!H20</f>
        <v>704369</v>
      </c>
      <c r="G20" s="170">
        <f>'[1]February - 2020'!I20</f>
        <v>446</v>
      </c>
      <c r="H20" s="168">
        <f>'[1]February - 2020'!J20</f>
        <v>379</v>
      </c>
      <c r="I20" s="168">
        <f>'[1]February - 2020'!K20</f>
        <v>26647</v>
      </c>
      <c r="J20" s="170">
        <f>'[1]February - 2020'!L20</f>
        <v>190</v>
      </c>
      <c r="K20" s="168">
        <f>'[1]February - 2020'!N20</f>
        <v>617304</v>
      </c>
      <c r="L20" s="170">
        <f>'[1]February - 2020'!O20</f>
        <v>173</v>
      </c>
      <c r="M20" s="168">
        <f>'[1]February - 2020'!Q20</f>
        <v>156876</v>
      </c>
      <c r="N20" s="170">
        <f>'[1]February - 2020'!R20</f>
        <v>0</v>
      </c>
      <c r="O20" s="168">
        <f>'[1]February - 2020'!S20</f>
        <v>96480</v>
      </c>
      <c r="P20" s="170">
        <f>'[1]February - 2020'!T20</f>
        <v>69</v>
      </c>
      <c r="Q20" s="168">
        <f>'[1]February - 2020'!U20</f>
        <v>96</v>
      </c>
      <c r="R20" s="168">
        <f>'[1]February - 2020'!V20</f>
        <v>7479</v>
      </c>
      <c r="S20" s="208">
        <f>'[1]February - 2020'!W20</f>
        <v>16</v>
      </c>
      <c r="T20" s="509"/>
      <c r="U20" s="169">
        <f>'[1]February - 2020'!AC20</f>
        <v>5545505.2799999993</v>
      </c>
      <c r="V20" s="288">
        <f>'[1]February - 2020'!AD20</f>
        <v>2241.1200000001118</v>
      </c>
      <c r="W20" s="92">
        <f>'[1]February - 2020'!AD20</f>
        <v>2241.1200000001118</v>
      </c>
      <c r="X20" s="287">
        <f>'[1]February - 2020'!AF20</f>
        <v>10838056.319999998</v>
      </c>
      <c r="Y20" s="288">
        <f>'[1]February - 2020'!AG20</f>
        <v>4823.2799999974668</v>
      </c>
      <c r="Z20" s="92">
        <f>'[1]February - 2020'!AG20</f>
        <v>4823.2799999974668</v>
      </c>
      <c r="AA20" s="287">
        <f>'[1]February - 2020'!AI20</f>
        <v>9847237.6799999997</v>
      </c>
      <c r="AB20" s="288">
        <f>'[1]February - 2020'!AJ20</f>
        <v>97.439999999478459</v>
      </c>
      <c r="AC20" s="92">
        <f>'[1]February - 2020'!AJ20</f>
        <v>97.439999999478459</v>
      </c>
      <c r="AD20" s="287">
        <f>'[1]February - 2020'!AL20</f>
        <v>13224020.880000001</v>
      </c>
      <c r="AE20" s="288">
        <f>'[1]February - 2020'!AM20</f>
        <v>584.64000000059605</v>
      </c>
      <c r="AF20" s="92">
        <f>'[1]February - 2020'!AM20</f>
        <v>584.64000000059605</v>
      </c>
      <c r="AG20" s="287">
        <f>'[1]February - 2020'!AO20</f>
        <v>13224751.68</v>
      </c>
      <c r="AH20" s="288">
        <f>'[1]February - 2020'!AP20</f>
        <v>6869.519999999553</v>
      </c>
      <c r="AI20" s="92">
        <f>'[1]February - 2020'!AP20</f>
        <v>6869.519999999553</v>
      </c>
      <c r="AJ20" s="287">
        <f>'[1]February - 2020'!AR20</f>
        <v>12182874.48</v>
      </c>
      <c r="AK20" s="288">
        <f>'[1]February - 2020'!AS20</f>
        <v>6090</v>
      </c>
      <c r="AL20" s="92">
        <f>'[1]February - 2020'!AS20</f>
        <v>6090</v>
      </c>
      <c r="AM20" s="287">
        <f>'[1]February - 2020'!AU20</f>
        <v>10581448.08</v>
      </c>
      <c r="AN20" s="288">
        <f>'[1]February - 2020'!AV20</f>
        <v>3897.5999999996275</v>
      </c>
      <c r="AO20" s="92">
        <f>'[1]February - 2020'!AV20</f>
        <v>3897.5999999996275</v>
      </c>
      <c r="AP20" s="287">
        <f>'[1]February - 2020'!AX20</f>
        <v>10251564.959999999</v>
      </c>
      <c r="AQ20" s="288">
        <f>'[1]February - 2020'!AY20</f>
        <v>4482.2400000002235</v>
      </c>
      <c r="AR20" s="92">
        <f>'[1]February - 2020'!AY20</f>
        <v>4482.2400000002235</v>
      </c>
      <c r="AS20" s="287">
        <f>'[1]February - 2020'!BA20</f>
        <v>8176287.8399999999</v>
      </c>
      <c r="AT20" s="288">
        <f>'[1]February - 2020'!BB20</f>
        <v>3118.0800000000745</v>
      </c>
      <c r="AU20" s="92">
        <f>'[1]February - 2020'!BB20</f>
        <v>3118.0800000000745</v>
      </c>
      <c r="AV20" s="287">
        <f>'[1]February - 2020'!BD20</f>
        <v>12106676.4</v>
      </c>
      <c r="AW20" s="252">
        <f>'[1]February - 2020'!BE20</f>
        <v>5213.0400000009686</v>
      </c>
      <c r="AX20" s="253">
        <f>'[1]February - 2020'!BE20</f>
        <v>5213.0400000009686</v>
      </c>
      <c r="AY20" s="475"/>
      <c r="AZ20" s="272">
        <f>'[1]February - 2020'!BK20</f>
        <v>49766500</v>
      </c>
      <c r="BA20" s="179">
        <f>'[1]February - 2020'!BL20</f>
        <v>0</v>
      </c>
      <c r="BB20" s="93">
        <f>'[1]February - 2020'!BL20</f>
        <v>0</v>
      </c>
      <c r="BC20" s="272">
        <f>'[1]February - 2020'!BN20</f>
        <v>54286000</v>
      </c>
      <c r="BD20" s="245">
        <f>'[1]February - 2020'!BO20</f>
        <v>0</v>
      </c>
      <c r="BE20" s="93">
        <f>'[1]February - 2020'!BO20</f>
        <v>0</v>
      </c>
      <c r="BF20" s="272">
        <f>'[1]February - 2020'!BQ20</f>
        <v>47966000</v>
      </c>
      <c r="BG20" s="245">
        <f>'[1]February - 2020'!BR20</f>
        <v>33800</v>
      </c>
      <c r="BH20" s="93">
        <f>'[1]February - 2020'!BR20</f>
        <v>33800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- 2020'!BT20</f>
        <v>4146630</v>
      </c>
      <c r="BT20" s="185">
        <f>'[1]February - 2020'!BU20</f>
        <v>4310</v>
      </c>
      <c r="BU20" s="383"/>
      <c r="BV20" s="88">
        <f>'[1]February - 2020'!BW20</f>
        <v>0.47</v>
      </c>
      <c r="BW20" s="241">
        <f>'[1]February - 2020'!BX20</f>
        <v>-7.0000000000000062E-2</v>
      </c>
      <c r="BX20" s="88">
        <f>'[1]February - 2020'!BX20</f>
        <v>-7.0000000000000062E-2</v>
      </c>
      <c r="BY20" s="89">
        <f>'[1]February - 2020'!BZ20</f>
        <v>45253</v>
      </c>
      <c r="BZ20" s="191">
        <f>'[1]February - 2020'!CA20</f>
        <v>20</v>
      </c>
      <c r="CA20" s="89">
        <f>'[1]February - 2020'!CB20</f>
        <v>40000</v>
      </c>
      <c r="CB20" s="191">
        <f>'[1]February - 2020'!CC20</f>
        <v>15</v>
      </c>
      <c r="CC20" s="89">
        <f>'[1]February - 2020'!CD20</f>
        <v>13413</v>
      </c>
      <c r="CD20" s="191">
        <f>'[1]February - 2020'!CE20</f>
        <v>6</v>
      </c>
      <c r="CE20" s="89">
        <f>'[1]February - 2020'!CF20</f>
        <v>16969</v>
      </c>
      <c r="CF20" s="191">
        <f>'[1]February - 2020'!CG20</f>
        <v>11</v>
      </c>
      <c r="CG20" s="89">
        <f>'[1]February - 2020'!CH20</f>
        <v>19338</v>
      </c>
      <c r="CH20" s="191">
        <f>'[1]February - 2020'!CI20</f>
        <v>9</v>
      </c>
      <c r="CI20" s="89">
        <f>'[1]February - 2020'!CJ20</f>
        <v>41202</v>
      </c>
      <c r="CJ20" s="191">
        <f>'[1]February - 2020'!CK20</f>
        <v>21</v>
      </c>
      <c r="CK20" s="89">
        <f>'[1]February - 2020'!CL20</f>
        <v>177520</v>
      </c>
      <c r="CL20" s="246">
        <f>'[1]February - 2020'!CM20</f>
        <v>89</v>
      </c>
      <c r="CM20" s="89">
        <f>'[1]February - 2020'!CM20</f>
        <v>89</v>
      </c>
      <c r="CN20" s="89">
        <f>'[1]February - 2020'!CO20</f>
        <v>129250</v>
      </c>
      <c r="CO20" s="246">
        <f>'[1]February - 2020'!CP20</f>
        <v>102</v>
      </c>
      <c r="CP20" s="89">
        <f>'[1]February - 2020'!CP20</f>
        <v>102</v>
      </c>
      <c r="CQ20" s="89">
        <f>'[1]February - 2020'!CR20</f>
        <v>247772</v>
      </c>
      <c r="CR20" s="246">
        <f>'[1]February - 2020'!CS20</f>
        <v>281</v>
      </c>
      <c r="CS20" s="89">
        <f>'[1]February - 2020'!CS20</f>
        <v>281</v>
      </c>
      <c r="CT20" s="89">
        <f>'[1]February - 2020'!CU20</f>
        <v>477721</v>
      </c>
      <c r="CU20" s="191">
        <f>'[1]February - 2020'!CV20</f>
        <v>176</v>
      </c>
      <c r="CV20" s="442"/>
      <c r="CW20" s="256">
        <f>'[1]February - 2020'!CX20</f>
        <v>344</v>
      </c>
      <c r="CX20" s="198">
        <f>'[1]February - 2020'!CY20</f>
        <v>0</v>
      </c>
      <c r="CY20" s="257">
        <f>'[1]February - 2020'!CZ20</f>
        <v>1297</v>
      </c>
      <c r="CZ20" s="198">
        <f>'[1]February - 2020'!DA20</f>
        <v>0</v>
      </c>
      <c r="DA20" s="257">
        <f>'[1]February - 2020'!DB20</f>
        <v>19087</v>
      </c>
      <c r="DB20" s="198">
        <f>'[1]February - 2020'!DC20</f>
        <v>12</v>
      </c>
      <c r="DC20" s="257">
        <f>'[1]February - 2020'!DD20</f>
        <v>19636</v>
      </c>
      <c r="DD20" s="198">
        <f>'[1]February - 2020'!DE20</f>
        <v>10</v>
      </c>
      <c r="DE20" s="257">
        <f>'[1]February - 2020'!DF20</f>
        <v>13767</v>
      </c>
      <c r="DF20" s="198">
        <f>'[1]February - 2020'!DG20</f>
        <v>8</v>
      </c>
      <c r="DG20" s="257">
        <f>'[1]February - 2020'!DH20</f>
        <v>17391</v>
      </c>
      <c r="DH20" s="198">
        <f>'[1]February - 2020'!DI20</f>
        <v>5</v>
      </c>
      <c r="DI20" s="257">
        <f>'[1]February - 2020'!DJ20</f>
        <v>825</v>
      </c>
      <c r="DJ20" s="198">
        <f>'[1]February - 2020'!DK20</f>
        <v>0</v>
      </c>
      <c r="DK20" s="257">
        <f>'[1]February - 2020'!DL20</f>
        <v>3570</v>
      </c>
      <c r="DL20" s="198">
        <f>'[1]February - 2020'!DM20</f>
        <v>0</v>
      </c>
      <c r="DM20" s="257">
        <f>'[1]February - 2020'!DN20</f>
        <v>1080</v>
      </c>
      <c r="DN20" s="198">
        <f>'[1]February - 2020'!DO20</f>
        <v>0</v>
      </c>
      <c r="DO20" s="257">
        <f>'[1]February - 2020'!DP20</f>
        <v>1211</v>
      </c>
      <c r="DP20" s="198">
        <f>'[1]February - 2020'!DQ20</f>
        <v>0</v>
      </c>
      <c r="DQ20" s="257">
        <f>'[1]February - 2020'!DR20</f>
        <v>17207</v>
      </c>
      <c r="DR20" s="206">
        <f>'[1]February - 2020'!DS20</f>
        <v>10</v>
      </c>
      <c r="DS20" s="427"/>
      <c r="DT20" s="210">
        <f>'[1]February - 2020'!DU20</f>
        <v>2790462</v>
      </c>
      <c r="DU20" s="221">
        <f>'[1]February - 2020'!DV20</f>
        <v>1456</v>
      </c>
      <c r="DV20" s="91">
        <f>'[1]February - 2020'!DW20</f>
        <v>4657</v>
      </c>
      <c r="DW20" s="215">
        <f>'[1]February - 2020'!DX20</f>
        <v>4</v>
      </c>
      <c r="DX20" s="91">
        <f>'[1]February - 2020'!DY20</f>
        <v>1845159</v>
      </c>
      <c r="DY20" s="215">
        <f>'[1]February - 2020'!DZ20</f>
        <v>1088</v>
      </c>
      <c r="DZ20" s="91">
        <f>'[1]February - 2020'!EA20</f>
        <v>252638</v>
      </c>
      <c r="EA20" s="215">
        <f>'[1]February - 2020'!EB20</f>
        <v>4</v>
      </c>
      <c r="EB20" s="91">
        <f>'[1]February - 2020'!EC20</f>
        <v>463342</v>
      </c>
      <c r="EC20" s="215">
        <f>'[1]February - 2020'!ED20</f>
        <v>533</v>
      </c>
      <c r="ED20" s="91">
        <f>'[1]February - 2020'!EG20</f>
        <v>90761</v>
      </c>
      <c r="EE20" s="229">
        <f>'[1]February - 2020'!EH20</f>
        <v>149</v>
      </c>
      <c r="EF20" s="367"/>
      <c r="EG20" s="235">
        <f>'[1]February - 2020'!EJ20</f>
        <v>6835400</v>
      </c>
      <c r="EH20" s="230">
        <f>'[1]February - 2020'!EK20</f>
        <v>0</v>
      </c>
      <c r="EI20" s="90">
        <f>'[1]February - 2020'!EL20</f>
        <v>604700</v>
      </c>
      <c r="EJ20" s="230">
        <f>'[1]February - 2020'!EM20</f>
        <v>0</v>
      </c>
      <c r="EK20" s="90">
        <f>'[1]February - 2020'!EN20</f>
        <v>4644800</v>
      </c>
      <c r="EL20" s="230">
        <f>'[1]February - 2020'!EO20</f>
        <v>0</v>
      </c>
      <c r="EM20" s="90">
        <f>'[1]February - 2020'!EP20</f>
        <v>1988900</v>
      </c>
      <c r="EN20" s="230">
        <f>'[1]February - 2020'!EQ20</f>
        <v>0</v>
      </c>
      <c r="EO20" s="90">
        <f>'[1]February - 2020'!ER20</f>
        <v>681500</v>
      </c>
      <c r="EP20" s="230">
        <f>'[1]February - 2020'!ES20</f>
        <v>0</v>
      </c>
      <c r="EQ20" s="90">
        <f>'[1]February - 2020'!ET20</f>
        <v>10735400</v>
      </c>
      <c r="ER20" s="230">
        <f>'[1]February - 2020'!EU20</f>
        <v>0</v>
      </c>
      <c r="ES20" s="414"/>
      <c r="ET20" s="284">
        <f>'[1]February - 2020'!EW20</f>
        <v>28297</v>
      </c>
      <c r="EU20" s="278">
        <f>'[1]February - 2020'!EX20</f>
        <v>16</v>
      </c>
      <c r="EV20" s="285">
        <f>'[1]February - 2020'!EY20</f>
        <v>24736</v>
      </c>
      <c r="EW20" s="278">
        <f>'[1]February - 2020'!EZ20</f>
        <v>13</v>
      </c>
      <c r="EX20" s="285">
        <f>'[1]February - 2020'!FA20</f>
        <v>0</v>
      </c>
      <c r="EY20" s="278">
        <f>'[1]February - 2020'!FB20</f>
        <v>0</v>
      </c>
      <c r="EZ20" s="285">
        <f>'[1]February - 2020'!FC20</f>
        <v>44909</v>
      </c>
      <c r="FA20" s="278">
        <f>'[1]February - 2020'!FD20</f>
        <v>32</v>
      </c>
      <c r="FB20" s="285">
        <f>'[1]February - 2020'!FE20</f>
        <v>21422</v>
      </c>
      <c r="FC20" s="279">
        <f>'[1]February - 2020'!FF20</f>
        <v>27</v>
      </c>
    </row>
    <row r="21" spans="1:159" ht="30" customHeight="1" x14ac:dyDescent="0.25">
      <c r="A21" s="207">
        <v>43842</v>
      </c>
      <c r="B21" s="209">
        <f>'[1]February - 2020'!B21</f>
        <v>0.78</v>
      </c>
      <c r="C21" s="250">
        <f>'[1]February - 2020'!E21</f>
        <v>536792</v>
      </c>
      <c r="D21" s="170">
        <f>'[1]February - 2020'!F21</f>
        <v>478</v>
      </c>
      <c r="E21" s="168">
        <f>'[1]February - 2020'!G21</f>
        <v>495</v>
      </c>
      <c r="F21" s="168">
        <f>'[1]February - 2020'!H21</f>
        <v>704792</v>
      </c>
      <c r="G21" s="170">
        <f>'[1]February - 2020'!I21</f>
        <v>423</v>
      </c>
      <c r="H21" s="168">
        <f>'[1]February - 2020'!J21</f>
        <v>421</v>
      </c>
      <c r="I21" s="168">
        <f>'[1]February - 2020'!K21</f>
        <v>26776</v>
      </c>
      <c r="J21" s="170">
        <f>'[1]February - 2020'!L21</f>
        <v>129</v>
      </c>
      <c r="K21" s="168">
        <f>'[1]February - 2020'!N21</f>
        <v>617440</v>
      </c>
      <c r="L21" s="170">
        <f>'[1]February - 2020'!O21</f>
        <v>136</v>
      </c>
      <c r="M21" s="168">
        <f>'[1]February - 2020'!Q21</f>
        <v>156876</v>
      </c>
      <c r="N21" s="170">
        <f>'[1]February - 2020'!R21</f>
        <v>0</v>
      </c>
      <c r="O21" s="168">
        <f>'[1]February - 2020'!S21</f>
        <v>96518</v>
      </c>
      <c r="P21" s="170">
        <f>'[1]February - 2020'!T21</f>
        <v>38</v>
      </c>
      <c r="Q21" s="168">
        <f>'[1]February - 2020'!U21</f>
        <v>68</v>
      </c>
      <c r="R21" s="168">
        <f>'[1]February - 2020'!V21</f>
        <v>7482</v>
      </c>
      <c r="S21" s="208">
        <f>'[1]February - 2020'!W21</f>
        <v>3</v>
      </c>
      <c r="T21" s="509"/>
      <c r="U21" s="169">
        <f>'[1]February - 2020'!AC21</f>
        <v>5547502.7999999998</v>
      </c>
      <c r="V21" s="288">
        <f>'[1]February - 2020'!AD21</f>
        <v>1997.5200000004843</v>
      </c>
      <c r="W21" s="92">
        <f>'[1]February - 2020'!AD21</f>
        <v>1997.5200000004843</v>
      </c>
      <c r="X21" s="287">
        <f>'[1]February - 2020'!AF21</f>
        <v>10842684.719999999</v>
      </c>
      <c r="Y21" s="288">
        <f>'[1]February - 2020'!AG21</f>
        <v>4628.4000000003725</v>
      </c>
      <c r="Z21" s="92">
        <f>'[1]February - 2020'!AG21</f>
        <v>4628.4000000003725</v>
      </c>
      <c r="AA21" s="287">
        <f>'[1]February - 2020'!AI21</f>
        <v>9847188.959999999</v>
      </c>
      <c r="AB21" s="288">
        <f>'[1]February - 2020'!AJ21</f>
        <v>-48.720000000670552</v>
      </c>
      <c r="AC21" s="92">
        <f>'[1]February - 2020'!AJ21</f>
        <v>-48.720000000670552</v>
      </c>
      <c r="AD21" s="287">
        <f>'[1]February - 2020'!AL21</f>
        <v>13224605.52</v>
      </c>
      <c r="AE21" s="288">
        <f>'[1]February - 2020'!AM21</f>
        <v>584.6399999987334</v>
      </c>
      <c r="AF21" s="92">
        <f>'[1]February - 2020'!AM21</f>
        <v>584.6399999987334</v>
      </c>
      <c r="AG21" s="287">
        <f>'[1]February - 2020'!AO21</f>
        <v>13229331.359999999</v>
      </c>
      <c r="AH21" s="288">
        <f>'[1]February - 2020'!AP21</f>
        <v>4579.679999999702</v>
      </c>
      <c r="AI21" s="92">
        <f>'[1]February - 2020'!AP21</f>
        <v>4579.679999999702</v>
      </c>
      <c r="AJ21" s="287">
        <f>'[1]February - 2020'!AR21</f>
        <v>12188526</v>
      </c>
      <c r="AK21" s="288">
        <f>'[1]February - 2020'!AS21</f>
        <v>5651.519999999553</v>
      </c>
      <c r="AL21" s="92">
        <f>'[1]February - 2020'!AS21</f>
        <v>5651.519999999553</v>
      </c>
      <c r="AM21" s="287">
        <f>'[1]February - 2020'!AU21</f>
        <v>10584663.6</v>
      </c>
      <c r="AN21" s="288">
        <f>'[1]February - 2020'!AV21</f>
        <v>3215.519999999553</v>
      </c>
      <c r="AO21" s="286">
        <f>'[1]February - 2020'!AV21</f>
        <v>3215.519999999553</v>
      </c>
      <c r="AP21" s="287">
        <f>'[1]February - 2020'!AX21</f>
        <v>10256095.92</v>
      </c>
      <c r="AQ21" s="288">
        <f>'[1]February - 2020'!AY21</f>
        <v>4530.9600000008941</v>
      </c>
      <c r="AR21" s="92">
        <f>'[1]February - 2020'!AY21</f>
        <v>4530.9600000008941</v>
      </c>
      <c r="AS21" s="287">
        <f>'[1]February - 2020'!BA21</f>
        <v>8179259.7599999998</v>
      </c>
      <c r="AT21" s="288">
        <f>'[1]February - 2020'!BB21</f>
        <v>2971.9199999999255</v>
      </c>
      <c r="AU21" s="92">
        <f>'[1]February - 2020'!BB21</f>
        <v>2971.9199999999255</v>
      </c>
      <c r="AV21" s="287">
        <f>'[1]February - 2020'!BD21</f>
        <v>12111548.4</v>
      </c>
      <c r="AW21" s="252">
        <f>'[1]February - 2020'!BE21</f>
        <v>4872</v>
      </c>
      <c r="AX21" s="253">
        <f>'[1]February - 2020'!BE21</f>
        <v>4872</v>
      </c>
      <c r="AY21" s="475"/>
      <c r="AZ21" s="272">
        <f>'[1]February - 2020'!BK21</f>
        <v>49766500</v>
      </c>
      <c r="BA21" s="179">
        <f>'[1]February - 2020'!BL21</f>
        <v>0</v>
      </c>
      <c r="BB21" s="93">
        <f>'[1]February - 2020'!BL21</f>
        <v>0</v>
      </c>
      <c r="BC21" s="272">
        <f>'[1]February - 2020'!BN21</f>
        <v>54286100</v>
      </c>
      <c r="BD21" s="245">
        <f>'[1]February - 2020'!BO21</f>
        <v>100</v>
      </c>
      <c r="BE21" s="93">
        <f>'[1]February - 2020'!BO21</f>
        <v>100</v>
      </c>
      <c r="BF21" s="272">
        <f>'[1]February - 2020'!BQ21</f>
        <v>48000000</v>
      </c>
      <c r="BG21" s="245">
        <f>'[1]February - 2020'!BR21</f>
        <v>34000</v>
      </c>
      <c r="BH21" s="93">
        <f>'[1]February - 2020'!BR21</f>
        <v>34000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- 2020'!BT21</f>
        <v>4150890</v>
      </c>
      <c r="BT21" s="185">
        <f>'[1]February - 2020'!BU21</f>
        <v>4260</v>
      </c>
      <c r="BU21" s="383"/>
      <c r="BV21" s="88">
        <f>'[1]February - 2020'!BW21</f>
        <v>0.4</v>
      </c>
      <c r="BW21" s="241">
        <f>'[1]February - 2020'!BX21</f>
        <v>-6.9999999999999951E-2</v>
      </c>
      <c r="BX21" s="88">
        <f>'[1]February - 2020'!BX21</f>
        <v>-6.9999999999999951E-2</v>
      </c>
      <c r="BY21" s="89">
        <f>'[1]February - 2020'!BZ21</f>
        <v>45274</v>
      </c>
      <c r="BZ21" s="191">
        <f>'[1]February - 2020'!CA21</f>
        <v>21</v>
      </c>
      <c r="CA21" s="89">
        <f>'[1]February - 2020'!CB21</f>
        <v>40015</v>
      </c>
      <c r="CB21" s="191">
        <f>'[1]February - 2020'!CC21</f>
        <v>15</v>
      </c>
      <c r="CC21" s="89">
        <f>'[1]February - 2020'!CD21</f>
        <v>13417</v>
      </c>
      <c r="CD21" s="191">
        <f>'[1]February - 2020'!CE21</f>
        <v>4</v>
      </c>
      <c r="CE21" s="89">
        <f>'[1]February - 2020'!CF21</f>
        <v>16980</v>
      </c>
      <c r="CF21" s="191">
        <f>'[1]February - 2020'!CG21</f>
        <v>11</v>
      </c>
      <c r="CG21" s="89">
        <f>'[1]February - 2020'!CH21</f>
        <v>19345</v>
      </c>
      <c r="CH21" s="191">
        <f>'[1]February - 2020'!CI21</f>
        <v>7</v>
      </c>
      <c r="CI21" s="89">
        <f>'[1]February - 2020'!CJ21</f>
        <v>41226</v>
      </c>
      <c r="CJ21" s="191">
        <f>'[1]February - 2020'!CK21</f>
        <v>24</v>
      </c>
      <c r="CK21" s="89">
        <f>'[1]February - 2020'!CL21</f>
        <v>177604</v>
      </c>
      <c r="CL21" s="246">
        <f>'[1]February - 2020'!CM21</f>
        <v>84</v>
      </c>
      <c r="CM21" s="89">
        <f>'[1]February - 2020'!CM21</f>
        <v>84</v>
      </c>
      <c r="CN21" s="89">
        <f>'[1]February - 2020'!CO21</f>
        <v>129343</v>
      </c>
      <c r="CO21" s="246">
        <f>'[1]February - 2020'!CP21</f>
        <v>93</v>
      </c>
      <c r="CP21" s="89">
        <f>'[1]February - 2020'!CP21</f>
        <v>93</v>
      </c>
      <c r="CQ21" s="89">
        <f>'[1]February - 2020'!CR21</f>
        <v>248027</v>
      </c>
      <c r="CR21" s="246">
        <f>'[1]February - 2020'!CS21</f>
        <v>255</v>
      </c>
      <c r="CS21" s="89">
        <f>'[1]February - 2020'!CS21</f>
        <v>255</v>
      </c>
      <c r="CT21" s="89">
        <f>'[1]February - 2020'!CU21</f>
        <v>477893</v>
      </c>
      <c r="CU21" s="191">
        <f>'[1]February - 2020'!CV21</f>
        <v>172</v>
      </c>
      <c r="CV21" s="442"/>
      <c r="CW21" s="256">
        <f>'[1]February - 2020'!CX21</f>
        <v>344</v>
      </c>
      <c r="CX21" s="198">
        <f>'[1]February - 2020'!CY21</f>
        <v>0</v>
      </c>
      <c r="CY21" s="257">
        <f>'[1]February - 2020'!CZ21</f>
        <v>1297</v>
      </c>
      <c r="CZ21" s="198">
        <f>'[1]February - 2020'!DA21</f>
        <v>0</v>
      </c>
      <c r="DA21" s="257">
        <f>'[1]February - 2020'!DB21</f>
        <v>19101</v>
      </c>
      <c r="DB21" s="198">
        <f>'[1]February - 2020'!DC21</f>
        <v>14</v>
      </c>
      <c r="DC21" s="257">
        <f>'[1]February - 2020'!DD21</f>
        <v>19648</v>
      </c>
      <c r="DD21" s="198">
        <f>'[1]February - 2020'!DE21</f>
        <v>12</v>
      </c>
      <c r="DE21" s="257">
        <f>'[1]February - 2020'!DF21</f>
        <v>13777</v>
      </c>
      <c r="DF21" s="198">
        <f>'[1]February - 2020'!DG21</f>
        <v>10</v>
      </c>
      <c r="DG21" s="257">
        <f>'[1]February - 2020'!DH21</f>
        <v>17397</v>
      </c>
      <c r="DH21" s="198">
        <f>'[1]February - 2020'!DI21</f>
        <v>6</v>
      </c>
      <c r="DI21" s="257">
        <f>'[1]February - 2020'!DJ21</f>
        <v>825</v>
      </c>
      <c r="DJ21" s="198">
        <f>'[1]February - 2020'!DK21</f>
        <v>0</v>
      </c>
      <c r="DK21" s="257">
        <f>'[1]February - 2020'!DL21</f>
        <v>3570</v>
      </c>
      <c r="DL21" s="198">
        <f>'[1]February - 2020'!DM21</f>
        <v>0</v>
      </c>
      <c r="DM21" s="257">
        <f>'[1]February - 2020'!DN21</f>
        <v>1101</v>
      </c>
      <c r="DN21" s="198">
        <f>'[1]February - 2020'!DO21</f>
        <v>21</v>
      </c>
      <c r="DO21" s="257">
        <f>'[1]February - 2020'!DP21</f>
        <v>1215</v>
      </c>
      <c r="DP21" s="198">
        <f>'[1]February - 2020'!DQ21</f>
        <v>4</v>
      </c>
      <c r="DQ21" s="257">
        <f>'[1]February - 2020'!DR21</f>
        <v>17216</v>
      </c>
      <c r="DR21" s="206">
        <f>'[1]February - 2020'!DS21</f>
        <v>9</v>
      </c>
      <c r="DS21" s="427"/>
      <c r="DT21" s="210">
        <f>'[1]February - 2020'!DU21</f>
        <v>2791859</v>
      </c>
      <c r="DU21" s="221">
        <f>'[1]February - 2020'!DV21</f>
        <v>1397</v>
      </c>
      <c r="DV21" s="91">
        <f>'[1]February - 2020'!DW21</f>
        <v>4662</v>
      </c>
      <c r="DW21" s="215">
        <f>'[1]February - 2020'!DX21</f>
        <v>5</v>
      </c>
      <c r="DX21" s="91">
        <f>'[1]February - 2020'!DY21</f>
        <v>1846198</v>
      </c>
      <c r="DY21" s="215">
        <f>'[1]February - 2020'!DZ21</f>
        <v>1039</v>
      </c>
      <c r="DZ21" s="91">
        <f>'[1]February - 2020'!EA21</f>
        <v>252642</v>
      </c>
      <c r="EA21" s="215">
        <f>'[1]February - 2020'!EB21</f>
        <v>4</v>
      </c>
      <c r="EB21" s="91">
        <f>'[1]February - 2020'!EC21</f>
        <v>463819</v>
      </c>
      <c r="EC21" s="215">
        <f>'[1]February - 2020'!ED21</f>
        <v>477</v>
      </c>
      <c r="ED21" s="91">
        <f>'[1]February - 2020'!EG21</f>
        <v>90905</v>
      </c>
      <c r="EE21" s="229">
        <f>'[1]February - 2020'!EH21</f>
        <v>144</v>
      </c>
      <c r="EF21" s="367"/>
      <c r="EG21" s="235">
        <f>'[1]February - 2020'!EJ21</f>
        <v>6836500</v>
      </c>
      <c r="EH21" s="230">
        <f>'[1]February - 2020'!EK21</f>
        <v>1100</v>
      </c>
      <c r="EI21" s="90">
        <f>'[1]February - 2020'!EL21</f>
        <v>604870</v>
      </c>
      <c r="EJ21" s="230">
        <f>'[1]February - 2020'!EM21</f>
        <v>170</v>
      </c>
      <c r="EK21" s="90">
        <f>'[1]February - 2020'!EN21</f>
        <v>4645500</v>
      </c>
      <c r="EL21" s="230">
        <f>'[1]February - 2020'!EO21</f>
        <v>700</v>
      </c>
      <c r="EM21" s="90">
        <f>'[1]February - 2020'!EP21</f>
        <v>1988900</v>
      </c>
      <c r="EN21" s="230">
        <f>'[1]February - 2020'!EQ21</f>
        <v>0</v>
      </c>
      <c r="EO21" s="90">
        <f>'[1]February - 2020'!ER21</f>
        <v>681660</v>
      </c>
      <c r="EP21" s="230">
        <f>'[1]February - 2020'!ES21</f>
        <v>160</v>
      </c>
      <c r="EQ21" s="90">
        <f>'[1]February - 2020'!ET21</f>
        <v>10735800</v>
      </c>
      <c r="ER21" s="230">
        <f>'[1]February - 2020'!EU21</f>
        <v>400</v>
      </c>
      <c r="ES21" s="414"/>
      <c r="ET21" s="284">
        <f>'[1]February - 2020'!EW21</f>
        <v>28313</v>
      </c>
      <c r="EU21" s="278">
        <f>'[1]February - 2020'!EX21</f>
        <v>16</v>
      </c>
      <c r="EV21" s="285">
        <f>'[1]February - 2020'!EY21</f>
        <v>24749</v>
      </c>
      <c r="EW21" s="278">
        <f>'[1]February - 2020'!EZ21</f>
        <v>13</v>
      </c>
      <c r="EX21" s="285">
        <f>'[1]February - 2020'!FA21</f>
        <v>0</v>
      </c>
      <c r="EY21" s="278">
        <f>'[1]February - 2020'!FB21</f>
        <v>0</v>
      </c>
      <c r="EZ21" s="285">
        <f>'[1]February - 2020'!FC21</f>
        <v>44939</v>
      </c>
      <c r="FA21" s="278">
        <f>'[1]February - 2020'!FD21</f>
        <v>30</v>
      </c>
      <c r="FB21" s="285">
        <f>'[1]February - 2020'!FE21</f>
        <v>21449</v>
      </c>
      <c r="FC21" s="279">
        <f>'[1]February - 2020'!FF21</f>
        <v>27</v>
      </c>
    </row>
    <row r="22" spans="1:159" ht="30" customHeight="1" x14ac:dyDescent="0.25">
      <c r="A22" s="207">
        <v>43843</v>
      </c>
      <c r="B22" s="209">
        <f>'[1]February - 2020'!B22</f>
        <v>0.9</v>
      </c>
      <c r="C22" s="250">
        <f>'[1]February - 2020'!E22</f>
        <v>537305</v>
      </c>
      <c r="D22" s="170">
        <f>'[1]February - 2020'!F22</f>
        <v>513</v>
      </c>
      <c r="E22" s="168">
        <f>'[1]February - 2020'!G22</f>
        <v>472</v>
      </c>
      <c r="F22" s="168">
        <f>'[1]February - 2020'!H22</f>
        <v>705242</v>
      </c>
      <c r="G22" s="170">
        <f>'[1]February - 2020'!I22</f>
        <v>450</v>
      </c>
      <c r="H22" s="168">
        <f>'[1]February - 2020'!J22</f>
        <v>388</v>
      </c>
      <c r="I22" s="168">
        <f>'[1]February - 2020'!K22</f>
        <v>26974</v>
      </c>
      <c r="J22" s="170">
        <f>'[1]February - 2020'!L22</f>
        <v>198</v>
      </c>
      <c r="K22" s="168">
        <f>'[1]February - 2020'!N22</f>
        <v>617563</v>
      </c>
      <c r="L22" s="170">
        <f>'[1]February - 2020'!O22</f>
        <v>123</v>
      </c>
      <c r="M22" s="168">
        <f>'[1]February - 2020'!Q22</f>
        <v>156876</v>
      </c>
      <c r="N22" s="170">
        <f>'[1]February - 2020'!R22</f>
        <v>0</v>
      </c>
      <c r="O22" s="168">
        <f>'[1]February - 2020'!S22</f>
        <v>96569</v>
      </c>
      <c r="P22" s="170">
        <f>'[1]February - 2020'!T22</f>
        <v>51</v>
      </c>
      <c r="Q22" s="168">
        <f>'[1]February - 2020'!U22</f>
        <v>62</v>
      </c>
      <c r="R22" s="168">
        <f>'[1]February - 2020'!V22</f>
        <v>7491</v>
      </c>
      <c r="S22" s="208">
        <f>'[1]February - 2020'!W22</f>
        <v>9</v>
      </c>
      <c r="T22" s="509"/>
      <c r="U22" s="169">
        <f>'[1]February - 2020'!AC22</f>
        <v>5549597.7599999998</v>
      </c>
      <c r="V22" s="288">
        <f>'[1]February - 2020'!AD22</f>
        <v>2094.9599999999627</v>
      </c>
      <c r="W22" s="92">
        <f>'[1]February - 2020'!AD22</f>
        <v>2094.9599999999627</v>
      </c>
      <c r="X22" s="287">
        <f>'[1]February - 2020'!AF22</f>
        <v>10847313.119999999</v>
      </c>
      <c r="Y22" s="288">
        <f>'[1]February - 2020'!AG22</f>
        <v>4628.4000000003725</v>
      </c>
      <c r="Z22" s="92">
        <f>'[1]February - 2020'!AG22</f>
        <v>4628.4000000003725</v>
      </c>
      <c r="AA22" s="287">
        <f>'[1]February - 2020'!AI22</f>
        <v>9847188.959999999</v>
      </c>
      <c r="AB22" s="288">
        <f>'[1]February - 2020'!AJ22</f>
        <v>0</v>
      </c>
      <c r="AC22" s="92">
        <f>'[1]February - 2020'!AJ22</f>
        <v>0</v>
      </c>
      <c r="AD22" s="287">
        <f>'[1]February - 2020'!AL22</f>
        <v>13225141.439999999</v>
      </c>
      <c r="AE22" s="288">
        <f>'[1]February - 2020'!AM22</f>
        <v>535.91999999992549</v>
      </c>
      <c r="AF22" s="92">
        <f>'[1]February - 2020'!AM22</f>
        <v>535.91999999992549</v>
      </c>
      <c r="AG22" s="287">
        <f>'[1]February - 2020'!AO22</f>
        <v>13234934.16</v>
      </c>
      <c r="AH22" s="288">
        <f>'[1]February - 2020'!AP22</f>
        <v>5602.8000000007451</v>
      </c>
      <c r="AI22" s="92">
        <f>'[1]February - 2020'!AP22</f>
        <v>5602.8000000007451</v>
      </c>
      <c r="AJ22" s="287">
        <f>'[1]February - 2020'!AR22</f>
        <v>12194372.4</v>
      </c>
      <c r="AK22" s="288">
        <f>'[1]February - 2020'!AS22</f>
        <v>5846.4000000003725</v>
      </c>
      <c r="AL22" s="92">
        <f>'[1]February - 2020'!AS22</f>
        <v>5846.4000000003725</v>
      </c>
      <c r="AM22" s="287">
        <f>'[1]February - 2020'!AU22</f>
        <v>10588415.040000001</v>
      </c>
      <c r="AN22" s="288">
        <f>'[1]February - 2020'!AV22</f>
        <v>3751.4400000013411</v>
      </c>
      <c r="AO22" s="286">
        <f>'[1]February - 2020'!AV22</f>
        <v>3751.4400000013411</v>
      </c>
      <c r="AP22" s="287">
        <f>'[1]February - 2020'!AX22</f>
        <v>10260724.319999998</v>
      </c>
      <c r="AQ22" s="288">
        <f>'[1]February - 2020'!AY22</f>
        <v>4628.3999999985099</v>
      </c>
      <c r="AR22" s="92">
        <f>'[1]February - 2020'!AY22</f>
        <v>4628.3999999985099</v>
      </c>
      <c r="AS22" s="287">
        <f>'[1]February - 2020'!BA22</f>
        <v>8182231.6800000006</v>
      </c>
      <c r="AT22" s="288">
        <f>'[1]February - 2020'!BB22</f>
        <v>2971.9200000008568</v>
      </c>
      <c r="AU22" s="92">
        <f>'[1]February - 2020'!BB22</f>
        <v>2971.9200000008568</v>
      </c>
      <c r="AV22" s="287">
        <f>'[1]February - 2020'!BD22</f>
        <v>12117005.040000001</v>
      </c>
      <c r="AW22" s="252">
        <f>'[1]February - 2020'!BE22</f>
        <v>5456.640000000596</v>
      </c>
      <c r="AX22" s="253">
        <f>'[1]February - 2020'!BE22</f>
        <v>5456.640000000596</v>
      </c>
      <c r="AY22" s="475"/>
      <c r="AZ22" s="272">
        <f>'[1]February - 2020'!BK22</f>
        <v>49766500</v>
      </c>
      <c r="BA22" s="179">
        <f>'[1]February - 2020'!BL22</f>
        <v>0</v>
      </c>
      <c r="BB22" s="93">
        <f>'[1]February - 2020'!BL22</f>
        <v>0</v>
      </c>
      <c r="BC22" s="272">
        <f>'[1]February - 2020'!BN22</f>
        <v>54286100</v>
      </c>
      <c r="BD22" s="245">
        <f>'[1]February - 2020'!BO22</f>
        <v>0</v>
      </c>
      <c r="BE22" s="93">
        <f>'[1]February - 2020'!BO22</f>
        <v>0</v>
      </c>
      <c r="BF22" s="272">
        <f>'[1]February - 2020'!BQ22</f>
        <v>48028200</v>
      </c>
      <c r="BG22" s="245">
        <f>'[1]February - 2020'!BR22</f>
        <v>28200</v>
      </c>
      <c r="BH22" s="93">
        <f>'[1]February - 2020'!BR22</f>
        <v>28200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- 2020'!BT22</f>
        <v>4155060</v>
      </c>
      <c r="BT22" s="185">
        <f>'[1]February - 2020'!BU22</f>
        <v>4170</v>
      </c>
      <c r="BU22" s="383"/>
      <c r="BV22" s="88">
        <f>'[1]February - 2020'!BW22</f>
        <v>0.56999999999999995</v>
      </c>
      <c r="BW22" s="241">
        <f>'[1]February - 2020'!BX22</f>
        <v>0.16999999999999993</v>
      </c>
      <c r="BX22" s="88">
        <f>'[1]February - 2020'!BX22</f>
        <v>0.16999999999999993</v>
      </c>
      <c r="BY22" s="89">
        <f>'[1]February - 2020'!BZ22</f>
        <v>45292</v>
      </c>
      <c r="BZ22" s="191">
        <f>'[1]February - 2020'!CA22</f>
        <v>18</v>
      </c>
      <c r="CA22" s="89">
        <f>'[1]February - 2020'!CB22</f>
        <v>40029</v>
      </c>
      <c r="CB22" s="191">
        <f>'[1]February - 2020'!CC22</f>
        <v>14</v>
      </c>
      <c r="CC22" s="89">
        <f>'[1]February - 2020'!CD22</f>
        <v>13428</v>
      </c>
      <c r="CD22" s="191">
        <f>'[1]February - 2020'!CE22</f>
        <v>11</v>
      </c>
      <c r="CE22" s="89">
        <f>'[1]February - 2020'!CF22</f>
        <v>16990</v>
      </c>
      <c r="CF22" s="191">
        <f>'[1]February - 2020'!CG22</f>
        <v>10</v>
      </c>
      <c r="CG22" s="89">
        <f>'[1]February - 2020'!CH22</f>
        <v>19352</v>
      </c>
      <c r="CH22" s="191">
        <f>'[1]February - 2020'!CI22</f>
        <v>7</v>
      </c>
      <c r="CI22" s="89">
        <f>'[1]February - 2020'!CJ22</f>
        <v>41254</v>
      </c>
      <c r="CJ22" s="191">
        <f>'[1]February - 2020'!CK22</f>
        <v>28</v>
      </c>
      <c r="CK22" s="89">
        <f>'[1]February - 2020'!CL22</f>
        <v>177701</v>
      </c>
      <c r="CL22" s="246">
        <f>'[1]February - 2020'!CM22</f>
        <v>97</v>
      </c>
      <c r="CM22" s="89">
        <f>'[1]February - 2020'!CM22</f>
        <v>97</v>
      </c>
      <c r="CN22" s="89">
        <f>'[1]February - 2020'!CO22</f>
        <v>129429</v>
      </c>
      <c r="CO22" s="246">
        <f>'[1]February - 2020'!CP22</f>
        <v>86</v>
      </c>
      <c r="CP22" s="89">
        <f>'[1]February - 2020'!CP22</f>
        <v>86</v>
      </c>
      <c r="CQ22" s="89">
        <f>'[1]February - 2020'!CR22</f>
        <v>248445</v>
      </c>
      <c r="CR22" s="246">
        <f>'[1]February - 2020'!CS22</f>
        <v>418</v>
      </c>
      <c r="CS22" s="89">
        <f>'[1]February - 2020'!CS22</f>
        <v>418</v>
      </c>
      <c r="CT22" s="89">
        <f>'[1]February - 2020'!CU22</f>
        <v>478052</v>
      </c>
      <c r="CU22" s="191">
        <f>'[1]February - 2020'!CV22</f>
        <v>159</v>
      </c>
      <c r="CV22" s="442"/>
      <c r="CW22" s="256">
        <f>'[1]February - 2020'!CX22</f>
        <v>344</v>
      </c>
      <c r="CX22" s="198">
        <f>'[1]February - 2020'!CY22</f>
        <v>0</v>
      </c>
      <c r="CY22" s="257">
        <f>'[1]February - 2020'!CZ22</f>
        <v>1297</v>
      </c>
      <c r="CZ22" s="198">
        <f>'[1]February - 2020'!DA22</f>
        <v>0</v>
      </c>
      <c r="DA22" s="257">
        <f>'[1]February - 2020'!DB22</f>
        <v>19116</v>
      </c>
      <c r="DB22" s="198">
        <f>'[1]February - 2020'!DC22</f>
        <v>15</v>
      </c>
      <c r="DC22" s="257">
        <f>'[1]February - 2020'!DD22</f>
        <v>19663</v>
      </c>
      <c r="DD22" s="198">
        <f>'[1]February - 2020'!DE22</f>
        <v>15</v>
      </c>
      <c r="DE22" s="257">
        <f>'[1]February - 2020'!DF22</f>
        <v>13787</v>
      </c>
      <c r="DF22" s="198">
        <f>'[1]February - 2020'!DG22</f>
        <v>10</v>
      </c>
      <c r="DG22" s="257">
        <f>'[1]February - 2020'!DH22</f>
        <v>17403</v>
      </c>
      <c r="DH22" s="198">
        <f>'[1]February - 2020'!DI22</f>
        <v>6</v>
      </c>
      <c r="DI22" s="257">
        <f>'[1]February - 2020'!DJ22</f>
        <v>825</v>
      </c>
      <c r="DJ22" s="198">
        <f>'[1]February - 2020'!DK22</f>
        <v>0</v>
      </c>
      <c r="DK22" s="257">
        <f>'[1]February - 2020'!DL22</f>
        <v>3570</v>
      </c>
      <c r="DL22" s="198">
        <f>'[1]February - 2020'!DM22</f>
        <v>0</v>
      </c>
      <c r="DM22" s="257">
        <f>'[1]February - 2020'!DN22</f>
        <v>1109</v>
      </c>
      <c r="DN22" s="198">
        <f>'[1]February - 2020'!DO22</f>
        <v>8</v>
      </c>
      <c r="DO22" s="257">
        <f>'[1]February - 2020'!DP22</f>
        <v>1218</v>
      </c>
      <c r="DP22" s="198">
        <f>'[1]February - 2020'!DQ22</f>
        <v>3</v>
      </c>
      <c r="DQ22" s="257">
        <f>'[1]February - 2020'!DR22</f>
        <v>17226</v>
      </c>
      <c r="DR22" s="206">
        <f>'[1]February - 2020'!DS22</f>
        <v>10</v>
      </c>
      <c r="DS22" s="427"/>
      <c r="DT22" s="210">
        <f>'[1]February - 2020'!DU22</f>
        <v>2793391</v>
      </c>
      <c r="DU22" s="221">
        <f>'[1]February - 2020'!DV22</f>
        <v>1532</v>
      </c>
      <c r="DV22" s="91">
        <f>'[1]February - 2020'!DW22</f>
        <v>4667</v>
      </c>
      <c r="DW22" s="215">
        <f>'[1]February - 2020'!DX22</f>
        <v>5</v>
      </c>
      <c r="DX22" s="91">
        <f>'[1]February - 2020'!DY22</f>
        <v>1847294</v>
      </c>
      <c r="DY22" s="215">
        <f>'[1]February - 2020'!DZ22</f>
        <v>1096</v>
      </c>
      <c r="DZ22" s="91">
        <f>'[1]February - 2020'!EA22</f>
        <v>252647</v>
      </c>
      <c r="EA22" s="215">
        <f>'[1]February - 2020'!EB22</f>
        <v>5</v>
      </c>
      <c r="EB22" s="91">
        <f>'[1]February - 2020'!EC22</f>
        <v>464339</v>
      </c>
      <c r="EC22" s="215">
        <f>'[1]February - 2020'!ED22</f>
        <v>520</v>
      </c>
      <c r="ED22" s="91">
        <f>'[1]February - 2020'!EG22</f>
        <v>91059</v>
      </c>
      <c r="EE22" s="229">
        <f>'[1]February - 2020'!EH22</f>
        <v>154</v>
      </c>
      <c r="EF22" s="367"/>
      <c r="EG22" s="235">
        <f>'[1]February - 2020'!EJ22</f>
        <v>6837800</v>
      </c>
      <c r="EH22" s="230">
        <f>'[1]February - 2020'!EK22</f>
        <v>1300</v>
      </c>
      <c r="EI22" s="90">
        <f>'[1]February - 2020'!EL22</f>
        <v>605080</v>
      </c>
      <c r="EJ22" s="230">
        <f>'[1]February - 2020'!EM22</f>
        <v>210</v>
      </c>
      <c r="EK22" s="90">
        <f>'[1]February - 2020'!EN22</f>
        <v>4646400</v>
      </c>
      <c r="EL22" s="230">
        <f>'[1]February - 2020'!EO22</f>
        <v>900</v>
      </c>
      <c r="EM22" s="90">
        <f>'[1]February - 2020'!EP22</f>
        <v>1989000</v>
      </c>
      <c r="EN22" s="230">
        <f>'[1]February - 2020'!EQ22</f>
        <v>100</v>
      </c>
      <c r="EO22" s="90">
        <f>'[1]February - 2020'!ER22</f>
        <v>681790</v>
      </c>
      <c r="EP22" s="230">
        <f>'[1]February - 2020'!ES22</f>
        <v>130</v>
      </c>
      <c r="EQ22" s="90">
        <f>'[1]February - 2020'!ET22</f>
        <v>10735900</v>
      </c>
      <c r="ER22" s="230">
        <f>'[1]February - 2020'!EU22</f>
        <v>100</v>
      </c>
      <c r="ES22" s="414"/>
      <c r="ET22" s="284">
        <f>'[1]February - 2020'!EW22</f>
        <v>28331</v>
      </c>
      <c r="EU22" s="278">
        <f>'[1]February - 2020'!EX22</f>
        <v>18</v>
      </c>
      <c r="EV22" s="285">
        <f>'[1]February - 2020'!EY22</f>
        <v>24763</v>
      </c>
      <c r="EW22" s="278">
        <f>'[1]February - 2020'!EZ22</f>
        <v>14</v>
      </c>
      <c r="EX22" s="285">
        <f>'[1]February - 2020'!FA22</f>
        <v>0</v>
      </c>
      <c r="EY22" s="278">
        <f>'[1]February - 2020'!FB22</f>
        <v>0</v>
      </c>
      <c r="EZ22" s="285">
        <f>'[1]February - 2020'!FC22</f>
        <v>44974</v>
      </c>
      <c r="FA22" s="278">
        <f>'[1]February - 2020'!FD22</f>
        <v>35</v>
      </c>
      <c r="FB22" s="285">
        <f>'[1]February - 2020'!FE22</f>
        <v>21480</v>
      </c>
      <c r="FC22" s="279">
        <f>'[1]February - 2020'!FF22</f>
        <v>31</v>
      </c>
    </row>
    <row r="23" spans="1:159" ht="30" customHeight="1" x14ac:dyDescent="0.25">
      <c r="A23" s="207">
        <v>43844</v>
      </c>
      <c r="B23" s="209">
        <f>'[1]February - 2020'!B23</f>
        <v>0.92</v>
      </c>
      <c r="C23" s="250">
        <f>'[1]February - 2020'!E23</f>
        <v>537861</v>
      </c>
      <c r="D23" s="170">
        <f>'[1]February - 2020'!F23</f>
        <v>556</v>
      </c>
      <c r="E23" s="168">
        <f>'[1]February - 2020'!G23</f>
        <v>474</v>
      </c>
      <c r="F23" s="168">
        <f>'[1]February - 2020'!H23</f>
        <v>705724</v>
      </c>
      <c r="G23" s="170">
        <f>'[1]February - 2020'!I23</f>
        <v>482</v>
      </c>
      <c r="H23" s="168">
        <f>'[1]February - 2020'!J23</f>
        <v>395</v>
      </c>
      <c r="I23" s="168">
        <f>'[1]February - 2020'!K23</f>
        <v>27099</v>
      </c>
      <c r="J23" s="170">
        <f>'[1]February - 2020'!L23</f>
        <v>125</v>
      </c>
      <c r="K23" s="168">
        <f>'[1]February - 2020'!N23</f>
        <v>617719</v>
      </c>
      <c r="L23" s="170">
        <f>'[1]February - 2020'!O23</f>
        <v>156</v>
      </c>
      <c r="M23" s="168">
        <f>'[1]February - 2020'!Q23</f>
        <v>156876</v>
      </c>
      <c r="N23" s="170">
        <f>'[1]February - 2020'!R23</f>
        <v>0</v>
      </c>
      <c r="O23" s="168">
        <f>'[1]February - 2020'!S23</f>
        <v>96624</v>
      </c>
      <c r="P23" s="170">
        <f>'[1]February - 2020'!T23</f>
        <v>55</v>
      </c>
      <c r="Q23" s="168">
        <f>'[1]February - 2020'!U23</f>
        <v>77</v>
      </c>
      <c r="R23" s="168">
        <f>'[1]February - 2020'!V23</f>
        <v>7501</v>
      </c>
      <c r="S23" s="208">
        <f>'[1]February - 2020'!W23</f>
        <v>10</v>
      </c>
      <c r="T23" s="509"/>
      <c r="U23" s="169">
        <f>'[1]February - 2020'!AC23</f>
        <v>5551887.5999999996</v>
      </c>
      <c r="V23" s="288">
        <f>'[1]February - 2020'!AD23</f>
        <v>2289.839999999851</v>
      </c>
      <c r="W23" s="92">
        <f>'[1]February - 2020'!AD23</f>
        <v>2289.839999999851</v>
      </c>
      <c r="X23" s="287">
        <f>'[1]February - 2020'!AF23</f>
        <v>10852185.119999999</v>
      </c>
      <c r="Y23" s="288">
        <f>'[1]February - 2020'!AG23</f>
        <v>4872</v>
      </c>
      <c r="Z23" s="92">
        <f>'[1]February - 2020'!AG23</f>
        <v>4872</v>
      </c>
      <c r="AA23" s="287">
        <f>'[1]February - 2020'!AI23</f>
        <v>9847383.8399999999</v>
      </c>
      <c r="AB23" s="288">
        <f>'[1]February - 2020'!AJ23</f>
        <v>194.88000000081956</v>
      </c>
      <c r="AC23" s="92">
        <f>'[1]February - 2020'!AJ23</f>
        <v>194.88000000081956</v>
      </c>
      <c r="AD23" s="287">
        <f>'[1]February - 2020'!AL23</f>
        <v>13225726.08</v>
      </c>
      <c r="AE23" s="288">
        <f>'[1]February - 2020'!AM23</f>
        <v>584.64000000059605</v>
      </c>
      <c r="AF23" s="92">
        <f>'[1]February - 2020'!AM23</f>
        <v>584.64000000059605</v>
      </c>
      <c r="AG23" s="287">
        <f>'[1]February - 2020'!AO23</f>
        <v>13241511.359999999</v>
      </c>
      <c r="AH23" s="288">
        <f>'[1]February - 2020'!AP23</f>
        <v>6577.1999999992549</v>
      </c>
      <c r="AI23" s="92">
        <f>'[1]February - 2020'!AP23</f>
        <v>6577.1999999992549</v>
      </c>
      <c r="AJ23" s="287">
        <f>'[1]February - 2020'!AR23</f>
        <v>12200511.119999999</v>
      </c>
      <c r="AK23" s="288">
        <f>'[1]February - 2020'!AS23</f>
        <v>6138.7199999988079</v>
      </c>
      <c r="AL23" s="92">
        <f>'[1]February - 2020'!AS23</f>
        <v>6138.7199999988079</v>
      </c>
      <c r="AM23" s="287">
        <f>'[1]February - 2020'!AU23</f>
        <v>10592117.76</v>
      </c>
      <c r="AN23" s="288">
        <f>'[1]February - 2020'!AV23</f>
        <v>3702.7199999988079</v>
      </c>
      <c r="AO23" s="92">
        <f>'[1]February - 2020'!AV23</f>
        <v>3702.7199999988079</v>
      </c>
      <c r="AP23" s="287">
        <f>'[1]February - 2020'!AX23</f>
        <v>10265498.880000001</v>
      </c>
      <c r="AQ23" s="288">
        <f>'[1]February - 2020'!AY23</f>
        <v>4774.5600000023842</v>
      </c>
      <c r="AR23" s="92">
        <f>'[1]February - 2020'!AY23</f>
        <v>4774.5600000023842</v>
      </c>
      <c r="AS23" s="287">
        <f>'[1]February - 2020'!BA23</f>
        <v>8185203.5999999996</v>
      </c>
      <c r="AT23" s="288">
        <f>'[1]February - 2020'!BB23</f>
        <v>2971.9199999989942</v>
      </c>
      <c r="AU23" s="92">
        <f>'[1]February - 2020'!BB23</f>
        <v>2971.9199999989942</v>
      </c>
      <c r="AV23" s="287">
        <f>'[1]February - 2020'!BD23</f>
        <v>12122754</v>
      </c>
      <c r="AW23" s="252">
        <f>'[1]February - 2020'!BE23</f>
        <v>5748.9599999990314</v>
      </c>
      <c r="AX23" s="253">
        <f>'[1]February - 2020'!BE23</f>
        <v>5748.9599999990314</v>
      </c>
      <c r="AY23" s="475"/>
      <c r="AZ23" s="272">
        <f>'[1]February - 2020'!BK23</f>
        <v>49766500</v>
      </c>
      <c r="BA23" s="179">
        <f>'[1]February - 2020'!BL23</f>
        <v>0</v>
      </c>
      <c r="BB23" s="93">
        <f>'[1]February - 2020'!BL23</f>
        <v>0</v>
      </c>
      <c r="BC23" s="272">
        <f>'[1]February - 2020'!BN23</f>
        <v>54286100</v>
      </c>
      <c r="BD23" s="245">
        <f>'[1]February - 2020'!BO23</f>
        <v>0</v>
      </c>
      <c r="BE23" s="93">
        <f>'[1]February - 2020'!BO23</f>
        <v>0</v>
      </c>
      <c r="BF23" s="272">
        <f>'[1]February - 2020'!BQ23</f>
        <v>48046000</v>
      </c>
      <c r="BG23" s="245">
        <f>'[1]February - 2020'!BR23</f>
        <v>17800</v>
      </c>
      <c r="BH23" s="93">
        <f>'[1]February - 2020'!BR23</f>
        <v>17800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- 2020'!BT23</f>
        <v>4159770</v>
      </c>
      <c r="BT23" s="185">
        <f>'[1]February - 2020'!BU23</f>
        <v>4710</v>
      </c>
      <c r="BU23" s="383"/>
      <c r="BV23" s="88">
        <f>'[1]February - 2020'!BW23</f>
        <v>0.67</v>
      </c>
      <c r="BW23" s="241">
        <f>'[1]February - 2020'!BX23</f>
        <v>0.10000000000000009</v>
      </c>
      <c r="BX23" s="88">
        <f>'[1]February - 2020'!BX23</f>
        <v>0.10000000000000009</v>
      </c>
      <c r="BY23" s="89">
        <f>'[1]February - 2020'!BZ23</f>
        <v>45314</v>
      </c>
      <c r="BZ23" s="191">
        <f>'[1]February - 2020'!CA23</f>
        <v>22</v>
      </c>
      <c r="CA23" s="89">
        <f>'[1]February - 2020'!CB23</f>
        <v>40045</v>
      </c>
      <c r="CB23" s="191">
        <f>'[1]February - 2020'!CC23</f>
        <v>16</v>
      </c>
      <c r="CC23" s="89">
        <f>'[1]February - 2020'!CD23</f>
        <v>13435</v>
      </c>
      <c r="CD23" s="191">
        <f>'[1]February - 2020'!CE23</f>
        <v>7</v>
      </c>
      <c r="CE23" s="89">
        <f>'[1]February - 2020'!CF23</f>
        <v>17001</v>
      </c>
      <c r="CF23" s="191">
        <f>'[1]February - 2020'!CG23</f>
        <v>11</v>
      </c>
      <c r="CG23" s="89">
        <f>'[1]February - 2020'!CH23</f>
        <v>19357</v>
      </c>
      <c r="CH23" s="191">
        <f>'[1]February - 2020'!CI23</f>
        <v>5</v>
      </c>
      <c r="CI23" s="89">
        <f>'[1]February - 2020'!CJ23</f>
        <v>41283</v>
      </c>
      <c r="CJ23" s="191">
        <f>'[1]February - 2020'!CK23</f>
        <v>29</v>
      </c>
      <c r="CK23" s="89">
        <f>'[1]February - 2020'!CL23</f>
        <v>177793</v>
      </c>
      <c r="CL23" s="246">
        <f>'[1]February - 2020'!CM23</f>
        <v>92</v>
      </c>
      <c r="CM23" s="89">
        <f>'[1]February - 2020'!CM23</f>
        <v>92</v>
      </c>
      <c r="CN23" s="89">
        <f>'[1]February - 2020'!CO23</f>
        <v>129525</v>
      </c>
      <c r="CO23" s="246">
        <f>'[1]February - 2020'!CP23</f>
        <v>96</v>
      </c>
      <c r="CP23" s="89">
        <f>'[1]February - 2020'!CP23</f>
        <v>96</v>
      </c>
      <c r="CQ23" s="89">
        <f>'[1]February - 2020'!CR23</f>
        <v>248806</v>
      </c>
      <c r="CR23" s="246">
        <f>'[1]February - 2020'!CS23</f>
        <v>361</v>
      </c>
      <c r="CS23" s="89">
        <f>'[1]February - 2020'!CS23</f>
        <v>361</v>
      </c>
      <c r="CT23" s="89">
        <f>'[1]February - 2020'!CU23</f>
        <v>478214</v>
      </c>
      <c r="CU23" s="191">
        <f>'[1]February - 2020'!CV23</f>
        <v>162</v>
      </c>
      <c r="CV23" s="442"/>
      <c r="CW23" s="256">
        <f>'[1]February - 2020'!CX23</f>
        <v>344</v>
      </c>
      <c r="CX23" s="198">
        <f>'[1]February - 2020'!CY23</f>
        <v>0</v>
      </c>
      <c r="CY23" s="257">
        <f>'[1]February - 2020'!CZ23</f>
        <v>1297</v>
      </c>
      <c r="CZ23" s="198">
        <f>'[1]February - 2020'!DA23</f>
        <v>0</v>
      </c>
      <c r="DA23" s="257">
        <f>'[1]February - 2020'!DB23</f>
        <v>19130</v>
      </c>
      <c r="DB23" s="198">
        <f>'[1]February - 2020'!DC23</f>
        <v>14</v>
      </c>
      <c r="DC23" s="257">
        <f>'[1]February - 2020'!DD23</f>
        <v>19678</v>
      </c>
      <c r="DD23" s="198">
        <f>'[1]February - 2020'!DE23</f>
        <v>15</v>
      </c>
      <c r="DE23" s="257">
        <f>'[1]February - 2020'!DF23</f>
        <v>13797</v>
      </c>
      <c r="DF23" s="198">
        <f>'[1]February - 2020'!DG23</f>
        <v>10</v>
      </c>
      <c r="DG23" s="257">
        <f>'[1]February - 2020'!DH23</f>
        <v>17409</v>
      </c>
      <c r="DH23" s="198">
        <f>'[1]February - 2020'!DI23</f>
        <v>6</v>
      </c>
      <c r="DI23" s="257">
        <f>'[1]February - 2020'!DJ23</f>
        <v>825</v>
      </c>
      <c r="DJ23" s="198">
        <f>'[1]February - 2020'!DK23</f>
        <v>0</v>
      </c>
      <c r="DK23" s="257">
        <f>'[1]February - 2020'!DL23</f>
        <v>3570</v>
      </c>
      <c r="DL23" s="198">
        <f>'[1]February - 2020'!DM23</f>
        <v>0</v>
      </c>
      <c r="DM23" s="257">
        <f>'[1]February - 2020'!DN23</f>
        <v>1117</v>
      </c>
      <c r="DN23" s="198">
        <f>'[1]February - 2020'!DO23</f>
        <v>8</v>
      </c>
      <c r="DO23" s="257">
        <f>'[1]February - 2020'!DP23</f>
        <v>1221</v>
      </c>
      <c r="DP23" s="198">
        <f>'[1]February - 2020'!DQ23</f>
        <v>3</v>
      </c>
      <c r="DQ23" s="257">
        <f>'[1]February - 2020'!DR23</f>
        <v>17235</v>
      </c>
      <c r="DR23" s="206">
        <f>'[1]February - 2020'!DS23</f>
        <v>9</v>
      </c>
      <c r="DS23" s="427"/>
      <c r="DT23" s="210">
        <f>'[1]February - 2020'!DU23</f>
        <v>2795023</v>
      </c>
      <c r="DU23" s="221">
        <f>'[1]February - 2020'!DV23</f>
        <v>1632</v>
      </c>
      <c r="DV23" s="91">
        <f>'[1]February - 2020'!DW23</f>
        <v>4672</v>
      </c>
      <c r="DW23" s="215">
        <f>'[1]February - 2020'!DX23</f>
        <v>5</v>
      </c>
      <c r="DX23" s="91">
        <f>'[1]February - 2020'!DY23</f>
        <v>1848440</v>
      </c>
      <c r="DY23" s="215">
        <f>'[1]February - 2020'!DZ23</f>
        <v>1146</v>
      </c>
      <c r="DZ23" s="91">
        <f>'[1]February - 2020'!EA23</f>
        <v>252651</v>
      </c>
      <c r="EA23" s="215">
        <f>'[1]February - 2020'!EB23</f>
        <v>4</v>
      </c>
      <c r="EB23" s="91">
        <f>'[1]February - 2020'!EC23</f>
        <v>464887</v>
      </c>
      <c r="EC23" s="215">
        <f>'[1]February - 2020'!ED23</f>
        <v>548</v>
      </c>
      <c r="ED23" s="91">
        <f>'[1]February - 2020'!EG23</f>
        <v>91216</v>
      </c>
      <c r="EE23" s="229">
        <f>'[1]February - 2020'!EH23</f>
        <v>157</v>
      </c>
      <c r="EF23" s="367"/>
      <c r="EG23" s="235">
        <f>'[1]February - 2020'!EJ23</f>
        <v>6839600</v>
      </c>
      <c r="EH23" s="230">
        <f>'[1]February - 2020'!EK23</f>
        <v>1800</v>
      </c>
      <c r="EI23" s="90">
        <f>'[1]February - 2020'!EL23</f>
        <v>605290</v>
      </c>
      <c r="EJ23" s="230">
        <f>'[1]February - 2020'!EM23</f>
        <v>210</v>
      </c>
      <c r="EK23" s="90">
        <f>'[1]February - 2020'!EN23</f>
        <v>4647400</v>
      </c>
      <c r="EL23" s="230">
        <f>'[1]February - 2020'!EO23</f>
        <v>1000</v>
      </c>
      <c r="EM23" s="90">
        <f>'[1]February - 2020'!EP23</f>
        <v>1989000</v>
      </c>
      <c r="EN23" s="230">
        <f>'[1]February - 2020'!EQ23</f>
        <v>0</v>
      </c>
      <c r="EO23" s="90">
        <f>'[1]February - 2020'!ER23</f>
        <v>681920</v>
      </c>
      <c r="EP23" s="230">
        <f>'[1]February - 2020'!ES23</f>
        <v>130</v>
      </c>
      <c r="EQ23" s="90">
        <f>'[1]February - 2020'!ET23</f>
        <v>10736900</v>
      </c>
      <c r="ER23" s="230">
        <f>'[1]February - 2020'!EU23</f>
        <v>1000</v>
      </c>
      <c r="ES23" s="414"/>
      <c r="ET23" s="284">
        <f>'[1]February - 2020'!EW23</f>
        <v>28349</v>
      </c>
      <c r="EU23" s="278">
        <f>'[1]February - 2020'!EX23</f>
        <v>18</v>
      </c>
      <c r="EV23" s="285">
        <f>'[1]February - 2020'!EY23</f>
        <v>24777</v>
      </c>
      <c r="EW23" s="278">
        <f>'[1]February - 2020'!EZ23</f>
        <v>14</v>
      </c>
      <c r="EX23" s="285">
        <f>'[1]February - 2020'!FA23</f>
        <v>0</v>
      </c>
      <c r="EY23" s="278">
        <f>'[1]February - 2020'!FB23</f>
        <v>0</v>
      </c>
      <c r="EZ23" s="285">
        <f>'[1]February - 2020'!FC23</f>
        <v>45007</v>
      </c>
      <c r="FA23" s="278">
        <f>'[1]February - 2020'!FD23</f>
        <v>33</v>
      </c>
      <c r="FB23" s="285">
        <f>'[1]February - 2020'!FE23</f>
        <v>21508</v>
      </c>
      <c r="FC23" s="279">
        <f>'[1]February - 2020'!FF23</f>
        <v>28</v>
      </c>
    </row>
    <row r="24" spans="1:159" ht="30" customHeight="1" x14ac:dyDescent="0.25">
      <c r="A24" s="207">
        <v>43845</v>
      </c>
      <c r="B24" s="209">
        <f>'[1]February - 2020'!B24</f>
        <v>0.93</v>
      </c>
      <c r="C24" s="250">
        <f>'[1]February - 2020'!E24</f>
        <v>538414</v>
      </c>
      <c r="D24" s="170">
        <f>'[1]February - 2020'!F24</f>
        <v>553</v>
      </c>
      <c r="E24" s="168">
        <f>'[1]February - 2020'!G24</f>
        <v>500</v>
      </c>
      <c r="F24" s="168">
        <f>'[1]February - 2020'!H24</f>
        <v>706206</v>
      </c>
      <c r="G24" s="170">
        <f>'[1]February - 2020'!I24</f>
        <v>482</v>
      </c>
      <c r="H24" s="168">
        <f>'[1]February - 2020'!J24</f>
        <v>420</v>
      </c>
      <c r="I24" s="168">
        <f>'[1]February - 2020'!K24</f>
        <v>27269</v>
      </c>
      <c r="J24" s="170">
        <f>'[1]February - 2020'!L24</f>
        <v>170</v>
      </c>
      <c r="K24" s="168">
        <f>'[1]February - 2020'!N24</f>
        <v>617859</v>
      </c>
      <c r="L24" s="170">
        <f>'[1]February - 2020'!O24</f>
        <v>140</v>
      </c>
      <c r="M24" s="168">
        <f>'[1]February - 2020'!Q24</f>
        <v>156876</v>
      </c>
      <c r="N24" s="170">
        <f>'[1]February - 2020'!R24</f>
        <v>0</v>
      </c>
      <c r="O24" s="168">
        <f>'[1]February - 2020'!S24</f>
        <v>96668</v>
      </c>
      <c r="P24" s="170">
        <f>'[1]February - 2020'!T24</f>
        <v>44</v>
      </c>
      <c r="Q24" s="168">
        <f>'[1]February - 2020'!U24</f>
        <v>77</v>
      </c>
      <c r="R24" s="168">
        <f>'[1]February - 2020'!V24</f>
        <v>7505</v>
      </c>
      <c r="S24" s="208">
        <f>'[1]February - 2020'!W24</f>
        <v>4</v>
      </c>
      <c r="T24" s="509"/>
      <c r="U24" s="169">
        <f>'[1]February - 2020'!AC24</f>
        <v>5553787.6799999997</v>
      </c>
      <c r="V24" s="288">
        <f>'[1]February - 2020'!AD24</f>
        <v>1900.0800000000745</v>
      </c>
      <c r="W24" s="92">
        <f>'[1]February - 2020'!AD24</f>
        <v>1900.0800000000745</v>
      </c>
      <c r="X24" s="287">
        <f>'[1]February - 2020'!AF24</f>
        <v>10856959.68</v>
      </c>
      <c r="Y24" s="288">
        <f>'[1]February - 2020'!AG24</f>
        <v>4774.5600000005215</v>
      </c>
      <c r="Z24" s="92">
        <f>'[1]February - 2020'!AG24</f>
        <v>4774.5600000005215</v>
      </c>
      <c r="AA24" s="287">
        <f>'[1]February - 2020'!AI24</f>
        <v>9847627.4399999995</v>
      </c>
      <c r="AB24" s="288">
        <f>'[1]February - 2020'!AJ24</f>
        <v>243.59999999962747</v>
      </c>
      <c r="AC24" s="92">
        <f>'[1]February - 2020'!AJ24</f>
        <v>243.59999999962747</v>
      </c>
      <c r="AD24" s="287">
        <f>'[1]February - 2020'!AL24</f>
        <v>13232693.040000001</v>
      </c>
      <c r="AE24" s="288">
        <f>'[1]February - 2020'!AM24</f>
        <v>6966.9600000008941</v>
      </c>
      <c r="AF24" s="92">
        <f>'[1]February - 2020'!AM24</f>
        <v>6966.9600000008941</v>
      </c>
      <c r="AG24" s="287">
        <f>'[1]February - 2020'!AO24</f>
        <v>13242144.719999999</v>
      </c>
      <c r="AH24" s="288">
        <f>'[1]February - 2020'!AP24</f>
        <v>633.35999999940395</v>
      </c>
      <c r="AI24" s="92">
        <f>'[1]February - 2020'!AP24</f>
        <v>633.35999999940395</v>
      </c>
      <c r="AJ24" s="287">
        <f>'[1]February - 2020'!AR24</f>
        <v>12205967.76</v>
      </c>
      <c r="AK24" s="288">
        <f>'[1]February - 2020'!AS24</f>
        <v>5456.640000000596</v>
      </c>
      <c r="AL24" s="92">
        <f>'[1]February - 2020'!AS24</f>
        <v>5456.640000000596</v>
      </c>
      <c r="AM24" s="287">
        <f>'[1]February - 2020'!AU24</f>
        <v>10595869.199999999</v>
      </c>
      <c r="AN24" s="288">
        <f>'[1]February - 2020'!AV24</f>
        <v>3751.4399999994785</v>
      </c>
      <c r="AO24" s="92">
        <f>'[1]February - 2020'!AV24</f>
        <v>3751.4399999994785</v>
      </c>
      <c r="AP24" s="287">
        <f>'[1]February - 2020'!AX24</f>
        <v>10270273.439999999</v>
      </c>
      <c r="AQ24" s="288">
        <f>'[1]February - 2020'!AY24</f>
        <v>4774.5599999986589</v>
      </c>
      <c r="AR24" s="92">
        <f>'[1]February - 2020'!AY24</f>
        <v>4774.5599999986589</v>
      </c>
      <c r="AS24" s="287">
        <f>'[1]February - 2020'!BA24</f>
        <v>8188370.3999999994</v>
      </c>
      <c r="AT24" s="288">
        <f>'[1]February - 2020'!BB24</f>
        <v>3166.7999999998137</v>
      </c>
      <c r="AU24" s="92">
        <f>'[1]February - 2020'!BB24</f>
        <v>3166.7999999998137</v>
      </c>
      <c r="AV24" s="287">
        <f>'[1]February - 2020'!BD24</f>
        <v>12128259.359999999</v>
      </c>
      <c r="AW24" s="252">
        <f>'[1]February - 2020'!BE24</f>
        <v>5505.359999999404</v>
      </c>
      <c r="AX24" s="253">
        <f>'[1]February - 2020'!BE24</f>
        <v>5505.359999999404</v>
      </c>
      <c r="AY24" s="475"/>
      <c r="AZ24" s="272">
        <f>'[1]February - 2020'!BK24</f>
        <v>49766500</v>
      </c>
      <c r="BA24" s="179">
        <f>'[1]February - 2020'!BL24</f>
        <v>0</v>
      </c>
      <c r="BB24" s="93">
        <f>'[1]February - 2020'!BL24</f>
        <v>0</v>
      </c>
      <c r="BC24" s="272">
        <f>'[1]February - 2020'!BN24</f>
        <v>54319500</v>
      </c>
      <c r="BD24" s="245">
        <f>'[1]February - 2020'!BO24</f>
        <v>33400</v>
      </c>
      <c r="BE24" s="93">
        <f>'[1]February - 2020'!BO24</f>
        <v>33400</v>
      </c>
      <c r="BF24" s="272">
        <f>'[1]February - 2020'!BQ24</f>
        <v>48047200</v>
      </c>
      <c r="BG24" s="245">
        <f>'[1]February - 2020'!BR24</f>
        <v>1200</v>
      </c>
      <c r="BH24" s="93">
        <f>'[1]February - 2020'!BR24</f>
        <v>1200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- 2020'!BT24</f>
        <v>4164240</v>
      </c>
      <c r="BT24" s="185">
        <f>'[1]February - 2020'!BU24</f>
        <v>4470</v>
      </c>
      <c r="BU24" s="383"/>
      <c r="BV24" s="88">
        <f>'[1]February - 2020'!BW24</f>
        <v>0.6</v>
      </c>
      <c r="BW24" s="241">
        <f>'[1]February - 2020'!BX24</f>
        <v>-7.0000000000000062E-2</v>
      </c>
      <c r="BX24" s="88">
        <f>'[1]February - 2020'!BX24</f>
        <v>-7.0000000000000062E-2</v>
      </c>
      <c r="BY24" s="89">
        <f>'[1]February - 2020'!BZ24</f>
        <v>45314</v>
      </c>
      <c r="BZ24" s="191">
        <f>'[1]February - 2020'!CA24</f>
        <v>0</v>
      </c>
      <c r="CA24" s="89">
        <f>'[1]February - 2020'!CB24</f>
        <v>40045</v>
      </c>
      <c r="CB24" s="191">
        <f>'[1]February - 2020'!CC24</f>
        <v>0</v>
      </c>
      <c r="CC24" s="89">
        <f>'[1]February - 2020'!CD24</f>
        <v>13435</v>
      </c>
      <c r="CD24" s="191">
        <f>'[1]February - 2020'!CE24</f>
        <v>0</v>
      </c>
      <c r="CE24" s="89">
        <f>'[1]February - 2020'!CF24</f>
        <v>17001</v>
      </c>
      <c r="CF24" s="191">
        <f>'[1]February - 2020'!CG24</f>
        <v>0</v>
      </c>
      <c r="CG24" s="89">
        <f>'[1]February - 2020'!CH24</f>
        <v>19357</v>
      </c>
      <c r="CH24" s="191">
        <f>'[1]February - 2020'!CI24</f>
        <v>0</v>
      </c>
      <c r="CI24" s="89">
        <f>'[1]February - 2020'!CJ24</f>
        <v>41283</v>
      </c>
      <c r="CJ24" s="191">
        <f>'[1]February - 2020'!CK24</f>
        <v>0</v>
      </c>
      <c r="CK24" s="89">
        <f>'[1]February - 2020'!CL24</f>
        <v>177883</v>
      </c>
      <c r="CL24" s="246">
        <f>'[1]February - 2020'!CM24</f>
        <v>90</v>
      </c>
      <c r="CM24" s="89">
        <f>'[1]February - 2020'!CM24</f>
        <v>90</v>
      </c>
      <c r="CN24" s="89">
        <f>'[1]February - 2020'!CO24</f>
        <v>129623</v>
      </c>
      <c r="CO24" s="246">
        <f>'[1]February - 2020'!CP24</f>
        <v>98</v>
      </c>
      <c r="CP24" s="89">
        <f>'[1]February - 2020'!CP24</f>
        <v>98</v>
      </c>
      <c r="CQ24" s="89">
        <f>'[1]February - 2020'!CR24</f>
        <v>249046</v>
      </c>
      <c r="CR24" s="246">
        <f>'[1]February - 2020'!CS24</f>
        <v>240</v>
      </c>
      <c r="CS24" s="89">
        <f>'[1]February - 2020'!CS24</f>
        <v>240</v>
      </c>
      <c r="CT24" s="89">
        <f>'[1]February - 2020'!CU24</f>
        <v>478372</v>
      </c>
      <c r="CU24" s="191">
        <f>'[1]February - 2020'!CV24</f>
        <v>158</v>
      </c>
      <c r="CV24" s="442"/>
      <c r="CW24" s="256">
        <f>'[1]February - 2020'!CX24</f>
        <v>344</v>
      </c>
      <c r="CX24" s="198">
        <f>'[1]February - 2020'!CY24</f>
        <v>0</v>
      </c>
      <c r="CY24" s="257">
        <f>'[1]February - 2020'!CZ24</f>
        <v>1297</v>
      </c>
      <c r="CZ24" s="198">
        <f>'[1]February - 2020'!DA24</f>
        <v>0</v>
      </c>
      <c r="DA24" s="257">
        <f>'[1]February - 2020'!DB24</f>
        <v>19152</v>
      </c>
      <c r="DB24" s="198">
        <f>'[1]February - 2020'!DC24</f>
        <v>22</v>
      </c>
      <c r="DC24" s="257">
        <f>'[1]February - 2020'!DD24</f>
        <v>19695</v>
      </c>
      <c r="DD24" s="198">
        <f>'[1]February - 2020'!DE24</f>
        <v>17</v>
      </c>
      <c r="DE24" s="257">
        <f>'[1]February - 2020'!DF24</f>
        <v>13810</v>
      </c>
      <c r="DF24" s="198">
        <f>'[1]February - 2020'!DG24</f>
        <v>13</v>
      </c>
      <c r="DG24" s="257">
        <f>'[1]February - 2020'!DH24</f>
        <v>17418</v>
      </c>
      <c r="DH24" s="198">
        <f>'[1]February - 2020'!DI24</f>
        <v>9</v>
      </c>
      <c r="DI24" s="257">
        <f>'[1]February - 2020'!DJ24</f>
        <v>825</v>
      </c>
      <c r="DJ24" s="198">
        <f>'[1]February - 2020'!DK24</f>
        <v>0</v>
      </c>
      <c r="DK24" s="257">
        <f>'[1]February - 2020'!DL24</f>
        <v>3570</v>
      </c>
      <c r="DL24" s="198">
        <f>'[1]February - 2020'!DM24</f>
        <v>0</v>
      </c>
      <c r="DM24" s="257">
        <f>'[1]February - 2020'!DN24</f>
        <v>1123</v>
      </c>
      <c r="DN24" s="198">
        <f>'[1]February - 2020'!DO24</f>
        <v>6</v>
      </c>
      <c r="DO24" s="257">
        <f>'[1]February - 2020'!DP24</f>
        <v>1224</v>
      </c>
      <c r="DP24" s="198">
        <f>'[1]February - 2020'!DQ24</f>
        <v>3</v>
      </c>
      <c r="DQ24" s="257">
        <f>'[1]February - 2020'!DR24</f>
        <v>17245</v>
      </c>
      <c r="DR24" s="206">
        <f>'[1]February - 2020'!DS24</f>
        <v>10</v>
      </c>
      <c r="DS24" s="427"/>
      <c r="DT24" s="210">
        <f>'[1]February - 2020'!DU24</f>
        <v>2796515</v>
      </c>
      <c r="DU24" s="221">
        <f>'[1]February - 2020'!DV24</f>
        <v>1492</v>
      </c>
      <c r="DV24" s="91">
        <f>'[1]February - 2020'!DW24</f>
        <v>4677</v>
      </c>
      <c r="DW24" s="215">
        <f>'[1]February - 2020'!DX24</f>
        <v>5</v>
      </c>
      <c r="DX24" s="91">
        <f>'[1]February - 2020'!DY24</f>
        <v>1849521</v>
      </c>
      <c r="DY24" s="215">
        <f>'[1]February - 2020'!DZ24</f>
        <v>1081</v>
      </c>
      <c r="DZ24" s="91">
        <f>'[1]February - 2020'!EA24</f>
        <v>252655</v>
      </c>
      <c r="EA24" s="215">
        <f>'[1]February - 2020'!EB24</f>
        <v>4</v>
      </c>
      <c r="EB24" s="91">
        <f>'[1]February - 2020'!EC24</f>
        <v>465380</v>
      </c>
      <c r="EC24" s="215">
        <f>'[1]February - 2020'!ED24</f>
        <v>493</v>
      </c>
      <c r="ED24" s="91">
        <f>'[1]February - 2020'!EG24</f>
        <v>91360</v>
      </c>
      <c r="EE24" s="229">
        <f>'[1]February - 2020'!EH24</f>
        <v>144</v>
      </c>
      <c r="EF24" s="367"/>
      <c r="EG24" s="235">
        <f>'[1]February - 2020'!EJ24</f>
        <v>6841900</v>
      </c>
      <c r="EH24" s="230">
        <f>'[1]February - 2020'!EK24</f>
        <v>2300</v>
      </c>
      <c r="EI24" s="90">
        <f>'[1]February - 2020'!EL24</f>
        <v>605520</v>
      </c>
      <c r="EJ24" s="230">
        <f>'[1]February - 2020'!EM24</f>
        <v>230</v>
      </c>
      <c r="EK24" s="90">
        <f>'[1]February - 2020'!EN24</f>
        <v>4648800</v>
      </c>
      <c r="EL24" s="230">
        <f>'[1]February - 2020'!EO24</f>
        <v>1400</v>
      </c>
      <c r="EM24" s="90">
        <f>'[1]February - 2020'!EP24</f>
        <v>1989000</v>
      </c>
      <c r="EN24" s="230">
        <f>'[1]February - 2020'!EQ24</f>
        <v>0</v>
      </c>
      <c r="EO24" s="90">
        <f>'[1]February - 2020'!ER24</f>
        <v>682050</v>
      </c>
      <c r="EP24" s="230">
        <f>'[1]February - 2020'!ES24</f>
        <v>130</v>
      </c>
      <c r="EQ24" s="90">
        <f>'[1]February - 2020'!ET24</f>
        <v>10738200</v>
      </c>
      <c r="ER24" s="230">
        <f>'[1]February - 2020'!EU24</f>
        <v>1300</v>
      </c>
      <c r="ES24" s="414"/>
      <c r="ET24" s="284">
        <f>'[1]February - 2020'!EW24</f>
        <v>28365</v>
      </c>
      <c r="EU24" s="278">
        <f>'[1]February - 2020'!EX24</f>
        <v>16</v>
      </c>
      <c r="EV24" s="285">
        <f>'[1]February - 2020'!EY24</f>
        <v>24793</v>
      </c>
      <c r="EW24" s="278">
        <f>'[1]February - 2020'!EZ24</f>
        <v>16</v>
      </c>
      <c r="EX24" s="285">
        <f>'[1]February - 2020'!FA24</f>
        <v>0</v>
      </c>
      <c r="EY24" s="278">
        <f>'[1]February - 2020'!FB24</f>
        <v>0</v>
      </c>
      <c r="EZ24" s="285">
        <f>'[1]February - 2020'!FC24</f>
        <v>45039</v>
      </c>
      <c r="FA24" s="278">
        <f>'[1]February - 2020'!FD24</f>
        <v>32</v>
      </c>
      <c r="FB24" s="285">
        <f>'[1]February - 2020'!FE24</f>
        <v>21533</v>
      </c>
      <c r="FC24" s="279">
        <f>'[1]February - 2020'!FF24</f>
        <v>25</v>
      </c>
    </row>
    <row r="25" spans="1:159" ht="30" customHeight="1" x14ac:dyDescent="0.25">
      <c r="A25" s="207">
        <v>43846</v>
      </c>
      <c r="B25" s="209">
        <f>'[1]February - 2020'!B25</f>
        <v>0.9</v>
      </c>
      <c r="C25" s="250">
        <f>'[1]February - 2020'!E25</f>
        <v>538901</v>
      </c>
      <c r="D25" s="170">
        <f>'[1]February - 2020'!F25</f>
        <v>487</v>
      </c>
      <c r="E25" s="168">
        <f>'[1]February - 2020'!G25</f>
        <v>493</v>
      </c>
      <c r="F25" s="168">
        <f>'[1]February - 2020'!H25</f>
        <v>706644</v>
      </c>
      <c r="G25" s="170">
        <f>'[1]February - 2020'!I25</f>
        <v>438</v>
      </c>
      <c r="H25" s="168">
        <f>'[1]February - 2020'!J25</f>
        <v>402</v>
      </c>
      <c r="I25" s="168">
        <f>'[1]February - 2020'!K25</f>
        <v>27439</v>
      </c>
      <c r="J25" s="170">
        <f>'[1]February - 2020'!L25</f>
        <v>170</v>
      </c>
      <c r="K25" s="168">
        <f>'[1]February - 2020'!N25</f>
        <v>617989</v>
      </c>
      <c r="L25" s="170">
        <f>'[1]February - 2020'!O25</f>
        <v>130</v>
      </c>
      <c r="M25" s="168">
        <f>'[1]February - 2020'!Q25</f>
        <v>156876</v>
      </c>
      <c r="N25" s="170">
        <f>'[1]February - 2020'!R25</f>
        <v>0</v>
      </c>
      <c r="O25" s="168">
        <f>'[1]February - 2020'!S25</f>
        <v>96718</v>
      </c>
      <c r="P25" s="170">
        <f>'[1]February - 2020'!T25</f>
        <v>50</v>
      </c>
      <c r="Q25" s="168">
        <f>'[1]February - 2020'!U25</f>
        <v>93</v>
      </c>
      <c r="R25" s="168">
        <f>'[1]February - 2020'!V25</f>
        <v>7517</v>
      </c>
      <c r="S25" s="208">
        <f>'[1]February - 2020'!W25</f>
        <v>12</v>
      </c>
      <c r="T25" s="509"/>
      <c r="U25" s="169">
        <f>'[1]February - 2020'!AC25</f>
        <v>5555687.7599999998</v>
      </c>
      <c r="V25" s="288">
        <f>'[1]February - 2020'!AD25</f>
        <v>1900.0800000000745</v>
      </c>
      <c r="W25" s="92">
        <f>'[1]February - 2020'!AD25</f>
        <v>1900.0800000000745</v>
      </c>
      <c r="X25" s="287">
        <f>'[1]February - 2020'!AF25</f>
        <v>10861782.959999999</v>
      </c>
      <c r="Y25" s="288">
        <f>'[1]February - 2020'!AG25</f>
        <v>4823.2799999993294</v>
      </c>
      <c r="Z25" s="92">
        <f>'[1]February - 2020'!AG25</f>
        <v>4823.2799999993294</v>
      </c>
      <c r="AA25" s="287">
        <f>'[1]February - 2020'!AI25</f>
        <v>9847968.4800000004</v>
      </c>
      <c r="AB25" s="288">
        <f>'[1]February - 2020'!AJ25</f>
        <v>341.04000000096858</v>
      </c>
      <c r="AC25" s="92">
        <f>'[1]February - 2020'!AJ25</f>
        <v>341.04000000096858</v>
      </c>
      <c r="AD25" s="287">
        <f>'[1]February - 2020'!AL25</f>
        <v>13238929.199999999</v>
      </c>
      <c r="AE25" s="288">
        <f>'[1]February - 2020'!AM25</f>
        <v>6236.1599999982864</v>
      </c>
      <c r="AF25" s="92">
        <f>'[1]February - 2020'!AM25</f>
        <v>6236.1599999982864</v>
      </c>
      <c r="AG25" s="287">
        <f>'[1]February - 2020'!AO25</f>
        <v>13242680.640000001</v>
      </c>
      <c r="AH25" s="288">
        <f>'[1]February - 2020'!AP25</f>
        <v>535.92000000178814</v>
      </c>
      <c r="AI25" s="92">
        <f>'[1]February - 2020'!AP25</f>
        <v>535.92000000178814</v>
      </c>
      <c r="AJ25" s="287">
        <f>'[1]February - 2020'!AR25</f>
        <v>12211570.559999999</v>
      </c>
      <c r="AK25" s="288">
        <f>'[1]February - 2020'!AS25</f>
        <v>5602.7999999988824</v>
      </c>
      <c r="AL25" s="92">
        <f>'[1]February - 2020'!AS25</f>
        <v>5602.7999999988824</v>
      </c>
      <c r="AM25" s="287">
        <f>'[1]February - 2020'!AU25</f>
        <v>10599377.040000001</v>
      </c>
      <c r="AN25" s="288">
        <f>'[1]February - 2020'!AV25</f>
        <v>3507.8400000017136</v>
      </c>
      <c r="AO25" s="92">
        <f>'[1]February - 2020'!AV25</f>
        <v>3507.8400000017136</v>
      </c>
      <c r="AP25" s="287">
        <f>'[1]February - 2020'!AX25</f>
        <v>10274901.84</v>
      </c>
      <c r="AQ25" s="288">
        <f>'[1]February - 2020'!AY25</f>
        <v>4628.4000000003725</v>
      </c>
      <c r="AR25" s="92">
        <f>'[1]February - 2020'!AY25</f>
        <v>4628.4000000003725</v>
      </c>
      <c r="AS25" s="287">
        <f>'[1]February - 2020'!BA25</f>
        <v>8191439.7599999998</v>
      </c>
      <c r="AT25" s="288">
        <f>'[1]February - 2020'!BB25</f>
        <v>3069.3600000003353</v>
      </c>
      <c r="AU25" s="92">
        <f>'[1]February - 2020'!BB25</f>
        <v>3069.3600000003353</v>
      </c>
      <c r="AV25" s="287">
        <f>'[1]February - 2020'!BD25</f>
        <v>12133618.559999999</v>
      </c>
      <c r="AW25" s="252">
        <f>'[1]February - 2020'!BE25</f>
        <v>5359.1999999992549</v>
      </c>
      <c r="AX25" s="253">
        <f>'[1]February - 2020'!BE25</f>
        <v>5359.1999999992549</v>
      </c>
      <c r="AY25" s="475"/>
      <c r="AZ25" s="272">
        <f>'[1]February - 2020'!BK25</f>
        <v>49766500</v>
      </c>
      <c r="BA25" s="179">
        <f>'[1]February - 2020'!BL25</f>
        <v>0</v>
      </c>
      <c r="BB25" s="93">
        <f>'[1]February - 2020'!BL25</f>
        <v>0</v>
      </c>
      <c r="BC25" s="272">
        <f>'[1]February - 2020'!BN25</f>
        <v>54352500</v>
      </c>
      <c r="BD25" s="245">
        <f>'[1]February - 2020'!BO25</f>
        <v>33000</v>
      </c>
      <c r="BE25" s="93">
        <f>'[1]February - 2020'!BO25</f>
        <v>33000</v>
      </c>
      <c r="BF25" s="272">
        <f>'[1]February - 2020'!BQ25</f>
        <v>48047200</v>
      </c>
      <c r="BG25" s="245">
        <f>'[1]February - 2020'!BR25</f>
        <v>0</v>
      </c>
      <c r="BH25" s="93">
        <f>'[1]February - 2020'!BR25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- 2020'!BT25</f>
        <v>4168000</v>
      </c>
      <c r="BT25" s="185">
        <f>'[1]February - 2020'!BU25</f>
        <v>3760</v>
      </c>
      <c r="BU25" s="383"/>
      <c r="BV25" s="88">
        <f>'[1]February - 2020'!BW25</f>
        <v>0.69</v>
      </c>
      <c r="BW25" s="241">
        <f>'[1]February - 2020'!BX25</f>
        <v>8.9999999999999969E-2</v>
      </c>
      <c r="BX25" s="88">
        <f>'[1]February - 2020'!BX25</f>
        <v>8.9999999999999969E-2</v>
      </c>
      <c r="BY25" s="89">
        <f>'[1]February - 2020'!BZ25</f>
        <v>45356</v>
      </c>
      <c r="BZ25" s="191">
        <f>'[1]February - 2020'!CA25</f>
        <v>42</v>
      </c>
      <c r="CA25" s="89">
        <f>'[1]February - 2020'!CB25</f>
        <v>40070</v>
      </c>
      <c r="CB25" s="191">
        <f>'[1]February - 2020'!CC25</f>
        <v>25</v>
      </c>
      <c r="CC25" s="89">
        <f>'[1]February - 2020'!CD25</f>
        <v>13447</v>
      </c>
      <c r="CD25" s="191">
        <f>'[1]February - 2020'!CE25</f>
        <v>12</v>
      </c>
      <c r="CE25" s="89">
        <f>'[1]February - 2020'!CF25</f>
        <v>17023</v>
      </c>
      <c r="CF25" s="191">
        <f>'[1]February - 2020'!CG25</f>
        <v>22</v>
      </c>
      <c r="CG25" s="89">
        <f>'[1]February - 2020'!CH25</f>
        <v>19376</v>
      </c>
      <c r="CH25" s="191">
        <f>'[1]February - 2020'!CI25</f>
        <v>19</v>
      </c>
      <c r="CI25" s="89">
        <f>'[1]February - 2020'!CJ25</f>
        <v>41338</v>
      </c>
      <c r="CJ25" s="191">
        <f>'[1]February - 2020'!CK25</f>
        <v>55</v>
      </c>
      <c r="CK25" s="89">
        <f>'[1]February - 2020'!CL25</f>
        <v>177975</v>
      </c>
      <c r="CL25" s="246">
        <f>'[1]February - 2020'!CM25</f>
        <v>92</v>
      </c>
      <c r="CM25" s="89">
        <f>'[1]February - 2020'!CM25</f>
        <v>92</v>
      </c>
      <c r="CN25" s="89">
        <f>'[1]February - 2020'!CO25</f>
        <v>129716</v>
      </c>
      <c r="CO25" s="246">
        <f>'[1]February - 2020'!CP25</f>
        <v>93</v>
      </c>
      <c r="CP25" s="89">
        <f>'[1]February - 2020'!CP25</f>
        <v>93</v>
      </c>
      <c r="CQ25" s="89">
        <f>'[1]February - 2020'!CR25</f>
        <v>249344</v>
      </c>
      <c r="CR25" s="246">
        <f>'[1]February - 2020'!CS25</f>
        <v>298</v>
      </c>
      <c r="CS25" s="89">
        <f>'[1]February - 2020'!CS25</f>
        <v>298</v>
      </c>
      <c r="CT25" s="89">
        <f>'[1]February - 2020'!CU25</f>
        <v>478533</v>
      </c>
      <c r="CU25" s="191">
        <f>'[1]February - 2020'!CV25</f>
        <v>161</v>
      </c>
      <c r="CV25" s="442"/>
      <c r="CW25" s="256">
        <f>'[1]February - 2020'!CX25</f>
        <v>347</v>
      </c>
      <c r="CX25" s="198">
        <f>'[1]February - 2020'!CY25</f>
        <v>3</v>
      </c>
      <c r="CY25" s="257">
        <f>'[1]February - 2020'!CZ25</f>
        <v>1327</v>
      </c>
      <c r="CZ25" s="198">
        <f>'[1]February - 2020'!DA25</f>
        <v>30</v>
      </c>
      <c r="DA25" s="257">
        <f>'[1]February - 2020'!DB25</f>
        <v>19166</v>
      </c>
      <c r="DB25" s="198">
        <f>'[1]February - 2020'!DC25</f>
        <v>14</v>
      </c>
      <c r="DC25" s="257">
        <f>'[1]February - 2020'!DD25</f>
        <v>19708</v>
      </c>
      <c r="DD25" s="198">
        <f>'[1]February - 2020'!DE25</f>
        <v>13</v>
      </c>
      <c r="DE25" s="257">
        <f>'[1]February - 2020'!DF25</f>
        <v>13815</v>
      </c>
      <c r="DF25" s="198">
        <f>'[1]February - 2020'!DG25</f>
        <v>5</v>
      </c>
      <c r="DG25" s="257">
        <f>'[1]February - 2020'!DH25</f>
        <v>17422</v>
      </c>
      <c r="DH25" s="198">
        <f>'[1]February - 2020'!DI25</f>
        <v>4</v>
      </c>
      <c r="DI25" s="257">
        <f>'[1]February - 2020'!DJ25</f>
        <v>825</v>
      </c>
      <c r="DJ25" s="198">
        <f>'[1]February - 2020'!DK25</f>
        <v>0</v>
      </c>
      <c r="DK25" s="257">
        <f>'[1]February - 2020'!DL25</f>
        <v>3570</v>
      </c>
      <c r="DL25" s="198">
        <f>'[1]February - 2020'!DM25</f>
        <v>0</v>
      </c>
      <c r="DM25" s="257">
        <f>'[1]February - 2020'!DN25</f>
        <v>1123</v>
      </c>
      <c r="DN25" s="198">
        <f>'[1]February - 2020'!DO25</f>
        <v>0</v>
      </c>
      <c r="DO25" s="257">
        <f>'[1]February - 2020'!DP25</f>
        <v>1224</v>
      </c>
      <c r="DP25" s="198">
        <f>'[1]February - 2020'!DQ25</f>
        <v>0</v>
      </c>
      <c r="DQ25" s="257">
        <f>'[1]February - 2020'!DR25</f>
        <v>17254</v>
      </c>
      <c r="DR25" s="206">
        <f>'[1]February - 2020'!DS25</f>
        <v>9</v>
      </c>
      <c r="DS25" s="427"/>
      <c r="DT25" s="210">
        <f>'[1]February - 2020'!DU25</f>
        <v>2798039</v>
      </c>
      <c r="DU25" s="221">
        <f>'[1]February - 2020'!DV25</f>
        <v>1524</v>
      </c>
      <c r="DV25" s="91">
        <f>'[1]February - 2020'!DW25</f>
        <v>4681</v>
      </c>
      <c r="DW25" s="215">
        <f>'[1]February - 2020'!DX25</f>
        <v>4</v>
      </c>
      <c r="DX25" s="91">
        <f>'[1]February - 2020'!DY25</f>
        <v>1850604</v>
      </c>
      <c r="DY25" s="215">
        <f>'[1]February - 2020'!DZ25</f>
        <v>1083</v>
      </c>
      <c r="DZ25" s="91">
        <f>'[1]February - 2020'!EA25</f>
        <v>252659</v>
      </c>
      <c r="EA25" s="215">
        <f>'[1]February - 2020'!EB25</f>
        <v>4</v>
      </c>
      <c r="EB25" s="91">
        <f>'[1]February - 2020'!EC25</f>
        <v>465894</v>
      </c>
      <c r="EC25" s="215">
        <f>'[1]February - 2020'!ED25</f>
        <v>514</v>
      </c>
      <c r="ED25" s="91">
        <f>'[1]February - 2020'!EG25</f>
        <v>91503</v>
      </c>
      <c r="EE25" s="229">
        <f>'[1]February - 2020'!EH25</f>
        <v>143</v>
      </c>
      <c r="EF25" s="367"/>
      <c r="EG25" s="235">
        <f>'[1]February - 2020'!EJ25</f>
        <v>6844000</v>
      </c>
      <c r="EH25" s="230">
        <f>'[1]February - 2020'!EK25</f>
        <v>2100</v>
      </c>
      <c r="EI25" s="90">
        <f>'[1]February - 2020'!EL25</f>
        <v>605740</v>
      </c>
      <c r="EJ25" s="230">
        <f>'[1]February - 2020'!EM25</f>
        <v>220</v>
      </c>
      <c r="EK25" s="90">
        <f>'[1]February - 2020'!EN25</f>
        <v>4650000</v>
      </c>
      <c r="EL25" s="230">
        <f>'[1]February - 2020'!EO25</f>
        <v>1200</v>
      </c>
      <c r="EM25" s="90">
        <f>'[1]February - 2020'!EP25</f>
        <v>1989100</v>
      </c>
      <c r="EN25" s="230">
        <f>'[1]February - 2020'!EQ25</f>
        <v>100</v>
      </c>
      <c r="EO25" s="90">
        <f>'[1]February - 2020'!ER25</f>
        <v>682170</v>
      </c>
      <c r="EP25" s="230">
        <f>'[1]February - 2020'!ES25</f>
        <v>120</v>
      </c>
      <c r="EQ25" s="90">
        <f>'[1]February - 2020'!ET25</f>
        <v>10739200</v>
      </c>
      <c r="ER25" s="230">
        <f>'[1]February - 2020'!EU25</f>
        <v>1000</v>
      </c>
      <c r="ES25" s="414"/>
      <c r="ET25" s="284">
        <f>'[1]February - 2020'!EW25</f>
        <v>28380</v>
      </c>
      <c r="EU25" s="278">
        <f>'[1]February - 2020'!EX25</f>
        <v>15</v>
      </c>
      <c r="EV25" s="285">
        <f>'[1]February - 2020'!EY25</f>
        <v>24807</v>
      </c>
      <c r="EW25" s="278">
        <f>'[1]February - 2020'!EZ25</f>
        <v>14</v>
      </c>
      <c r="EX25" s="285">
        <f>'[1]February - 2020'!FA25</f>
        <v>0</v>
      </c>
      <c r="EY25" s="278">
        <f>'[1]February - 2020'!FB25</f>
        <v>0</v>
      </c>
      <c r="EZ25" s="285">
        <f>'[1]February - 2020'!FC25</f>
        <v>45067</v>
      </c>
      <c r="FA25" s="278">
        <f>'[1]February - 2020'!FD25</f>
        <v>28</v>
      </c>
      <c r="FB25" s="285">
        <f>'[1]February - 2020'!FE25</f>
        <v>21560</v>
      </c>
      <c r="FC25" s="279">
        <f>'[1]February - 2020'!FF25</f>
        <v>27</v>
      </c>
    </row>
    <row r="26" spans="1:159" ht="30" customHeight="1" x14ac:dyDescent="0.25">
      <c r="A26" s="207">
        <v>43847</v>
      </c>
      <c r="B26" s="209">
        <f>'[1]February - 2020'!B26</f>
        <v>0.95</v>
      </c>
      <c r="C26" s="250">
        <f>'[1]February - 2020'!E26</f>
        <v>539459</v>
      </c>
      <c r="D26" s="170">
        <f>'[1]February - 2020'!F26</f>
        <v>558</v>
      </c>
      <c r="E26" s="168">
        <f>'[1]February - 2020'!G26</f>
        <v>495</v>
      </c>
      <c r="F26" s="168">
        <f>'[1]February - 2020'!H26</f>
        <v>707068</v>
      </c>
      <c r="G26" s="170">
        <f>'[1]February - 2020'!I26</f>
        <v>424</v>
      </c>
      <c r="H26" s="168">
        <f>'[1]February - 2020'!J26</f>
        <v>384</v>
      </c>
      <c r="I26" s="168">
        <f>'[1]February - 2020'!K26</f>
        <v>27555</v>
      </c>
      <c r="J26" s="170">
        <f>'[1]February - 2020'!L26</f>
        <v>116</v>
      </c>
      <c r="K26" s="168">
        <f>'[1]February - 2020'!N26</f>
        <v>618131</v>
      </c>
      <c r="L26" s="170">
        <f>'[1]February - 2020'!O26</f>
        <v>142</v>
      </c>
      <c r="M26" s="168">
        <f>'[1]February - 2020'!Q26</f>
        <v>156876</v>
      </c>
      <c r="N26" s="170">
        <f>'[1]February - 2020'!R26</f>
        <v>0</v>
      </c>
      <c r="O26" s="168">
        <f>'[1]February - 2020'!S26</f>
        <v>96768</v>
      </c>
      <c r="P26" s="170">
        <f>'[1]February - 2020'!T26</f>
        <v>50</v>
      </c>
      <c r="Q26" s="168">
        <f>'[1]February - 2020'!U26</f>
        <v>102</v>
      </c>
      <c r="R26" s="168">
        <f>'[1]February - 2020'!V26</f>
        <v>7517</v>
      </c>
      <c r="S26" s="208">
        <f>'[1]February - 2020'!W26</f>
        <v>0</v>
      </c>
      <c r="T26" s="509"/>
      <c r="U26" s="169">
        <f>'[1]February - 2020'!AC26</f>
        <v>5557636.5599999996</v>
      </c>
      <c r="V26" s="288">
        <f>'[1]February - 2020'!AD26</f>
        <v>1948.7999999998137</v>
      </c>
      <c r="W26" s="92">
        <f>'[1]February - 2020'!AD26</f>
        <v>1948.7999999998137</v>
      </c>
      <c r="X26" s="287">
        <f>'[1]February - 2020'!AF26</f>
        <v>10866752.4</v>
      </c>
      <c r="Y26" s="288">
        <f>'[1]February - 2020'!AG26</f>
        <v>4969.4400000013411</v>
      </c>
      <c r="Z26" s="92">
        <f>'[1]February - 2020'!AG26</f>
        <v>4969.4400000013411</v>
      </c>
      <c r="AA26" s="287">
        <f>'[1]February - 2020'!AI26</f>
        <v>9848406.959999999</v>
      </c>
      <c r="AB26" s="288">
        <f>'[1]February - 2020'!AJ26</f>
        <v>438.47999999858439</v>
      </c>
      <c r="AC26" s="92">
        <f>'[1]February - 2020'!AJ26</f>
        <v>438.47999999858439</v>
      </c>
      <c r="AD26" s="287">
        <f>'[1]February - 2020'!AL26</f>
        <v>13245847.439999999</v>
      </c>
      <c r="AE26" s="288">
        <f>'[1]February - 2020'!AM26</f>
        <v>6918.2400000002235</v>
      </c>
      <c r="AF26" s="92">
        <f>'[1]February - 2020'!AM26</f>
        <v>6918.2400000002235</v>
      </c>
      <c r="AG26" s="287">
        <f>'[1]February - 2020'!AO26</f>
        <v>13243216.559999999</v>
      </c>
      <c r="AH26" s="288">
        <f>'[1]February - 2020'!AP26</f>
        <v>535.91999999806285</v>
      </c>
      <c r="AI26" s="92">
        <f>'[1]February - 2020'!AP26</f>
        <v>535.91999999806285</v>
      </c>
      <c r="AJ26" s="287">
        <f>'[1]February - 2020'!AR26</f>
        <v>12217319.52</v>
      </c>
      <c r="AK26" s="288">
        <f>'[1]February - 2020'!AS26</f>
        <v>5748.9600000008941</v>
      </c>
      <c r="AL26" s="92">
        <f>'[1]February - 2020'!AS26</f>
        <v>5748.9600000008941</v>
      </c>
      <c r="AM26" s="287">
        <f>'[1]February - 2020'!AU26</f>
        <v>10603274.640000001</v>
      </c>
      <c r="AN26" s="288">
        <f>'[1]February - 2020'!AV26</f>
        <v>3897.5999999996275</v>
      </c>
      <c r="AO26" s="92">
        <f>'[1]February - 2020'!AV26</f>
        <v>3897.5999999996275</v>
      </c>
      <c r="AP26" s="287">
        <f>'[1]February - 2020'!AX26</f>
        <v>10279968.719999999</v>
      </c>
      <c r="AQ26" s="288">
        <f>'[1]February - 2020'!AY26</f>
        <v>5066.8799999989569</v>
      </c>
      <c r="AR26" s="92">
        <f>'[1]February - 2020'!AY26</f>
        <v>5066.8799999989569</v>
      </c>
      <c r="AS26" s="287">
        <f>'[1]February - 2020'!BA26</f>
        <v>8194752.7199999988</v>
      </c>
      <c r="AT26" s="288">
        <f>'[1]February - 2020'!BB26</f>
        <v>3312.9599999990314</v>
      </c>
      <c r="AU26" s="92">
        <f>'[1]February - 2020'!BB26</f>
        <v>3312.9599999990314</v>
      </c>
      <c r="AV26" s="287">
        <f>'[1]February - 2020'!BD26</f>
        <v>12139172.640000001</v>
      </c>
      <c r="AW26" s="252">
        <f>'[1]February - 2020'!BE26</f>
        <v>5554.0800000019372</v>
      </c>
      <c r="AX26" s="253">
        <f>'[1]February - 2020'!BE26</f>
        <v>5554.0800000019372</v>
      </c>
      <c r="AY26" s="475"/>
      <c r="AZ26" s="272">
        <f>'[1]February - 2020'!BK26</f>
        <v>49766500</v>
      </c>
      <c r="BA26" s="179">
        <f>'[1]February - 2020'!BL26</f>
        <v>0</v>
      </c>
      <c r="BB26" s="93">
        <f>'[1]February - 2020'!BL26</f>
        <v>0</v>
      </c>
      <c r="BC26" s="272">
        <f>'[1]February - 2020'!BN26</f>
        <v>54352500</v>
      </c>
      <c r="BD26" s="245">
        <f>'[1]February - 2020'!BO26</f>
        <v>0</v>
      </c>
      <c r="BE26" s="93">
        <f>'[1]February - 2020'!BO26</f>
        <v>0</v>
      </c>
      <c r="BF26" s="272">
        <f>'[1]February - 2020'!BQ26</f>
        <v>48047200</v>
      </c>
      <c r="BG26" s="245">
        <f>'[1]February - 2020'!BR26</f>
        <v>0</v>
      </c>
      <c r="BH26" s="93">
        <f>'[1]February - 2020'!BR26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- 2020'!BT26</f>
        <v>4172020</v>
      </c>
      <c r="BT26" s="185">
        <f>'[1]February - 2020'!BU26</f>
        <v>4020</v>
      </c>
      <c r="BU26" s="383"/>
      <c r="BV26" s="88">
        <f>'[1]February - 2020'!BW26</f>
        <v>0.62</v>
      </c>
      <c r="BW26" s="241">
        <f>'[1]February - 2020'!BX26</f>
        <v>-6.9999999999999951E-2</v>
      </c>
      <c r="BX26" s="88">
        <f>'[1]February - 2020'!BX26</f>
        <v>-6.9999999999999951E-2</v>
      </c>
      <c r="BY26" s="89">
        <f>'[1]February - 2020'!BZ26</f>
        <v>45377</v>
      </c>
      <c r="BZ26" s="191">
        <f>'[1]February - 2020'!CA26</f>
        <v>21</v>
      </c>
      <c r="CA26" s="89">
        <f>'[1]February - 2020'!CB26</f>
        <v>40090</v>
      </c>
      <c r="CB26" s="191">
        <f>'[1]February - 2020'!CC26</f>
        <v>20</v>
      </c>
      <c r="CC26" s="89">
        <f>'[1]February - 2020'!CD26</f>
        <v>13453</v>
      </c>
      <c r="CD26" s="191">
        <f>'[1]February - 2020'!CE26</f>
        <v>6</v>
      </c>
      <c r="CE26" s="89">
        <f>'[1]February - 2020'!CF26</f>
        <v>17033</v>
      </c>
      <c r="CF26" s="191">
        <f>'[1]February - 2020'!CG26</f>
        <v>10</v>
      </c>
      <c r="CG26" s="89">
        <f>'[1]February - 2020'!CH26</f>
        <v>19386</v>
      </c>
      <c r="CH26" s="191">
        <f>'[1]February - 2020'!CI26</f>
        <v>10</v>
      </c>
      <c r="CI26" s="89">
        <f>'[1]February - 2020'!CJ26</f>
        <v>41362</v>
      </c>
      <c r="CJ26" s="191">
        <f>'[1]February - 2020'!CK26</f>
        <v>24</v>
      </c>
      <c r="CK26" s="89">
        <f>'[1]February - 2020'!CL26</f>
        <v>178069</v>
      </c>
      <c r="CL26" s="246">
        <f>'[1]February - 2020'!CM26</f>
        <v>94</v>
      </c>
      <c r="CM26" s="89">
        <f>'[1]February - 2020'!CM26</f>
        <v>94</v>
      </c>
      <c r="CN26" s="89">
        <f>'[1]February - 2020'!CO26</f>
        <v>129811</v>
      </c>
      <c r="CO26" s="246">
        <f>'[1]February - 2020'!CP26</f>
        <v>95</v>
      </c>
      <c r="CP26" s="89">
        <f>'[1]February - 2020'!CP26</f>
        <v>95</v>
      </c>
      <c r="CQ26" s="89">
        <f>'[1]February - 2020'!CR26</f>
        <v>249599</v>
      </c>
      <c r="CR26" s="246">
        <f>'[1]February - 2020'!CS26</f>
        <v>255</v>
      </c>
      <c r="CS26" s="89">
        <f>'[1]February - 2020'!CS26</f>
        <v>255</v>
      </c>
      <c r="CT26" s="89">
        <f>'[1]February - 2020'!CU26</f>
        <v>478700</v>
      </c>
      <c r="CU26" s="191">
        <f>'[1]February - 2020'!CV26</f>
        <v>167</v>
      </c>
      <c r="CV26" s="442"/>
      <c r="CW26" s="256">
        <f>'[1]February - 2020'!CX26</f>
        <v>347</v>
      </c>
      <c r="CX26" s="198">
        <f>'[1]February - 2020'!CY26</f>
        <v>0</v>
      </c>
      <c r="CY26" s="257">
        <f>'[1]February - 2020'!CZ26</f>
        <v>1330</v>
      </c>
      <c r="CZ26" s="198">
        <f>'[1]February - 2020'!DA26</f>
        <v>3</v>
      </c>
      <c r="DA26" s="257">
        <f>'[1]February - 2020'!DB26</f>
        <v>19180</v>
      </c>
      <c r="DB26" s="198">
        <f>'[1]February - 2020'!DC26</f>
        <v>14</v>
      </c>
      <c r="DC26" s="257">
        <f>'[1]February - 2020'!DD26</f>
        <v>19720</v>
      </c>
      <c r="DD26" s="198">
        <f>'[1]February - 2020'!DE26</f>
        <v>12</v>
      </c>
      <c r="DE26" s="257">
        <f>'[1]February - 2020'!DF26</f>
        <v>13820</v>
      </c>
      <c r="DF26" s="198">
        <f>'[1]February - 2020'!DG26</f>
        <v>5</v>
      </c>
      <c r="DG26" s="257">
        <f>'[1]February - 2020'!DH26</f>
        <v>17425</v>
      </c>
      <c r="DH26" s="198">
        <f>'[1]February - 2020'!DI26</f>
        <v>3</v>
      </c>
      <c r="DI26" s="257">
        <f>'[1]February - 2020'!DJ26</f>
        <v>825</v>
      </c>
      <c r="DJ26" s="198">
        <f>'[1]February - 2020'!DK26</f>
        <v>0</v>
      </c>
      <c r="DK26" s="257">
        <f>'[1]February - 2020'!DL26</f>
        <v>3570</v>
      </c>
      <c r="DL26" s="198">
        <f>'[1]February - 2020'!DM26</f>
        <v>0</v>
      </c>
      <c r="DM26" s="257">
        <f>'[1]February - 2020'!DN26</f>
        <v>1138</v>
      </c>
      <c r="DN26" s="198">
        <f>'[1]February - 2020'!DO26</f>
        <v>15</v>
      </c>
      <c r="DO26" s="257">
        <f>'[1]February - 2020'!DP26</f>
        <v>1226</v>
      </c>
      <c r="DP26" s="198">
        <f>'[1]February - 2020'!DQ26</f>
        <v>2</v>
      </c>
      <c r="DQ26" s="257">
        <f>'[1]February - 2020'!DR26</f>
        <v>17264</v>
      </c>
      <c r="DR26" s="206">
        <f>'[1]February - 2020'!DS26</f>
        <v>10</v>
      </c>
      <c r="DS26" s="427"/>
      <c r="DT26" s="210">
        <f>'[1]February - 2020'!DU26</f>
        <v>2799551</v>
      </c>
      <c r="DU26" s="221">
        <f>'[1]February - 2020'!DV26</f>
        <v>1512</v>
      </c>
      <c r="DV26" s="91">
        <f>'[1]February - 2020'!DW26</f>
        <v>4686</v>
      </c>
      <c r="DW26" s="215">
        <f>'[1]February - 2020'!DX26</f>
        <v>5</v>
      </c>
      <c r="DX26" s="91">
        <f>'[1]February - 2020'!DY26</f>
        <v>1851710</v>
      </c>
      <c r="DY26" s="215">
        <f>'[1]February - 2020'!DZ26</f>
        <v>1106</v>
      </c>
      <c r="DZ26" s="91">
        <f>'[1]February - 2020'!EA26</f>
        <v>252664</v>
      </c>
      <c r="EA26" s="215">
        <f>'[1]February - 2020'!EB26</f>
        <v>5</v>
      </c>
      <c r="EB26" s="91">
        <f>'[1]February - 2020'!EC26</f>
        <v>466458</v>
      </c>
      <c r="EC26" s="215">
        <f>'[1]February - 2020'!ED26</f>
        <v>564</v>
      </c>
      <c r="ED26" s="91">
        <f>'[1]February - 2020'!EG26</f>
        <v>91649</v>
      </c>
      <c r="EE26" s="229">
        <f>'[1]February - 2020'!EH26</f>
        <v>146</v>
      </c>
      <c r="EF26" s="367"/>
      <c r="EG26" s="235">
        <f>'[1]February - 2020'!EJ26</f>
        <v>6846400</v>
      </c>
      <c r="EH26" s="230">
        <f>'[1]February - 2020'!EK26</f>
        <v>2400</v>
      </c>
      <c r="EI26" s="90">
        <f>'[1]February - 2020'!EL26</f>
        <v>605970</v>
      </c>
      <c r="EJ26" s="230">
        <f>'[1]February - 2020'!EM26</f>
        <v>230</v>
      </c>
      <c r="EK26" s="90">
        <f>'[1]February - 2020'!EN26</f>
        <v>4651500</v>
      </c>
      <c r="EL26" s="230">
        <f>'[1]February - 2020'!EO26</f>
        <v>1500</v>
      </c>
      <c r="EM26" s="90">
        <f>'[1]February - 2020'!EP26</f>
        <v>1989100</v>
      </c>
      <c r="EN26" s="230">
        <f>'[1]February - 2020'!EQ26</f>
        <v>0</v>
      </c>
      <c r="EO26" s="90">
        <f>'[1]February - 2020'!ER26</f>
        <v>682310</v>
      </c>
      <c r="EP26" s="230">
        <f>'[1]February - 2020'!ES26</f>
        <v>140</v>
      </c>
      <c r="EQ26" s="90">
        <f>'[1]February - 2020'!ET26</f>
        <v>10740800</v>
      </c>
      <c r="ER26" s="230">
        <f>'[1]February - 2020'!EU26</f>
        <v>1600</v>
      </c>
      <c r="ES26" s="414"/>
      <c r="ET26" s="284">
        <f>'[1]February - 2020'!EW26</f>
        <v>28398</v>
      </c>
      <c r="EU26" s="278">
        <f>'[1]February - 2020'!EX26</f>
        <v>18</v>
      </c>
      <c r="EV26" s="285">
        <f>'[1]February - 2020'!EY26</f>
        <v>24821</v>
      </c>
      <c r="EW26" s="278">
        <f>'[1]February - 2020'!EZ26</f>
        <v>14</v>
      </c>
      <c r="EX26" s="285">
        <f>'[1]February - 2020'!FA26</f>
        <v>0</v>
      </c>
      <c r="EY26" s="278">
        <f>'[1]February - 2020'!FB26</f>
        <v>0</v>
      </c>
      <c r="EZ26" s="285">
        <f>'[1]February - 2020'!FC26</f>
        <v>45097</v>
      </c>
      <c r="FA26" s="278">
        <f>'[1]February - 2020'!FD26</f>
        <v>30</v>
      </c>
      <c r="FB26" s="285">
        <f>'[1]February - 2020'!FE26</f>
        <v>21585</v>
      </c>
      <c r="FC26" s="279">
        <f>'[1]February - 2020'!FF26</f>
        <v>25</v>
      </c>
    </row>
    <row r="27" spans="1:159" ht="30" customHeight="1" x14ac:dyDescent="0.25">
      <c r="A27" s="207">
        <v>43848</v>
      </c>
      <c r="B27" s="209">
        <f>'[1]February - 2020'!B27</f>
        <v>0.96</v>
      </c>
      <c r="C27" s="250">
        <f>'[1]February - 2020'!E27</f>
        <v>539989</v>
      </c>
      <c r="D27" s="170">
        <f>'[1]February - 2020'!F27</f>
        <v>530</v>
      </c>
      <c r="E27" s="168">
        <f>'[1]February - 2020'!G27</f>
        <v>483</v>
      </c>
      <c r="F27" s="168">
        <f>'[1]February - 2020'!H27</f>
        <v>707520</v>
      </c>
      <c r="G27" s="170">
        <f>'[1]February - 2020'!I27</f>
        <v>452</v>
      </c>
      <c r="H27" s="168">
        <f>'[1]February - 2020'!J27</f>
        <v>419</v>
      </c>
      <c r="I27" s="168">
        <f>'[1]February - 2020'!K27</f>
        <v>27696</v>
      </c>
      <c r="J27" s="170">
        <f>'[1]February - 2020'!L27</f>
        <v>141</v>
      </c>
      <c r="K27" s="168">
        <f>'[1]February - 2020'!N27</f>
        <v>618271</v>
      </c>
      <c r="L27" s="170">
        <f>'[1]February - 2020'!O27</f>
        <v>140</v>
      </c>
      <c r="M27" s="168">
        <f>'[1]February - 2020'!Q27</f>
        <v>156876</v>
      </c>
      <c r="N27" s="170">
        <f>'[1]February - 2020'!R27</f>
        <v>0</v>
      </c>
      <c r="O27" s="168">
        <f>'[1]February - 2020'!S27</f>
        <v>96917</v>
      </c>
      <c r="P27" s="170">
        <f>'[1]February - 2020'!T27</f>
        <v>149</v>
      </c>
      <c r="Q27" s="168">
        <f>'[1]February - 2020'!U27</f>
        <v>73</v>
      </c>
      <c r="R27" s="168">
        <f>'[1]February - 2020'!V27</f>
        <v>7517</v>
      </c>
      <c r="S27" s="208">
        <f>'[1]February - 2020'!W27</f>
        <v>0</v>
      </c>
      <c r="T27" s="509"/>
      <c r="U27" s="169">
        <f>'[1]February - 2020'!AC27</f>
        <v>5559487.9199999999</v>
      </c>
      <c r="V27" s="288">
        <f>'[1]February - 2020'!AD27</f>
        <v>1851.3600000003353</v>
      </c>
      <c r="W27" s="92">
        <f>'[1]February - 2020'!AD27</f>
        <v>1851.3600000003353</v>
      </c>
      <c r="X27" s="287">
        <f>'[1]February - 2020'!AF27</f>
        <v>10871526.959999999</v>
      </c>
      <c r="Y27" s="288">
        <f>'[1]February - 2020'!AG27</f>
        <v>4774.5599999986589</v>
      </c>
      <c r="Z27" s="92">
        <f>'[1]February - 2020'!AG27</f>
        <v>4774.5599999986589</v>
      </c>
      <c r="AA27" s="287">
        <f>'[1]February - 2020'!AI27</f>
        <v>9854350.7999999989</v>
      </c>
      <c r="AB27" s="288">
        <f>'[1]February - 2020'!AJ27</f>
        <v>5943.839999999851</v>
      </c>
      <c r="AC27" s="92">
        <f>'[1]February - 2020'!AJ27</f>
        <v>5943.839999999851</v>
      </c>
      <c r="AD27" s="287">
        <f>'[1]February - 2020'!AL27</f>
        <v>13247747.52</v>
      </c>
      <c r="AE27" s="288">
        <f>'[1]February - 2020'!AM27</f>
        <v>1900.0800000000745</v>
      </c>
      <c r="AF27" s="92">
        <f>'[1]February - 2020'!AM27</f>
        <v>1900.0800000000745</v>
      </c>
      <c r="AG27" s="287">
        <f>'[1]February - 2020'!AO27</f>
        <v>13243703.76</v>
      </c>
      <c r="AH27" s="288">
        <f>'[1]February - 2020'!AP27</f>
        <v>487.20000000111759</v>
      </c>
      <c r="AI27" s="92">
        <f>'[1]February - 2020'!AP27</f>
        <v>487.20000000111759</v>
      </c>
      <c r="AJ27" s="287">
        <f>'[1]February - 2020'!AR27</f>
        <v>12223165.92</v>
      </c>
      <c r="AK27" s="288">
        <f>'[1]February - 2020'!AS27</f>
        <v>5846.4000000003725</v>
      </c>
      <c r="AL27" s="92">
        <f>'[1]February - 2020'!AS27</f>
        <v>5846.4000000003725</v>
      </c>
      <c r="AM27" s="287">
        <f>'[1]February - 2020'!AU27</f>
        <v>10606977.359999999</v>
      </c>
      <c r="AN27" s="288">
        <f>'[1]February - 2020'!AV27</f>
        <v>3702.7199999988079</v>
      </c>
      <c r="AO27" s="92">
        <f>'[1]February - 2020'!AV27</f>
        <v>3702.7199999988079</v>
      </c>
      <c r="AP27" s="287">
        <f>'[1]February - 2020'!AX27</f>
        <v>10284499.68</v>
      </c>
      <c r="AQ27" s="288">
        <f>'[1]February - 2020'!AY27</f>
        <v>4530.9600000008941</v>
      </c>
      <c r="AR27" s="92">
        <f>'[1]February - 2020'!AY27</f>
        <v>4530.9600000008941</v>
      </c>
      <c r="AS27" s="287">
        <f>'[1]February - 2020'!BA27</f>
        <v>8197675.919999999</v>
      </c>
      <c r="AT27" s="288">
        <f>'[1]February - 2020'!BB27</f>
        <v>2923.2000000001863</v>
      </c>
      <c r="AU27" s="92">
        <f>'[1]February - 2020'!BB27</f>
        <v>2923.2000000001863</v>
      </c>
      <c r="AV27" s="287">
        <f>'[1]February - 2020'!BD27</f>
        <v>12144580.559999999</v>
      </c>
      <c r="AW27" s="252">
        <f>'[1]February - 2020'!BE27</f>
        <v>5407.9199999980628</v>
      </c>
      <c r="AX27" s="253">
        <f>'[1]February - 2020'!BE27</f>
        <v>5407.9199999980628</v>
      </c>
      <c r="AY27" s="475"/>
      <c r="AZ27" s="272">
        <f>'[1]February - 2020'!BK27</f>
        <v>49796800</v>
      </c>
      <c r="BA27" s="179">
        <f>'[1]February - 2020'!BL27</f>
        <v>30300</v>
      </c>
      <c r="BB27" s="93">
        <f>'[1]February - 2020'!BL27</f>
        <v>30300</v>
      </c>
      <c r="BC27" s="272">
        <f>'[1]February - 2020'!BN27</f>
        <v>54399300</v>
      </c>
      <c r="BD27" s="245">
        <f>'[1]February - 2020'!BO27</f>
        <v>46800</v>
      </c>
      <c r="BE27" s="93">
        <f>'[1]February - 2020'!BO27</f>
        <v>46800</v>
      </c>
      <c r="BF27" s="272">
        <f>'[1]February - 2020'!BQ27</f>
        <v>48047200</v>
      </c>
      <c r="BG27" s="245">
        <f>'[1]February - 2020'!BR27</f>
        <v>0</v>
      </c>
      <c r="BH27" s="93">
        <f>'[1]February - 2020'!BR27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- 2020'!BT27</f>
        <v>4176420</v>
      </c>
      <c r="BT27" s="185">
        <f>'[1]February - 2020'!BU27</f>
        <v>4400</v>
      </c>
      <c r="BU27" s="383"/>
      <c r="BV27" s="88">
        <f>'[1]February - 2020'!BW27</f>
        <v>0.79</v>
      </c>
      <c r="BW27" s="241">
        <f>'[1]February - 2020'!BX27</f>
        <v>0.17000000000000004</v>
      </c>
      <c r="BX27" s="88">
        <f>'[1]February - 2020'!BX27</f>
        <v>0.17000000000000004</v>
      </c>
      <c r="BY27" s="89">
        <f>'[1]February - 2020'!BZ27</f>
        <v>45397</v>
      </c>
      <c r="BZ27" s="191">
        <f>'[1]February - 2020'!CA27</f>
        <v>20</v>
      </c>
      <c r="CA27" s="89">
        <f>'[1]February - 2020'!CB27</f>
        <v>40106</v>
      </c>
      <c r="CB27" s="191">
        <f>'[1]February - 2020'!CC27</f>
        <v>16</v>
      </c>
      <c r="CC27" s="89">
        <f>'[1]February - 2020'!CD27</f>
        <v>13460</v>
      </c>
      <c r="CD27" s="191">
        <f>'[1]February - 2020'!CE27</f>
        <v>7</v>
      </c>
      <c r="CE27" s="89">
        <f>'[1]February - 2020'!CF27</f>
        <v>17044</v>
      </c>
      <c r="CF27" s="191">
        <f>'[1]February - 2020'!CG27</f>
        <v>11</v>
      </c>
      <c r="CG27" s="89">
        <f>'[1]February - 2020'!CH27</f>
        <v>19398</v>
      </c>
      <c r="CH27" s="191">
        <f>'[1]February - 2020'!CI27</f>
        <v>12</v>
      </c>
      <c r="CI27" s="89">
        <f>'[1]February - 2020'!CJ27</f>
        <v>41386</v>
      </c>
      <c r="CJ27" s="191">
        <f>'[1]February - 2020'!CK27</f>
        <v>24</v>
      </c>
      <c r="CK27" s="89">
        <f>'[1]February - 2020'!CL27</f>
        <v>178156</v>
      </c>
      <c r="CL27" s="246">
        <f>'[1]February - 2020'!CM27</f>
        <v>87</v>
      </c>
      <c r="CM27" s="89">
        <f>'[1]February - 2020'!CM27</f>
        <v>87</v>
      </c>
      <c r="CN27" s="89">
        <f>'[1]February - 2020'!CO27</f>
        <v>129905</v>
      </c>
      <c r="CO27" s="246">
        <f>'[1]February - 2020'!CP27</f>
        <v>94</v>
      </c>
      <c r="CP27" s="89">
        <f>'[1]February - 2020'!CP27</f>
        <v>94</v>
      </c>
      <c r="CQ27" s="89">
        <f>'[1]February - 2020'!CR27</f>
        <v>249863</v>
      </c>
      <c r="CR27" s="246">
        <f>'[1]February - 2020'!CS27</f>
        <v>264</v>
      </c>
      <c r="CS27" s="89">
        <f>'[1]February - 2020'!CS27</f>
        <v>264</v>
      </c>
      <c r="CT27" s="89">
        <f>'[1]February - 2020'!CU27</f>
        <v>478853</v>
      </c>
      <c r="CU27" s="191">
        <f>'[1]February - 2020'!CV27</f>
        <v>153</v>
      </c>
      <c r="CV27" s="442"/>
      <c r="CW27" s="256">
        <f>'[1]February - 2020'!CX27</f>
        <v>347</v>
      </c>
      <c r="CX27" s="198">
        <f>'[1]February - 2020'!CY27</f>
        <v>0</v>
      </c>
      <c r="CY27" s="257">
        <f>'[1]February - 2020'!CZ27</f>
        <v>1330</v>
      </c>
      <c r="CZ27" s="198">
        <f>'[1]February - 2020'!DA27</f>
        <v>0</v>
      </c>
      <c r="DA27" s="257">
        <f>'[1]February - 2020'!DB27</f>
        <v>19194</v>
      </c>
      <c r="DB27" s="198">
        <f>'[1]February - 2020'!DC27</f>
        <v>14</v>
      </c>
      <c r="DC27" s="257">
        <f>'[1]February - 2020'!DD27</f>
        <v>19732</v>
      </c>
      <c r="DD27" s="198">
        <f>'[1]February - 2020'!DE27</f>
        <v>12</v>
      </c>
      <c r="DE27" s="257">
        <f>'[1]February - 2020'!DF27</f>
        <v>13825</v>
      </c>
      <c r="DF27" s="198">
        <f>'[1]February - 2020'!DG27</f>
        <v>5</v>
      </c>
      <c r="DG27" s="257">
        <f>'[1]February - 2020'!DH27</f>
        <v>17428</v>
      </c>
      <c r="DH27" s="198">
        <f>'[1]February - 2020'!DI27</f>
        <v>3</v>
      </c>
      <c r="DI27" s="257">
        <f>'[1]February - 2020'!DJ27</f>
        <v>825</v>
      </c>
      <c r="DJ27" s="198">
        <f>'[1]February - 2020'!DK27</f>
        <v>0</v>
      </c>
      <c r="DK27" s="257">
        <f>'[1]February - 2020'!DL27</f>
        <v>3570</v>
      </c>
      <c r="DL27" s="198">
        <f>'[1]February - 2020'!DM27</f>
        <v>0</v>
      </c>
      <c r="DM27" s="257">
        <f>'[1]February - 2020'!DN27</f>
        <v>1143</v>
      </c>
      <c r="DN27" s="198">
        <f>'[1]February - 2020'!DO27</f>
        <v>5</v>
      </c>
      <c r="DO27" s="257">
        <f>'[1]February - 2020'!DP27</f>
        <v>1229</v>
      </c>
      <c r="DP27" s="198">
        <f>'[1]February - 2020'!DQ27</f>
        <v>3</v>
      </c>
      <c r="DQ27" s="257">
        <f>'[1]February - 2020'!DR27</f>
        <v>17282</v>
      </c>
      <c r="DR27" s="206">
        <f>'[1]February - 2020'!DS27</f>
        <v>18</v>
      </c>
      <c r="DS27" s="427"/>
      <c r="DT27" s="210">
        <f>'[1]February - 2020'!DU27</f>
        <v>2801054</v>
      </c>
      <c r="DU27" s="221">
        <f>'[1]February - 2020'!DV27</f>
        <v>1503</v>
      </c>
      <c r="DV27" s="91">
        <f>'[1]February - 2020'!DW27</f>
        <v>4690</v>
      </c>
      <c r="DW27" s="215">
        <f>'[1]February - 2020'!DX27</f>
        <v>4</v>
      </c>
      <c r="DX27" s="91">
        <f>'[1]February - 2020'!DY27</f>
        <v>1852808</v>
      </c>
      <c r="DY27" s="215">
        <f>'[1]February - 2020'!DZ27</f>
        <v>1098</v>
      </c>
      <c r="DZ27" s="91">
        <f>'[1]February - 2020'!EA27</f>
        <v>252668</v>
      </c>
      <c r="EA27" s="215">
        <f>'[1]February - 2020'!EB27</f>
        <v>4</v>
      </c>
      <c r="EB27" s="91">
        <f>'[1]February - 2020'!EC27</f>
        <v>467017</v>
      </c>
      <c r="EC27" s="215">
        <f>'[1]February - 2020'!ED27</f>
        <v>559</v>
      </c>
      <c r="ED27" s="91">
        <f>'[1]February - 2020'!EG27</f>
        <v>91794</v>
      </c>
      <c r="EE27" s="229">
        <f>'[1]February - 2020'!EH27</f>
        <v>145</v>
      </c>
      <c r="EF27" s="367"/>
      <c r="EG27" s="235">
        <f>'[1]February - 2020'!EJ27</f>
        <v>6846400</v>
      </c>
      <c r="EH27" s="230">
        <f>'[1]February - 2020'!EK27</f>
        <v>0</v>
      </c>
      <c r="EI27" s="90">
        <f>'[1]February - 2020'!EL27</f>
        <v>605970</v>
      </c>
      <c r="EJ27" s="230">
        <f>'[1]February - 2020'!EM27</f>
        <v>0</v>
      </c>
      <c r="EK27" s="90">
        <f>'[1]February - 2020'!EN27</f>
        <v>4651500</v>
      </c>
      <c r="EL27" s="230">
        <f>'[1]February - 2020'!EO27</f>
        <v>0</v>
      </c>
      <c r="EM27" s="90">
        <f>'[1]February - 2020'!EP27</f>
        <v>1989100</v>
      </c>
      <c r="EN27" s="230">
        <f>'[1]February - 2020'!EQ27</f>
        <v>0</v>
      </c>
      <c r="EO27" s="90">
        <f>'[1]February - 2020'!ER27</f>
        <v>682310</v>
      </c>
      <c r="EP27" s="230">
        <f>'[1]February - 2020'!ES27</f>
        <v>0</v>
      </c>
      <c r="EQ27" s="90">
        <f>'[1]February - 2020'!ET27</f>
        <v>10740800</v>
      </c>
      <c r="ER27" s="230">
        <f>'[1]February - 2020'!EU27</f>
        <v>0</v>
      </c>
      <c r="ES27" s="414"/>
      <c r="ET27" s="284">
        <f>'[1]February - 2020'!EW27</f>
        <v>28414</v>
      </c>
      <c r="EU27" s="278">
        <f>'[1]February - 2020'!EX27</f>
        <v>16</v>
      </c>
      <c r="EV27" s="285">
        <f>'[1]February - 2020'!EY27</f>
        <v>24835</v>
      </c>
      <c r="EW27" s="278">
        <f>'[1]February - 2020'!EZ27</f>
        <v>14</v>
      </c>
      <c r="EX27" s="285">
        <f>'[1]February - 2020'!FA27</f>
        <v>0</v>
      </c>
      <c r="EY27" s="278">
        <f>'[1]February - 2020'!FB27</f>
        <v>0</v>
      </c>
      <c r="EZ27" s="285">
        <f>'[1]February - 2020'!FC27</f>
        <v>45130</v>
      </c>
      <c r="FA27" s="278">
        <f>'[1]February - 2020'!FD27</f>
        <v>33</v>
      </c>
      <c r="FB27" s="285">
        <f>'[1]February - 2020'!FE27</f>
        <v>21611</v>
      </c>
      <c r="FC27" s="279">
        <f>'[1]February - 2020'!FF27</f>
        <v>26</v>
      </c>
    </row>
    <row r="28" spans="1:159" ht="30" customHeight="1" x14ac:dyDescent="0.25">
      <c r="A28" s="207">
        <v>43849</v>
      </c>
      <c r="B28" s="209">
        <f>'[1]February - 2020'!B28</f>
        <v>0.98</v>
      </c>
      <c r="C28" s="250">
        <f>'[1]February - 2020'!E28</f>
        <v>540572</v>
      </c>
      <c r="D28" s="170">
        <f>'[1]February - 2020'!F28</f>
        <v>583</v>
      </c>
      <c r="E28" s="168">
        <f>'[1]February - 2020'!G28</f>
        <v>475</v>
      </c>
      <c r="F28" s="168">
        <f>'[1]February - 2020'!H28</f>
        <v>708013</v>
      </c>
      <c r="G28" s="170">
        <f>'[1]February - 2020'!I28</f>
        <v>493</v>
      </c>
      <c r="H28" s="168">
        <f>'[1]February - 2020'!J28</f>
        <v>399</v>
      </c>
      <c r="I28" s="168">
        <f>'[1]February - 2020'!K28</f>
        <v>27813</v>
      </c>
      <c r="J28" s="170">
        <f>'[1]February - 2020'!L28</f>
        <v>117</v>
      </c>
      <c r="K28" s="168">
        <f>'[1]February - 2020'!N28</f>
        <v>618411</v>
      </c>
      <c r="L28" s="170">
        <f>'[1]February - 2020'!O28</f>
        <v>140</v>
      </c>
      <c r="M28" s="168">
        <f>'[1]February - 2020'!Q28</f>
        <v>156876</v>
      </c>
      <c r="N28" s="170">
        <f>'[1]February - 2020'!R28</f>
        <v>0</v>
      </c>
      <c r="O28" s="168">
        <f>'[1]February - 2020'!S28</f>
        <v>96993</v>
      </c>
      <c r="P28" s="170">
        <f>'[1]February - 2020'!T28</f>
        <v>76</v>
      </c>
      <c r="Q28" s="168">
        <f>'[1]February - 2020'!U28</f>
        <v>58</v>
      </c>
      <c r="R28" s="168">
        <f>'[1]February - 2020'!V28</f>
        <v>7520</v>
      </c>
      <c r="S28" s="208">
        <f>'[1]February - 2020'!W28</f>
        <v>3</v>
      </c>
      <c r="T28" s="509"/>
      <c r="U28" s="169">
        <f>'[1]February - 2020'!AC28</f>
        <v>5561485.4400000004</v>
      </c>
      <c r="V28" s="288">
        <f>'[1]February - 2020'!AD28</f>
        <v>1997.5200000004843</v>
      </c>
      <c r="W28" s="92">
        <f>'[1]February - 2020'!AD28</f>
        <v>1997.5200000004843</v>
      </c>
      <c r="X28" s="287">
        <f>'[1]February - 2020'!AF28</f>
        <v>10876398.959999999</v>
      </c>
      <c r="Y28" s="288">
        <f>'[1]February - 2020'!AG28</f>
        <v>4872</v>
      </c>
      <c r="Z28" s="92">
        <f>'[1]February - 2020'!AG28</f>
        <v>4872</v>
      </c>
      <c r="AA28" s="287">
        <f>'[1]February - 2020'!AI28</f>
        <v>9862681.9199999999</v>
      </c>
      <c r="AB28" s="288">
        <f>'[1]February - 2020'!AJ28</f>
        <v>8331.1200000010431</v>
      </c>
      <c r="AC28" s="92">
        <f>'[1]February - 2020'!AJ28</f>
        <v>8331.1200000010431</v>
      </c>
      <c r="AD28" s="287">
        <f>'[1]February - 2020'!AL28</f>
        <v>13247796.24</v>
      </c>
      <c r="AE28" s="288">
        <f>'[1]February - 2020'!AM28</f>
        <v>48.720000000670552</v>
      </c>
      <c r="AF28" s="92">
        <f>'[1]February - 2020'!AM28</f>
        <v>48.720000000670552</v>
      </c>
      <c r="AG28" s="287">
        <f>'[1]February - 2020'!AO28</f>
        <v>13244288.4</v>
      </c>
      <c r="AH28" s="288">
        <f>'[1]February - 2020'!AP28</f>
        <v>584.64000000059605</v>
      </c>
      <c r="AI28" s="92">
        <f>'[1]February - 2020'!AP28</f>
        <v>584.64000000059605</v>
      </c>
      <c r="AJ28" s="287">
        <f>'[1]February - 2020'!AR28</f>
        <v>12229012.319999998</v>
      </c>
      <c r="AK28" s="288">
        <f>'[1]February - 2020'!AS28</f>
        <v>5846.3999999985099</v>
      </c>
      <c r="AL28" s="92">
        <f>'[1]February - 2020'!AS28</f>
        <v>5846.3999999985099</v>
      </c>
      <c r="AM28" s="287">
        <f>'[1]February - 2020'!AU28</f>
        <v>10610680.08</v>
      </c>
      <c r="AN28" s="288">
        <f>'[1]February - 2020'!AV28</f>
        <v>3702.7200000006706</v>
      </c>
      <c r="AO28" s="92">
        <f>'[1]February - 2020'!AV28</f>
        <v>3702.7200000006706</v>
      </c>
      <c r="AP28" s="287">
        <f>'[1]February - 2020'!AX28</f>
        <v>10289371.68</v>
      </c>
      <c r="AQ28" s="288">
        <f>'[1]February - 2020'!AY28</f>
        <v>4872</v>
      </c>
      <c r="AR28" s="92">
        <f>'[1]February - 2020'!AY28</f>
        <v>4872</v>
      </c>
      <c r="AS28" s="287">
        <f>'[1]February - 2020'!BA28</f>
        <v>8200599.1199999992</v>
      </c>
      <c r="AT28" s="288">
        <f>'[1]February - 2020'!BB28</f>
        <v>2923.2000000001863</v>
      </c>
      <c r="AU28" s="92">
        <f>'[1]February - 2020'!BB28</f>
        <v>2923.2000000001863</v>
      </c>
      <c r="AV28" s="287">
        <f>'[1]February - 2020'!BD28</f>
        <v>12149842.319999998</v>
      </c>
      <c r="AW28" s="252">
        <f>'[1]February - 2020'!BE28</f>
        <v>5261.7599999997765</v>
      </c>
      <c r="AX28" s="253">
        <f>'[1]February - 2020'!BE28</f>
        <v>5261.7599999997765</v>
      </c>
      <c r="AY28" s="475"/>
      <c r="AZ28" s="272">
        <f>'[1]February - 2020'!BK28</f>
        <v>49842700</v>
      </c>
      <c r="BA28" s="179">
        <f>'[1]February - 2020'!BL28</f>
        <v>45900</v>
      </c>
      <c r="BB28" s="93">
        <f>'[1]February - 2020'!BL28</f>
        <v>45900</v>
      </c>
      <c r="BC28" s="272">
        <f>'[1]February - 2020'!BN28</f>
        <v>54399300</v>
      </c>
      <c r="BD28" s="245">
        <f>'[1]February - 2020'!BO28</f>
        <v>0</v>
      </c>
      <c r="BE28" s="93">
        <f>'[1]February - 2020'!BO28</f>
        <v>0</v>
      </c>
      <c r="BF28" s="272">
        <f>'[1]February - 2020'!BQ28</f>
        <v>48047200</v>
      </c>
      <c r="BG28" s="245">
        <f>'[1]February - 2020'!BR28</f>
        <v>0</v>
      </c>
      <c r="BH28" s="93">
        <f>'[1]February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- 2020'!BT28</f>
        <v>4180990</v>
      </c>
      <c r="BT28" s="185">
        <f>'[1]February - 2020'!BU28</f>
        <v>4570</v>
      </c>
      <c r="BU28" s="383"/>
      <c r="BV28" s="88">
        <f>'[1]February - 2020'!BW28</f>
        <v>0.71</v>
      </c>
      <c r="BW28" s="241">
        <f>'[1]February - 2020'!BX28</f>
        <v>-8.0000000000000071E-2</v>
      </c>
      <c r="BX28" s="88">
        <f>'[1]February - 2020'!BX28</f>
        <v>-8.0000000000000071E-2</v>
      </c>
      <c r="BY28" s="89">
        <f>'[1]February - 2020'!BZ28</f>
        <v>45415</v>
      </c>
      <c r="BZ28" s="191">
        <f>'[1]February - 2020'!CA28</f>
        <v>18</v>
      </c>
      <c r="CA28" s="89">
        <f>'[1]February - 2020'!CB28</f>
        <v>40122</v>
      </c>
      <c r="CB28" s="191">
        <f>'[1]February - 2020'!CC28</f>
        <v>16</v>
      </c>
      <c r="CC28" s="89">
        <f>'[1]February - 2020'!CD28</f>
        <v>13469</v>
      </c>
      <c r="CD28" s="191">
        <f>'[1]February - 2020'!CE28</f>
        <v>9</v>
      </c>
      <c r="CE28" s="89">
        <f>'[1]February - 2020'!CF28</f>
        <v>17055</v>
      </c>
      <c r="CF28" s="191">
        <f>'[1]February - 2020'!CG28</f>
        <v>11</v>
      </c>
      <c r="CG28" s="89">
        <f>'[1]February - 2020'!CH28</f>
        <v>19409</v>
      </c>
      <c r="CH28" s="191">
        <f>'[1]February - 2020'!CI28</f>
        <v>11</v>
      </c>
      <c r="CI28" s="89">
        <f>'[1]February - 2020'!CJ28</f>
        <v>41413</v>
      </c>
      <c r="CJ28" s="191">
        <f>'[1]February - 2020'!CK28</f>
        <v>27</v>
      </c>
      <c r="CK28" s="89">
        <f>'[1]February - 2020'!CL28</f>
        <v>178250</v>
      </c>
      <c r="CL28" s="246">
        <f>'[1]February - 2020'!CM28</f>
        <v>94</v>
      </c>
      <c r="CM28" s="89">
        <f>'[1]February - 2020'!CM28</f>
        <v>94</v>
      </c>
      <c r="CN28" s="89">
        <f>'[1]February - 2020'!CO28</f>
        <v>130000</v>
      </c>
      <c r="CO28" s="246">
        <f>'[1]February - 2020'!CP28</f>
        <v>95</v>
      </c>
      <c r="CP28" s="89">
        <f>'[1]February - 2020'!CP28</f>
        <v>95</v>
      </c>
      <c r="CQ28" s="89">
        <f>'[1]February - 2020'!CR28</f>
        <v>250114</v>
      </c>
      <c r="CR28" s="246">
        <f>'[1]February - 2020'!CS28</f>
        <v>251</v>
      </c>
      <c r="CS28" s="89">
        <f>'[1]February - 2020'!CS28</f>
        <v>251</v>
      </c>
      <c r="CT28" s="89">
        <f>'[1]February - 2020'!CU28</f>
        <v>479018</v>
      </c>
      <c r="CU28" s="191">
        <f>'[1]February - 2020'!CV28</f>
        <v>165</v>
      </c>
      <c r="CV28" s="442"/>
      <c r="CW28" s="256">
        <f>'[1]February - 2020'!CX28</f>
        <v>347</v>
      </c>
      <c r="CX28" s="198">
        <f>'[1]February - 2020'!CY28</f>
        <v>0</v>
      </c>
      <c r="CY28" s="257">
        <f>'[1]February - 2020'!CZ28</f>
        <v>1330</v>
      </c>
      <c r="CZ28" s="198">
        <f>'[1]February - 2020'!DA28</f>
        <v>0</v>
      </c>
      <c r="DA28" s="257">
        <f>'[1]February - 2020'!DB28</f>
        <v>19210</v>
      </c>
      <c r="DB28" s="198">
        <f>'[1]February - 2020'!DC28</f>
        <v>16</v>
      </c>
      <c r="DC28" s="257">
        <f>'[1]February - 2020'!DD28</f>
        <v>19744</v>
      </c>
      <c r="DD28" s="198">
        <f>'[1]February - 2020'!DE28</f>
        <v>12</v>
      </c>
      <c r="DE28" s="257">
        <f>'[1]February - 2020'!DF28</f>
        <v>13835</v>
      </c>
      <c r="DF28" s="198">
        <f>'[1]February - 2020'!DG28</f>
        <v>10</v>
      </c>
      <c r="DG28" s="257">
        <f>'[1]February - 2020'!DH28</f>
        <v>17435</v>
      </c>
      <c r="DH28" s="198">
        <f>'[1]February - 2020'!DI28</f>
        <v>7</v>
      </c>
      <c r="DI28" s="257">
        <f>'[1]February - 2020'!DJ28</f>
        <v>825</v>
      </c>
      <c r="DJ28" s="198">
        <f>'[1]February - 2020'!DK28</f>
        <v>0</v>
      </c>
      <c r="DK28" s="257">
        <f>'[1]February - 2020'!DL28</f>
        <v>3570</v>
      </c>
      <c r="DL28" s="198">
        <f>'[1]February - 2020'!DM28</f>
        <v>0</v>
      </c>
      <c r="DM28" s="257">
        <f>'[1]February - 2020'!DN28</f>
        <v>1143</v>
      </c>
      <c r="DN28" s="198">
        <f>'[1]February - 2020'!DO28</f>
        <v>0</v>
      </c>
      <c r="DO28" s="257">
        <f>'[1]February - 2020'!DP28</f>
        <v>1229</v>
      </c>
      <c r="DP28" s="198">
        <f>'[1]February - 2020'!DQ28</f>
        <v>0</v>
      </c>
      <c r="DQ28" s="257">
        <f>'[1]February - 2020'!DR28</f>
        <v>17283</v>
      </c>
      <c r="DR28" s="206">
        <f>'[1]February - 2020'!DS28</f>
        <v>1</v>
      </c>
      <c r="DS28" s="427"/>
      <c r="DT28" s="210">
        <f>'[1]February - 2020'!DU28</f>
        <v>2802605</v>
      </c>
      <c r="DU28" s="221">
        <f>'[1]February - 2020'!DV28</f>
        <v>1551</v>
      </c>
      <c r="DV28" s="91">
        <f>'[1]February - 2020'!DW28</f>
        <v>4695</v>
      </c>
      <c r="DW28" s="215">
        <f>'[1]February - 2020'!DX28</f>
        <v>5</v>
      </c>
      <c r="DX28" s="91">
        <f>'[1]February - 2020'!DY28</f>
        <v>1853912</v>
      </c>
      <c r="DY28" s="215">
        <f>'[1]February - 2020'!DZ28</f>
        <v>1104</v>
      </c>
      <c r="DZ28" s="91">
        <f>'[1]February - 2020'!EA28</f>
        <v>252672</v>
      </c>
      <c r="EA28" s="215">
        <f>'[1]February - 2020'!EB28</f>
        <v>4</v>
      </c>
      <c r="EB28" s="91">
        <f>'[1]February - 2020'!EC28</f>
        <v>467594</v>
      </c>
      <c r="EC28" s="215">
        <f>'[1]February - 2020'!ED28</f>
        <v>577</v>
      </c>
      <c r="ED28" s="91">
        <f>'[1]February - 2020'!EG28</f>
        <v>91940</v>
      </c>
      <c r="EE28" s="229">
        <f>'[1]February - 2020'!EH28</f>
        <v>146</v>
      </c>
      <c r="EF28" s="367"/>
      <c r="EG28" s="235">
        <f>'[1]February - 2020'!EJ28</f>
        <v>6852000</v>
      </c>
      <c r="EH28" s="230">
        <f>'[1]February - 2020'!EK28</f>
        <v>5600</v>
      </c>
      <c r="EI28" s="90">
        <f>'[1]February - 2020'!EL28</f>
        <v>606440</v>
      </c>
      <c r="EJ28" s="230">
        <f>'[1]February - 2020'!EM28</f>
        <v>470</v>
      </c>
      <c r="EK28" s="90">
        <f>'[1]February - 2020'!EN28</f>
        <v>4654500</v>
      </c>
      <c r="EL28" s="230">
        <f>'[1]February - 2020'!EO28</f>
        <v>3000</v>
      </c>
      <c r="EM28" s="90">
        <f>'[1]February - 2020'!EP28</f>
        <v>1989100</v>
      </c>
      <c r="EN28" s="230">
        <f>'[1]February - 2020'!EQ28</f>
        <v>0</v>
      </c>
      <c r="EO28" s="90">
        <f>'[1]February - 2020'!ER28</f>
        <v>682590</v>
      </c>
      <c r="EP28" s="230">
        <f>'[1]February - 2020'!ES28</f>
        <v>280</v>
      </c>
      <c r="EQ28" s="90">
        <f>'[1]February - 2020'!ET28</f>
        <v>10743900</v>
      </c>
      <c r="ER28" s="230">
        <f>'[1]February - 2020'!EU28</f>
        <v>3100</v>
      </c>
      <c r="ES28" s="414"/>
      <c r="ET28" s="284">
        <f>'[1]February - 2020'!EW28</f>
        <v>28429</v>
      </c>
      <c r="EU28" s="278">
        <f>'[1]February - 2020'!EX28</f>
        <v>15</v>
      </c>
      <c r="EV28" s="285">
        <f>'[1]February - 2020'!EY28</f>
        <v>24850</v>
      </c>
      <c r="EW28" s="278">
        <f>'[1]February - 2020'!EZ28</f>
        <v>15</v>
      </c>
      <c r="EX28" s="285">
        <f>'[1]February - 2020'!FA28</f>
        <v>0</v>
      </c>
      <c r="EY28" s="278">
        <f>'[1]February - 2020'!FB28</f>
        <v>0</v>
      </c>
      <c r="EZ28" s="285">
        <f>'[1]February - 2020'!FC28</f>
        <v>45162</v>
      </c>
      <c r="FA28" s="278">
        <f>'[1]February - 2020'!FD28</f>
        <v>32</v>
      </c>
      <c r="FB28" s="285">
        <f>'[1]February - 2020'!FE28</f>
        <v>21640</v>
      </c>
      <c r="FC28" s="279">
        <f>'[1]February - 2020'!FF28</f>
        <v>29</v>
      </c>
    </row>
    <row r="29" spans="1:159" ht="30" customHeight="1" x14ac:dyDescent="0.25">
      <c r="A29" s="207">
        <v>43850</v>
      </c>
      <c r="B29" s="209">
        <f>'[1]February - 2020'!B29</f>
        <v>0.96</v>
      </c>
      <c r="C29" s="250">
        <f>'[1]February - 2020'!E29</f>
        <v>541121</v>
      </c>
      <c r="D29" s="170">
        <f>'[1]February - 2020'!F29</f>
        <v>549</v>
      </c>
      <c r="E29" s="168">
        <f>'[1]February - 2020'!G29</f>
        <v>461</v>
      </c>
      <c r="F29" s="168">
        <f>'[1]February - 2020'!H29</f>
        <v>708465</v>
      </c>
      <c r="G29" s="170">
        <f>'[1]February - 2020'!I29</f>
        <v>452</v>
      </c>
      <c r="H29" s="168">
        <f>'[1]February - 2020'!J29</f>
        <v>409</v>
      </c>
      <c r="I29" s="168">
        <f>'[1]February - 2020'!K29</f>
        <v>27995</v>
      </c>
      <c r="J29" s="170">
        <f>'[1]February - 2020'!L29</f>
        <v>182</v>
      </c>
      <c r="K29" s="168">
        <f>'[1]February - 2020'!N29</f>
        <v>618557</v>
      </c>
      <c r="L29" s="170">
        <f>'[1]February - 2020'!O29</f>
        <v>146</v>
      </c>
      <c r="M29" s="168">
        <f>'[1]February - 2020'!Q29</f>
        <v>156876</v>
      </c>
      <c r="N29" s="170">
        <f>'[1]February - 2020'!R29</f>
        <v>0</v>
      </c>
      <c r="O29" s="168">
        <f>'[1]February - 2020'!S29</f>
        <v>96993</v>
      </c>
      <c r="P29" s="170">
        <f>'[1]February - 2020'!T29</f>
        <v>0</v>
      </c>
      <c r="Q29" s="168">
        <f>'[1]February - 2020'!U29</f>
        <v>76</v>
      </c>
      <c r="R29" s="168">
        <f>'[1]February - 2020'!V29</f>
        <v>7520</v>
      </c>
      <c r="S29" s="208">
        <f>'[1]February - 2020'!W29</f>
        <v>0</v>
      </c>
      <c r="T29" s="509"/>
      <c r="U29" s="169">
        <f>'[1]February - 2020'!AC29</f>
        <v>5563385.5200000005</v>
      </c>
      <c r="V29" s="288">
        <f>'[1]February - 2020'!AD29</f>
        <v>1900.0800000000745</v>
      </c>
      <c r="W29" s="92">
        <f>'[1]February - 2020'!AD29</f>
        <v>1900.0800000000745</v>
      </c>
      <c r="X29" s="287">
        <f>'[1]February - 2020'!AF29</f>
        <v>10881222.24</v>
      </c>
      <c r="Y29" s="288">
        <f>'[1]February - 2020'!AG29</f>
        <v>4823.2800000011921</v>
      </c>
      <c r="Z29" s="92">
        <f>'[1]February - 2020'!AG29</f>
        <v>4823.2800000011921</v>
      </c>
      <c r="AA29" s="287">
        <f>'[1]February - 2020'!AI29</f>
        <v>9870769.4399999995</v>
      </c>
      <c r="AB29" s="288">
        <f>'[1]February - 2020'!AJ29</f>
        <v>8087.519999999553</v>
      </c>
      <c r="AC29" s="92">
        <f>'[1]February - 2020'!AJ29</f>
        <v>8087.519999999553</v>
      </c>
      <c r="AD29" s="287">
        <f>'[1]February - 2020'!AL29</f>
        <v>13247844.959999999</v>
      </c>
      <c r="AE29" s="288">
        <f>'[1]February - 2020'!AM29</f>
        <v>48.719999998807907</v>
      </c>
      <c r="AF29" s="92">
        <f>'[1]February - 2020'!AM29</f>
        <v>48.719999998807907</v>
      </c>
      <c r="AG29" s="287">
        <f>'[1]February - 2020'!AO29</f>
        <v>13244873.040000001</v>
      </c>
      <c r="AH29" s="288">
        <f>'[1]February - 2020'!AP29</f>
        <v>584.64000000059605</v>
      </c>
      <c r="AI29" s="92">
        <f>'[1]February - 2020'!AP29</f>
        <v>584.64000000059605</v>
      </c>
      <c r="AJ29" s="287">
        <f>'[1]February - 2020'!AR29</f>
        <v>12234956.16</v>
      </c>
      <c r="AK29" s="288">
        <f>'[1]February - 2020'!AS29</f>
        <v>5943.8400000017136</v>
      </c>
      <c r="AL29" s="92">
        <f>'[1]February - 2020'!AS29</f>
        <v>5943.8400000017136</v>
      </c>
      <c r="AM29" s="287">
        <f>'[1]February - 2020'!AU29</f>
        <v>10614334.08</v>
      </c>
      <c r="AN29" s="288">
        <f>'[1]February - 2020'!AV29</f>
        <v>3654</v>
      </c>
      <c r="AO29" s="92">
        <f>'[1]February - 2020'!AV29</f>
        <v>3654</v>
      </c>
      <c r="AP29" s="287">
        <f>'[1]February - 2020'!AX29</f>
        <v>10294048.799999999</v>
      </c>
      <c r="AQ29" s="288">
        <f>'[1]February - 2020'!AY29</f>
        <v>4677.1199999991804</v>
      </c>
      <c r="AR29" s="92">
        <f>'[1]February - 2020'!AY29</f>
        <v>4677.1199999991804</v>
      </c>
      <c r="AS29" s="287">
        <f>'[1]February - 2020'!BA29</f>
        <v>8203668.4800000004</v>
      </c>
      <c r="AT29" s="288">
        <f>'[1]February - 2020'!BB29</f>
        <v>3069.3600000012666</v>
      </c>
      <c r="AU29" s="92">
        <f>'[1]February - 2020'!BB29</f>
        <v>3069.3600000012666</v>
      </c>
      <c r="AV29" s="287">
        <f>'[1]February - 2020'!BD29</f>
        <v>12155834.880000001</v>
      </c>
      <c r="AW29" s="252">
        <f>'[1]February - 2020'!BE29</f>
        <v>5992.5600000023842</v>
      </c>
      <c r="AX29" s="253">
        <f>'[1]February - 2020'!BE29</f>
        <v>5992.5600000023842</v>
      </c>
      <c r="AY29" s="475"/>
      <c r="AZ29" s="272">
        <f>'[1]February - 2020'!BK29</f>
        <v>49842700</v>
      </c>
      <c r="BA29" s="179">
        <f>'[1]February - 2020'!BL29</f>
        <v>0</v>
      </c>
      <c r="BB29" s="93">
        <f>'[1]February - 2020'!BL29</f>
        <v>0</v>
      </c>
      <c r="BC29" s="272">
        <f>'[1]February - 2020'!BN29</f>
        <v>54399300</v>
      </c>
      <c r="BD29" s="245">
        <f>'[1]February - 2020'!BO29</f>
        <v>0</v>
      </c>
      <c r="BE29" s="93">
        <f>'[1]February - 2020'!BO29</f>
        <v>0</v>
      </c>
      <c r="BF29" s="272">
        <f>'[1]February - 2020'!BQ29</f>
        <v>48047200</v>
      </c>
      <c r="BG29" s="245">
        <f>'[1]February - 2020'!BR29</f>
        <v>0</v>
      </c>
      <c r="BH29" s="93">
        <f>'[1]February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- 2020'!BT29</f>
        <v>4185350</v>
      </c>
      <c r="BT29" s="185">
        <f>'[1]February - 2020'!BU29</f>
        <v>4360</v>
      </c>
      <c r="BU29" s="383"/>
      <c r="BV29" s="88">
        <f>'[1]February - 2020'!BW29</f>
        <v>0.63</v>
      </c>
      <c r="BW29" s="241">
        <f>'[1]February - 2020'!BX29</f>
        <v>-7.999999999999996E-2</v>
      </c>
      <c r="BX29" s="88">
        <f>'[1]February - 2020'!BX29</f>
        <v>-7.999999999999996E-2</v>
      </c>
      <c r="BY29" s="89">
        <f>'[1]February - 2020'!BZ29</f>
        <v>45439</v>
      </c>
      <c r="BZ29" s="191">
        <f>'[1]February - 2020'!CA29</f>
        <v>24</v>
      </c>
      <c r="CA29" s="89">
        <f>'[1]February - 2020'!CB29</f>
        <v>40136</v>
      </c>
      <c r="CB29" s="191">
        <f>'[1]February - 2020'!CC29</f>
        <v>14</v>
      </c>
      <c r="CC29" s="89">
        <f>'[1]February - 2020'!CD29</f>
        <v>13474</v>
      </c>
      <c r="CD29" s="191">
        <f>'[1]February - 2020'!CE29</f>
        <v>5</v>
      </c>
      <c r="CE29" s="89">
        <f>'[1]February - 2020'!CF29</f>
        <v>17064</v>
      </c>
      <c r="CF29" s="191">
        <f>'[1]February - 2020'!CG29</f>
        <v>9</v>
      </c>
      <c r="CG29" s="89">
        <f>'[1]February - 2020'!CH29</f>
        <v>19416</v>
      </c>
      <c r="CH29" s="191">
        <f>'[1]February - 2020'!CI29</f>
        <v>7</v>
      </c>
      <c r="CI29" s="89">
        <f>'[1]February - 2020'!CJ29</f>
        <v>41444</v>
      </c>
      <c r="CJ29" s="191">
        <f>'[1]February - 2020'!CK29</f>
        <v>31</v>
      </c>
      <c r="CK29" s="89">
        <f>'[1]February - 2020'!CL29</f>
        <v>178341</v>
      </c>
      <c r="CL29" s="246">
        <f>'[1]February - 2020'!CM29</f>
        <v>91</v>
      </c>
      <c r="CM29" s="89">
        <f>'[1]February - 2020'!CM29</f>
        <v>91</v>
      </c>
      <c r="CN29" s="89">
        <f>'[1]February - 2020'!CO29</f>
        <v>130097</v>
      </c>
      <c r="CO29" s="246">
        <f>'[1]February - 2020'!CP29</f>
        <v>97</v>
      </c>
      <c r="CP29" s="89">
        <f>'[1]February - 2020'!CP29</f>
        <v>97</v>
      </c>
      <c r="CQ29" s="89">
        <f>'[1]February - 2020'!CR29</f>
        <v>250359</v>
      </c>
      <c r="CR29" s="246">
        <f>'[1]February - 2020'!CS29</f>
        <v>245</v>
      </c>
      <c r="CS29" s="89">
        <f>'[1]February - 2020'!CS29</f>
        <v>245</v>
      </c>
      <c r="CT29" s="89">
        <f>'[1]February - 2020'!CU29</f>
        <v>479180</v>
      </c>
      <c r="CU29" s="191">
        <f>'[1]February - 2020'!CV29</f>
        <v>162</v>
      </c>
      <c r="CV29" s="442"/>
      <c r="CW29" s="256">
        <f>'[1]February - 2020'!CX29</f>
        <v>347</v>
      </c>
      <c r="CX29" s="198">
        <f>'[1]February - 2020'!CY29</f>
        <v>0</v>
      </c>
      <c r="CY29" s="257">
        <f>'[1]February - 2020'!CZ29</f>
        <v>1330</v>
      </c>
      <c r="CZ29" s="198">
        <f>'[1]February - 2020'!DA29</f>
        <v>0</v>
      </c>
      <c r="DA29" s="257">
        <f>'[1]February - 2020'!DB29</f>
        <v>19227</v>
      </c>
      <c r="DB29" s="198">
        <f>'[1]February - 2020'!DC29</f>
        <v>17</v>
      </c>
      <c r="DC29" s="257">
        <f>'[1]February - 2020'!DD29</f>
        <v>19760</v>
      </c>
      <c r="DD29" s="198">
        <f>'[1]February - 2020'!DE29</f>
        <v>16</v>
      </c>
      <c r="DE29" s="257">
        <f>'[1]February - 2020'!DF29</f>
        <v>13847</v>
      </c>
      <c r="DF29" s="198">
        <f>'[1]February - 2020'!DG29</f>
        <v>12</v>
      </c>
      <c r="DG29" s="257">
        <f>'[1]February - 2020'!DH29</f>
        <v>17443</v>
      </c>
      <c r="DH29" s="198">
        <f>'[1]February - 2020'!DI29</f>
        <v>8</v>
      </c>
      <c r="DI29" s="257">
        <f>'[1]February - 2020'!DJ29</f>
        <v>825</v>
      </c>
      <c r="DJ29" s="198">
        <f>'[1]February - 2020'!DK29</f>
        <v>0</v>
      </c>
      <c r="DK29" s="257">
        <f>'[1]February - 2020'!DL29</f>
        <v>3570</v>
      </c>
      <c r="DL29" s="198">
        <f>'[1]February - 2020'!DM29</f>
        <v>0</v>
      </c>
      <c r="DM29" s="257">
        <f>'[1]February - 2020'!DN29</f>
        <v>1158</v>
      </c>
      <c r="DN29" s="198">
        <f>'[1]February - 2020'!DO29</f>
        <v>15</v>
      </c>
      <c r="DO29" s="257">
        <f>'[1]February - 2020'!DP29</f>
        <v>1233</v>
      </c>
      <c r="DP29" s="198">
        <f>'[1]February - 2020'!DQ29</f>
        <v>4</v>
      </c>
      <c r="DQ29" s="257">
        <f>'[1]February - 2020'!DR29</f>
        <v>17292</v>
      </c>
      <c r="DR29" s="206">
        <f>'[1]February - 2020'!DS29</f>
        <v>9</v>
      </c>
      <c r="DS29" s="427"/>
      <c r="DT29" s="210">
        <f>'[1]February - 2020'!DU29</f>
        <v>2804170</v>
      </c>
      <c r="DU29" s="221">
        <f>'[1]February - 2020'!DV29</f>
        <v>1565</v>
      </c>
      <c r="DV29" s="91">
        <f>'[1]February - 2020'!DW29</f>
        <v>4700</v>
      </c>
      <c r="DW29" s="215">
        <f>'[1]February - 2020'!DX29</f>
        <v>5</v>
      </c>
      <c r="DX29" s="91">
        <f>'[1]February - 2020'!DY29</f>
        <v>1854955</v>
      </c>
      <c r="DY29" s="215">
        <f>'[1]February - 2020'!DZ29</f>
        <v>1043</v>
      </c>
      <c r="DZ29" s="91">
        <f>'[1]February - 2020'!EA29</f>
        <v>252676</v>
      </c>
      <c r="EA29" s="215">
        <f>'[1]February - 2020'!EB29</f>
        <v>4</v>
      </c>
      <c r="EB29" s="91">
        <f>'[1]February - 2020'!EC29</f>
        <v>468192</v>
      </c>
      <c r="EC29" s="215">
        <f>'[1]February - 2020'!ED29</f>
        <v>598</v>
      </c>
      <c r="ED29" s="91">
        <f>'[1]February - 2020'!EG29</f>
        <v>92089</v>
      </c>
      <c r="EE29" s="229">
        <f>'[1]February - 2020'!EH29</f>
        <v>149</v>
      </c>
      <c r="EF29" s="367"/>
      <c r="EG29" s="235">
        <f>'[1]February - 2020'!EJ29</f>
        <v>6854700</v>
      </c>
      <c r="EH29" s="230">
        <f>'[1]February - 2020'!EK29</f>
        <v>2700</v>
      </c>
      <c r="EI29" s="90">
        <f>'[1]February - 2020'!EL29</f>
        <v>606680</v>
      </c>
      <c r="EJ29" s="230">
        <f>'[1]February - 2020'!EM29</f>
        <v>240</v>
      </c>
      <c r="EK29" s="90">
        <f>'[1]February - 2020'!EN29</f>
        <v>4656100</v>
      </c>
      <c r="EL29" s="230">
        <f>'[1]February - 2020'!EO29</f>
        <v>1600</v>
      </c>
      <c r="EM29" s="90">
        <f>'[1]February - 2020'!EP29</f>
        <v>1989100</v>
      </c>
      <c r="EN29" s="230">
        <f>'[1]February - 2020'!EQ29</f>
        <v>0</v>
      </c>
      <c r="EO29" s="90">
        <f>'[1]February - 2020'!ER29</f>
        <v>682730</v>
      </c>
      <c r="EP29" s="230">
        <f>'[1]February - 2020'!ES29</f>
        <v>140</v>
      </c>
      <c r="EQ29" s="90">
        <f>'[1]February - 2020'!ET29</f>
        <v>10745600</v>
      </c>
      <c r="ER29" s="230">
        <f>'[1]February - 2020'!EU29</f>
        <v>1700</v>
      </c>
      <c r="ES29" s="414"/>
      <c r="ET29" s="284">
        <f>'[1]February - 2020'!EW29</f>
        <v>28447</v>
      </c>
      <c r="EU29" s="278">
        <f>'[1]February - 2020'!EX29</f>
        <v>18</v>
      </c>
      <c r="EV29" s="285">
        <f>'[1]February - 2020'!EY29</f>
        <v>24864</v>
      </c>
      <c r="EW29" s="278">
        <f>'[1]February - 2020'!EZ29</f>
        <v>14</v>
      </c>
      <c r="EX29" s="285">
        <f>'[1]February - 2020'!FA29</f>
        <v>0</v>
      </c>
      <c r="EY29" s="278">
        <f>'[1]February - 2020'!FB29</f>
        <v>0</v>
      </c>
      <c r="EZ29" s="285">
        <f>'[1]February - 2020'!FC29</f>
        <v>45194</v>
      </c>
      <c r="FA29" s="278">
        <f>'[1]February - 2020'!FD29</f>
        <v>32</v>
      </c>
      <c r="FB29" s="285">
        <f>'[1]February - 2020'!FE29</f>
        <v>21670</v>
      </c>
      <c r="FC29" s="279">
        <f>'[1]February - 2020'!FF29</f>
        <v>30</v>
      </c>
    </row>
    <row r="30" spans="1:159" ht="30" customHeight="1" x14ac:dyDescent="0.25">
      <c r="A30" s="207">
        <v>43851</v>
      </c>
      <c r="B30" s="209">
        <f>'[1]February - 2020'!B30</f>
        <v>0.96</v>
      </c>
      <c r="C30" s="250">
        <f>'[1]February - 2020'!E30</f>
        <v>541788</v>
      </c>
      <c r="D30" s="170">
        <f>'[1]February - 2020'!F30</f>
        <v>667</v>
      </c>
      <c r="E30" s="168">
        <f>'[1]February - 2020'!G30</f>
        <v>473</v>
      </c>
      <c r="F30" s="168">
        <f>'[1]February - 2020'!H30</f>
        <v>709030</v>
      </c>
      <c r="G30" s="170">
        <f>'[1]February - 2020'!I30</f>
        <v>565</v>
      </c>
      <c r="H30" s="168">
        <f>'[1]February - 2020'!J30</f>
        <v>402</v>
      </c>
      <c r="I30" s="168">
        <f>'[1]February - 2020'!K30</f>
        <v>28119</v>
      </c>
      <c r="J30" s="170">
        <f>'[1]February - 2020'!L30</f>
        <v>124</v>
      </c>
      <c r="K30" s="168">
        <f>'[1]February - 2020'!N30</f>
        <v>618719</v>
      </c>
      <c r="L30" s="170">
        <f>'[1]February - 2020'!O30</f>
        <v>162</v>
      </c>
      <c r="M30" s="168">
        <f>'[1]February - 2020'!Q30</f>
        <v>156876</v>
      </c>
      <c r="N30" s="170">
        <f>'[1]February - 2020'!R30</f>
        <v>0</v>
      </c>
      <c r="O30" s="168">
        <f>'[1]February - 2020'!S30</f>
        <v>97082</v>
      </c>
      <c r="P30" s="170">
        <f>'[1]February - 2020'!T30</f>
        <v>89</v>
      </c>
      <c r="Q30" s="168">
        <f>'[1]February - 2020'!U30</f>
        <v>68</v>
      </c>
      <c r="R30" s="168">
        <f>'[1]February - 2020'!V30</f>
        <v>7537</v>
      </c>
      <c r="S30" s="208">
        <f>'[1]February - 2020'!W30</f>
        <v>17</v>
      </c>
      <c r="T30" s="509"/>
      <c r="U30" s="169">
        <f>'[1]February - 2020'!AC30</f>
        <v>5565480.4799999995</v>
      </c>
      <c r="V30" s="288">
        <f>'[1]February - 2020'!AD30</f>
        <v>2094.9599999990314</v>
      </c>
      <c r="W30" s="92">
        <f>'[1]February - 2020'!AD30</f>
        <v>2094.9599999990314</v>
      </c>
      <c r="X30" s="287">
        <f>'[1]February - 2020'!AF30</f>
        <v>10886045.52</v>
      </c>
      <c r="Y30" s="288">
        <f>'[1]February - 2020'!AG30</f>
        <v>4823.2799999993294</v>
      </c>
      <c r="Z30" s="92">
        <f>'[1]February - 2020'!AG30</f>
        <v>4823.2799999993294</v>
      </c>
      <c r="AA30" s="287">
        <f>'[1]February - 2020'!AI30</f>
        <v>9881244.2400000002</v>
      </c>
      <c r="AB30" s="288">
        <f>'[1]February - 2020'!AJ30</f>
        <v>10474.800000000745</v>
      </c>
      <c r="AC30" s="92">
        <f>'[1]February - 2020'!AJ30</f>
        <v>10474.800000000745</v>
      </c>
      <c r="AD30" s="287">
        <f>'[1]February - 2020'!AL30</f>
        <v>13247893.68</v>
      </c>
      <c r="AE30" s="288">
        <f>'[1]February - 2020'!AM30</f>
        <v>48.720000000670552</v>
      </c>
      <c r="AF30" s="92">
        <f>'[1]February - 2020'!AM30</f>
        <v>48.720000000670552</v>
      </c>
      <c r="AG30" s="287">
        <f>'[1]February - 2020'!AO30</f>
        <v>13245652.559999999</v>
      </c>
      <c r="AH30" s="288">
        <f>'[1]February - 2020'!AP30</f>
        <v>779.51999999769032</v>
      </c>
      <c r="AI30" s="92">
        <f>'[1]February - 2020'!AP30</f>
        <v>779.51999999769032</v>
      </c>
      <c r="AJ30" s="287">
        <f>'[1]February - 2020'!AR30</f>
        <v>12240900</v>
      </c>
      <c r="AK30" s="288">
        <f>'[1]February - 2020'!AS30</f>
        <v>5943.839999999851</v>
      </c>
      <c r="AL30" s="92">
        <f>'[1]February - 2020'!AS30</f>
        <v>5943.839999999851</v>
      </c>
      <c r="AM30" s="287">
        <f>'[1]February - 2020'!AU30</f>
        <v>10618426.559999999</v>
      </c>
      <c r="AN30" s="288">
        <f>'[1]February - 2020'!AV30</f>
        <v>4092.4799999985844</v>
      </c>
      <c r="AO30" s="92">
        <f>'[1]February - 2020'!AV30</f>
        <v>4092.4799999985844</v>
      </c>
      <c r="AP30" s="287">
        <f>'[1]February - 2020'!AX30</f>
        <v>10299066.959999999</v>
      </c>
      <c r="AQ30" s="288">
        <f>'[1]February - 2020'!AY30</f>
        <v>5018.160000000149</v>
      </c>
      <c r="AR30" s="92">
        <f>'[1]February - 2020'!AY30</f>
        <v>5018.160000000149</v>
      </c>
      <c r="AS30" s="287">
        <f>'[1]February - 2020'!BA30</f>
        <v>8206981.4400000004</v>
      </c>
      <c r="AT30" s="288">
        <f>'[1]February - 2020'!BB30</f>
        <v>3312.9599999999627</v>
      </c>
      <c r="AU30" s="92">
        <f>'[1]February - 2020'!BB30</f>
        <v>3312.9599999999627</v>
      </c>
      <c r="AV30" s="287">
        <f>'[1]February - 2020'!BD30</f>
        <v>12161583.84</v>
      </c>
      <c r="AW30" s="252">
        <f>'[1]February - 2020'!BE30</f>
        <v>5748.9599999990314</v>
      </c>
      <c r="AX30" s="253">
        <f>'[1]February - 2020'!BE30</f>
        <v>5748.9599999990314</v>
      </c>
      <c r="AY30" s="475"/>
      <c r="AZ30" s="272">
        <f>'[1]February - 2020'!BK30</f>
        <v>49882900</v>
      </c>
      <c r="BA30" s="179">
        <f>'[1]February - 2020'!BL30</f>
        <v>40200</v>
      </c>
      <c r="BB30" s="93">
        <f>'[1]February - 2020'!BL30</f>
        <v>40200</v>
      </c>
      <c r="BC30" s="272">
        <f>'[1]February - 2020'!BN30</f>
        <v>54399300</v>
      </c>
      <c r="BD30" s="245">
        <f>'[1]February - 2020'!BO30</f>
        <v>0</v>
      </c>
      <c r="BE30" s="93">
        <f>'[1]February - 2020'!BO30</f>
        <v>0</v>
      </c>
      <c r="BF30" s="272">
        <f>'[1]February - 2020'!BQ30</f>
        <v>48047200</v>
      </c>
      <c r="BG30" s="245">
        <f>'[1]February - 2020'!BR30</f>
        <v>0</v>
      </c>
      <c r="BH30" s="93">
        <f>'[1]February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- 2020'!BT30</f>
        <v>4190710</v>
      </c>
      <c r="BT30" s="185">
        <f>'[1]February - 2020'!BU30</f>
        <v>5360</v>
      </c>
      <c r="BU30" s="383"/>
      <c r="BV30" s="88">
        <f>'[1]February - 2020'!BW30</f>
        <v>0.56000000000000005</v>
      </c>
      <c r="BW30" s="241">
        <f>'[1]February - 2020'!BX30</f>
        <v>-6.9999999999999951E-2</v>
      </c>
      <c r="BX30" s="88">
        <f>'[1]February - 2020'!BX30</f>
        <v>-6.9999999999999951E-2</v>
      </c>
      <c r="BY30" s="89">
        <f>'[1]February - 2020'!BZ30</f>
        <v>0</v>
      </c>
      <c r="BZ30" s="191">
        <f>'[1]February - 2020'!CA30</f>
        <v>-45439</v>
      </c>
      <c r="CA30" s="89">
        <f>'[1]February - 2020'!CB30</f>
        <v>0</v>
      </c>
      <c r="CB30" s="191">
        <f>'[1]February - 2020'!CC30</f>
        <v>-40136</v>
      </c>
      <c r="CC30" s="89">
        <f>'[1]February - 2020'!CD30</f>
        <v>0</v>
      </c>
      <c r="CD30" s="191">
        <f>'[1]February - 2020'!CE30</f>
        <v>-13474</v>
      </c>
      <c r="CE30" s="89">
        <f>'[1]February - 2020'!CF30</f>
        <v>0</v>
      </c>
      <c r="CF30" s="191">
        <f>'[1]February - 2020'!CG30</f>
        <v>-17064</v>
      </c>
      <c r="CG30" s="89">
        <f>'[1]February - 2020'!CH30</f>
        <v>0</v>
      </c>
      <c r="CH30" s="191">
        <f>'[1]February - 2020'!CI30</f>
        <v>-19416</v>
      </c>
      <c r="CI30" s="89">
        <f>'[1]February - 2020'!CJ30</f>
        <v>0</v>
      </c>
      <c r="CJ30" s="191">
        <f>'[1]February - 2020'!CK30</f>
        <v>-41444</v>
      </c>
      <c r="CK30" s="89">
        <f>'[1]February - 2020'!CL30</f>
        <v>178434</v>
      </c>
      <c r="CL30" s="246">
        <f>'[1]February - 2020'!CM30</f>
        <v>93</v>
      </c>
      <c r="CM30" s="89">
        <f>'[1]February - 2020'!CM30</f>
        <v>93</v>
      </c>
      <c r="CN30" s="89">
        <f>'[1]February - 2020'!CO30</f>
        <v>130195</v>
      </c>
      <c r="CO30" s="246">
        <f>'[1]February - 2020'!CP30</f>
        <v>98</v>
      </c>
      <c r="CP30" s="89">
        <f>'[1]February - 2020'!CP30</f>
        <v>98</v>
      </c>
      <c r="CQ30" s="89">
        <f>'[1]February - 2020'!CR30</f>
        <v>250609</v>
      </c>
      <c r="CR30" s="246">
        <f>'[1]February - 2020'!CS30</f>
        <v>250</v>
      </c>
      <c r="CS30" s="89">
        <f>'[1]February - 2020'!CS30</f>
        <v>250</v>
      </c>
      <c r="CT30" s="89">
        <f>'[1]February - 2020'!CU30</f>
        <v>479345</v>
      </c>
      <c r="CU30" s="191">
        <f>'[1]February - 2020'!CV30</f>
        <v>165</v>
      </c>
      <c r="CV30" s="442"/>
      <c r="CW30" s="256">
        <f>'[1]February - 2020'!CX30</f>
        <v>347</v>
      </c>
      <c r="CX30" s="198">
        <f>'[1]February - 2020'!CY30</f>
        <v>0</v>
      </c>
      <c r="CY30" s="257">
        <f>'[1]February - 2020'!CZ30</f>
        <v>1330</v>
      </c>
      <c r="CZ30" s="198">
        <f>'[1]February - 2020'!DA30</f>
        <v>0</v>
      </c>
      <c r="DA30" s="257">
        <f>'[1]February - 2020'!DB30</f>
        <v>19246</v>
      </c>
      <c r="DB30" s="198">
        <f>'[1]February - 2020'!DC30</f>
        <v>19</v>
      </c>
      <c r="DC30" s="257">
        <f>'[1]February - 2020'!DD30</f>
        <v>19778</v>
      </c>
      <c r="DD30" s="198">
        <f>'[1]February - 2020'!DE30</f>
        <v>18</v>
      </c>
      <c r="DE30" s="257">
        <f>'[1]February - 2020'!DF30</f>
        <v>13858</v>
      </c>
      <c r="DF30" s="198">
        <f>'[1]February - 2020'!DG30</f>
        <v>11</v>
      </c>
      <c r="DG30" s="257">
        <f>'[1]February - 2020'!DH30</f>
        <v>17452</v>
      </c>
      <c r="DH30" s="198">
        <f>'[1]February - 2020'!DI30</f>
        <v>9</v>
      </c>
      <c r="DI30" s="257">
        <f>'[1]February - 2020'!DJ30</f>
        <v>825</v>
      </c>
      <c r="DJ30" s="198">
        <f>'[1]February - 2020'!DK30</f>
        <v>0</v>
      </c>
      <c r="DK30" s="257">
        <f>'[1]February - 2020'!DL30</f>
        <v>3570</v>
      </c>
      <c r="DL30" s="198">
        <f>'[1]February - 2020'!DM30</f>
        <v>0</v>
      </c>
      <c r="DM30" s="257">
        <f>'[1]February - 2020'!DN30</f>
        <v>1166</v>
      </c>
      <c r="DN30" s="198">
        <f>'[1]February - 2020'!DO30</f>
        <v>8</v>
      </c>
      <c r="DO30" s="257">
        <f>'[1]February - 2020'!DP30</f>
        <v>1236</v>
      </c>
      <c r="DP30" s="198">
        <f>'[1]February - 2020'!DQ30</f>
        <v>3</v>
      </c>
      <c r="DQ30" s="257">
        <f>'[1]February - 2020'!DR30</f>
        <v>17302</v>
      </c>
      <c r="DR30" s="206">
        <f>'[1]February - 2020'!DS30</f>
        <v>10</v>
      </c>
      <c r="DS30" s="427"/>
      <c r="DT30" s="210">
        <f>'[1]February - 2020'!DU30</f>
        <v>2805781</v>
      </c>
      <c r="DU30" s="221">
        <f>'[1]February - 2020'!DV30</f>
        <v>1611</v>
      </c>
      <c r="DV30" s="91">
        <f>'[1]February - 2020'!DW30</f>
        <v>4705</v>
      </c>
      <c r="DW30" s="215">
        <f>'[1]February - 2020'!DX30</f>
        <v>5</v>
      </c>
      <c r="DX30" s="91">
        <f>'[1]February - 2020'!DY30</f>
        <v>1856051</v>
      </c>
      <c r="DY30" s="215">
        <f>'[1]February - 2020'!DZ30</f>
        <v>1096</v>
      </c>
      <c r="DZ30" s="91">
        <f>'[1]February - 2020'!EA30</f>
        <v>252681</v>
      </c>
      <c r="EA30" s="215">
        <f>'[1]February - 2020'!EB30</f>
        <v>5</v>
      </c>
      <c r="EB30" s="91">
        <f>'[1]February - 2020'!EC30</f>
        <v>468805</v>
      </c>
      <c r="EC30" s="215">
        <f>'[1]February - 2020'!ED30</f>
        <v>613</v>
      </c>
      <c r="ED30" s="91">
        <f>'[1]February - 2020'!EG30</f>
        <v>92242</v>
      </c>
      <c r="EE30" s="229">
        <f>'[1]February - 2020'!EH30</f>
        <v>153</v>
      </c>
      <c r="EF30" s="367"/>
      <c r="EG30" s="235">
        <f>'[1]February - 2020'!EJ30</f>
        <v>0</v>
      </c>
      <c r="EH30" s="230">
        <f>'[1]February - 2020'!EK30</f>
        <v>-6854700</v>
      </c>
      <c r="EI30" s="90">
        <f>'[1]February - 2020'!EL30</f>
        <v>0</v>
      </c>
      <c r="EJ30" s="230">
        <f>'[1]February - 2020'!EM30</f>
        <v>-606680</v>
      </c>
      <c r="EK30" s="90">
        <f>'[1]February - 2020'!EN30</f>
        <v>0</v>
      </c>
      <c r="EL30" s="230">
        <f>'[1]February - 2020'!EO30</f>
        <v>-4656100</v>
      </c>
      <c r="EM30" s="90">
        <f>'[1]February - 2020'!EP30</f>
        <v>0</v>
      </c>
      <c r="EN30" s="230">
        <f>'[1]February - 2020'!EQ30</f>
        <v>-1989100</v>
      </c>
      <c r="EO30" s="90">
        <f>'[1]February - 2020'!ER30</f>
        <v>0</v>
      </c>
      <c r="EP30" s="230">
        <f>'[1]February - 2020'!ES30</f>
        <v>-682730</v>
      </c>
      <c r="EQ30" s="90">
        <f>'[1]February - 2020'!ET30</f>
        <v>0</v>
      </c>
      <c r="ER30" s="230">
        <f>'[1]February - 2020'!EU30</f>
        <v>-10745600</v>
      </c>
      <c r="ES30" s="414"/>
      <c r="ET30" s="284">
        <f>'[1]February - 2020'!EW30</f>
        <v>28463</v>
      </c>
      <c r="EU30" s="278">
        <f>'[1]February - 2020'!EX30</f>
        <v>16</v>
      </c>
      <c r="EV30" s="285">
        <f>'[1]February - 2020'!EY30</f>
        <v>24879</v>
      </c>
      <c r="EW30" s="278">
        <f>'[1]February - 2020'!EZ30</f>
        <v>15</v>
      </c>
      <c r="EX30" s="285">
        <f>'[1]February - 2020'!FA30</f>
        <v>0</v>
      </c>
      <c r="EY30" s="278">
        <f>'[1]February - 2020'!FB30</f>
        <v>0</v>
      </c>
      <c r="EZ30" s="285">
        <f>'[1]February - 2020'!FC30</f>
        <v>45227</v>
      </c>
      <c r="FA30" s="278">
        <f>'[1]February - 2020'!FD30</f>
        <v>33</v>
      </c>
      <c r="FB30" s="285">
        <f>'[1]February - 2020'!FE30</f>
        <v>21700</v>
      </c>
      <c r="FC30" s="279">
        <f>'[1]February - 2020'!FF30</f>
        <v>30</v>
      </c>
    </row>
    <row r="31" spans="1:159" ht="30" customHeight="1" x14ac:dyDescent="0.25">
      <c r="A31" s="207">
        <v>43852</v>
      </c>
      <c r="B31" s="209">
        <f>'[1]February - 2020'!B31</f>
        <v>0</v>
      </c>
      <c r="C31" s="250">
        <f>'[1]February - 2020'!E31</f>
        <v>0</v>
      </c>
      <c r="D31" s="170">
        <f>'[1]February - 2020'!F31</f>
        <v>-541788</v>
      </c>
      <c r="E31" s="168">
        <f>'[1]February - 2020'!G31</f>
        <v>508</v>
      </c>
      <c r="F31" s="168">
        <f>'[1]February - 2020'!H31</f>
        <v>0</v>
      </c>
      <c r="G31" s="170">
        <f>'[1]February - 2020'!I31</f>
        <v>-709030</v>
      </c>
      <c r="H31" s="168">
        <f>'[1]February - 2020'!J31</f>
        <v>445</v>
      </c>
      <c r="I31" s="168">
        <f>'[1]February - 2020'!K31</f>
        <v>0</v>
      </c>
      <c r="J31" s="170">
        <f>'[1]February - 2020'!L31</f>
        <v>-28119</v>
      </c>
      <c r="K31" s="168">
        <f>'[1]February - 2020'!N31</f>
        <v>0</v>
      </c>
      <c r="L31" s="170">
        <f>'[1]February - 2020'!O31</f>
        <v>-618719</v>
      </c>
      <c r="M31" s="168">
        <f>'[1]February - 2020'!Q31</f>
        <v>0</v>
      </c>
      <c r="N31" s="170">
        <f>'[1]February - 2020'!R31</f>
        <v>-156876</v>
      </c>
      <c r="O31" s="168">
        <f>'[1]February - 2020'!S31</f>
        <v>0</v>
      </c>
      <c r="P31" s="170">
        <f>'[1]February - 2020'!T31</f>
        <v>-97082</v>
      </c>
      <c r="Q31" s="168">
        <f>'[1]February - 2020'!U31</f>
        <v>61</v>
      </c>
      <c r="R31" s="168">
        <f>'[1]February - 2020'!V31</f>
        <v>0</v>
      </c>
      <c r="S31" s="208">
        <f>'[1]February - 2020'!W31</f>
        <v>-7537</v>
      </c>
      <c r="T31" s="509"/>
      <c r="U31" s="169">
        <f>'[1]February - 2020'!AC31</f>
        <v>0</v>
      </c>
      <c r="V31" s="288">
        <f>'[1]February - 2020'!AD31</f>
        <v>-5565480.4799999995</v>
      </c>
      <c r="W31" s="92">
        <f>'[1]February - 2020'!AD31</f>
        <v>-5565480.4799999995</v>
      </c>
      <c r="X31" s="287">
        <f>'[1]February - 2020'!AF31</f>
        <v>0</v>
      </c>
      <c r="Y31" s="288">
        <f>'[1]February - 2020'!AG31</f>
        <v>-10886045.52</v>
      </c>
      <c r="Z31" s="92">
        <f>'[1]February - 2020'!AG31</f>
        <v>-10886045.52</v>
      </c>
      <c r="AA31" s="287">
        <f>'[1]February - 2020'!AI31</f>
        <v>0</v>
      </c>
      <c r="AB31" s="288">
        <f>'[1]February - 2020'!AJ31</f>
        <v>-9881244.2400000002</v>
      </c>
      <c r="AC31" s="92">
        <f>'[1]February - 2020'!AJ31</f>
        <v>-9881244.2400000002</v>
      </c>
      <c r="AD31" s="287">
        <f>'[1]February - 2020'!AL31</f>
        <v>0</v>
      </c>
      <c r="AE31" s="288">
        <f>'[1]February - 2020'!AM31</f>
        <v>-13247893.68</v>
      </c>
      <c r="AF31" s="92">
        <f>'[1]February - 2020'!AM31</f>
        <v>-13247893.68</v>
      </c>
      <c r="AG31" s="287">
        <f>'[1]February - 2020'!AO31</f>
        <v>0</v>
      </c>
      <c r="AH31" s="288">
        <f>'[1]February - 2020'!AP31</f>
        <v>-13245652.559999999</v>
      </c>
      <c r="AI31" s="92">
        <f>'[1]February - 2020'!AP31</f>
        <v>-13245652.559999999</v>
      </c>
      <c r="AJ31" s="287">
        <f>'[1]February - 2020'!AR31</f>
        <v>0</v>
      </c>
      <c r="AK31" s="288">
        <f>'[1]February - 2020'!AS31</f>
        <v>-12240900</v>
      </c>
      <c r="AL31" s="92">
        <f>'[1]February - 2020'!AS31</f>
        <v>-12240900</v>
      </c>
      <c r="AM31" s="287">
        <f>'[1]February - 2020'!AU31</f>
        <v>0</v>
      </c>
      <c r="AN31" s="288">
        <f>'[1]February - 2020'!AV31</f>
        <v>-10618426.559999999</v>
      </c>
      <c r="AO31" s="92">
        <f>'[1]February - 2020'!AV31</f>
        <v>-10618426.559999999</v>
      </c>
      <c r="AP31" s="287">
        <f>'[1]February - 2020'!AX31</f>
        <v>0</v>
      </c>
      <c r="AQ31" s="288">
        <f>'[1]February - 2020'!AY31</f>
        <v>-10299066.959999999</v>
      </c>
      <c r="AR31" s="92">
        <f>'[1]February - 2020'!AY31</f>
        <v>-10299066.959999999</v>
      </c>
      <c r="AS31" s="287">
        <f>'[1]February - 2020'!BA31</f>
        <v>0</v>
      </c>
      <c r="AT31" s="288">
        <f>'[1]February - 2020'!BB31</f>
        <v>-8206981.4400000004</v>
      </c>
      <c r="AU31" s="92">
        <f>'[1]February - 2020'!BB31</f>
        <v>-8206981.4400000004</v>
      </c>
      <c r="AV31" s="287">
        <f>'[1]February - 2020'!BD31</f>
        <v>0</v>
      </c>
      <c r="AW31" s="252">
        <f>'[1]February - 2020'!BE31</f>
        <v>-12161583.84</v>
      </c>
      <c r="AX31" s="253">
        <f>'[1]February - 2020'!BE31</f>
        <v>-12161583.84</v>
      </c>
      <c r="AY31" s="475"/>
      <c r="AZ31" s="272">
        <f>'[1]February - 2020'!BK31</f>
        <v>0</v>
      </c>
      <c r="BA31" s="179">
        <f>'[1]February - 2020'!BL31</f>
        <v>-49882900</v>
      </c>
      <c r="BB31" s="93">
        <f>'[1]February - 2020'!BL31</f>
        <v>-49882900</v>
      </c>
      <c r="BC31" s="272">
        <f>'[1]February - 2020'!BN31</f>
        <v>0</v>
      </c>
      <c r="BD31" s="245">
        <f>'[1]February - 2020'!BO31</f>
        <v>-54399300</v>
      </c>
      <c r="BE31" s="93">
        <f>'[1]February - 2020'!BO31</f>
        <v>-54399300</v>
      </c>
      <c r="BF31" s="272">
        <f>'[1]February - 2020'!BQ31</f>
        <v>0</v>
      </c>
      <c r="BG31" s="245">
        <f>'[1]February - 2020'!BR31</f>
        <v>-48047200</v>
      </c>
      <c r="BH31" s="93">
        <f>'[1]February - 2020'!BR31</f>
        <v>-48047200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- 2020'!BT31</f>
        <v>0</v>
      </c>
      <c r="BT31" s="185">
        <f>'[1]February - 2020'!BU31</f>
        <v>-4190710</v>
      </c>
      <c r="BU31" s="383"/>
      <c r="BV31" s="88">
        <f>'[1]February - 2020'!BW31</f>
        <v>0</v>
      </c>
      <c r="BW31" s="241">
        <f>'[1]February - 2020'!BX31</f>
        <v>-0.56000000000000005</v>
      </c>
      <c r="BX31" s="88">
        <f>'[1]February - 2020'!BX31</f>
        <v>-0.56000000000000005</v>
      </c>
      <c r="BY31" s="89">
        <f>'[1]February - 2020'!BZ31</f>
        <v>0</v>
      </c>
      <c r="BZ31" s="191">
        <f>'[1]February - 2020'!CA31</f>
        <v>0</v>
      </c>
      <c r="CA31" s="89">
        <f>'[1]February - 2020'!CB31</f>
        <v>0</v>
      </c>
      <c r="CB31" s="191">
        <f>'[1]February - 2020'!CC31</f>
        <v>0</v>
      </c>
      <c r="CC31" s="89">
        <f>'[1]February - 2020'!CD31</f>
        <v>0</v>
      </c>
      <c r="CD31" s="191">
        <f>'[1]February - 2020'!CE31</f>
        <v>0</v>
      </c>
      <c r="CE31" s="89">
        <f>'[1]February - 2020'!CF31</f>
        <v>0</v>
      </c>
      <c r="CF31" s="191">
        <f>'[1]February - 2020'!CG31</f>
        <v>0</v>
      </c>
      <c r="CG31" s="89">
        <f>'[1]February - 2020'!CH31</f>
        <v>0</v>
      </c>
      <c r="CH31" s="191">
        <f>'[1]February - 2020'!CI31</f>
        <v>0</v>
      </c>
      <c r="CI31" s="89">
        <f>'[1]February - 2020'!CJ31</f>
        <v>0</v>
      </c>
      <c r="CJ31" s="191">
        <f>'[1]February - 2020'!CK31</f>
        <v>0</v>
      </c>
      <c r="CK31" s="89">
        <f>'[1]February - 2020'!CL31</f>
        <v>0</v>
      </c>
      <c r="CL31" s="246">
        <f>'[1]February - 2020'!CM31</f>
        <v>-178434</v>
      </c>
      <c r="CM31" s="89">
        <f>'[1]February - 2020'!CM31</f>
        <v>-178434</v>
      </c>
      <c r="CN31" s="89">
        <f>'[1]February - 2020'!CO31</f>
        <v>0</v>
      </c>
      <c r="CO31" s="246">
        <f>'[1]February - 2020'!CP31</f>
        <v>-130195</v>
      </c>
      <c r="CP31" s="89">
        <f>'[1]February - 2020'!CP31</f>
        <v>-130195</v>
      </c>
      <c r="CQ31" s="89">
        <f>'[1]February - 2020'!CR31</f>
        <v>0</v>
      </c>
      <c r="CR31" s="246">
        <f>'[1]February - 2020'!CS31</f>
        <v>-250609</v>
      </c>
      <c r="CS31" s="89">
        <f>'[1]February - 2020'!CS31</f>
        <v>-250609</v>
      </c>
      <c r="CT31" s="89">
        <f>'[1]February - 2020'!CU31</f>
        <v>0</v>
      </c>
      <c r="CU31" s="191">
        <f>'[1]February - 2020'!CV31</f>
        <v>-479345</v>
      </c>
      <c r="CV31" s="442"/>
      <c r="CW31" s="256">
        <f>'[1]February - 2020'!CX31</f>
        <v>0</v>
      </c>
      <c r="CX31" s="198">
        <f>'[1]February - 2020'!CY31</f>
        <v>-347</v>
      </c>
      <c r="CY31" s="257">
        <f>'[1]February - 2020'!CZ31</f>
        <v>0</v>
      </c>
      <c r="CZ31" s="198">
        <f>'[1]February - 2020'!DA31</f>
        <v>-1330</v>
      </c>
      <c r="DA31" s="257">
        <f>'[1]February - 2020'!DB31</f>
        <v>0</v>
      </c>
      <c r="DB31" s="198">
        <f>'[1]February - 2020'!DC31</f>
        <v>-19246</v>
      </c>
      <c r="DC31" s="257">
        <f>'[1]February - 2020'!DD31</f>
        <v>0</v>
      </c>
      <c r="DD31" s="198">
        <f>'[1]February - 2020'!DE31</f>
        <v>-19778</v>
      </c>
      <c r="DE31" s="257">
        <f>'[1]February - 2020'!DF31</f>
        <v>0</v>
      </c>
      <c r="DF31" s="198">
        <f>'[1]February - 2020'!DG31</f>
        <v>-13858</v>
      </c>
      <c r="DG31" s="257">
        <f>'[1]February - 2020'!DH31</f>
        <v>0</v>
      </c>
      <c r="DH31" s="198">
        <f>'[1]February - 2020'!DI31</f>
        <v>-17452</v>
      </c>
      <c r="DI31" s="257">
        <f>'[1]February - 2020'!DJ31</f>
        <v>825</v>
      </c>
      <c r="DJ31" s="198">
        <f>'[1]February - 2020'!DK31</f>
        <v>0</v>
      </c>
      <c r="DK31" s="257">
        <f>'[1]February - 2020'!DL31</f>
        <v>3570</v>
      </c>
      <c r="DL31" s="198">
        <f>'[1]February - 2020'!DM31</f>
        <v>0</v>
      </c>
      <c r="DM31" s="257">
        <f>'[1]February - 2020'!DN31</f>
        <v>0</v>
      </c>
      <c r="DN31" s="198">
        <f>'[1]February - 2020'!DO31</f>
        <v>-1166</v>
      </c>
      <c r="DO31" s="257">
        <f>'[1]February - 2020'!DP31</f>
        <v>0</v>
      </c>
      <c r="DP31" s="198">
        <f>'[1]February - 2020'!DQ31</f>
        <v>-1236</v>
      </c>
      <c r="DQ31" s="257">
        <f>'[1]February - 2020'!DR31</f>
        <v>0</v>
      </c>
      <c r="DR31" s="206">
        <f>'[1]February - 2020'!DS31</f>
        <v>-17302</v>
      </c>
      <c r="DS31" s="427"/>
      <c r="DT31" s="210">
        <f>'[1]February - 2020'!DU31</f>
        <v>0</v>
      </c>
      <c r="DU31" s="221">
        <f>'[1]February - 2020'!DV31</f>
        <v>-2805781</v>
      </c>
      <c r="DV31" s="91">
        <f>'[1]February - 2020'!DW31</f>
        <v>0</v>
      </c>
      <c r="DW31" s="215">
        <f>'[1]February - 2020'!DX31</f>
        <v>-4705</v>
      </c>
      <c r="DX31" s="91">
        <f>'[1]February - 2020'!DY31</f>
        <v>0</v>
      </c>
      <c r="DY31" s="215">
        <f>'[1]February - 2020'!DZ31</f>
        <v>-1856051</v>
      </c>
      <c r="DZ31" s="91">
        <f>'[1]February - 2020'!EA31</f>
        <v>0</v>
      </c>
      <c r="EA31" s="215">
        <f>'[1]February - 2020'!EB31</f>
        <v>-252681</v>
      </c>
      <c r="EB31" s="91">
        <f>'[1]February - 2020'!EC31</f>
        <v>0</v>
      </c>
      <c r="EC31" s="215">
        <f>'[1]February - 2020'!ED31</f>
        <v>-468805</v>
      </c>
      <c r="ED31" s="91">
        <f>'[1]February - 2020'!EG31</f>
        <v>0</v>
      </c>
      <c r="EE31" s="229">
        <f>'[1]February - 2020'!EH31</f>
        <v>-92242</v>
      </c>
      <c r="EF31" s="367"/>
      <c r="EG31" s="235">
        <f>'[1]February - 2020'!EJ31</f>
        <v>0</v>
      </c>
      <c r="EH31" s="230">
        <f>'[1]February - 2020'!EK31</f>
        <v>0</v>
      </c>
      <c r="EI31" s="90">
        <f>'[1]February - 2020'!EL31</f>
        <v>0</v>
      </c>
      <c r="EJ31" s="230">
        <f>'[1]February - 2020'!EM31</f>
        <v>0</v>
      </c>
      <c r="EK31" s="90">
        <f>'[1]February - 2020'!EN31</f>
        <v>0</v>
      </c>
      <c r="EL31" s="230">
        <f>'[1]February - 2020'!EO31</f>
        <v>0</v>
      </c>
      <c r="EM31" s="90">
        <f>'[1]February - 2020'!EP31</f>
        <v>0</v>
      </c>
      <c r="EN31" s="230">
        <f>'[1]February - 2020'!EQ31</f>
        <v>0</v>
      </c>
      <c r="EO31" s="90">
        <f>'[1]February - 2020'!ER31</f>
        <v>0</v>
      </c>
      <c r="EP31" s="230">
        <f>'[1]February - 2020'!ES31</f>
        <v>0</v>
      </c>
      <c r="EQ31" s="90">
        <f>'[1]February - 2020'!ET31</f>
        <v>0</v>
      </c>
      <c r="ER31" s="230">
        <f>'[1]February - 2020'!EU31</f>
        <v>0</v>
      </c>
      <c r="ES31" s="414"/>
      <c r="ET31" s="284">
        <f>'[1]February - 2020'!EW31</f>
        <v>0</v>
      </c>
      <c r="EU31" s="278">
        <f>'[1]February - 2020'!EX31</f>
        <v>-28463</v>
      </c>
      <c r="EV31" s="285">
        <f>'[1]February - 2020'!EY31</f>
        <v>0</v>
      </c>
      <c r="EW31" s="278">
        <f>'[1]February - 2020'!EZ31</f>
        <v>-24879</v>
      </c>
      <c r="EX31" s="285">
        <f>'[1]February - 2020'!FA31</f>
        <v>0</v>
      </c>
      <c r="EY31" s="278">
        <f>'[1]February - 2020'!FB31</f>
        <v>0</v>
      </c>
      <c r="EZ31" s="285">
        <f>'[1]February - 2020'!FC31</f>
        <v>0</v>
      </c>
      <c r="FA31" s="278">
        <f>'[1]February - 2020'!FD31</f>
        <v>-45227</v>
      </c>
      <c r="FB31" s="285">
        <f>'[1]February - 2020'!FE31</f>
        <v>0</v>
      </c>
      <c r="FC31" s="279">
        <f>'[1]February - 2020'!FF31</f>
        <v>-21700</v>
      </c>
    </row>
    <row r="32" spans="1:159" ht="30" customHeight="1" x14ac:dyDescent="0.25">
      <c r="A32" s="207">
        <v>43853</v>
      </c>
      <c r="B32" s="209">
        <f>'[1]February - 2020'!B32</f>
        <v>0</v>
      </c>
      <c r="C32" s="250">
        <f>'[1]February - 2020'!E32</f>
        <v>0</v>
      </c>
      <c r="D32" s="170">
        <f>'[1]February - 2020'!F32</f>
        <v>0</v>
      </c>
      <c r="E32" s="168">
        <f>'[1]February - 2020'!G32</f>
        <v>495</v>
      </c>
      <c r="F32" s="168">
        <f>'[1]February - 2020'!H32</f>
        <v>0</v>
      </c>
      <c r="G32" s="170">
        <f>'[1]February - 2020'!I32</f>
        <v>0</v>
      </c>
      <c r="H32" s="168">
        <f>'[1]February - 2020'!J32</f>
        <v>412</v>
      </c>
      <c r="I32" s="168">
        <f>'[1]February - 2020'!K32</f>
        <v>0</v>
      </c>
      <c r="J32" s="170">
        <f>'[1]February - 2020'!L32</f>
        <v>0</v>
      </c>
      <c r="K32" s="168">
        <f>'[1]February - 2020'!N32</f>
        <v>0</v>
      </c>
      <c r="L32" s="170">
        <f>'[1]February - 2020'!O32</f>
        <v>0</v>
      </c>
      <c r="M32" s="168">
        <f>'[1]February - 2020'!Q32</f>
        <v>0</v>
      </c>
      <c r="N32" s="170">
        <f>'[1]February - 2020'!R32</f>
        <v>0</v>
      </c>
      <c r="O32" s="168">
        <f>'[1]February - 2020'!S32</f>
        <v>0</v>
      </c>
      <c r="P32" s="170">
        <f>'[1]February - 2020'!T32</f>
        <v>0</v>
      </c>
      <c r="Q32" s="168">
        <f>'[1]February - 2020'!U32</f>
        <v>97</v>
      </c>
      <c r="R32" s="168">
        <f>'[1]February - 2020'!V32</f>
        <v>0</v>
      </c>
      <c r="S32" s="208">
        <f>'[1]February - 2020'!W32</f>
        <v>0</v>
      </c>
      <c r="T32" s="509"/>
      <c r="U32" s="169">
        <f>'[1]February - 2020'!AC32</f>
        <v>0</v>
      </c>
      <c r="V32" s="288">
        <f>'[1]February - 2020'!AD32</f>
        <v>0</v>
      </c>
      <c r="W32" s="92">
        <f>'[1]February - 2020'!AD32</f>
        <v>0</v>
      </c>
      <c r="X32" s="287">
        <f>'[1]February - 2020'!AF32</f>
        <v>0</v>
      </c>
      <c r="Y32" s="288">
        <f>'[1]February - 2020'!AG32</f>
        <v>0</v>
      </c>
      <c r="Z32" s="92">
        <f>'[1]February - 2020'!AG32</f>
        <v>0</v>
      </c>
      <c r="AA32" s="287">
        <f>'[1]February - 2020'!AI32</f>
        <v>0</v>
      </c>
      <c r="AB32" s="288">
        <f>'[1]February - 2020'!AJ32</f>
        <v>0</v>
      </c>
      <c r="AC32" s="92">
        <f>'[1]February - 2020'!AJ32</f>
        <v>0</v>
      </c>
      <c r="AD32" s="287">
        <f>'[1]February - 2020'!AL32</f>
        <v>0</v>
      </c>
      <c r="AE32" s="288">
        <f>'[1]February - 2020'!AM32</f>
        <v>0</v>
      </c>
      <c r="AF32" s="92">
        <f>'[1]February - 2020'!AM32</f>
        <v>0</v>
      </c>
      <c r="AG32" s="287">
        <f>'[1]February - 2020'!AO32</f>
        <v>0</v>
      </c>
      <c r="AH32" s="288">
        <f>'[1]February - 2020'!AP32</f>
        <v>0</v>
      </c>
      <c r="AI32" s="92">
        <f>'[1]February - 2020'!AP32</f>
        <v>0</v>
      </c>
      <c r="AJ32" s="287">
        <f>'[1]February - 2020'!AR32</f>
        <v>0</v>
      </c>
      <c r="AK32" s="288">
        <f>'[1]February - 2020'!AS32</f>
        <v>0</v>
      </c>
      <c r="AL32" s="92">
        <f>'[1]February - 2020'!AS32</f>
        <v>0</v>
      </c>
      <c r="AM32" s="287">
        <f>'[1]February - 2020'!AU32</f>
        <v>0</v>
      </c>
      <c r="AN32" s="288">
        <f>'[1]February - 2020'!AV32</f>
        <v>0</v>
      </c>
      <c r="AO32" s="92">
        <f>'[1]February - 2020'!AV32</f>
        <v>0</v>
      </c>
      <c r="AP32" s="287">
        <f>'[1]February - 2020'!AX32</f>
        <v>0</v>
      </c>
      <c r="AQ32" s="288">
        <f>'[1]February - 2020'!AY32</f>
        <v>0</v>
      </c>
      <c r="AR32" s="92">
        <f>'[1]February - 2020'!AY32</f>
        <v>0</v>
      </c>
      <c r="AS32" s="287">
        <f>'[1]February - 2020'!BA32</f>
        <v>0</v>
      </c>
      <c r="AT32" s="288">
        <f>'[1]February - 2020'!BB32</f>
        <v>0</v>
      </c>
      <c r="AU32" s="92">
        <f>'[1]February - 2020'!BB32</f>
        <v>0</v>
      </c>
      <c r="AV32" s="287">
        <f>'[1]February - 2020'!BD32</f>
        <v>0</v>
      </c>
      <c r="AW32" s="252">
        <f>'[1]February - 2020'!BE32</f>
        <v>0</v>
      </c>
      <c r="AX32" s="253">
        <f>'[1]February - 2020'!BE32</f>
        <v>0</v>
      </c>
      <c r="AY32" s="475"/>
      <c r="AZ32" s="272">
        <f>'[1]February - 2020'!BK32</f>
        <v>0</v>
      </c>
      <c r="BA32" s="179">
        <f>'[1]February - 2020'!BL32</f>
        <v>0</v>
      </c>
      <c r="BB32" s="93">
        <f>'[1]February - 2020'!BL32</f>
        <v>0</v>
      </c>
      <c r="BC32" s="272">
        <f>'[1]February - 2020'!BN32</f>
        <v>0</v>
      </c>
      <c r="BD32" s="245">
        <f>'[1]February - 2020'!BO32</f>
        <v>0</v>
      </c>
      <c r="BE32" s="93">
        <f>'[1]February - 2020'!BO32</f>
        <v>0</v>
      </c>
      <c r="BF32" s="272">
        <f>'[1]February - 2020'!BQ32</f>
        <v>0</v>
      </c>
      <c r="BG32" s="245">
        <f>'[1]February - 2020'!BR32</f>
        <v>0</v>
      </c>
      <c r="BH32" s="93">
        <f>'[1]February - 2020'!BR32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- 2020'!BT32</f>
        <v>0</v>
      </c>
      <c r="BT32" s="185">
        <f>'[1]February - 2020'!BU32</f>
        <v>0</v>
      </c>
      <c r="BU32" s="383"/>
      <c r="BV32" s="88">
        <f>'[1]February - 2020'!BW32</f>
        <v>0</v>
      </c>
      <c r="BW32" s="241">
        <f>'[1]February - 2020'!BX32</f>
        <v>0</v>
      </c>
      <c r="BX32" s="88">
        <f>'[1]February - 2020'!BX32</f>
        <v>0</v>
      </c>
      <c r="BY32" s="89">
        <f>'[1]February - 2020'!BZ32</f>
        <v>0</v>
      </c>
      <c r="BZ32" s="191">
        <f>'[1]February - 2020'!CA32</f>
        <v>0</v>
      </c>
      <c r="CA32" s="89">
        <f>'[1]February - 2020'!CB32</f>
        <v>0</v>
      </c>
      <c r="CB32" s="191">
        <f>'[1]February - 2020'!CC32</f>
        <v>0</v>
      </c>
      <c r="CC32" s="89">
        <f>'[1]February - 2020'!CD32</f>
        <v>0</v>
      </c>
      <c r="CD32" s="191">
        <f>'[1]February - 2020'!CE32</f>
        <v>0</v>
      </c>
      <c r="CE32" s="89">
        <f>'[1]February - 2020'!CF32</f>
        <v>0</v>
      </c>
      <c r="CF32" s="191">
        <f>'[1]February - 2020'!CG32</f>
        <v>0</v>
      </c>
      <c r="CG32" s="89">
        <f>'[1]February - 2020'!CH32</f>
        <v>0</v>
      </c>
      <c r="CH32" s="191">
        <f>'[1]February - 2020'!CI32</f>
        <v>0</v>
      </c>
      <c r="CI32" s="89">
        <f>'[1]February - 2020'!CJ32</f>
        <v>0</v>
      </c>
      <c r="CJ32" s="191">
        <f>'[1]February - 2020'!CK32</f>
        <v>0</v>
      </c>
      <c r="CK32" s="89">
        <f>'[1]February - 2020'!CL32</f>
        <v>0</v>
      </c>
      <c r="CL32" s="246">
        <f>'[1]February - 2020'!CM32</f>
        <v>0</v>
      </c>
      <c r="CM32" s="89">
        <f>'[1]February - 2020'!CM32</f>
        <v>0</v>
      </c>
      <c r="CN32" s="89">
        <f>'[1]February - 2020'!CO32</f>
        <v>0</v>
      </c>
      <c r="CO32" s="246">
        <f>'[1]February - 2020'!CP32</f>
        <v>0</v>
      </c>
      <c r="CP32" s="89">
        <f>'[1]February - 2020'!CP32</f>
        <v>0</v>
      </c>
      <c r="CQ32" s="89">
        <f>'[1]February - 2020'!CR32</f>
        <v>0</v>
      </c>
      <c r="CR32" s="246">
        <f>'[1]February - 2020'!CS32</f>
        <v>0</v>
      </c>
      <c r="CS32" s="89">
        <f>'[1]February - 2020'!CS32</f>
        <v>0</v>
      </c>
      <c r="CT32" s="89">
        <f>'[1]February - 2020'!CU32</f>
        <v>0</v>
      </c>
      <c r="CU32" s="191">
        <f>'[1]February - 2020'!CV32</f>
        <v>0</v>
      </c>
      <c r="CV32" s="442"/>
      <c r="CW32" s="256">
        <f>'[1]February - 2020'!CX32</f>
        <v>0</v>
      </c>
      <c r="CX32" s="198">
        <f>'[1]February - 2020'!CY32</f>
        <v>0</v>
      </c>
      <c r="CY32" s="257">
        <f>'[1]February - 2020'!CZ32</f>
        <v>0</v>
      </c>
      <c r="CZ32" s="198">
        <f>'[1]February - 2020'!DA32</f>
        <v>0</v>
      </c>
      <c r="DA32" s="257">
        <f>'[1]February - 2020'!DB32</f>
        <v>0</v>
      </c>
      <c r="DB32" s="198">
        <f>'[1]February - 2020'!DC32</f>
        <v>0</v>
      </c>
      <c r="DC32" s="257">
        <f>'[1]February - 2020'!DD32</f>
        <v>0</v>
      </c>
      <c r="DD32" s="198">
        <f>'[1]February - 2020'!DE32</f>
        <v>0</v>
      </c>
      <c r="DE32" s="257">
        <f>'[1]February - 2020'!DF32</f>
        <v>0</v>
      </c>
      <c r="DF32" s="198">
        <f>'[1]February - 2020'!DG32</f>
        <v>0</v>
      </c>
      <c r="DG32" s="257">
        <f>'[1]February - 2020'!DH32</f>
        <v>0</v>
      </c>
      <c r="DH32" s="198">
        <f>'[1]February - 2020'!DI32</f>
        <v>0</v>
      </c>
      <c r="DI32" s="257">
        <f>'[1]February - 2020'!DJ32</f>
        <v>825</v>
      </c>
      <c r="DJ32" s="198">
        <f>'[1]February - 2020'!DK32</f>
        <v>0</v>
      </c>
      <c r="DK32" s="257">
        <f>'[1]February - 2020'!DL32</f>
        <v>3570</v>
      </c>
      <c r="DL32" s="198">
        <f>'[1]February - 2020'!DM32</f>
        <v>0</v>
      </c>
      <c r="DM32" s="257">
        <f>'[1]February - 2020'!DN32</f>
        <v>0</v>
      </c>
      <c r="DN32" s="198">
        <f>'[1]February - 2020'!DO32</f>
        <v>0</v>
      </c>
      <c r="DO32" s="257">
        <f>'[1]February - 2020'!DP32</f>
        <v>0</v>
      </c>
      <c r="DP32" s="198">
        <f>'[1]February - 2020'!DQ32</f>
        <v>0</v>
      </c>
      <c r="DQ32" s="257">
        <f>'[1]February - 2020'!DR32</f>
        <v>0</v>
      </c>
      <c r="DR32" s="206">
        <f>'[1]February - 2020'!DS32</f>
        <v>0</v>
      </c>
      <c r="DS32" s="427"/>
      <c r="DT32" s="210">
        <f>'[1]February - 2020'!DU32</f>
        <v>0</v>
      </c>
      <c r="DU32" s="221">
        <f>'[1]February - 2020'!DV32</f>
        <v>0</v>
      </c>
      <c r="DV32" s="91">
        <f>'[1]February - 2020'!DW32</f>
        <v>0</v>
      </c>
      <c r="DW32" s="215">
        <f>'[1]February - 2020'!DX32</f>
        <v>0</v>
      </c>
      <c r="DX32" s="91">
        <f>'[1]February - 2020'!DY32</f>
        <v>0</v>
      </c>
      <c r="DY32" s="215">
        <f>'[1]February - 2020'!DZ32</f>
        <v>0</v>
      </c>
      <c r="DZ32" s="91">
        <f>'[1]February - 2020'!EA32</f>
        <v>0</v>
      </c>
      <c r="EA32" s="215">
        <f>'[1]February - 2020'!EB32</f>
        <v>0</v>
      </c>
      <c r="EB32" s="91">
        <f>'[1]February - 2020'!EC32</f>
        <v>0</v>
      </c>
      <c r="EC32" s="215">
        <f>'[1]February - 2020'!ED32</f>
        <v>0</v>
      </c>
      <c r="ED32" s="91">
        <f>'[1]February - 2020'!EG32</f>
        <v>0</v>
      </c>
      <c r="EE32" s="229">
        <f>'[1]February - 2020'!EH32</f>
        <v>0</v>
      </c>
      <c r="EF32" s="367"/>
      <c r="EG32" s="235">
        <f>'[1]February - 2020'!EJ32</f>
        <v>0</v>
      </c>
      <c r="EH32" s="230">
        <f>'[1]February - 2020'!EK32</f>
        <v>0</v>
      </c>
      <c r="EI32" s="90">
        <f>'[1]February - 2020'!EL32</f>
        <v>0</v>
      </c>
      <c r="EJ32" s="230">
        <f>'[1]February - 2020'!EM32</f>
        <v>0</v>
      </c>
      <c r="EK32" s="90">
        <f>'[1]February - 2020'!EN32</f>
        <v>0</v>
      </c>
      <c r="EL32" s="230">
        <f>'[1]February - 2020'!EO32</f>
        <v>0</v>
      </c>
      <c r="EM32" s="90">
        <f>'[1]February - 2020'!EP32</f>
        <v>0</v>
      </c>
      <c r="EN32" s="230">
        <f>'[1]February - 2020'!EQ32</f>
        <v>0</v>
      </c>
      <c r="EO32" s="90">
        <f>'[1]February - 2020'!ER32</f>
        <v>0</v>
      </c>
      <c r="EP32" s="230">
        <f>'[1]February - 2020'!ES32</f>
        <v>0</v>
      </c>
      <c r="EQ32" s="90">
        <f>'[1]February - 2020'!ET32</f>
        <v>0</v>
      </c>
      <c r="ER32" s="230">
        <f>'[1]February - 2020'!EU32</f>
        <v>0</v>
      </c>
      <c r="ES32" s="414"/>
      <c r="ET32" s="284">
        <f>'[1]February - 2020'!EW32</f>
        <v>0</v>
      </c>
      <c r="EU32" s="278">
        <f>'[1]February - 2020'!EX32</f>
        <v>0</v>
      </c>
      <c r="EV32" s="285">
        <f>'[1]February - 2020'!EY32</f>
        <v>0</v>
      </c>
      <c r="EW32" s="278">
        <f>'[1]February - 2020'!EZ32</f>
        <v>0</v>
      </c>
      <c r="EX32" s="285">
        <f>'[1]February - 2020'!FA32</f>
        <v>0</v>
      </c>
      <c r="EY32" s="278">
        <f>'[1]February - 2020'!FB32</f>
        <v>0</v>
      </c>
      <c r="EZ32" s="285">
        <f>'[1]February - 2020'!FC32</f>
        <v>0</v>
      </c>
      <c r="FA32" s="278">
        <f>'[1]February - 2020'!FD32</f>
        <v>0</v>
      </c>
      <c r="FB32" s="285">
        <f>'[1]February - 2020'!FE32</f>
        <v>0</v>
      </c>
      <c r="FC32" s="279">
        <f>'[1]February - 2020'!FF32</f>
        <v>0</v>
      </c>
    </row>
    <row r="33" spans="1:160" ht="30" customHeight="1" x14ac:dyDescent="0.25">
      <c r="A33" s="207">
        <v>43854</v>
      </c>
      <c r="B33" s="209">
        <f>'[1]February - 2020'!B33</f>
        <v>0</v>
      </c>
      <c r="C33" s="250">
        <f>'[1]February - 2020'!E33</f>
        <v>0</v>
      </c>
      <c r="D33" s="170">
        <f>'[1]February - 2020'!F33</f>
        <v>0</v>
      </c>
      <c r="E33" s="168">
        <f>'[1]February - 2020'!G33</f>
        <v>458</v>
      </c>
      <c r="F33" s="168">
        <f>'[1]February - 2020'!H33</f>
        <v>0</v>
      </c>
      <c r="G33" s="170">
        <f>'[1]February - 2020'!I33</f>
        <v>0</v>
      </c>
      <c r="H33" s="168">
        <f>'[1]February - 2020'!J33</f>
        <v>369</v>
      </c>
      <c r="I33" s="168">
        <f>'[1]February - 2020'!K33</f>
        <v>0</v>
      </c>
      <c r="J33" s="170">
        <f>'[1]February - 2020'!L33</f>
        <v>0</v>
      </c>
      <c r="K33" s="168">
        <f>'[1]February - 2020'!N33</f>
        <v>0</v>
      </c>
      <c r="L33" s="170">
        <f>'[1]February - 2020'!O33</f>
        <v>0</v>
      </c>
      <c r="M33" s="168">
        <f>'[1]February - 2020'!Q33</f>
        <v>0</v>
      </c>
      <c r="N33" s="170">
        <f>'[1]February - 2020'!R33</f>
        <v>0</v>
      </c>
      <c r="O33" s="168">
        <f>'[1]February - 2020'!S33</f>
        <v>0</v>
      </c>
      <c r="P33" s="170">
        <f>'[1]February - 2020'!T33</f>
        <v>0</v>
      </c>
      <c r="Q33" s="168">
        <f>'[1]February - 2020'!U33</f>
        <v>85</v>
      </c>
      <c r="R33" s="168">
        <f>'[1]February - 2020'!V33</f>
        <v>0</v>
      </c>
      <c r="S33" s="208">
        <f>'[1]February - 2020'!W33</f>
        <v>0</v>
      </c>
      <c r="T33" s="509"/>
      <c r="U33" s="169">
        <f>'[1]February - 2020'!AC33</f>
        <v>0</v>
      </c>
      <c r="V33" s="288">
        <f>'[1]February - 2020'!AD33</f>
        <v>0</v>
      </c>
      <c r="W33" s="92">
        <f>'[1]February - 2020'!AD33</f>
        <v>0</v>
      </c>
      <c r="X33" s="287">
        <f>'[1]February - 2020'!AF33</f>
        <v>0</v>
      </c>
      <c r="Y33" s="288">
        <f>'[1]February - 2020'!AG33</f>
        <v>0</v>
      </c>
      <c r="Z33" s="92">
        <f>'[1]February - 2020'!AG33</f>
        <v>0</v>
      </c>
      <c r="AA33" s="287">
        <f>'[1]February - 2020'!AI33</f>
        <v>0</v>
      </c>
      <c r="AB33" s="288">
        <f>'[1]February - 2020'!AJ33</f>
        <v>0</v>
      </c>
      <c r="AC33" s="92">
        <f>'[1]February - 2020'!AJ33</f>
        <v>0</v>
      </c>
      <c r="AD33" s="287">
        <f>'[1]February - 2020'!AL33</f>
        <v>0</v>
      </c>
      <c r="AE33" s="288">
        <f>'[1]February - 2020'!AM33</f>
        <v>0</v>
      </c>
      <c r="AF33" s="92">
        <f>'[1]February - 2020'!AM33</f>
        <v>0</v>
      </c>
      <c r="AG33" s="287">
        <f>'[1]February - 2020'!AO33</f>
        <v>0</v>
      </c>
      <c r="AH33" s="288">
        <f>'[1]February - 2020'!AP33</f>
        <v>0</v>
      </c>
      <c r="AI33" s="92">
        <f>'[1]February - 2020'!AP33</f>
        <v>0</v>
      </c>
      <c r="AJ33" s="287">
        <f>'[1]February - 2020'!AR33</f>
        <v>0</v>
      </c>
      <c r="AK33" s="288">
        <f>'[1]February - 2020'!AS33</f>
        <v>0</v>
      </c>
      <c r="AL33" s="92">
        <f>'[1]February - 2020'!AS33</f>
        <v>0</v>
      </c>
      <c r="AM33" s="287">
        <f>'[1]February - 2020'!AU33</f>
        <v>0</v>
      </c>
      <c r="AN33" s="288">
        <f>'[1]February - 2020'!AV33</f>
        <v>0</v>
      </c>
      <c r="AO33" s="92">
        <f>'[1]February - 2020'!AV33</f>
        <v>0</v>
      </c>
      <c r="AP33" s="287">
        <f>'[1]February - 2020'!AX33</f>
        <v>0</v>
      </c>
      <c r="AQ33" s="288">
        <f>'[1]February - 2020'!AY33</f>
        <v>0</v>
      </c>
      <c r="AR33" s="92">
        <f>'[1]February - 2020'!AY33</f>
        <v>0</v>
      </c>
      <c r="AS33" s="287">
        <f>'[1]February - 2020'!BA33</f>
        <v>0</v>
      </c>
      <c r="AT33" s="288">
        <f>'[1]February - 2020'!BB33</f>
        <v>0</v>
      </c>
      <c r="AU33" s="92">
        <f>'[1]February - 2020'!BB33</f>
        <v>0</v>
      </c>
      <c r="AV33" s="287">
        <f>'[1]February - 2020'!BD33</f>
        <v>0</v>
      </c>
      <c r="AW33" s="252">
        <f>'[1]February - 2020'!BE33</f>
        <v>0</v>
      </c>
      <c r="AX33" s="253">
        <f>'[1]February - 2020'!BE33</f>
        <v>0</v>
      </c>
      <c r="AY33" s="475"/>
      <c r="AZ33" s="272">
        <f>'[1]February - 2020'!BK33</f>
        <v>0</v>
      </c>
      <c r="BA33" s="179">
        <f>'[1]February - 2020'!BL33</f>
        <v>0</v>
      </c>
      <c r="BB33" s="93">
        <f>'[1]February - 2020'!BL33</f>
        <v>0</v>
      </c>
      <c r="BC33" s="272">
        <f>'[1]February - 2020'!BN33</f>
        <v>0</v>
      </c>
      <c r="BD33" s="245">
        <f>'[1]February - 2020'!BO33</f>
        <v>0</v>
      </c>
      <c r="BE33" s="93">
        <f>'[1]February - 2020'!BO33</f>
        <v>0</v>
      </c>
      <c r="BF33" s="272">
        <f>'[1]February - 2020'!BQ33</f>
        <v>0</v>
      </c>
      <c r="BG33" s="245">
        <f>'[1]February - 2020'!BR33</f>
        <v>0</v>
      </c>
      <c r="BH33" s="93">
        <f>'[1]February - 2020'!BR33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- 2020'!BT33</f>
        <v>0</v>
      </c>
      <c r="BT33" s="185">
        <f>'[1]February - 2020'!BU33</f>
        <v>0</v>
      </c>
      <c r="BU33" s="383"/>
      <c r="BV33" s="88">
        <f>'[1]February - 2020'!BW33</f>
        <v>0</v>
      </c>
      <c r="BW33" s="241">
        <f>'[1]February - 2020'!BX33</f>
        <v>0</v>
      </c>
      <c r="BX33" s="88">
        <f>'[1]February - 2020'!BX33</f>
        <v>0</v>
      </c>
      <c r="BY33" s="89">
        <f>'[1]February - 2020'!BZ33</f>
        <v>0</v>
      </c>
      <c r="BZ33" s="191">
        <f>'[1]February - 2020'!CA33</f>
        <v>0</v>
      </c>
      <c r="CA33" s="89">
        <f>'[1]February - 2020'!CB33</f>
        <v>0</v>
      </c>
      <c r="CB33" s="191">
        <f>'[1]February - 2020'!CC33</f>
        <v>0</v>
      </c>
      <c r="CC33" s="89">
        <f>'[1]February - 2020'!CD33</f>
        <v>0</v>
      </c>
      <c r="CD33" s="191">
        <f>'[1]February - 2020'!CE33</f>
        <v>0</v>
      </c>
      <c r="CE33" s="89">
        <f>'[1]February - 2020'!CF33</f>
        <v>0</v>
      </c>
      <c r="CF33" s="191">
        <f>'[1]February - 2020'!CG33</f>
        <v>0</v>
      </c>
      <c r="CG33" s="89">
        <f>'[1]February - 2020'!CH33</f>
        <v>0</v>
      </c>
      <c r="CH33" s="191">
        <f>'[1]February - 2020'!CI33</f>
        <v>0</v>
      </c>
      <c r="CI33" s="89">
        <f>'[1]February - 2020'!CJ33</f>
        <v>0</v>
      </c>
      <c r="CJ33" s="191">
        <f>'[1]February - 2020'!CK33</f>
        <v>0</v>
      </c>
      <c r="CK33" s="89">
        <f>'[1]February - 2020'!CL33</f>
        <v>0</v>
      </c>
      <c r="CL33" s="246">
        <f>'[1]February - 2020'!CM33</f>
        <v>0</v>
      </c>
      <c r="CM33" s="89">
        <f>'[1]February - 2020'!CM33</f>
        <v>0</v>
      </c>
      <c r="CN33" s="89">
        <f>'[1]February - 2020'!CO33</f>
        <v>0</v>
      </c>
      <c r="CO33" s="246">
        <f>'[1]February - 2020'!CP33</f>
        <v>0</v>
      </c>
      <c r="CP33" s="89">
        <f>'[1]February - 2020'!CP33</f>
        <v>0</v>
      </c>
      <c r="CQ33" s="89">
        <f>'[1]February - 2020'!CR33</f>
        <v>0</v>
      </c>
      <c r="CR33" s="246">
        <f>'[1]February - 2020'!CS33</f>
        <v>0</v>
      </c>
      <c r="CS33" s="89">
        <f>'[1]February - 2020'!CS33</f>
        <v>0</v>
      </c>
      <c r="CT33" s="89">
        <f>'[1]February - 2020'!CU33</f>
        <v>0</v>
      </c>
      <c r="CU33" s="191">
        <f>'[1]February - 2020'!CV33</f>
        <v>0</v>
      </c>
      <c r="CV33" s="442"/>
      <c r="CW33" s="256">
        <f>'[1]February - 2020'!CX33</f>
        <v>0</v>
      </c>
      <c r="CX33" s="198">
        <f>'[1]February - 2020'!CY33</f>
        <v>0</v>
      </c>
      <c r="CY33" s="257">
        <f>'[1]February - 2020'!CZ33</f>
        <v>0</v>
      </c>
      <c r="CZ33" s="198">
        <f>'[1]February - 2020'!DA33</f>
        <v>0</v>
      </c>
      <c r="DA33" s="257">
        <f>'[1]February - 2020'!DB33</f>
        <v>0</v>
      </c>
      <c r="DB33" s="198">
        <f>'[1]February - 2020'!DC33</f>
        <v>0</v>
      </c>
      <c r="DC33" s="257">
        <f>'[1]February - 2020'!DD33</f>
        <v>0</v>
      </c>
      <c r="DD33" s="198">
        <f>'[1]February - 2020'!DE33</f>
        <v>0</v>
      </c>
      <c r="DE33" s="257">
        <f>'[1]February - 2020'!DF33</f>
        <v>0</v>
      </c>
      <c r="DF33" s="198">
        <f>'[1]February - 2020'!DG33</f>
        <v>0</v>
      </c>
      <c r="DG33" s="257">
        <f>'[1]February - 2020'!DH33</f>
        <v>0</v>
      </c>
      <c r="DH33" s="198">
        <f>'[1]February - 2020'!DI33</f>
        <v>0</v>
      </c>
      <c r="DI33" s="257">
        <f>'[1]February - 2020'!DJ33</f>
        <v>825</v>
      </c>
      <c r="DJ33" s="198">
        <f>'[1]February - 2020'!DK33</f>
        <v>0</v>
      </c>
      <c r="DK33" s="257">
        <f>'[1]February - 2020'!DL33</f>
        <v>3570</v>
      </c>
      <c r="DL33" s="198">
        <f>'[1]February - 2020'!DM33</f>
        <v>0</v>
      </c>
      <c r="DM33" s="257">
        <f>'[1]February - 2020'!DN33</f>
        <v>0</v>
      </c>
      <c r="DN33" s="198">
        <f>'[1]February - 2020'!DO33</f>
        <v>0</v>
      </c>
      <c r="DO33" s="257">
        <f>'[1]February - 2020'!DP33</f>
        <v>0</v>
      </c>
      <c r="DP33" s="198">
        <f>'[1]February - 2020'!DQ33</f>
        <v>0</v>
      </c>
      <c r="DQ33" s="257">
        <f>'[1]February - 2020'!DR33</f>
        <v>0</v>
      </c>
      <c r="DR33" s="206">
        <f>'[1]February - 2020'!DS33</f>
        <v>0</v>
      </c>
      <c r="DS33" s="427"/>
      <c r="DT33" s="210">
        <f>'[1]February - 2020'!DU33</f>
        <v>0</v>
      </c>
      <c r="DU33" s="221">
        <f>'[1]February - 2020'!DV33</f>
        <v>0</v>
      </c>
      <c r="DV33" s="91">
        <f>'[1]February - 2020'!DW33</f>
        <v>0</v>
      </c>
      <c r="DW33" s="215">
        <f>'[1]February - 2020'!DX33</f>
        <v>0</v>
      </c>
      <c r="DX33" s="91">
        <f>'[1]February - 2020'!DY33</f>
        <v>0</v>
      </c>
      <c r="DY33" s="215">
        <f>'[1]February - 2020'!DZ33</f>
        <v>0</v>
      </c>
      <c r="DZ33" s="91">
        <f>'[1]February - 2020'!EA33</f>
        <v>0</v>
      </c>
      <c r="EA33" s="215">
        <f>'[1]February - 2020'!EB33</f>
        <v>0</v>
      </c>
      <c r="EB33" s="91">
        <f>'[1]February - 2020'!EC33</f>
        <v>0</v>
      </c>
      <c r="EC33" s="215">
        <f>'[1]February - 2020'!ED33</f>
        <v>0</v>
      </c>
      <c r="ED33" s="91">
        <f>'[1]February - 2020'!EG33</f>
        <v>0</v>
      </c>
      <c r="EE33" s="229">
        <f>'[1]February - 2020'!EH33</f>
        <v>0</v>
      </c>
      <c r="EF33" s="367"/>
      <c r="EG33" s="235">
        <f>'[1]February - 2020'!EJ33</f>
        <v>0</v>
      </c>
      <c r="EH33" s="230">
        <f>'[1]February - 2020'!EK33</f>
        <v>0</v>
      </c>
      <c r="EI33" s="90">
        <f>'[1]February - 2020'!EL33</f>
        <v>0</v>
      </c>
      <c r="EJ33" s="230">
        <f>'[1]February - 2020'!EM33</f>
        <v>0</v>
      </c>
      <c r="EK33" s="90">
        <f>'[1]February - 2020'!EN33</f>
        <v>0</v>
      </c>
      <c r="EL33" s="230">
        <f>'[1]February - 2020'!EO33</f>
        <v>0</v>
      </c>
      <c r="EM33" s="90">
        <f>'[1]February - 2020'!EP33</f>
        <v>0</v>
      </c>
      <c r="EN33" s="230">
        <f>'[1]February - 2020'!EQ33</f>
        <v>0</v>
      </c>
      <c r="EO33" s="90">
        <f>'[1]February - 2020'!ER33</f>
        <v>0</v>
      </c>
      <c r="EP33" s="230">
        <f>'[1]February - 2020'!ES33</f>
        <v>0</v>
      </c>
      <c r="EQ33" s="90">
        <f>'[1]February - 2020'!ET33</f>
        <v>0</v>
      </c>
      <c r="ER33" s="230">
        <f>'[1]February - 2020'!EU33</f>
        <v>0</v>
      </c>
      <c r="ES33" s="414"/>
      <c r="ET33" s="284">
        <f>'[1]February - 2020'!EW33</f>
        <v>0</v>
      </c>
      <c r="EU33" s="278">
        <f>'[1]February - 2020'!EX33</f>
        <v>0</v>
      </c>
      <c r="EV33" s="285">
        <f>'[1]February - 2020'!EY33</f>
        <v>0</v>
      </c>
      <c r="EW33" s="278">
        <f>'[1]February - 2020'!EZ33</f>
        <v>0</v>
      </c>
      <c r="EX33" s="285">
        <f>'[1]February - 2020'!FA33</f>
        <v>0</v>
      </c>
      <c r="EY33" s="278">
        <f>'[1]February - 2020'!FB33</f>
        <v>0</v>
      </c>
      <c r="EZ33" s="285">
        <f>'[1]February - 2020'!FC33</f>
        <v>0</v>
      </c>
      <c r="FA33" s="278">
        <f>'[1]February - 2020'!FD33</f>
        <v>0</v>
      </c>
      <c r="FB33" s="285">
        <f>'[1]February - 2020'!FE33</f>
        <v>0</v>
      </c>
      <c r="FC33" s="279">
        <f>'[1]February - 2020'!FF33</f>
        <v>0</v>
      </c>
    </row>
    <row r="34" spans="1:160" ht="30" customHeight="1" x14ac:dyDescent="0.25">
      <c r="A34" s="207">
        <v>43855</v>
      </c>
      <c r="B34" s="209">
        <f>'[1]February - 2020'!B34</f>
        <v>0</v>
      </c>
      <c r="C34" s="250">
        <f>'[1]February - 2020'!E34</f>
        <v>0</v>
      </c>
      <c r="D34" s="170">
        <f>'[1]February - 2020'!F34</f>
        <v>0</v>
      </c>
      <c r="E34" s="168">
        <f>'[1]February - 2020'!G34</f>
        <v>488</v>
      </c>
      <c r="F34" s="168">
        <f>'[1]February - 2020'!H34</f>
        <v>0</v>
      </c>
      <c r="G34" s="170">
        <f>'[1]February - 2020'!I34</f>
        <v>0</v>
      </c>
      <c r="H34" s="168">
        <f>'[1]February - 2020'!J34</f>
        <v>402</v>
      </c>
      <c r="I34" s="168">
        <f>'[1]February - 2020'!K34</f>
        <v>0</v>
      </c>
      <c r="J34" s="170">
        <f>'[1]February - 2020'!L34</f>
        <v>0</v>
      </c>
      <c r="K34" s="168">
        <f>'[1]February - 2020'!N34</f>
        <v>0</v>
      </c>
      <c r="L34" s="170">
        <f>'[1]February - 2020'!O34</f>
        <v>0</v>
      </c>
      <c r="M34" s="168">
        <f>'[1]February - 2020'!Q34</f>
        <v>0</v>
      </c>
      <c r="N34" s="170">
        <f>'[1]February - 2020'!R34</f>
        <v>0</v>
      </c>
      <c r="O34" s="168">
        <f>'[1]February - 2020'!S34</f>
        <v>0</v>
      </c>
      <c r="P34" s="170">
        <f>'[1]February - 2020'!T34</f>
        <v>0</v>
      </c>
      <c r="Q34" s="168">
        <f>'[1]February - 2020'!U34</f>
        <v>66</v>
      </c>
      <c r="R34" s="168">
        <f>'[1]February - 2020'!V34</f>
        <v>0</v>
      </c>
      <c r="S34" s="208">
        <f>'[1]February - 2020'!W34</f>
        <v>0</v>
      </c>
      <c r="T34" s="509"/>
      <c r="U34" s="169">
        <f>'[1]February - 2020'!AC34</f>
        <v>0</v>
      </c>
      <c r="V34" s="288">
        <f>'[1]February - 2020'!AD34</f>
        <v>0</v>
      </c>
      <c r="W34" s="92">
        <f>'[1]February - 2020'!AD34</f>
        <v>0</v>
      </c>
      <c r="X34" s="287">
        <f>'[1]February - 2020'!AF34</f>
        <v>0</v>
      </c>
      <c r="Y34" s="288">
        <f>'[1]February - 2020'!AG34</f>
        <v>0</v>
      </c>
      <c r="Z34" s="92">
        <f>'[1]February - 2020'!AG34</f>
        <v>0</v>
      </c>
      <c r="AA34" s="287">
        <f>'[1]February - 2020'!AI34</f>
        <v>0</v>
      </c>
      <c r="AB34" s="288">
        <f>'[1]February - 2020'!AJ34</f>
        <v>0</v>
      </c>
      <c r="AC34" s="92">
        <f>'[1]February - 2020'!AJ34</f>
        <v>0</v>
      </c>
      <c r="AD34" s="287">
        <f>'[1]February - 2020'!AL34</f>
        <v>0</v>
      </c>
      <c r="AE34" s="288">
        <f>'[1]February - 2020'!AM34</f>
        <v>0</v>
      </c>
      <c r="AF34" s="92">
        <f>'[1]February - 2020'!AM34</f>
        <v>0</v>
      </c>
      <c r="AG34" s="287">
        <f>'[1]February - 2020'!AO34</f>
        <v>0</v>
      </c>
      <c r="AH34" s="288">
        <f>'[1]February - 2020'!AP34</f>
        <v>0</v>
      </c>
      <c r="AI34" s="92">
        <f>'[1]February - 2020'!AP34</f>
        <v>0</v>
      </c>
      <c r="AJ34" s="287">
        <f>'[1]February - 2020'!AR34</f>
        <v>0</v>
      </c>
      <c r="AK34" s="288">
        <f>'[1]February - 2020'!AS34</f>
        <v>0</v>
      </c>
      <c r="AL34" s="92">
        <f>'[1]February - 2020'!AS34</f>
        <v>0</v>
      </c>
      <c r="AM34" s="287">
        <f>'[1]February - 2020'!AU34</f>
        <v>0</v>
      </c>
      <c r="AN34" s="288">
        <f>'[1]February - 2020'!AV34</f>
        <v>0</v>
      </c>
      <c r="AO34" s="92">
        <f>'[1]February - 2020'!AV34</f>
        <v>0</v>
      </c>
      <c r="AP34" s="287">
        <f>'[1]February - 2020'!AX34</f>
        <v>0</v>
      </c>
      <c r="AQ34" s="288">
        <f>'[1]February - 2020'!AY34</f>
        <v>0</v>
      </c>
      <c r="AR34" s="92">
        <f>'[1]February - 2020'!AY34</f>
        <v>0</v>
      </c>
      <c r="AS34" s="287">
        <f>'[1]February - 2020'!BA34</f>
        <v>0</v>
      </c>
      <c r="AT34" s="288">
        <f>'[1]February - 2020'!BB34</f>
        <v>0</v>
      </c>
      <c r="AU34" s="92">
        <f>'[1]February - 2020'!BB34</f>
        <v>0</v>
      </c>
      <c r="AV34" s="287">
        <f>'[1]February - 2020'!BD34</f>
        <v>0</v>
      </c>
      <c r="AW34" s="252">
        <f>'[1]February - 2020'!BE34</f>
        <v>0</v>
      </c>
      <c r="AX34" s="253">
        <f>'[1]February - 2020'!BE34</f>
        <v>0</v>
      </c>
      <c r="AY34" s="475"/>
      <c r="AZ34" s="272">
        <f>'[1]February - 2020'!BK34</f>
        <v>0</v>
      </c>
      <c r="BA34" s="179">
        <f>'[1]February - 2020'!BL34</f>
        <v>0</v>
      </c>
      <c r="BB34" s="93">
        <f>'[1]February - 2020'!BL34</f>
        <v>0</v>
      </c>
      <c r="BC34" s="272">
        <f>'[1]February - 2020'!BN34</f>
        <v>0</v>
      </c>
      <c r="BD34" s="245">
        <f>'[1]February - 2020'!BO34</f>
        <v>0</v>
      </c>
      <c r="BE34" s="93">
        <f>'[1]February - 2020'!BO34</f>
        <v>0</v>
      </c>
      <c r="BF34" s="272">
        <f>'[1]February - 2020'!BQ34</f>
        <v>0</v>
      </c>
      <c r="BG34" s="245">
        <f>'[1]February - 2020'!BR34</f>
        <v>0</v>
      </c>
      <c r="BH34" s="93">
        <f>'[1]February - 2020'!BR34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- 2020'!BT34</f>
        <v>0</v>
      </c>
      <c r="BT34" s="185">
        <f>'[1]February - 2020'!BU34</f>
        <v>0</v>
      </c>
      <c r="BU34" s="383"/>
      <c r="BV34" s="88">
        <f>'[1]February - 2020'!BW34</f>
        <v>0</v>
      </c>
      <c r="BW34" s="241">
        <f>'[1]February - 2020'!BX34</f>
        <v>0</v>
      </c>
      <c r="BX34" s="88">
        <f>'[1]February - 2020'!BX34</f>
        <v>0</v>
      </c>
      <c r="BY34" s="89">
        <f>'[1]February - 2020'!BZ34</f>
        <v>0</v>
      </c>
      <c r="BZ34" s="191">
        <f>'[1]February - 2020'!CA34</f>
        <v>0</v>
      </c>
      <c r="CA34" s="89">
        <f>'[1]February - 2020'!CB34</f>
        <v>0</v>
      </c>
      <c r="CB34" s="191">
        <f>'[1]February - 2020'!CC34</f>
        <v>0</v>
      </c>
      <c r="CC34" s="89">
        <f>'[1]February - 2020'!CD34</f>
        <v>0</v>
      </c>
      <c r="CD34" s="191">
        <f>'[1]February - 2020'!CE34</f>
        <v>0</v>
      </c>
      <c r="CE34" s="89">
        <f>'[1]February - 2020'!CF34</f>
        <v>0</v>
      </c>
      <c r="CF34" s="191">
        <f>'[1]February - 2020'!CG34</f>
        <v>0</v>
      </c>
      <c r="CG34" s="89">
        <f>'[1]February - 2020'!CH34</f>
        <v>0</v>
      </c>
      <c r="CH34" s="191">
        <f>'[1]February - 2020'!CI34</f>
        <v>0</v>
      </c>
      <c r="CI34" s="89">
        <f>'[1]February - 2020'!CJ34</f>
        <v>0</v>
      </c>
      <c r="CJ34" s="191">
        <f>'[1]February - 2020'!CK34</f>
        <v>0</v>
      </c>
      <c r="CK34" s="89">
        <f>'[1]February - 2020'!CL34</f>
        <v>0</v>
      </c>
      <c r="CL34" s="246">
        <f>'[1]February - 2020'!CM34</f>
        <v>0</v>
      </c>
      <c r="CM34" s="89">
        <f>'[1]February - 2020'!CM34</f>
        <v>0</v>
      </c>
      <c r="CN34" s="89">
        <f>'[1]February - 2020'!CO34</f>
        <v>0</v>
      </c>
      <c r="CO34" s="246">
        <f>'[1]February - 2020'!CP34</f>
        <v>0</v>
      </c>
      <c r="CP34" s="89">
        <f>'[1]February - 2020'!CP34</f>
        <v>0</v>
      </c>
      <c r="CQ34" s="89">
        <f>'[1]February - 2020'!CR34</f>
        <v>0</v>
      </c>
      <c r="CR34" s="246">
        <f>'[1]February - 2020'!CS34</f>
        <v>0</v>
      </c>
      <c r="CS34" s="89">
        <f>'[1]February - 2020'!CS34</f>
        <v>0</v>
      </c>
      <c r="CT34" s="89">
        <f>'[1]February - 2020'!CU34</f>
        <v>0</v>
      </c>
      <c r="CU34" s="191">
        <f>'[1]February - 2020'!CV34</f>
        <v>0</v>
      </c>
      <c r="CV34" s="442"/>
      <c r="CW34" s="256">
        <f>'[1]February - 2020'!CX34</f>
        <v>0</v>
      </c>
      <c r="CX34" s="198">
        <f>'[1]February - 2020'!CY34</f>
        <v>0</v>
      </c>
      <c r="CY34" s="257">
        <f>'[1]February - 2020'!CZ34</f>
        <v>0</v>
      </c>
      <c r="CZ34" s="198">
        <f>'[1]February - 2020'!DA34</f>
        <v>0</v>
      </c>
      <c r="DA34" s="257">
        <f>'[1]February - 2020'!DB34</f>
        <v>0</v>
      </c>
      <c r="DB34" s="198">
        <f>'[1]February - 2020'!DC34</f>
        <v>0</v>
      </c>
      <c r="DC34" s="257">
        <f>'[1]February - 2020'!DD34</f>
        <v>0</v>
      </c>
      <c r="DD34" s="198">
        <f>'[1]February - 2020'!DE34</f>
        <v>0</v>
      </c>
      <c r="DE34" s="257">
        <f>'[1]February - 2020'!DF34</f>
        <v>0</v>
      </c>
      <c r="DF34" s="198">
        <f>'[1]February - 2020'!DG34</f>
        <v>0</v>
      </c>
      <c r="DG34" s="257">
        <f>'[1]February - 2020'!DH34</f>
        <v>0</v>
      </c>
      <c r="DH34" s="198">
        <f>'[1]February - 2020'!DI34</f>
        <v>0</v>
      </c>
      <c r="DI34" s="257">
        <f>'[1]February - 2020'!DJ34</f>
        <v>825</v>
      </c>
      <c r="DJ34" s="198">
        <f>'[1]February - 2020'!DK34</f>
        <v>0</v>
      </c>
      <c r="DK34" s="257">
        <f>'[1]February - 2020'!DL34</f>
        <v>3570</v>
      </c>
      <c r="DL34" s="198">
        <f>'[1]February - 2020'!DM34</f>
        <v>0</v>
      </c>
      <c r="DM34" s="257">
        <f>'[1]February - 2020'!DN34</f>
        <v>0</v>
      </c>
      <c r="DN34" s="198">
        <f>'[1]February - 2020'!DO34</f>
        <v>0</v>
      </c>
      <c r="DO34" s="257">
        <f>'[1]February - 2020'!DP34</f>
        <v>0</v>
      </c>
      <c r="DP34" s="198">
        <f>'[1]February - 2020'!DQ34</f>
        <v>0</v>
      </c>
      <c r="DQ34" s="257">
        <f>'[1]February - 2020'!DR34</f>
        <v>0</v>
      </c>
      <c r="DR34" s="206">
        <f>'[1]February - 2020'!DS34</f>
        <v>0</v>
      </c>
      <c r="DS34" s="427"/>
      <c r="DT34" s="210">
        <f>'[1]February - 2020'!DU34</f>
        <v>0</v>
      </c>
      <c r="DU34" s="221">
        <f>'[1]February - 2020'!DV34</f>
        <v>0</v>
      </c>
      <c r="DV34" s="91">
        <f>'[1]February - 2020'!DW34</f>
        <v>0</v>
      </c>
      <c r="DW34" s="215">
        <f>'[1]February - 2020'!DX34</f>
        <v>0</v>
      </c>
      <c r="DX34" s="91">
        <f>'[1]February - 2020'!DY34</f>
        <v>0</v>
      </c>
      <c r="DY34" s="215">
        <f>'[1]February - 2020'!DZ34</f>
        <v>0</v>
      </c>
      <c r="DZ34" s="91">
        <f>'[1]February - 2020'!EA34</f>
        <v>0</v>
      </c>
      <c r="EA34" s="215">
        <f>'[1]February - 2020'!EB34</f>
        <v>0</v>
      </c>
      <c r="EB34" s="91">
        <f>'[1]February - 2020'!EC34</f>
        <v>0</v>
      </c>
      <c r="EC34" s="215">
        <f>'[1]February - 2020'!ED34</f>
        <v>0</v>
      </c>
      <c r="ED34" s="91">
        <f>'[1]February - 2020'!EG34</f>
        <v>0</v>
      </c>
      <c r="EE34" s="229">
        <f>'[1]February - 2020'!EH34</f>
        <v>0</v>
      </c>
      <c r="EF34" s="367"/>
      <c r="EG34" s="235">
        <f>'[1]February - 2020'!EJ34</f>
        <v>0</v>
      </c>
      <c r="EH34" s="230">
        <f>'[1]February - 2020'!EK34</f>
        <v>0</v>
      </c>
      <c r="EI34" s="90">
        <f>'[1]February - 2020'!EL34</f>
        <v>0</v>
      </c>
      <c r="EJ34" s="230">
        <f>'[1]February - 2020'!EM34</f>
        <v>0</v>
      </c>
      <c r="EK34" s="90">
        <f>'[1]February - 2020'!EN34</f>
        <v>0</v>
      </c>
      <c r="EL34" s="230">
        <f>'[1]February - 2020'!EO34</f>
        <v>0</v>
      </c>
      <c r="EM34" s="90">
        <f>'[1]February - 2020'!EP34</f>
        <v>0</v>
      </c>
      <c r="EN34" s="230">
        <f>'[1]February - 2020'!EQ34</f>
        <v>0</v>
      </c>
      <c r="EO34" s="90">
        <f>'[1]February - 2020'!ER34</f>
        <v>0</v>
      </c>
      <c r="EP34" s="230">
        <f>'[1]February - 2020'!ES34</f>
        <v>0</v>
      </c>
      <c r="EQ34" s="90">
        <f>'[1]February - 2020'!ET34</f>
        <v>0</v>
      </c>
      <c r="ER34" s="230">
        <f>'[1]February - 2020'!EU34</f>
        <v>0</v>
      </c>
      <c r="ES34" s="414"/>
      <c r="ET34" s="284">
        <f>'[1]February - 2020'!EW34</f>
        <v>0</v>
      </c>
      <c r="EU34" s="278">
        <f>'[1]February - 2020'!EX34</f>
        <v>0</v>
      </c>
      <c r="EV34" s="285">
        <f>'[1]February - 2020'!EY34</f>
        <v>0</v>
      </c>
      <c r="EW34" s="278">
        <f>'[1]February - 2020'!EZ34</f>
        <v>0</v>
      </c>
      <c r="EX34" s="285">
        <f>'[1]February - 2020'!FA34</f>
        <v>0</v>
      </c>
      <c r="EY34" s="278">
        <f>'[1]February - 2020'!FB34</f>
        <v>0</v>
      </c>
      <c r="EZ34" s="285">
        <f>'[1]February - 2020'!FC34</f>
        <v>0</v>
      </c>
      <c r="FA34" s="278">
        <f>'[1]February - 2020'!FD34</f>
        <v>0</v>
      </c>
      <c r="FB34" s="285">
        <f>'[1]February - 2020'!FE34</f>
        <v>0</v>
      </c>
      <c r="FC34" s="279">
        <f>'[1]February - 2020'!FF34</f>
        <v>0</v>
      </c>
    </row>
    <row r="35" spans="1:160" ht="30" customHeight="1" x14ac:dyDescent="0.25">
      <c r="A35" s="207">
        <v>43856</v>
      </c>
      <c r="B35" s="209">
        <f>'[1]February - 2020'!B35</f>
        <v>0</v>
      </c>
      <c r="C35" s="250">
        <f>'[1]February - 2020'!E35</f>
        <v>0</v>
      </c>
      <c r="D35" s="170">
        <f>'[1]February - 2020'!F35</f>
        <v>0</v>
      </c>
      <c r="E35" s="168">
        <f>'[1]February - 2020'!G35</f>
        <v>462</v>
      </c>
      <c r="F35" s="168">
        <f>'[1]February - 2020'!H35</f>
        <v>0</v>
      </c>
      <c r="G35" s="170">
        <f>'[1]February - 2020'!I35</f>
        <v>0</v>
      </c>
      <c r="H35" s="168">
        <f>'[1]February - 2020'!J35</f>
        <v>375</v>
      </c>
      <c r="I35" s="168">
        <f>'[1]February - 2020'!K35</f>
        <v>0</v>
      </c>
      <c r="J35" s="170">
        <f>'[1]February - 2020'!L35</f>
        <v>0</v>
      </c>
      <c r="K35" s="168">
        <f>'[1]February - 2020'!N35</f>
        <v>0</v>
      </c>
      <c r="L35" s="170">
        <f>'[1]February - 2020'!O35</f>
        <v>0</v>
      </c>
      <c r="M35" s="168">
        <f>'[1]February - 2020'!Q35</f>
        <v>0</v>
      </c>
      <c r="N35" s="170">
        <f>'[1]February - 2020'!R35</f>
        <v>0</v>
      </c>
      <c r="O35" s="168">
        <f>'[1]February - 2020'!S35</f>
        <v>0</v>
      </c>
      <c r="P35" s="170">
        <f>'[1]February - 2020'!T35</f>
        <v>0</v>
      </c>
      <c r="Q35" s="168">
        <f>'[1]February - 2020'!U35</f>
        <v>80</v>
      </c>
      <c r="R35" s="168">
        <f>'[1]February - 2020'!V35</f>
        <v>0</v>
      </c>
      <c r="S35" s="208">
        <f>'[1]February - 2020'!W35</f>
        <v>0</v>
      </c>
      <c r="T35" s="509"/>
      <c r="U35" s="169">
        <f>'[1]February - 2020'!AC35</f>
        <v>0</v>
      </c>
      <c r="V35" s="288">
        <f>'[1]February - 2020'!AD35</f>
        <v>0</v>
      </c>
      <c r="W35" s="92">
        <f>'[1]February - 2020'!AD35</f>
        <v>0</v>
      </c>
      <c r="X35" s="287">
        <f>'[1]February - 2020'!AF35</f>
        <v>0</v>
      </c>
      <c r="Y35" s="288">
        <f>'[1]February - 2020'!AG35</f>
        <v>0</v>
      </c>
      <c r="Z35" s="92">
        <f>'[1]February - 2020'!AG35</f>
        <v>0</v>
      </c>
      <c r="AA35" s="287">
        <f>'[1]February - 2020'!AI35</f>
        <v>0</v>
      </c>
      <c r="AB35" s="288">
        <f>'[1]February - 2020'!AJ35</f>
        <v>0</v>
      </c>
      <c r="AC35" s="92">
        <f>'[1]February - 2020'!AJ35</f>
        <v>0</v>
      </c>
      <c r="AD35" s="287">
        <f>'[1]February - 2020'!AL35</f>
        <v>0</v>
      </c>
      <c r="AE35" s="288">
        <f>'[1]February - 2020'!AM35</f>
        <v>0</v>
      </c>
      <c r="AF35" s="92">
        <f>'[1]February - 2020'!AM35</f>
        <v>0</v>
      </c>
      <c r="AG35" s="287">
        <f>'[1]February - 2020'!AO35</f>
        <v>0</v>
      </c>
      <c r="AH35" s="288">
        <f>'[1]February - 2020'!AP35</f>
        <v>0</v>
      </c>
      <c r="AI35" s="92">
        <f>'[1]February - 2020'!AP35</f>
        <v>0</v>
      </c>
      <c r="AJ35" s="287">
        <f>'[1]February - 2020'!AR35</f>
        <v>0</v>
      </c>
      <c r="AK35" s="288">
        <f>'[1]February - 2020'!AS35</f>
        <v>0</v>
      </c>
      <c r="AL35" s="92">
        <f>'[1]February - 2020'!AS35</f>
        <v>0</v>
      </c>
      <c r="AM35" s="287">
        <f>'[1]February - 2020'!AU35</f>
        <v>0</v>
      </c>
      <c r="AN35" s="288">
        <f>'[1]February - 2020'!AV35</f>
        <v>0</v>
      </c>
      <c r="AO35" s="92">
        <f>'[1]February - 2020'!AV35</f>
        <v>0</v>
      </c>
      <c r="AP35" s="287">
        <f>'[1]February - 2020'!AX35</f>
        <v>0</v>
      </c>
      <c r="AQ35" s="288">
        <f>'[1]February - 2020'!AY35</f>
        <v>0</v>
      </c>
      <c r="AR35" s="92">
        <f>'[1]February - 2020'!AY35</f>
        <v>0</v>
      </c>
      <c r="AS35" s="287">
        <f>'[1]February - 2020'!BA35</f>
        <v>0</v>
      </c>
      <c r="AT35" s="288">
        <f>'[1]February - 2020'!BB35</f>
        <v>0</v>
      </c>
      <c r="AU35" s="92">
        <f>'[1]February - 2020'!BB35</f>
        <v>0</v>
      </c>
      <c r="AV35" s="287">
        <f>'[1]February - 2020'!BD35</f>
        <v>0</v>
      </c>
      <c r="AW35" s="252">
        <f>'[1]February - 2020'!BE35</f>
        <v>0</v>
      </c>
      <c r="AX35" s="253">
        <f>'[1]February - 2020'!BE35</f>
        <v>0</v>
      </c>
      <c r="AY35" s="475"/>
      <c r="AZ35" s="272">
        <f>'[1]February - 2020'!BK35</f>
        <v>0</v>
      </c>
      <c r="BA35" s="179">
        <f>'[1]February - 2020'!BL35</f>
        <v>0</v>
      </c>
      <c r="BB35" s="93">
        <f>'[1]February - 2020'!BL35</f>
        <v>0</v>
      </c>
      <c r="BC35" s="272">
        <f>'[1]February - 2020'!BN35</f>
        <v>0</v>
      </c>
      <c r="BD35" s="245">
        <f>'[1]February - 2020'!BO35</f>
        <v>0</v>
      </c>
      <c r="BE35" s="93">
        <f>'[1]February - 2020'!BO35</f>
        <v>0</v>
      </c>
      <c r="BF35" s="272">
        <f>'[1]February - 2020'!BQ35</f>
        <v>0</v>
      </c>
      <c r="BG35" s="245">
        <f>'[1]February - 2020'!BR35</f>
        <v>0</v>
      </c>
      <c r="BH35" s="93">
        <f>'[1]February - 2020'!BR35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- 2020'!BT35</f>
        <v>0</v>
      </c>
      <c r="BT35" s="185">
        <f>'[1]February - 2020'!BU35</f>
        <v>0</v>
      </c>
      <c r="BU35" s="383"/>
      <c r="BV35" s="88">
        <f>'[1]February - 2020'!BW35</f>
        <v>0</v>
      </c>
      <c r="BW35" s="241">
        <f>'[1]February - 2020'!BX35</f>
        <v>0</v>
      </c>
      <c r="BX35" s="88">
        <f>'[1]February - 2020'!BX35</f>
        <v>0</v>
      </c>
      <c r="BY35" s="89">
        <f>'[1]February - 2020'!BZ35</f>
        <v>0</v>
      </c>
      <c r="BZ35" s="191">
        <f>'[1]February - 2020'!CA35</f>
        <v>0</v>
      </c>
      <c r="CA35" s="89">
        <f>'[1]February - 2020'!CB35</f>
        <v>0</v>
      </c>
      <c r="CB35" s="191">
        <f>'[1]February - 2020'!CC35</f>
        <v>0</v>
      </c>
      <c r="CC35" s="89">
        <f>'[1]February - 2020'!CD35</f>
        <v>0</v>
      </c>
      <c r="CD35" s="191">
        <f>'[1]February - 2020'!CE35</f>
        <v>0</v>
      </c>
      <c r="CE35" s="89">
        <f>'[1]February - 2020'!CF35</f>
        <v>0</v>
      </c>
      <c r="CF35" s="191">
        <f>'[1]February - 2020'!CG35</f>
        <v>0</v>
      </c>
      <c r="CG35" s="89">
        <f>'[1]February - 2020'!CH35</f>
        <v>0</v>
      </c>
      <c r="CH35" s="191">
        <f>'[1]February - 2020'!CI35</f>
        <v>0</v>
      </c>
      <c r="CI35" s="89">
        <f>'[1]February - 2020'!CJ35</f>
        <v>0</v>
      </c>
      <c r="CJ35" s="191">
        <f>'[1]February - 2020'!CK35</f>
        <v>0</v>
      </c>
      <c r="CK35" s="89">
        <f>'[1]February - 2020'!CL35</f>
        <v>0</v>
      </c>
      <c r="CL35" s="246">
        <f>'[1]February - 2020'!CM35</f>
        <v>0</v>
      </c>
      <c r="CM35" s="89">
        <f>'[1]February - 2020'!CM35</f>
        <v>0</v>
      </c>
      <c r="CN35" s="89">
        <f>'[1]February - 2020'!CO35</f>
        <v>0</v>
      </c>
      <c r="CO35" s="246">
        <f>'[1]February - 2020'!CP35</f>
        <v>0</v>
      </c>
      <c r="CP35" s="89">
        <f>'[1]February - 2020'!CP35</f>
        <v>0</v>
      </c>
      <c r="CQ35" s="89">
        <f>'[1]February - 2020'!CR35</f>
        <v>0</v>
      </c>
      <c r="CR35" s="246">
        <f>'[1]February - 2020'!CS35</f>
        <v>0</v>
      </c>
      <c r="CS35" s="89">
        <f>'[1]February - 2020'!CS35</f>
        <v>0</v>
      </c>
      <c r="CT35" s="89">
        <f>'[1]February - 2020'!CU35</f>
        <v>0</v>
      </c>
      <c r="CU35" s="191">
        <f>'[1]February - 2020'!CV35</f>
        <v>0</v>
      </c>
      <c r="CV35" s="442"/>
      <c r="CW35" s="256">
        <f>'[1]February - 2020'!CX35</f>
        <v>0</v>
      </c>
      <c r="CX35" s="198">
        <f>'[1]February - 2020'!CY35</f>
        <v>0</v>
      </c>
      <c r="CY35" s="257">
        <f>'[1]February - 2020'!CZ35</f>
        <v>0</v>
      </c>
      <c r="CZ35" s="198">
        <f>'[1]February - 2020'!DA35</f>
        <v>0</v>
      </c>
      <c r="DA35" s="257">
        <f>'[1]February - 2020'!DB35</f>
        <v>0</v>
      </c>
      <c r="DB35" s="198">
        <f>'[1]February - 2020'!DC35</f>
        <v>0</v>
      </c>
      <c r="DC35" s="257">
        <f>'[1]February - 2020'!DD35</f>
        <v>0</v>
      </c>
      <c r="DD35" s="198">
        <f>'[1]February - 2020'!DE35</f>
        <v>0</v>
      </c>
      <c r="DE35" s="257">
        <f>'[1]February - 2020'!DF35</f>
        <v>0</v>
      </c>
      <c r="DF35" s="198">
        <f>'[1]February - 2020'!DG35</f>
        <v>0</v>
      </c>
      <c r="DG35" s="257">
        <f>'[1]February - 2020'!DH35</f>
        <v>0</v>
      </c>
      <c r="DH35" s="198">
        <f>'[1]February - 2020'!DI35</f>
        <v>0</v>
      </c>
      <c r="DI35" s="257">
        <f>'[1]February - 2020'!DJ35</f>
        <v>825</v>
      </c>
      <c r="DJ35" s="198">
        <f>'[1]February - 2020'!DK35</f>
        <v>0</v>
      </c>
      <c r="DK35" s="257">
        <f>'[1]February - 2020'!DL35</f>
        <v>3570</v>
      </c>
      <c r="DL35" s="198">
        <f>'[1]February - 2020'!DM35</f>
        <v>0</v>
      </c>
      <c r="DM35" s="257">
        <f>'[1]February - 2020'!DN35</f>
        <v>0</v>
      </c>
      <c r="DN35" s="198">
        <f>'[1]February - 2020'!DO35</f>
        <v>0</v>
      </c>
      <c r="DO35" s="257">
        <f>'[1]February - 2020'!DP35</f>
        <v>0</v>
      </c>
      <c r="DP35" s="198">
        <f>'[1]February - 2020'!DQ35</f>
        <v>0</v>
      </c>
      <c r="DQ35" s="257">
        <f>'[1]February - 2020'!DR35</f>
        <v>0</v>
      </c>
      <c r="DR35" s="206">
        <f>'[1]February - 2020'!DS35</f>
        <v>0</v>
      </c>
      <c r="DS35" s="427"/>
      <c r="DT35" s="210">
        <f>'[1]February - 2020'!DU35</f>
        <v>0</v>
      </c>
      <c r="DU35" s="221">
        <f>'[1]February - 2020'!DV35</f>
        <v>0</v>
      </c>
      <c r="DV35" s="91">
        <f>'[1]February - 2020'!DW35</f>
        <v>0</v>
      </c>
      <c r="DW35" s="215">
        <f>'[1]February - 2020'!DX35</f>
        <v>0</v>
      </c>
      <c r="DX35" s="91">
        <f>'[1]February - 2020'!DY35</f>
        <v>0</v>
      </c>
      <c r="DY35" s="215">
        <f>'[1]February - 2020'!DZ35</f>
        <v>0</v>
      </c>
      <c r="DZ35" s="91">
        <f>'[1]February - 2020'!EA35</f>
        <v>0</v>
      </c>
      <c r="EA35" s="215">
        <f>'[1]February - 2020'!EB35</f>
        <v>0</v>
      </c>
      <c r="EB35" s="91">
        <f>'[1]February - 2020'!EC35</f>
        <v>0</v>
      </c>
      <c r="EC35" s="215">
        <f>'[1]February - 2020'!ED35</f>
        <v>0</v>
      </c>
      <c r="ED35" s="91">
        <f>'[1]February - 2020'!EG35</f>
        <v>0</v>
      </c>
      <c r="EE35" s="229">
        <f>'[1]February - 2020'!EH35</f>
        <v>0</v>
      </c>
      <c r="EF35" s="367"/>
      <c r="EG35" s="235">
        <f>'[1]February - 2020'!EJ35</f>
        <v>0</v>
      </c>
      <c r="EH35" s="230">
        <f>'[1]February - 2020'!EK35</f>
        <v>0</v>
      </c>
      <c r="EI35" s="90">
        <f>'[1]February - 2020'!EL35</f>
        <v>0</v>
      </c>
      <c r="EJ35" s="230">
        <f>'[1]February - 2020'!EM35</f>
        <v>0</v>
      </c>
      <c r="EK35" s="90">
        <f>'[1]February - 2020'!EN35</f>
        <v>0</v>
      </c>
      <c r="EL35" s="230">
        <f>'[1]February - 2020'!EO35</f>
        <v>0</v>
      </c>
      <c r="EM35" s="90">
        <f>'[1]February - 2020'!EP35</f>
        <v>0</v>
      </c>
      <c r="EN35" s="230">
        <f>'[1]February - 2020'!EQ35</f>
        <v>0</v>
      </c>
      <c r="EO35" s="90">
        <f>'[1]February - 2020'!ER35</f>
        <v>0</v>
      </c>
      <c r="EP35" s="230">
        <f>'[1]February - 2020'!ES35</f>
        <v>0</v>
      </c>
      <c r="EQ35" s="90">
        <f>'[1]February - 2020'!ET35</f>
        <v>0</v>
      </c>
      <c r="ER35" s="230">
        <f>'[1]February - 2020'!EU35</f>
        <v>0</v>
      </c>
      <c r="ES35" s="414"/>
      <c r="ET35" s="284">
        <f>'[1]February - 2020'!EW35</f>
        <v>0</v>
      </c>
      <c r="EU35" s="278">
        <f>'[1]February - 2020'!EX35</f>
        <v>0</v>
      </c>
      <c r="EV35" s="285">
        <f>'[1]February - 2020'!EY35</f>
        <v>0</v>
      </c>
      <c r="EW35" s="278">
        <f>'[1]February - 2020'!EZ35</f>
        <v>0</v>
      </c>
      <c r="EX35" s="285">
        <f>'[1]February - 2020'!FA35</f>
        <v>0</v>
      </c>
      <c r="EY35" s="278">
        <f>'[1]February - 2020'!FB35</f>
        <v>0</v>
      </c>
      <c r="EZ35" s="285">
        <f>'[1]February - 2020'!FC35</f>
        <v>0</v>
      </c>
      <c r="FA35" s="278">
        <f>'[1]February - 2020'!FD35</f>
        <v>0</v>
      </c>
      <c r="FB35" s="285">
        <f>'[1]February - 2020'!FE35</f>
        <v>0</v>
      </c>
      <c r="FC35" s="279">
        <f>'[1]February - 2020'!FF35</f>
        <v>0</v>
      </c>
    </row>
    <row r="36" spans="1:160" ht="30" customHeight="1" x14ac:dyDescent="0.25">
      <c r="A36" s="207">
        <v>43857</v>
      </c>
      <c r="B36" s="209">
        <f>'[1]February - 2020'!B36</f>
        <v>0</v>
      </c>
      <c r="C36" s="250">
        <f>'[1]February - 2020'!E36</f>
        <v>0</v>
      </c>
      <c r="D36" s="170">
        <f>'[1]February - 2020'!F36</f>
        <v>0</v>
      </c>
      <c r="E36" s="168">
        <f>'[1]February - 2020'!G36</f>
        <v>467</v>
      </c>
      <c r="F36" s="168">
        <f>'[1]February - 2020'!H36</f>
        <v>0</v>
      </c>
      <c r="G36" s="170">
        <f>'[1]February - 2020'!I36</f>
        <v>0</v>
      </c>
      <c r="H36" s="168">
        <f>'[1]February - 2020'!J36</f>
        <v>395</v>
      </c>
      <c r="I36" s="168">
        <f>'[1]February - 2020'!K36</f>
        <v>0</v>
      </c>
      <c r="J36" s="170">
        <f>'[1]February - 2020'!L36</f>
        <v>0</v>
      </c>
      <c r="K36" s="168">
        <f>'[1]February - 2020'!N36</f>
        <v>0</v>
      </c>
      <c r="L36" s="170">
        <f>'[1]February - 2020'!O36</f>
        <v>0</v>
      </c>
      <c r="M36" s="168">
        <f>'[1]February - 2020'!Q36</f>
        <v>0</v>
      </c>
      <c r="N36" s="170">
        <f>'[1]February - 2020'!R36</f>
        <v>0</v>
      </c>
      <c r="O36" s="168">
        <f>'[1]February - 2020'!S36</f>
        <v>0</v>
      </c>
      <c r="P36" s="170">
        <f>'[1]February - 2020'!T36</f>
        <v>0</v>
      </c>
      <c r="Q36" s="168">
        <f>'[1]February - 2020'!U36</f>
        <v>80</v>
      </c>
      <c r="R36" s="168">
        <f>'[1]February - 2020'!V36</f>
        <v>0</v>
      </c>
      <c r="S36" s="208">
        <f>'[1]February - 2020'!W36</f>
        <v>0</v>
      </c>
      <c r="T36" s="509"/>
      <c r="U36" s="169">
        <f>'[1]February - 2020'!AC36</f>
        <v>0</v>
      </c>
      <c r="V36" s="288">
        <f>'[1]February - 2020'!AD36</f>
        <v>0</v>
      </c>
      <c r="W36" s="92">
        <f>'[1]February - 2020'!AD36</f>
        <v>0</v>
      </c>
      <c r="X36" s="287">
        <f>'[1]February - 2020'!AF36</f>
        <v>0</v>
      </c>
      <c r="Y36" s="288">
        <f>'[1]February - 2020'!AG36</f>
        <v>0</v>
      </c>
      <c r="Z36" s="92">
        <f>'[1]February - 2020'!AG36</f>
        <v>0</v>
      </c>
      <c r="AA36" s="287">
        <f>'[1]February - 2020'!AI36</f>
        <v>0</v>
      </c>
      <c r="AB36" s="288">
        <f>'[1]February - 2020'!AJ36</f>
        <v>0</v>
      </c>
      <c r="AC36" s="92">
        <f>'[1]February - 2020'!AJ36</f>
        <v>0</v>
      </c>
      <c r="AD36" s="287">
        <f>'[1]February - 2020'!AL36</f>
        <v>0</v>
      </c>
      <c r="AE36" s="288">
        <f>'[1]February - 2020'!AM36</f>
        <v>0</v>
      </c>
      <c r="AF36" s="92">
        <f>'[1]February - 2020'!AM36</f>
        <v>0</v>
      </c>
      <c r="AG36" s="287">
        <f>'[1]February - 2020'!AO36</f>
        <v>0</v>
      </c>
      <c r="AH36" s="288">
        <f>'[1]February - 2020'!AP36</f>
        <v>0</v>
      </c>
      <c r="AI36" s="92">
        <f>'[1]February - 2020'!AP36</f>
        <v>0</v>
      </c>
      <c r="AJ36" s="287">
        <f>'[1]February - 2020'!AR36</f>
        <v>0</v>
      </c>
      <c r="AK36" s="288">
        <f>'[1]February - 2020'!AS36</f>
        <v>0</v>
      </c>
      <c r="AL36" s="92">
        <f>'[1]February - 2020'!AS36</f>
        <v>0</v>
      </c>
      <c r="AM36" s="287">
        <f>'[1]February - 2020'!AU36</f>
        <v>0</v>
      </c>
      <c r="AN36" s="288">
        <f>'[1]February - 2020'!AV36</f>
        <v>0</v>
      </c>
      <c r="AO36" s="92">
        <f>'[1]February - 2020'!AV36</f>
        <v>0</v>
      </c>
      <c r="AP36" s="287">
        <f>'[1]February - 2020'!AX36</f>
        <v>0</v>
      </c>
      <c r="AQ36" s="288">
        <f>'[1]February - 2020'!AY36</f>
        <v>0</v>
      </c>
      <c r="AR36" s="92">
        <f>'[1]February - 2020'!AY36</f>
        <v>0</v>
      </c>
      <c r="AS36" s="287">
        <f>'[1]February - 2020'!BA36</f>
        <v>0</v>
      </c>
      <c r="AT36" s="288">
        <f>'[1]February - 2020'!BB36</f>
        <v>0</v>
      </c>
      <c r="AU36" s="92">
        <f>'[1]February - 2020'!BB36</f>
        <v>0</v>
      </c>
      <c r="AV36" s="287">
        <f>'[1]February - 2020'!BD36</f>
        <v>0</v>
      </c>
      <c r="AW36" s="252">
        <f>'[1]February - 2020'!BE36</f>
        <v>0</v>
      </c>
      <c r="AX36" s="253">
        <f>'[1]February - 2020'!BE36</f>
        <v>0</v>
      </c>
      <c r="AY36" s="475"/>
      <c r="AZ36" s="272">
        <f>'[1]February - 2020'!BK36</f>
        <v>0</v>
      </c>
      <c r="BA36" s="179">
        <f>'[1]February - 2020'!BL36</f>
        <v>0</v>
      </c>
      <c r="BB36" s="93">
        <f>'[1]February - 2020'!BL36</f>
        <v>0</v>
      </c>
      <c r="BC36" s="272">
        <f>'[1]February - 2020'!BN36</f>
        <v>0</v>
      </c>
      <c r="BD36" s="245">
        <f>'[1]February - 2020'!BO36</f>
        <v>0</v>
      </c>
      <c r="BE36" s="93">
        <f>'[1]February - 2020'!BO36</f>
        <v>0</v>
      </c>
      <c r="BF36" s="272">
        <f>'[1]February - 2020'!BQ36</f>
        <v>0</v>
      </c>
      <c r="BG36" s="245">
        <f>'[1]February - 2020'!BR36</f>
        <v>0</v>
      </c>
      <c r="BH36" s="93">
        <f>'[1]February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- 2020'!BT36</f>
        <v>0</v>
      </c>
      <c r="BT36" s="185">
        <f>'[1]February - 2020'!BU36</f>
        <v>0</v>
      </c>
      <c r="BU36" s="383"/>
      <c r="BV36" s="88">
        <f>'[1]February - 2020'!BW36</f>
        <v>0</v>
      </c>
      <c r="BW36" s="241">
        <f>'[1]February - 2020'!BX36</f>
        <v>0</v>
      </c>
      <c r="BX36" s="88">
        <f>'[1]February - 2020'!BX36</f>
        <v>0</v>
      </c>
      <c r="BY36" s="89">
        <f>'[1]February - 2020'!BZ36</f>
        <v>0</v>
      </c>
      <c r="BZ36" s="191">
        <f>'[1]February - 2020'!CA36</f>
        <v>0</v>
      </c>
      <c r="CA36" s="89">
        <f>'[1]February - 2020'!CB36</f>
        <v>0</v>
      </c>
      <c r="CB36" s="191">
        <f>'[1]February - 2020'!CC36</f>
        <v>0</v>
      </c>
      <c r="CC36" s="89">
        <f>'[1]February - 2020'!CD36</f>
        <v>0</v>
      </c>
      <c r="CD36" s="191">
        <f>'[1]February - 2020'!CE36</f>
        <v>0</v>
      </c>
      <c r="CE36" s="89">
        <f>'[1]February - 2020'!CF36</f>
        <v>0</v>
      </c>
      <c r="CF36" s="191">
        <f>'[1]February - 2020'!CG36</f>
        <v>0</v>
      </c>
      <c r="CG36" s="89">
        <f>'[1]February - 2020'!CH36</f>
        <v>0</v>
      </c>
      <c r="CH36" s="191">
        <f>'[1]February - 2020'!CI36</f>
        <v>0</v>
      </c>
      <c r="CI36" s="89">
        <f>'[1]February - 2020'!CJ36</f>
        <v>0</v>
      </c>
      <c r="CJ36" s="191">
        <f>'[1]February - 2020'!CK36</f>
        <v>0</v>
      </c>
      <c r="CK36" s="89">
        <f>'[1]February - 2020'!CL36</f>
        <v>0</v>
      </c>
      <c r="CL36" s="246">
        <f>'[1]February - 2020'!CM36</f>
        <v>0</v>
      </c>
      <c r="CM36" s="89">
        <f>'[1]February - 2020'!CM36</f>
        <v>0</v>
      </c>
      <c r="CN36" s="89">
        <f>'[1]February - 2020'!CO36</f>
        <v>0</v>
      </c>
      <c r="CO36" s="246">
        <f>'[1]February - 2020'!CP36</f>
        <v>0</v>
      </c>
      <c r="CP36" s="89">
        <f>'[1]February - 2020'!CP36</f>
        <v>0</v>
      </c>
      <c r="CQ36" s="89">
        <f>'[1]February - 2020'!CR36</f>
        <v>0</v>
      </c>
      <c r="CR36" s="246">
        <f>'[1]February - 2020'!CS36</f>
        <v>0</v>
      </c>
      <c r="CS36" s="89">
        <f>'[1]February - 2020'!CS36</f>
        <v>0</v>
      </c>
      <c r="CT36" s="89">
        <f>'[1]February - 2020'!CU36</f>
        <v>0</v>
      </c>
      <c r="CU36" s="191">
        <f>'[1]February - 2020'!CV36</f>
        <v>0</v>
      </c>
      <c r="CV36" s="442"/>
      <c r="CW36" s="256">
        <f>'[1]February - 2020'!CX36</f>
        <v>0</v>
      </c>
      <c r="CX36" s="198">
        <f>'[1]February - 2020'!CY36</f>
        <v>0</v>
      </c>
      <c r="CY36" s="257">
        <f>'[1]February - 2020'!CZ36</f>
        <v>0</v>
      </c>
      <c r="CZ36" s="198">
        <f>'[1]February - 2020'!DA36</f>
        <v>0</v>
      </c>
      <c r="DA36" s="257">
        <f>'[1]February - 2020'!DB36</f>
        <v>0</v>
      </c>
      <c r="DB36" s="198">
        <f>'[1]February - 2020'!DC36</f>
        <v>0</v>
      </c>
      <c r="DC36" s="257">
        <f>'[1]February - 2020'!DD36</f>
        <v>0</v>
      </c>
      <c r="DD36" s="198">
        <f>'[1]February - 2020'!DE36</f>
        <v>0</v>
      </c>
      <c r="DE36" s="257">
        <f>'[1]February - 2020'!DF36</f>
        <v>0</v>
      </c>
      <c r="DF36" s="198">
        <f>'[1]February - 2020'!DG36</f>
        <v>0</v>
      </c>
      <c r="DG36" s="257">
        <f>'[1]February - 2020'!DH36</f>
        <v>0</v>
      </c>
      <c r="DH36" s="198">
        <f>'[1]February - 2020'!DI36</f>
        <v>0</v>
      </c>
      <c r="DI36" s="257">
        <f>'[1]February - 2020'!DJ36</f>
        <v>825</v>
      </c>
      <c r="DJ36" s="198">
        <f>'[1]February - 2020'!DK36</f>
        <v>0</v>
      </c>
      <c r="DK36" s="257">
        <f>'[1]February - 2020'!DL36</f>
        <v>3570</v>
      </c>
      <c r="DL36" s="198">
        <f>'[1]February - 2020'!DM36</f>
        <v>0</v>
      </c>
      <c r="DM36" s="257">
        <f>'[1]February - 2020'!DN36</f>
        <v>0</v>
      </c>
      <c r="DN36" s="198">
        <f>'[1]February - 2020'!DO36</f>
        <v>0</v>
      </c>
      <c r="DO36" s="257">
        <f>'[1]February - 2020'!DP36</f>
        <v>0</v>
      </c>
      <c r="DP36" s="198">
        <f>'[1]February - 2020'!DQ36</f>
        <v>0</v>
      </c>
      <c r="DQ36" s="257">
        <f>'[1]February - 2020'!DR36</f>
        <v>0</v>
      </c>
      <c r="DR36" s="206">
        <f>'[1]February - 2020'!DS36</f>
        <v>0</v>
      </c>
      <c r="DS36" s="427"/>
      <c r="DT36" s="210">
        <f>'[1]February - 2020'!DU36</f>
        <v>0</v>
      </c>
      <c r="DU36" s="221">
        <f>'[1]February - 2020'!DV36</f>
        <v>0</v>
      </c>
      <c r="DV36" s="91">
        <f>'[1]February - 2020'!DW36</f>
        <v>0</v>
      </c>
      <c r="DW36" s="215">
        <f>'[1]February - 2020'!DX36</f>
        <v>0</v>
      </c>
      <c r="DX36" s="91">
        <f>'[1]February - 2020'!DY36</f>
        <v>0</v>
      </c>
      <c r="DY36" s="215">
        <f>'[1]February - 2020'!DZ36</f>
        <v>0</v>
      </c>
      <c r="DZ36" s="91">
        <f>'[1]February - 2020'!EA36</f>
        <v>0</v>
      </c>
      <c r="EA36" s="215">
        <f>'[1]February - 2020'!EB36</f>
        <v>0</v>
      </c>
      <c r="EB36" s="91">
        <f>'[1]February - 2020'!EC36</f>
        <v>0</v>
      </c>
      <c r="EC36" s="215">
        <f>'[1]February - 2020'!ED36</f>
        <v>0</v>
      </c>
      <c r="ED36" s="91">
        <f>'[1]February - 2020'!EG36</f>
        <v>0</v>
      </c>
      <c r="EE36" s="229">
        <f>'[1]February - 2020'!EH36</f>
        <v>0</v>
      </c>
      <c r="EF36" s="367"/>
      <c r="EG36" s="235">
        <f>'[1]February - 2020'!EJ36</f>
        <v>0</v>
      </c>
      <c r="EH36" s="230">
        <f>'[1]February - 2020'!EK36</f>
        <v>0</v>
      </c>
      <c r="EI36" s="90">
        <f>'[1]February - 2020'!EL36</f>
        <v>0</v>
      </c>
      <c r="EJ36" s="230">
        <f>'[1]February - 2020'!EM36</f>
        <v>0</v>
      </c>
      <c r="EK36" s="90">
        <f>'[1]February - 2020'!EN36</f>
        <v>0</v>
      </c>
      <c r="EL36" s="230">
        <f>'[1]February - 2020'!EO36</f>
        <v>0</v>
      </c>
      <c r="EM36" s="90">
        <f>'[1]February - 2020'!EP36</f>
        <v>0</v>
      </c>
      <c r="EN36" s="230">
        <f>'[1]February - 2020'!EQ36</f>
        <v>0</v>
      </c>
      <c r="EO36" s="90">
        <f>'[1]February - 2020'!ER36</f>
        <v>0</v>
      </c>
      <c r="EP36" s="230">
        <f>'[1]February - 2020'!ES36</f>
        <v>0</v>
      </c>
      <c r="EQ36" s="90">
        <f>'[1]February - 2020'!ET36</f>
        <v>0</v>
      </c>
      <c r="ER36" s="230">
        <f>'[1]February - 2020'!EU36</f>
        <v>0</v>
      </c>
      <c r="ES36" s="414"/>
      <c r="ET36" s="284">
        <f>'[1]February - 2020'!EW36</f>
        <v>0</v>
      </c>
      <c r="EU36" s="278">
        <f>'[1]February - 2020'!EX36</f>
        <v>0</v>
      </c>
      <c r="EV36" s="285">
        <f>'[1]February - 2020'!EY36</f>
        <v>0</v>
      </c>
      <c r="EW36" s="278">
        <f>'[1]February - 2020'!EZ36</f>
        <v>0</v>
      </c>
      <c r="EX36" s="285">
        <f>'[1]February - 2020'!FA36</f>
        <v>0</v>
      </c>
      <c r="EY36" s="278">
        <f>'[1]February - 2020'!FB36</f>
        <v>0</v>
      </c>
      <c r="EZ36" s="285">
        <f>'[1]February - 2020'!FC36</f>
        <v>0</v>
      </c>
      <c r="FA36" s="278">
        <f>'[1]February - 2020'!FD36</f>
        <v>0</v>
      </c>
      <c r="FB36" s="285">
        <f>'[1]February - 2020'!FE36</f>
        <v>0</v>
      </c>
      <c r="FC36" s="279">
        <f>'[1]February - 2020'!FF36</f>
        <v>0</v>
      </c>
    </row>
    <row r="37" spans="1:160" ht="30" customHeight="1" x14ac:dyDescent="0.25">
      <c r="A37" s="207">
        <v>43858</v>
      </c>
      <c r="B37" s="209">
        <f>'[1]February - 2020'!B37</f>
        <v>0</v>
      </c>
      <c r="C37" s="250">
        <f>'[1]February - 2020'!E37</f>
        <v>0</v>
      </c>
      <c r="D37" s="170">
        <f>'[1]February - 2020'!F37</f>
        <v>0</v>
      </c>
      <c r="E37" s="168">
        <f>'[1]February - 2020'!G37</f>
        <v>502</v>
      </c>
      <c r="F37" s="168">
        <f>'[1]February - 2020'!H37</f>
        <v>0</v>
      </c>
      <c r="G37" s="170">
        <f>'[1]February - 2020'!I37</f>
        <v>0</v>
      </c>
      <c r="H37" s="168">
        <f>'[1]February - 2020'!J37</f>
        <v>414</v>
      </c>
      <c r="I37" s="168">
        <f>'[1]February - 2020'!K37</f>
        <v>0</v>
      </c>
      <c r="J37" s="170">
        <f>'[1]February - 2020'!L37</f>
        <v>0</v>
      </c>
      <c r="K37" s="168">
        <f>'[1]February - 2020'!N37</f>
        <v>0</v>
      </c>
      <c r="L37" s="170">
        <f>'[1]February - 2020'!O37</f>
        <v>0</v>
      </c>
      <c r="M37" s="168">
        <f>'[1]February - 2020'!Q37</f>
        <v>0</v>
      </c>
      <c r="N37" s="170">
        <f>'[1]February - 2020'!R37</f>
        <v>0</v>
      </c>
      <c r="O37" s="168">
        <f>'[1]February - 2020'!S37</f>
        <v>0</v>
      </c>
      <c r="P37" s="170">
        <f>'[1]February - 2020'!T37</f>
        <v>0</v>
      </c>
      <c r="Q37" s="168">
        <f>'[1]February - 2020'!U37</f>
        <v>77</v>
      </c>
      <c r="R37" s="168">
        <f>'[1]February - 2020'!V37</f>
        <v>0</v>
      </c>
      <c r="S37" s="208">
        <f>'[1]February - 2020'!W37</f>
        <v>0</v>
      </c>
      <c r="T37" s="509"/>
      <c r="U37" s="169">
        <f>'[1]February - 2020'!AC37</f>
        <v>0</v>
      </c>
      <c r="V37" s="288">
        <f>'[1]February - 2020'!AD37</f>
        <v>0</v>
      </c>
      <c r="W37" s="92">
        <f>'[1]February - 2020'!AD37</f>
        <v>0</v>
      </c>
      <c r="X37" s="287">
        <f>'[1]February - 2020'!AF37</f>
        <v>0</v>
      </c>
      <c r="Y37" s="288">
        <f>'[1]February - 2020'!AG37</f>
        <v>0</v>
      </c>
      <c r="Z37" s="92">
        <f>'[1]February - 2020'!AG37</f>
        <v>0</v>
      </c>
      <c r="AA37" s="287">
        <f>'[1]February - 2020'!AI37</f>
        <v>0</v>
      </c>
      <c r="AB37" s="288">
        <f>'[1]February - 2020'!AJ37</f>
        <v>0</v>
      </c>
      <c r="AC37" s="92">
        <f>'[1]February - 2020'!AJ37</f>
        <v>0</v>
      </c>
      <c r="AD37" s="287">
        <f>'[1]February - 2020'!AL37</f>
        <v>0</v>
      </c>
      <c r="AE37" s="288">
        <f>'[1]February - 2020'!AM37</f>
        <v>0</v>
      </c>
      <c r="AF37" s="92">
        <f>'[1]February - 2020'!AM37</f>
        <v>0</v>
      </c>
      <c r="AG37" s="287">
        <f>'[1]February - 2020'!AO37</f>
        <v>0</v>
      </c>
      <c r="AH37" s="288">
        <f>'[1]February - 2020'!AP37</f>
        <v>0</v>
      </c>
      <c r="AI37" s="92">
        <f>'[1]February - 2020'!AP37</f>
        <v>0</v>
      </c>
      <c r="AJ37" s="287">
        <f>'[1]February - 2020'!AR37</f>
        <v>0</v>
      </c>
      <c r="AK37" s="288">
        <f>'[1]February - 2020'!AS37</f>
        <v>0</v>
      </c>
      <c r="AL37" s="92">
        <f>'[1]February - 2020'!AS37</f>
        <v>0</v>
      </c>
      <c r="AM37" s="287">
        <f>'[1]February - 2020'!AU37</f>
        <v>0</v>
      </c>
      <c r="AN37" s="288">
        <f>'[1]February - 2020'!AV37</f>
        <v>0</v>
      </c>
      <c r="AO37" s="92">
        <f>'[1]February - 2020'!AV37</f>
        <v>0</v>
      </c>
      <c r="AP37" s="287">
        <f>'[1]February - 2020'!AX37</f>
        <v>0</v>
      </c>
      <c r="AQ37" s="288">
        <f>'[1]February - 2020'!AY37</f>
        <v>0</v>
      </c>
      <c r="AR37" s="92">
        <f>'[1]February - 2020'!AY37</f>
        <v>0</v>
      </c>
      <c r="AS37" s="287">
        <f>'[1]February - 2020'!BA37</f>
        <v>0</v>
      </c>
      <c r="AT37" s="288">
        <f>'[1]February - 2020'!BB37</f>
        <v>0</v>
      </c>
      <c r="AU37" s="92">
        <f>'[1]February - 2020'!BB37</f>
        <v>0</v>
      </c>
      <c r="AV37" s="287">
        <f>'[1]February - 2020'!BD37</f>
        <v>0</v>
      </c>
      <c r="AW37" s="252">
        <f>'[1]February - 2020'!BE37</f>
        <v>0</v>
      </c>
      <c r="AX37" s="253">
        <f>'[1]February - 2020'!BE37</f>
        <v>0</v>
      </c>
      <c r="AY37" s="475"/>
      <c r="AZ37" s="272">
        <f>'[1]February - 2020'!BK37</f>
        <v>0</v>
      </c>
      <c r="BA37" s="179">
        <f>'[1]February - 2020'!BL37</f>
        <v>0</v>
      </c>
      <c r="BB37" s="93">
        <f>'[1]February - 2020'!BL37</f>
        <v>0</v>
      </c>
      <c r="BC37" s="272">
        <f>'[1]February - 2020'!BN37</f>
        <v>0</v>
      </c>
      <c r="BD37" s="245">
        <f>'[1]February - 2020'!BO37</f>
        <v>0</v>
      </c>
      <c r="BE37" s="93">
        <f>'[1]February - 2020'!BO37</f>
        <v>0</v>
      </c>
      <c r="BF37" s="272">
        <f>'[1]February - 2020'!BQ37</f>
        <v>0</v>
      </c>
      <c r="BG37" s="245">
        <f>'[1]February - 2020'!BR37</f>
        <v>0</v>
      </c>
      <c r="BH37" s="93">
        <f>'[1]February - 2020'!BR37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- 2020'!BT37</f>
        <v>0</v>
      </c>
      <c r="BT37" s="185">
        <f>'[1]February - 2020'!BU37</f>
        <v>0</v>
      </c>
      <c r="BU37" s="383"/>
      <c r="BV37" s="88">
        <f>'[1]February - 2020'!BW37</f>
        <v>0</v>
      </c>
      <c r="BW37" s="241">
        <f>'[1]February - 2020'!BX37</f>
        <v>0</v>
      </c>
      <c r="BX37" s="88">
        <f>'[1]February - 2020'!BX37</f>
        <v>0</v>
      </c>
      <c r="BY37" s="89">
        <f>'[1]February - 2020'!BZ37</f>
        <v>0</v>
      </c>
      <c r="BZ37" s="191">
        <f>'[1]February - 2020'!CA37</f>
        <v>0</v>
      </c>
      <c r="CA37" s="89">
        <f>'[1]February - 2020'!CB37</f>
        <v>0</v>
      </c>
      <c r="CB37" s="191">
        <f>'[1]February - 2020'!CC37</f>
        <v>0</v>
      </c>
      <c r="CC37" s="89">
        <f>'[1]February - 2020'!CD37</f>
        <v>0</v>
      </c>
      <c r="CD37" s="191">
        <f>'[1]February - 2020'!CE37</f>
        <v>0</v>
      </c>
      <c r="CE37" s="89">
        <f>'[1]February - 2020'!CF37</f>
        <v>0</v>
      </c>
      <c r="CF37" s="191">
        <f>'[1]February - 2020'!CG37</f>
        <v>0</v>
      </c>
      <c r="CG37" s="89">
        <f>'[1]February - 2020'!CH37</f>
        <v>0</v>
      </c>
      <c r="CH37" s="191">
        <f>'[1]February - 2020'!CI37</f>
        <v>0</v>
      </c>
      <c r="CI37" s="89">
        <f>'[1]February - 2020'!CJ37</f>
        <v>0</v>
      </c>
      <c r="CJ37" s="191">
        <f>'[1]February - 2020'!CK37</f>
        <v>0</v>
      </c>
      <c r="CK37" s="89">
        <f>'[1]February - 2020'!CL37</f>
        <v>0</v>
      </c>
      <c r="CL37" s="246">
        <f>'[1]February - 2020'!CM37</f>
        <v>0</v>
      </c>
      <c r="CM37" s="89">
        <f>'[1]February - 2020'!CM37</f>
        <v>0</v>
      </c>
      <c r="CN37" s="89">
        <f>'[1]February - 2020'!CO37</f>
        <v>0</v>
      </c>
      <c r="CO37" s="246">
        <f>'[1]February - 2020'!CP37</f>
        <v>0</v>
      </c>
      <c r="CP37" s="89">
        <f>'[1]February - 2020'!CP37</f>
        <v>0</v>
      </c>
      <c r="CQ37" s="89">
        <f>'[1]February - 2020'!CR37</f>
        <v>0</v>
      </c>
      <c r="CR37" s="246">
        <f>'[1]February - 2020'!CS37</f>
        <v>0</v>
      </c>
      <c r="CS37" s="89">
        <f>'[1]February - 2020'!CS37</f>
        <v>0</v>
      </c>
      <c r="CT37" s="89">
        <f>'[1]February - 2020'!CU37</f>
        <v>0</v>
      </c>
      <c r="CU37" s="191">
        <f>'[1]February - 2020'!CV37</f>
        <v>0</v>
      </c>
      <c r="CV37" s="442"/>
      <c r="CW37" s="256">
        <f>'[1]February - 2020'!CX37</f>
        <v>0</v>
      </c>
      <c r="CX37" s="198">
        <f>'[1]February - 2020'!CY37</f>
        <v>0</v>
      </c>
      <c r="CY37" s="257">
        <f>'[1]February - 2020'!CZ37</f>
        <v>0</v>
      </c>
      <c r="CZ37" s="198">
        <f>'[1]February - 2020'!DA37</f>
        <v>0</v>
      </c>
      <c r="DA37" s="257">
        <f>'[1]February - 2020'!DB37</f>
        <v>0</v>
      </c>
      <c r="DB37" s="198">
        <f>'[1]February - 2020'!DC37</f>
        <v>0</v>
      </c>
      <c r="DC37" s="257">
        <f>'[1]February - 2020'!DD37</f>
        <v>0</v>
      </c>
      <c r="DD37" s="198">
        <f>'[1]February - 2020'!DE37</f>
        <v>0</v>
      </c>
      <c r="DE37" s="257">
        <f>'[1]February - 2020'!DF37</f>
        <v>0</v>
      </c>
      <c r="DF37" s="198">
        <f>'[1]February - 2020'!DG37</f>
        <v>0</v>
      </c>
      <c r="DG37" s="257">
        <f>'[1]February - 2020'!DH37</f>
        <v>0</v>
      </c>
      <c r="DH37" s="198">
        <f>'[1]February - 2020'!DI37</f>
        <v>0</v>
      </c>
      <c r="DI37" s="257">
        <f>'[1]February - 2020'!DJ37</f>
        <v>825</v>
      </c>
      <c r="DJ37" s="198">
        <f>'[1]February - 2020'!DK37</f>
        <v>0</v>
      </c>
      <c r="DK37" s="257">
        <f>'[1]February - 2020'!DL37</f>
        <v>3570</v>
      </c>
      <c r="DL37" s="198">
        <f>'[1]February - 2020'!DM37</f>
        <v>0</v>
      </c>
      <c r="DM37" s="257">
        <f>'[1]February - 2020'!DN37</f>
        <v>0</v>
      </c>
      <c r="DN37" s="198">
        <f>'[1]February - 2020'!DO37</f>
        <v>0</v>
      </c>
      <c r="DO37" s="257">
        <f>'[1]February - 2020'!DP37</f>
        <v>0</v>
      </c>
      <c r="DP37" s="198">
        <f>'[1]February - 2020'!DQ37</f>
        <v>0</v>
      </c>
      <c r="DQ37" s="257">
        <f>'[1]February - 2020'!DR37</f>
        <v>0</v>
      </c>
      <c r="DR37" s="206">
        <f>'[1]February - 2020'!DS37</f>
        <v>0</v>
      </c>
      <c r="DS37" s="427"/>
      <c r="DT37" s="210">
        <f>'[1]February - 2020'!DU37</f>
        <v>0</v>
      </c>
      <c r="DU37" s="221">
        <f>'[1]February - 2020'!DV37</f>
        <v>0</v>
      </c>
      <c r="DV37" s="91">
        <f>'[1]February - 2020'!DW37</f>
        <v>0</v>
      </c>
      <c r="DW37" s="215">
        <f>'[1]February - 2020'!DX37</f>
        <v>0</v>
      </c>
      <c r="DX37" s="91">
        <f>'[1]February - 2020'!DY37</f>
        <v>0</v>
      </c>
      <c r="DY37" s="215">
        <f>'[1]February - 2020'!DZ37</f>
        <v>0</v>
      </c>
      <c r="DZ37" s="91">
        <f>'[1]February - 2020'!EA37</f>
        <v>0</v>
      </c>
      <c r="EA37" s="215">
        <f>'[1]February - 2020'!EB37</f>
        <v>0</v>
      </c>
      <c r="EB37" s="91">
        <f>'[1]February - 2020'!EC37</f>
        <v>0</v>
      </c>
      <c r="EC37" s="215">
        <f>'[1]February - 2020'!ED37</f>
        <v>0</v>
      </c>
      <c r="ED37" s="91">
        <f>'[1]February - 2020'!EG37</f>
        <v>0</v>
      </c>
      <c r="EE37" s="229">
        <f>'[1]February - 2020'!EH37</f>
        <v>0</v>
      </c>
      <c r="EF37" s="367"/>
      <c r="EG37" s="235">
        <f>'[1]February - 2020'!EJ37</f>
        <v>0</v>
      </c>
      <c r="EH37" s="230">
        <f>'[1]February - 2020'!EK37</f>
        <v>0</v>
      </c>
      <c r="EI37" s="90">
        <f>'[1]February - 2020'!EL37</f>
        <v>0</v>
      </c>
      <c r="EJ37" s="230">
        <f>'[1]February - 2020'!EM37</f>
        <v>0</v>
      </c>
      <c r="EK37" s="90">
        <f>'[1]February - 2020'!EN37</f>
        <v>0</v>
      </c>
      <c r="EL37" s="230">
        <f>'[1]February - 2020'!EO37</f>
        <v>0</v>
      </c>
      <c r="EM37" s="90">
        <f>'[1]February - 2020'!EP37</f>
        <v>0</v>
      </c>
      <c r="EN37" s="230">
        <f>'[1]February - 2020'!EQ37</f>
        <v>0</v>
      </c>
      <c r="EO37" s="90">
        <f>'[1]February - 2020'!ER37</f>
        <v>0</v>
      </c>
      <c r="EP37" s="230">
        <f>'[1]February - 2020'!ES37</f>
        <v>0</v>
      </c>
      <c r="EQ37" s="90">
        <f>'[1]February - 2020'!ET37</f>
        <v>0</v>
      </c>
      <c r="ER37" s="230">
        <f>'[1]February - 2020'!EU37</f>
        <v>0</v>
      </c>
      <c r="ES37" s="414"/>
      <c r="ET37" s="284">
        <f>'[1]February - 2020'!EW37</f>
        <v>0</v>
      </c>
      <c r="EU37" s="278">
        <f>'[1]February - 2020'!EX37</f>
        <v>0</v>
      </c>
      <c r="EV37" s="285">
        <f>'[1]February - 2020'!EY37</f>
        <v>0</v>
      </c>
      <c r="EW37" s="278">
        <f>'[1]February - 2020'!EZ37</f>
        <v>0</v>
      </c>
      <c r="EX37" s="285">
        <f>'[1]February - 2020'!FA37</f>
        <v>0</v>
      </c>
      <c r="EY37" s="278">
        <f>'[1]February - 2020'!FB37</f>
        <v>0</v>
      </c>
      <c r="EZ37" s="285">
        <f>'[1]February - 2020'!FC37</f>
        <v>0</v>
      </c>
      <c r="FA37" s="278">
        <f>'[1]February - 2020'!FD37</f>
        <v>0</v>
      </c>
      <c r="FB37" s="285">
        <f>'[1]February - 2020'!FE37</f>
        <v>0</v>
      </c>
      <c r="FC37" s="279">
        <f>'[1]February - 2020'!FF37</f>
        <v>0</v>
      </c>
    </row>
    <row r="38" spans="1:160" ht="30" customHeight="1" thickBot="1" x14ac:dyDescent="0.3">
      <c r="A38" s="207">
        <v>43859</v>
      </c>
      <c r="B38" s="209">
        <f>'[1]February - 2020'!B38</f>
        <v>0</v>
      </c>
      <c r="C38" s="250">
        <f>'[1]February - 2020'!E38</f>
        <v>0</v>
      </c>
      <c r="D38" s="170">
        <f>'[1]February - 2020'!F38</f>
        <v>0</v>
      </c>
      <c r="E38" s="168">
        <f>'[1]February - 2020'!G38</f>
        <v>0</v>
      </c>
      <c r="F38" s="168">
        <f>'[1]February - 2020'!H38</f>
        <v>0</v>
      </c>
      <c r="G38" s="170">
        <f>'[1]February - 2020'!I38</f>
        <v>0</v>
      </c>
      <c r="H38" s="168">
        <f>'[1]February - 2020'!J38</f>
        <v>0</v>
      </c>
      <c r="I38" s="168">
        <f>'[1]February - 2020'!K38</f>
        <v>0</v>
      </c>
      <c r="J38" s="170">
        <f>'[1]February - 2020'!L38</f>
        <v>0</v>
      </c>
      <c r="K38" s="168">
        <f>'[1]February - 2020'!N38</f>
        <v>0</v>
      </c>
      <c r="L38" s="170">
        <f>'[1]February - 2020'!O38</f>
        <v>0</v>
      </c>
      <c r="M38" s="168">
        <f>'[1]February - 2020'!Q38</f>
        <v>0</v>
      </c>
      <c r="N38" s="170">
        <f>'[1]February - 2020'!R38</f>
        <v>0</v>
      </c>
      <c r="O38" s="168">
        <f>'[1]February - 2020'!S38</f>
        <v>0</v>
      </c>
      <c r="P38" s="170">
        <f>'[1]February - 2020'!T38</f>
        <v>0</v>
      </c>
      <c r="Q38" s="168">
        <f>'[1]February - 2020'!U38</f>
        <v>0</v>
      </c>
      <c r="R38" s="168">
        <f>'[1]February - 2020'!V38</f>
        <v>0</v>
      </c>
      <c r="S38" s="208">
        <f>'[1]February - 2020'!W38</f>
        <v>0</v>
      </c>
      <c r="T38" s="509"/>
      <c r="U38" s="169">
        <f>'[1]February - 2020'!AC38</f>
        <v>0</v>
      </c>
      <c r="V38" s="288">
        <f>'[1]February - 2020'!AD38</f>
        <v>0</v>
      </c>
      <c r="W38" s="92">
        <f>'[1]February - 2020'!AD38</f>
        <v>0</v>
      </c>
      <c r="X38" s="287">
        <f>'[1]February - 2020'!AF38</f>
        <v>0</v>
      </c>
      <c r="Y38" s="288">
        <f>'[1]February - 2020'!AG38</f>
        <v>0</v>
      </c>
      <c r="Z38" s="92">
        <f>'[1]February - 2020'!AG38</f>
        <v>0</v>
      </c>
      <c r="AA38" s="287">
        <f>'[1]February - 2020'!AI38</f>
        <v>0</v>
      </c>
      <c r="AB38" s="288">
        <f>'[1]February - 2020'!AJ38</f>
        <v>0</v>
      </c>
      <c r="AC38" s="92">
        <f>'[1]February - 2020'!AJ38</f>
        <v>0</v>
      </c>
      <c r="AD38" s="287">
        <f>'[1]February - 2020'!AL38</f>
        <v>0</v>
      </c>
      <c r="AE38" s="288">
        <f>'[1]February - 2020'!AM38</f>
        <v>0</v>
      </c>
      <c r="AF38" s="92">
        <f>'[1]February - 2020'!AM38</f>
        <v>0</v>
      </c>
      <c r="AG38" s="287">
        <f>'[1]February - 2020'!AO38</f>
        <v>0</v>
      </c>
      <c r="AH38" s="288">
        <f>'[1]February - 2020'!AP38</f>
        <v>0</v>
      </c>
      <c r="AI38" s="92">
        <f>'[1]February - 2020'!AP38</f>
        <v>0</v>
      </c>
      <c r="AJ38" s="287">
        <f>'[1]February - 2020'!AR38</f>
        <v>0</v>
      </c>
      <c r="AK38" s="288">
        <f>'[1]February - 2020'!AS38</f>
        <v>0</v>
      </c>
      <c r="AL38" s="92">
        <f>'[1]February - 2020'!AS38</f>
        <v>0</v>
      </c>
      <c r="AM38" s="287">
        <f>'[1]February - 2020'!AU38</f>
        <v>0</v>
      </c>
      <c r="AN38" s="288">
        <f>'[1]February - 2020'!AV38</f>
        <v>0</v>
      </c>
      <c r="AO38" s="92">
        <f>'[1]February - 2020'!AV38</f>
        <v>0</v>
      </c>
      <c r="AP38" s="287">
        <f>'[1]February - 2020'!AX38</f>
        <v>0</v>
      </c>
      <c r="AQ38" s="288">
        <f>'[1]February - 2020'!AY38</f>
        <v>0</v>
      </c>
      <c r="AR38" s="92">
        <f>'[1]February - 2020'!AY38</f>
        <v>0</v>
      </c>
      <c r="AS38" s="287">
        <f>'[1]February - 2020'!BA38</f>
        <v>0</v>
      </c>
      <c r="AT38" s="288">
        <f>'[1]February - 2020'!BB38</f>
        <v>0</v>
      </c>
      <c r="AU38" s="92">
        <f>'[1]February - 2020'!BB38</f>
        <v>0</v>
      </c>
      <c r="AV38" s="287">
        <f>'[1]February - 2020'!BD38</f>
        <v>0</v>
      </c>
      <c r="AW38" s="252">
        <f>'[1]February - 2020'!BE38</f>
        <v>0</v>
      </c>
      <c r="AX38" s="253">
        <f>'[1]February - 2020'!BE38</f>
        <v>0</v>
      </c>
      <c r="AY38" s="475"/>
      <c r="AZ38" s="272">
        <f>'[1]February - 2020'!BK38</f>
        <v>0</v>
      </c>
      <c r="BA38" s="179">
        <f>'[1]February - 2020'!BL38</f>
        <v>0</v>
      </c>
      <c r="BB38" s="93">
        <f>'[1]February - 2020'!BL38</f>
        <v>0</v>
      </c>
      <c r="BC38" s="272">
        <f>'[1]February - 2020'!BN38</f>
        <v>0</v>
      </c>
      <c r="BD38" s="245">
        <f>'[1]February - 2020'!BO38</f>
        <v>0</v>
      </c>
      <c r="BE38" s="93">
        <f>'[1]February - 2020'!BO38</f>
        <v>0</v>
      </c>
      <c r="BF38" s="272">
        <f>'[1]February - 2020'!BQ38</f>
        <v>0</v>
      </c>
      <c r="BG38" s="245">
        <f>'[1]February - 2020'!BR38</f>
        <v>0</v>
      </c>
      <c r="BH38" s="93">
        <f>'[1]February - 2020'!BR38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- 2020'!BT38</f>
        <v>0</v>
      </c>
      <c r="BT38" s="185">
        <f>'[1]February - 2020'!BU38</f>
        <v>0</v>
      </c>
      <c r="BU38" s="383"/>
      <c r="BV38" s="88">
        <f>'[1]February - 2020'!BW38</f>
        <v>0</v>
      </c>
      <c r="BW38" s="241">
        <f>'[1]February - 2020'!BX38</f>
        <v>0</v>
      </c>
      <c r="BX38" s="88">
        <f>'[1]February - 2020'!BX38</f>
        <v>0</v>
      </c>
      <c r="BY38" s="89">
        <f>'[1]February - 2020'!BZ38</f>
        <v>0</v>
      </c>
      <c r="BZ38" s="191">
        <f>'[1]February - 2020'!CA38</f>
        <v>0</v>
      </c>
      <c r="CA38" s="89">
        <f>'[1]February - 2020'!CB38</f>
        <v>0</v>
      </c>
      <c r="CB38" s="191">
        <f>'[1]February - 2020'!CC38</f>
        <v>0</v>
      </c>
      <c r="CC38" s="89">
        <f>'[1]February - 2020'!CD38</f>
        <v>0</v>
      </c>
      <c r="CD38" s="191">
        <f>'[1]February - 2020'!CE38</f>
        <v>0</v>
      </c>
      <c r="CE38" s="89">
        <f>'[1]February - 2020'!CF38</f>
        <v>0</v>
      </c>
      <c r="CF38" s="191">
        <f>'[1]February - 2020'!CG38</f>
        <v>0</v>
      </c>
      <c r="CG38" s="89">
        <f>'[1]February - 2020'!CH38</f>
        <v>0</v>
      </c>
      <c r="CH38" s="191">
        <f>'[1]February - 2020'!CI38</f>
        <v>0</v>
      </c>
      <c r="CI38" s="89">
        <f>'[1]February - 2020'!CJ38</f>
        <v>0</v>
      </c>
      <c r="CJ38" s="191">
        <f>'[1]February - 2020'!CK38</f>
        <v>0</v>
      </c>
      <c r="CK38" s="89">
        <f>'[1]February - 2020'!CL38</f>
        <v>0</v>
      </c>
      <c r="CL38" s="246">
        <f>'[1]February - 2020'!CM38</f>
        <v>0</v>
      </c>
      <c r="CM38" s="89">
        <f>'[1]February - 2020'!CM38</f>
        <v>0</v>
      </c>
      <c r="CN38" s="89">
        <f>'[1]February - 2020'!CO38</f>
        <v>0</v>
      </c>
      <c r="CO38" s="246">
        <f>'[1]February - 2020'!CP38</f>
        <v>0</v>
      </c>
      <c r="CP38" s="89">
        <f>'[1]February - 2020'!CP38</f>
        <v>0</v>
      </c>
      <c r="CQ38" s="89">
        <f>'[1]February - 2020'!CR38</f>
        <v>0</v>
      </c>
      <c r="CR38" s="246">
        <f>'[1]February - 2020'!CS38</f>
        <v>0</v>
      </c>
      <c r="CS38" s="89">
        <f>'[1]February - 2020'!CS38</f>
        <v>0</v>
      </c>
      <c r="CT38" s="89">
        <f>'[1]February - 2020'!CU38</f>
        <v>0</v>
      </c>
      <c r="CU38" s="191">
        <f>'[1]February - 2020'!CV38</f>
        <v>0</v>
      </c>
      <c r="CV38" s="442"/>
      <c r="CW38" s="256">
        <f>'[1]February - 2020'!CX38</f>
        <v>0</v>
      </c>
      <c r="CX38" s="198">
        <f>'[1]February - 2020'!CY38</f>
        <v>0</v>
      </c>
      <c r="CY38" s="257">
        <f>'[1]February - 2020'!CZ38</f>
        <v>0</v>
      </c>
      <c r="CZ38" s="198">
        <f>'[1]February - 2020'!DA38</f>
        <v>0</v>
      </c>
      <c r="DA38" s="257">
        <f>'[1]February - 2020'!DB38</f>
        <v>0</v>
      </c>
      <c r="DB38" s="198">
        <f>'[1]February - 2020'!DC38</f>
        <v>0</v>
      </c>
      <c r="DC38" s="257">
        <f>'[1]February - 2020'!DD38</f>
        <v>0</v>
      </c>
      <c r="DD38" s="198">
        <f>'[1]February - 2020'!DE38</f>
        <v>0</v>
      </c>
      <c r="DE38" s="257">
        <f>'[1]February - 2020'!DF38</f>
        <v>0</v>
      </c>
      <c r="DF38" s="198">
        <f>'[1]February - 2020'!DG38</f>
        <v>0</v>
      </c>
      <c r="DG38" s="257">
        <f>'[1]February - 2020'!DH38</f>
        <v>0</v>
      </c>
      <c r="DH38" s="198">
        <f>'[1]February - 2020'!DI38</f>
        <v>0</v>
      </c>
      <c r="DI38" s="257">
        <f>'[1]February - 2020'!DJ38</f>
        <v>825</v>
      </c>
      <c r="DJ38" s="198">
        <f>'[1]February - 2020'!DK38</f>
        <v>0</v>
      </c>
      <c r="DK38" s="257">
        <f>'[1]February - 2020'!DL38</f>
        <v>3570</v>
      </c>
      <c r="DL38" s="198">
        <f>'[1]February - 2020'!DM38</f>
        <v>0</v>
      </c>
      <c r="DM38" s="257">
        <f>'[1]February - 2020'!DN38</f>
        <v>0</v>
      </c>
      <c r="DN38" s="198">
        <f>'[1]February - 2020'!DO38</f>
        <v>0</v>
      </c>
      <c r="DO38" s="257">
        <f>'[1]February - 2020'!DP38</f>
        <v>0</v>
      </c>
      <c r="DP38" s="198">
        <f>'[1]February - 2020'!DQ38</f>
        <v>0</v>
      </c>
      <c r="DQ38" s="257">
        <f>'[1]February - 2020'!DR38</f>
        <v>0</v>
      </c>
      <c r="DR38" s="206">
        <f>'[1]February - 2020'!DS38</f>
        <v>0</v>
      </c>
      <c r="DS38" s="427"/>
      <c r="DT38" s="210">
        <f>'[1]February - 2020'!DU38</f>
        <v>0</v>
      </c>
      <c r="DU38" s="221">
        <f>'[1]February - 2020'!DV38</f>
        <v>0</v>
      </c>
      <c r="DV38" s="91">
        <f>'[1]February - 2020'!DW38</f>
        <v>0</v>
      </c>
      <c r="DW38" s="215">
        <f>'[1]February - 2020'!DX38</f>
        <v>0</v>
      </c>
      <c r="DX38" s="91">
        <f>'[1]February - 2020'!DY38</f>
        <v>0</v>
      </c>
      <c r="DY38" s="215">
        <f>'[1]February - 2020'!DZ38</f>
        <v>0</v>
      </c>
      <c r="DZ38" s="91">
        <f>'[1]February - 2020'!EA38</f>
        <v>0</v>
      </c>
      <c r="EA38" s="215">
        <f>'[1]February - 2020'!EB38</f>
        <v>0</v>
      </c>
      <c r="EB38" s="91">
        <f>'[1]February - 2020'!EC38</f>
        <v>0</v>
      </c>
      <c r="EC38" s="215">
        <f>'[1]February - 2020'!ED38</f>
        <v>0</v>
      </c>
      <c r="ED38" s="91">
        <f>'[1]February - 2020'!EG38</f>
        <v>0</v>
      </c>
      <c r="EE38" s="229">
        <f>'[1]February - 2020'!EH38</f>
        <v>0</v>
      </c>
      <c r="EF38" s="367"/>
      <c r="EG38" s="235">
        <f>'[1]February - 2020'!EJ38</f>
        <v>0</v>
      </c>
      <c r="EH38" s="230">
        <f>'[1]February - 2020'!EK38</f>
        <v>0</v>
      </c>
      <c r="EI38" s="90">
        <f>'[1]February - 2020'!EL38</f>
        <v>0</v>
      </c>
      <c r="EJ38" s="230">
        <f>'[1]February - 2020'!EM38</f>
        <v>0</v>
      </c>
      <c r="EK38" s="90">
        <f>'[1]February - 2020'!EN38</f>
        <v>0</v>
      </c>
      <c r="EL38" s="230">
        <f>'[1]February - 2020'!EO38</f>
        <v>0</v>
      </c>
      <c r="EM38" s="90">
        <f>'[1]February - 2020'!EP38</f>
        <v>0</v>
      </c>
      <c r="EN38" s="230">
        <f>'[1]February - 2020'!EQ38</f>
        <v>0</v>
      </c>
      <c r="EO38" s="90">
        <f>'[1]February - 2020'!ER38</f>
        <v>0</v>
      </c>
      <c r="EP38" s="230">
        <f>'[1]February - 2020'!ES38</f>
        <v>0</v>
      </c>
      <c r="EQ38" s="90">
        <f>'[1]February - 2020'!ET38</f>
        <v>0</v>
      </c>
      <c r="ER38" s="230">
        <f>'[1]February - 2020'!EU38</f>
        <v>0</v>
      </c>
      <c r="ES38" s="414"/>
      <c r="ET38" s="284">
        <f>'[1]February - 2020'!EW38</f>
        <v>0</v>
      </c>
      <c r="EU38" s="278">
        <f>'[1]February - 2020'!EX38</f>
        <v>0</v>
      </c>
      <c r="EV38" s="285">
        <f>'[1]February - 2020'!EY38</f>
        <v>0</v>
      </c>
      <c r="EW38" s="278">
        <f>'[1]February - 2020'!EZ38</f>
        <v>0</v>
      </c>
      <c r="EX38" s="285">
        <f>'[1]February - 2020'!FA38</f>
        <v>0</v>
      </c>
      <c r="EY38" s="278">
        <f>'[1]February - 2020'!FB38</f>
        <v>0</v>
      </c>
      <c r="EZ38" s="285">
        <f>'[1]February - 2020'!FC38</f>
        <v>0</v>
      </c>
      <c r="FA38" s="278">
        <f>'[1]February - 2020'!FD38</f>
        <v>0</v>
      </c>
      <c r="FB38" s="285">
        <f>'[1]February - 2020'!FE38</f>
        <v>0</v>
      </c>
      <c r="FC38" s="279">
        <f>'[1]February - 2020'!FF38</f>
        <v>0</v>
      </c>
    </row>
    <row r="39" spans="1:160" s="29" customFormat="1" ht="14.25" customHeight="1" thickBot="1" x14ac:dyDescent="0.35">
      <c r="A39" s="530"/>
      <c r="B39" s="531"/>
      <c r="C39" s="531"/>
      <c r="D39" s="531"/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531"/>
      <c r="P39" s="531"/>
      <c r="Q39" s="531"/>
      <c r="R39" s="531"/>
      <c r="S39" s="531"/>
      <c r="T39" s="532"/>
      <c r="U39" s="531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1"/>
      <c r="AP39" s="531"/>
      <c r="AQ39" s="531"/>
      <c r="AR39" s="531"/>
      <c r="AS39" s="531"/>
      <c r="AT39" s="531"/>
      <c r="AU39" s="531"/>
      <c r="AV39" s="531"/>
      <c r="AW39" s="531"/>
      <c r="AX39" s="531"/>
      <c r="AY39" s="533"/>
      <c r="AZ39" s="531"/>
      <c r="BA39" s="531"/>
      <c r="BB39" s="531"/>
      <c r="BC39" s="531"/>
      <c r="BD39" s="531"/>
      <c r="BE39" s="531"/>
      <c r="BF39" s="531"/>
      <c r="BG39" s="531"/>
      <c r="BH39" s="531"/>
      <c r="BI39" s="531"/>
      <c r="BJ39" s="531"/>
      <c r="BK39" s="531"/>
      <c r="BL39" s="531"/>
      <c r="BM39" s="531"/>
      <c r="BN39" s="531"/>
      <c r="BO39" s="531"/>
      <c r="BP39" s="531"/>
      <c r="BQ39" s="531"/>
      <c r="BR39" s="531"/>
      <c r="BS39" s="531"/>
      <c r="BT39" s="531"/>
      <c r="BU39" s="534"/>
      <c r="BV39" s="531"/>
      <c r="BW39" s="531"/>
      <c r="BX39" s="531"/>
      <c r="BY39" s="531"/>
      <c r="BZ39" s="531"/>
      <c r="CA39" s="531"/>
      <c r="CB39" s="531"/>
      <c r="CC39" s="531"/>
      <c r="CD39" s="531"/>
      <c r="CE39" s="531"/>
      <c r="CF39" s="531"/>
      <c r="CG39" s="531"/>
      <c r="CH39" s="531"/>
      <c r="CI39" s="531"/>
      <c r="CJ39" s="531"/>
      <c r="CK39" s="531"/>
      <c r="CL39" s="531"/>
      <c r="CM39" s="531"/>
      <c r="CN39" s="531"/>
      <c r="CO39" s="531"/>
      <c r="CP39" s="531"/>
      <c r="CQ39" s="531"/>
      <c r="CR39" s="531"/>
      <c r="CS39" s="531"/>
      <c r="CT39" s="531"/>
      <c r="CU39" s="531"/>
      <c r="CV39" s="442"/>
      <c r="CW39" s="444"/>
      <c r="CX39" s="444"/>
      <c r="CY39" s="444"/>
      <c r="CZ39" s="444"/>
      <c r="DA39" s="444"/>
      <c r="DB39" s="444"/>
      <c r="DC39" s="444"/>
      <c r="DD39" s="444"/>
      <c r="DE39" s="444"/>
      <c r="DF39" s="444"/>
      <c r="DG39" s="444"/>
      <c r="DH39" s="444"/>
      <c r="DI39" s="444"/>
      <c r="DJ39" s="444"/>
      <c r="DK39" s="444"/>
      <c r="DL39" s="444"/>
      <c r="DM39" s="444"/>
      <c r="DN39" s="444"/>
      <c r="DO39" s="444"/>
      <c r="DP39" s="444"/>
      <c r="DQ39" s="444"/>
      <c r="DR39" s="445"/>
      <c r="DS39" s="428"/>
      <c r="DT39" s="429"/>
      <c r="DU39" s="430"/>
      <c r="DV39" s="430"/>
      <c r="DW39" s="430"/>
      <c r="DX39" s="430"/>
      <c r="DY39" s="430"/>
      <c r="DZ39" s="430"/>
      <c r="EA39" s="430"/>
      <c r="EB39" s="430"/>
      <c r="EC39" s="430"/>
      <c r="ED39" s="430"/>
      <c r="EE39" s="431"/>
      <c r="EF39" s="368"/>
      <c r="EG39" s="420"/>
      <c r="EH39" s="420"/>
      <c r="EI39" s="420"/>
      <c r="EJ39" s="420"/>
      <c r="EK39" s="420"/>
      <c r="EL39" s="420"/>
      <c r="EM39" s="420"/>
      <c r="EN39" s="420"/>
      <c r="EO39" s="420"/>
      <c r="EP39" s="420"/>
      <c r="EQ39" s="420"/>
      <c r="ER39" s="420"/>
      <c r="ES39" s="416"/>
      <c r="ET39" s="421"/>
      <c r="EU39" s="421"/>
      <c r="EV39" s="421"/>
      <c r="EW39" s="421"/>
      <c r="EX39" s="421"/>
      <c r="EY39" s="421"/>
      <c r="EZ39" s="421"/>
      <c r="FA39" s="421"/>
      <c r="FB39" s="421"/>
      <c r="FC39" s="421"/>
      <c r="FD39" s="28"/>
    </row>
    <row r="40" spans="1:160" ht="28.5" customHeight="1" thickBot="1" x14ac:dyDescent="0.35">
      <c r="A40" s="510" t="s">
        <v>132</v>
      </c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2"/>
      <c r="T40" s="513"/>
      <c r="U40" s="516" t="s">
        <v>106</v>
      </c>
      <c r="V40" s="516"/>
      <c r="W40" s="516"/>
      <c r="X40" s="516"/>
      <c r="Y40" s="516"/>
      <c r="Z40" s="516"/>
      <c r="AA40" s="516"/>
      <c r="AB40" s="516"/>
      <c r="AC40" s="516"/>
      <c r="AD40" s="516"/>
      <c r="AE40" s="516"/>
      <c r="AF40" s="516"/>
      <c r="AG40" s="516"/>
      <c r="AH40" s="516"/>
      <c r="AI40" s="516"/>
      <c r="AJ40" s="516"/>
      <c r="AK40" s="516"/>
      <c r="AL40" s="516"/>
      <c r="AM40" s="516"/>
      <c r="AN40" s="516"/>
      <c r="AO40" s="516"/>
      <c r="AP40" s="516"/>
      <c r="AQ40" s="516"/>
      <c r="AR40" s="516"/>
      <c r="AS40" s="516"/>
      <c r="AT40" s="516"/>
      <c r="AU40" s="516"/>
      <c r="AV40" s="516"/>
      <c r="AW40" s="516"/>
      <c r="AX40" s="516"/>
      <c r="AY40" s="517"/>
      <c r="AZ40" s="518" t="s">
        <v>133</v>
      </c>
      <c r="BA40" s="519"/>
      <c r="BB40" s="519"/>
      <c r="BC40" s="519"/>
      <c r="BD40" s="519"/>
      <c r="BE40" s="519"/>
      <c r="BF40" s="519"/>
      <c r="BG40" s="519"/>
      <c r="BH40" s="520"/>
      <c r="BI40" s="521"/>
      <c r="BJ40" s="522"/>
      <c r="BK40" s="522"/>
      <c r="BL40" s="522"/>
      <c r="BM40" s="522"/>
      <c r="BN40" s="522"/>
      <c r="BO40" s="522"/>
      <c r="BP40" s="522"/>
      <c r="BQ40" s="522"/>
      <c r="BR40" s="523"/>
      <c r="BS40" s="524" t="s">
        <v>134</v>
      </c>
      <c r="BT40" s="525"/>
      <c r="BU40" s="30"/>
      <c r="BV40" s="361" t="s">
        <v>107</v>
      </c>
      <c r="BW40" s="362"/>
      <c r="BX40" s="362"/>
      <c r="BY40" s="362"/>
      <c r="BZ40" s="362"/>
      <c r="CA40" s="362"/>
      <c r="CB40" s="362"/>
      <c r="CC40" s="362"/>
      <c r="CD40" s="362"/>
      <c r="CE40" s="362"/>
      <c r="CF40" s="362"/>
      <c r="CG40" s="362"/>
      <c r="CH40" s="362"/>
      <c r="CI40" s="362"/>
      <c r="CJ40" s="362"/>
      <c r="CK40" s="362"/>
      <c r="CL40" s="362"/>
      <c r="CM40" s="362"/>
      <c r="CN40" s="362"/>
      <c r="CO40" s="362"/>
      <c r="CP40" s="362"/>
      <c r="CQ40" s="362"/>
      <c r="CR40" s="362"/>
      <c r="CS40" s="362"/>
      <c r="CT40" s="362"/>
      <c r="CU40" s="363"/>
      <c r="CV40" s="442"/>
      <c r="CW40" s="526"/>
      <c r="CX40" s="527"/>
      <c r="CY40" s="527"/>
      <c r="CZ40" s="527"/>
      <c r="DA40" s="527"/>
      <c r="DB40" s="527"/>
      <c r="DC40" s="527"/>
      <c r="DD40" s="527"/>
      <c r="DE40" s="527"/>
      <c r="DF40" s="527"/>
      <c r="DG40" s="527"/>
      <c r="DH40" s="527"/>
      <c r="DI40" s="527"/>
      <c r="DJ40" s="527"/>
      <c r="DK40" s="527"/>
      <c r="DL40" s="527"/>
      <c r="DM40" s="527"/>
      <c r="DN40" s="527"/>
      <c r="DO40" s="527"/>
      <c r="DP40" s="527"/>
      <c r="DQ40" s="527"/>
      <c r="DR40" s="528"/>
      <c r="DS40" s="428"/>
      <c r="DT40" s="9"/>
      <c r="DU40" s="222" t="s">
        <v>103</v>
      </c>
      <c r="DV40" s="9"/>
      <c r="DW40" s="216"/>
      <c r="DX40" s="9"/>
      <c r="DY40" s="222"/>
      <c r="DZ40" s="9"/>
      <c r="EA40" s="222"/>
      <c r="EB40" s="9"/>
      <c r="EC40" s="226"/>
      <c r="ED40" s="10"/>
      <c r="EE40" s="226"/>
      <c r="EF40" s="368"/>
      <c r="EG40" s="280"/>
      <c r="EH40" s="191"/>
      <c r="EI40" s="280"/>
      <c r="EJ40" s="231"/>
      <c r="EK40" s="89"/>
      <c r="EL40" s="191"/>
      <c r="EM40" s="280"/>
      <c r="EN40" s="191"/>
      <c r="EO40" s="280"/>
      <c r="EP40" s="191"/>
      <c r="EQ40" s="89"/>
      <c r="ER40" s="191"/>
      <c r="ES40" s="416"/>
      <c r="ET40" s="11"/>
      <c r="EU40" s="232"/>
      <c r="EV40" s="12"/>
      <c r="EW40" s="232"/>
      <c r="EX40" s="12"/>
      <c r="EY40" s="234"/>
      <c r="EZ40" s="12"/>
      <c r="FA40" s="232"/>
      <c r="FB40" s="94"/>
      <c r="FC40" s="233"/>
    </row>
    <row r="41" spans="1:160" ht="34.5" customHeight="1" thickBot="1" x14ac:dyDescent="0.35">
      <c r="A41" s="529" t="s">
        <v>31</v>
      </c>
      <c r="B41" s="529"/>
      <c r="C41" s="548" t="s">
        <v>32</v>
      </c>
      <c r="D41" s="548"/>
      <c r="E41" s="549"/>
      <c r="F41" s="547" t="s">
        <v>33</v>
      </c>
      <c r="G41" s="548"/>
      <c r="H41" s="549"/>
      <c r="I41" s="550" t="s">
        <v>34</v>
      </c>
      <c r="J41" s="550"/>
      <c r="K41" s="550" t="s">
        <v>35</v>
      </c>
      <c r="L41" s="550"/>
      <c r="M41" s="550"/>
      <c r="N41" s="550"/>
      <c r="O41" s="547" t="s">
        <v>135</v>
      </c>
      <c r="P41" s="548"/>
      <c r="Q41" s="548"/>
      <c r="R41" s="548"/>
      <c r="S41" s="548"/>
      <c r="T41" s="514"/>
      <c r="U41" s="547" t="s">
        <v>36</v>
      </c>
      <c r="V41" s="548"/>
      <c r="W41" s="549"/>
      <c r="X41" s="547" t="s">
        <v>37</v>
      </c>
      <c r="Y41" s="548"/>
      <c r="Z41" s="549"/>
      <c r="AA41" s="547" t="s">
        <v>38</v>
      </c>
      <c r="AB41" s="548"/>
      <c r="AC41" s="549"/>
      <c r="AD41" s="547" t="s">
        <v>39</v>
      </c>
      <c r="AE41" s="548"/>
      <c r="AF41" s="549"/>
      <c r="AG41" s="547" t="s">
        <v>40</v>
      </c>
      <c r="AH41" s="548"/>
      <c r="AI41" s="549"/>
      <c r="AJ41" s="547" t="s">
        <v>41</v>
      </c>
      <c r="AK41" s="548"/>
      <c r="AL41" s="549"/>
      <c r="AM41" s="547" t="s">
        <v>42</v>
      </c>
      <c r="AN41" s="548"/>
      <c r="AO41" s="549"/>
      <c r="AP41" s="547" t="s">
        <v>43</v>
      </c>
      <c r="AQ41" s="548"/>
      <c r="AR41" s="549"/>
      <c r="AS41" s="547" t="s">
        <v>44</v>
      </c>
      <c r="AT41" s="548"/>
      <c r="AU41" s="549"/>
      <c r="AV41" s="547" t="s">
        <v>45</v>
      </c>
      <c r="AW41" s="548"/>
      <c r="AX41" s="548"/>
      <c r="AY41" s="573"/>
      <c r="AZ41" s="364" t="s">
        <v>136</v>
      </c>
      <c r="BA41" s="365"/>
      <c r="BB41" s="365"/>
      <c r="BC41" s="365" t="s">
        <v>137</v>
      </c>
      <c r="BD41" s="365"/>
      <c r="BE41" s="365"/>
      <c r="BF41" s="365" t="s">
        <v>138</v>
      </c>
      <c r="BG41" s="365"/>
      <c r="BH41" s="365"/>
      <c r="BI41" s="552"/>
      <c r="BJ41" s="553"/>
      <c r="BK41" s="552"/>
      <c r="BL41" s="553"/>
      <c r="BM41" s="552"/>
      <c r="BN41" s="553"/>
      <c r="BO41" s="552"/>
      <c r="BP41" s="553"/>
      <c r="BQ41" s="552"/>
      <c r="BR41" s="553"/>
      <c r="BS41" s="552" t="s">
        <v>139</v>
      </c>
      <c r="BT41" s="553"/>
      <c r="BU41" s="554"/>
      <c r="BV41" s="555" t="s">
        <v>13</v>
      </c>
      <c r="BW41" s="556"/>
      <c r="BX41" s="95"/>
      <c r="BY41" s="557" t="s">
        <v>122</v>
      </c>
      <c r="BZ41" s="557"/>
      <c r="CA41" s="446" t="s">
        <v>123</v>
      </c>
      <c r="CB41" s="447"/>
      <c r="CC41" s="446" t="s">
        <v>124</v>
      </c>
      <c r="CD41" s="447"/>
      <c r="CE41" s="446" t="s">
        <v>125</v>
      </c>
      <c r="CF41" s="447"/>
      <c r="CG41" s="446" t="s">
        <v>126</v>
      </c>
      <c r="CH41" s="447"/>
      <c r="CI41" s="446" t="s">
        <v>127</v>
      </c>
      <c r="CJ41" s="447"/>
      <c r="CK41" s="448" t="s">
        <v>14</v>
      </c>
      <c r="CL41" s="449"/>
      <c r="CM41" s="450"/>
      <c r="CN41" s="560" t="s">
        <v>15</v>
      </c>
      <c r="CO41" s="561"/>
      <c r="CP41" s="562"/>
      <c r="CQ41" s="448" t="s">
        <v>140</v>
      </c>
      <c r="CR41" s="449"/>
      <c r="CS41" s="450"/>
      <c r="CT41" s="568" t="s">
        <v>141</v>
      </c>
      <c r="CU41" s="569"/>
      <c r="CV41" s="442"/>
      <c r="CW41" s="13"/>
      <c r="CX41" s="199"/>
      <c r="CY41" s="14"/>
      <c r="CZ41" s="199"/>
      <c r="DA41" s="14"/>
      <c r="DB41" s="199"/>
      <c r="DC41" s="14"/>
      <c r="DD41" s="199"/>
      <c r="DE41" s="14"/>
      <c r="DF41" s="199"/>
      <c r="DG41" s="14"/>
      <c r="DH41" s="199"/>
      <c r="DI41" s="14"/>
      <c r="DJ41" s="203"/>
      <c r="DK41" s="15"/>
      <c r="DL41" s="203"/>
      <c r="DM41" s="15"/>
      <c r="DN41" s="203"/>
      <c r="DO41" s="15"/>
      <c r="DP41" s="203"/>
      <c r="DQ41" s="15"/>
      <c r="DR41" s="203"/>
      <c r="DS41" s="428"/>
      <c r="DT41" s="9"/>
      <c r="DU41" s="222"/>
      <c r="DV41" s="9"/>
      <c r="DW41" s="216"/>
      <c r="DX41" s="9"/>
      <c r="DY41" s="222"/>
      <c r="DZ41" s="9"/>
      <c r="EA41" s="222"/>
      <c r="EB41" s="9"/>
      <c r="EC41" s="226"/>
      <c r="ED41" s="10"/>
      <c r="EE41" s="226"/>
      <c r="EF41" s="368"/>
      <c r="EG41" s="280"/>
      <c r="EH41" s="191"/>
      <c r="EI41" s="280"/>
      <c r="EJ41" s="231"/>
      <c r="EK41" s="89"/>
      <c r="EL41" s="191"/>
      <c r="EM41" s="280"/>
      <c r="EN41" s="191"/>
      <c r="EO41" s="280"/>
      <c r="EP41" s="191"/>
      <c r="EQ41" s="89"/>
      <c r="ER41" s="191"/>
      <c r="ES41" s="416"/>
      <c r="ET41" s="16"/>
      <c r="EU41" s="233"/>
      <c r="EV41" s="94"/>
      <c r="EW41" s="233"/>
      <c r="EX41" s="94"/>
      <c r="EY41" s="233"/>
      <c r="EZ41" s="94"/>
      <c r="FA41" s="233"/>
      <c r="FB41" s="94"/>
      <c r="FC41" s="233"/>
    </row>
    <row r="42" spans="1:160" ht="40.5" customHeight="1" x14ac:dyDescent="0.25">
      <c r="A42" s="535" t="s">
        <v>142</v>
      </c>
      <c r="B42" s="535"/>
      <c r="C42" s="536">
        <f>SUM(E9:E24)</f>
        <v>7133</v>
      </c>
      <c r="D42" s="537"/>
      <c r="E42" s="538"/>
      <c r="F42" s="539">
        <f>SUM(H9:H24)</f>
        <v>5912</v>
      </c>
      <c r="G42" s="540"/>
      <c r="H42" s="541"/>
      <c r="I42" s="539"/>
      <c r="J42" s="541"/>
      <c r="K42" s="542"/>
      <c r="L42" s="543"/>
      <c r="M42" s="544"/>
      <c r="N42" s="544"/>
      <c r="O42" s="539">
        <f>SUM(Q9:Q24)</f>
        <v>1105</v>
      </c>
      <c r="P42" s="540"/>
      <c r="Q42" s="541"/>
      <c r="R42" s="545"/>
      <c r="S42" s="546"/>
      <c r="T42" s="514"/>
      <c r="U42" s="352">
        <f>SUM(W9:W24)</f>
        <v>30693.599999999627</v>
      </c>
      <c r="V42" s="353"/>
      <c r="W42" s="354"/>
      <c r="X42" s="352">
        <f>SUM(Z9:Z24)</f>
        <v>72300.480000000447</v>
      </c>
      <c r="Y42" s="353"/>
      <c r="Z42" s="354"/>
      <c r="AA42" s="352">
        <f>SUM(AC9:AC24)</f>
        <v>4725.839999999851</v>
      </c>
      <c r="AB42" s="353"/>
      <c r="AC42" s="354"/>
      <c r="AD42" s="352">
        <f>SUM(AF9:AF24)</f>
        <v>55199.759999999776</v>
      </c>
      <c r="AE42" s="353"/>
      <c r="AF42" s="354"/>
      <c r="AG42" s="352">
        <f>SUM(AI9:AI24)</f>
        <v>49596.959999999031</v>
      </c>
      <c r="AH42" s="353"/>
      <c r="AI42" s="354"/>
      <c r="AJ42" s="352">
        <f>SUM(AL9:AL24)</f>
        <v>90083.279999999329</v>
      </c>
      <c r="AK42" s="353"/>
      <c r="AL42" s="354"/>
      <c r="AM42" s="352">
        <f>SUM(AO9:AO24)</f>
        <v>57392.159999998286</v>
      </c>
      <c r="AN42" s="353"/>
      <c r="AO42" s="354"/>
      <c r="AP42" s="352">
        <f>SUM(AR9:AR24)</f>
        <v>71033.759999999776</v>
      </c>
      <c r="AQ42" s="353"/>
      <c r="AR42" s="354"/>
      <c r="AS42" s="352">
        <f>SUM(AU9:AU24)</f>
        <v>48184.080000000075</v>
      </c>
      <c r="AT42" s="353"/>
      <c r="AU42" s="354"/>
      <c r="AV42" s="352">
        <f>SUM(AX9:AX24)</f>
        <v>79121.279999999329</v>
      </c>
      <c r="AW42" s="353"/>
      <c r="AX42" s="353"/>
      <c r="AY42" s="573"/>
      <c r="AZ42" s="353">
        <f>SUM(BB9:BB24)</f>
        <v>100</v>
      </c>
      <c r="BA42" s="353"/>
      <c r="BB42" s="353"/>
      <c r="BC42" s="352">
        <f>SUM(BE9:BE24)</f>
        <v>261100</v>
      </c>
      <c r="BD42" s="353"/>
      <c r="BE42" s="353"/>
      <c r="BF42" s="347">
        <f>SUM(BH9:BH24)</f>
        <v>225700</v>
      </c>
      <c r="BG42" s="347"/>
      <c r="BH42" s="347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7"/>
      <c r="BT42" s="186"/>
      <c r="BU42" s="554"/>
      <c r="BV42" s="242"/>
      <c r="BW42" s="95"/>
      <c r="BX42" s="98"/>
      <c r="BY42" s="99"/>
      <c r="BZ42" s="192"/>
      <c r="CA42" s="99"/>
      <c r="CB42" s="192"/>
      <c r="CC42" s="99"/>
      <c r="CD42" s="192"/>
      <c r="CE42" s="99"/>
      <c r="CF42" s="192"/>
      <c r="CG42" s="99"/>
      <c r="CH42" s="192"/>
      <c r="CI42" s="99"/>
      <c r="CJ42" s="192"/>
      <c r="CK42" s="347">
        <f>SUM(CM9:CM24)</f>
        <v>1322</v>
      </c>
      <c r="CL42" s="347"/>
      <c r="CM42" s="347"/>
      <c r="CN42" s="347">
        <f>SUM(CP9:CP24)</f>
        <v>1441</v>
      </c>
      <c r="CO42" s="347"/>
      <c r="CP42" s="347"/>
      <c r="CQ42" s="347">
        <f>SUM(CS9:CS24)</f>
        <v>4675</v>
      </c>
      <c r="CR42" s="347"/>
      <c r="CS42" s="347"/>
      <c r="CT42" s="100"/>
      <c r="CU42" s="196"/>
      <c r="CV42" s="442"/>
      <c r="CW42" s="101"/>
      <c r="CX42" s="200"/>
      <c r="CY42" s="102"/>
      <c r="CZ42" s="200"/>
      <c r="DA42" s="102"/>
      <c r="DB42" s="200"/>
      <c r="DC42" s="102"/>
      <c r="DD42" s="200"/>
      <c r="DE42" s="102"/>
      <c r="DF42" s="200"/>
      <c r="DG42" s="102"/>
      <c r="DH42" s="200"/>
      <c r="DI42" s="102"/>
      <c r="DJ42" s="204"/>
      <c r="DK42" s="103"/>
      <c r="DL42" s="204"/>
      <c r="DM42" s="103"/>
      <c r="DN42" s="204"/>
      <c r="DO42" s="103"/>
      <c r="DP42" s="204"/>
      <c r="DQ42" s="103"/>
      <c r="DR42" s="204"/>
      <c r="DS42" s="428"/>
      <c r="DT42" s="17"/>
      <c r="DU42" s="223"/>
      <c r="DV42" s="17"/>
      <c r="DW42" s="217"/>
      <c r="DX42" s="17"/>
      <c r="DY42" s="223"/>
      <c r="DZ42" s="17"/>
      <c r="EA42" s="223"/>
      <c r="EB42" s="17"/>
      <c r="EC42" s="227"/>
      <c r="ED42" s="18"/>
      <c r="EE42" s="227"/>
      <c r="EF42" s="368"/>
      <c r="EG42" s="281"/>
      <c r="EH42" s="282"/>
      <c r="EI42" s="281"/>
      <c r="EJ42" s="231"/>
      <c r="EK42" s="283"/>
      <c r="EL42" s="282"/>
      <c r="EM42" s="281"/>
      <c r="EN42" s="282"/>
      <c r="EO42" s="281"/>
      <c r="EP42" s="282"/>
      <c r="EQ42" s="283"/>
      <c r="ER42" s="282"/>
      <c r="ES42" s="416"/>
      <c r="ET42" s="16"/>
      <c r="EU42" s="233"/>
      <c r="EV42" s="94"/>
      <c r="EW42" s="233"/>
      <c r="EX42" s="94"/>
      <c r="EY42" s="233"/>
      <c r="EZ42" s="94"/>
      <c r="FA42" s="233"/>
      <c r="FB42" s="94"/>
      <c r="FC42" s="233"/>
    </row>
    <row r="43" spans="1:160" ht="39" customHeight="1" x14ac:dyDescent="0.3">
      <c r="A43" s="348" t="s">
        <v>143</v>
      </c>
      <c r="B43" s="348"/>
      <c r="C43" s="349">
        <f>SUM(D9:D24)</f>
        <v>7862</v>
      </c>
      <c r="D43" s="349"/>
      <c r="E43" s="350"/>
      <c r="F43" s="349">
        <f>SUM(G9:G24)</f>
        <v>6796</v>
      </c>
      <c r="G43" s="349"/>
      <c r="H43" s="350"/>
      <c r="I43" s="351"/>
      <c r="J43" s="351"/>
      <c r="K43" s="351"/>
      <c r="L43" s="351"/>
      <c r="M43" s="351"/>
      <c r="N43" s="351"/>
      <c r="O43" s="349">
        <f>SUM(P9:P24)</f>
        <v>894</v>
      </c>
      <c r="P43" s="349"/>
      <c r="Q43" s="350"/>
      <c r="R43" s="355"/>
      <c r="S43" s="356"/>
      <c r="T43" s="515"/>
      <c r="U43" s="340">
        <f>SUM(V9:V24)</f>
        <v>30693.599999999627</v>
      </c>
      <c r="V43" s="340"/>
      <c r="W43" s="341"/>
      <c r="X43" s="340">
        <f>SUM(Y9:Y24)</f>
        <v>72300.480000000447</v>
      </c>
      <c r="Y43" s="340"/>
      <c r="Z43" s="341"/>
      <c r="AA43" s="340">
        <f>SUM(AB9:AB24)</f>
        <v>4725.839999999851</v>
      </c>
      <c r="AB43" s="340"/>
      <c r="AC43" s="341"/>
      <c r="AD43" s="340">
        <f>SUM(AE9:AE24)</f>
        <v>55199.759999999776</v>
      </c>
      <c r="AE43" s="340"/>
      <c r="AF43" s="341"/>
      <c r="AG43" s="340">
        <f>SUM(AH9:AH24)</f>
        <v>49596.959999999031</v>
      </c>
      <c r="AH43" s="340"/>
      <c r="AI43" s="341"/>
      <c r="AJ43" s="340">
        <f>SUM(AK9:AK24)</f>
        <v>90083.279999999329</v>
      </c>
      <c r="AK43" s="340"/>
      <c r="AL43" s="341"/>
      <c r="AM43" s="340">
        <f>SUM(AN9:AN24)</f>
        <v>57392.159999998286</v>
      </c>
      <c r="AN43" s="340"/>
      <c r="AO43" s="341"/>
      <c r="AP43" s="340">
        <f>SUM(AQ9:AQ24)</f>
        <v>71033.759999999776</v>
      </c>
      <c r="AQ43" s="340"/>
      <c r="AR43" s="341"/>
      <c r="AS43" s="340">
        <f>SUM(AT9:AT24)</f>
        <v>48184.080000000075</v>
      </c>
      <c r="AT43" s="340"/>
      <c r="AU43" s="341"/>
      <c r="AV43" s="340">
        <f>SUM(AW9:AW24)</f>
        <v>79121.279999999329</v>
      </c>
      <c r="AW43" s="340"/>
      <c r="AX43" s="340"/>
      <c r="AY43" s="573"/>
      <c r="AZ43" s="341">
        <f>SUM(BA9:BA24)</f>
        <v>100</v>
      </c>
      <c r="BA43" s="347"/>
      <c r="BB43" s="347"/>
      <c r="BC43" s="347">
        <f>SUM(BD9:BD24)</f>
        <v>261100</v>
      </c>
      <c r="BD43" s="347"/>
      <c r="BE43" s="347"/>
      <c r="BF43" s="347">
        <f>SUM(BG9:BG24)</f>
        <v>225700</v>
      </c>
      <c r="BG43" s="347"/>
      <c r="BH43" s="347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7"/>
      <c r="BT43" s="186"/>
      <c r="BU43" s="554"/>
      <c r="BV43" s="242"/>
      <c r="BW43" s="95"/>
      <c r="BX43" s="98"/>
      <c r="BY43" s="104"/>
      <c r="BZ43" s="193"/>
      <c r="CA43" s="104"/>
      <c r="CB43" s="193"/>
      <c r="CC43" s="104"/>
      <c r="CD43" s="193"/>
      <c r="CE43" s="104"/>
      <c r="CF43" s="193"/>
      <c r="CG43" s="104"/>
      <c r="CH43" s="193"/>
      <c r="CI43" s="104"/>
      <c r="CJ43" s="193"/>
      <c r="CK43" s="347">
        <f>SUM(CL9:CL24)</f>
        <v>1322</v>
      </c>
      <c r="CL43" s="347"/>
      <c r="CM43" s="347"/>
      <c r="CN43" s="347">
        <f>SUM(CO9:CO24)</f>
        <v>1441</v>
      </c>
      <c r="CO43" s="347"/>
      <c r="CP43" s="347"/>
      <c r="CQ43" s="347">
        <f>SUM(CR9:CR24)</f>
        <v>4675</v>
      </c>
      <c r="CR43" s="347"/>
      <c r="CS43" s="347"/>
      <c r="CT43" s="105"/>
      <c r="CU43" s="197"/>
      <c r="CV43" s="442"/>
      <c r="CW43" s="106"/>
      <c r="CX43" s="201"/>
      <c r="CY43" s="107"/>
      <c r="CZ43" s="202"/>
      <c r="DA43" s="94"/>
      <c r="DB43" s="202"/>
      <c r="DC43" s="107"/>
      <c r="DD43" s="202"/>
      <c r="DE43" s="94"/>
      <c r="DF43" s="202"/>
      <c r="DG43" s="107"/>
      <c r="DH43" s="202"/>
      <c r="DI43" s="94"/>
      <c r="DJ43" s="205"/>
      <c r="DK43" s="108"/>
      <c r="DL43" s="19"/>
      <c r="DM43" s="109"/>
      <c r="DN43" s="19"/>
      <c r="DO43" s="109"/>
      <c r="DP43" s="19"/>
      <c r="DQ43" s="109"/>
      <c r="DR43" s="19"/>
      <c r="DS43" s="428"/>
      <c r="DT43" s="570" t="s">
        <v>104</v>
      </c>
      <c r="DU43" s="571"/>
      <c r="DV43" s="571"/>
      <c r="DW43" s="571"/>
      <c r="DX43" s="571"/>
      <c r="DY43" s="571"/>
      <c r="DZ43" s="571"/>
      <c r="EA43" s="571"/>
      <c r="EB43" s="571"/>
      <c r="EC43" s="571"/>
      <c r="ED43" s="571"/>
      <c r="EE43" s="571"/>
      <c r="EF43" s="571"/>
      <c r="EG43" s="571"/>
      <c r="EH43" s="571"/>
      <c r="EI43" s="571"/>
      <c r="EJ43" s="572"/>
      <c r="EK43" s="551"/>
      <c r="EL43" s="551"/>
      <c r="EM43" s="551"/>
      <c r="EN43" s="551"/>
      <c r="EO43" s="551"/>
      <c r="EP43" s="551"/>
      <c r="EQ43" s="551"/>
      <c r="ER43" s="551"/>
      <c r="ES43" s="19"/>
      <c r="ET43" s="20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24" customHeight="1" x14ac:dyDescent="0.25">
      <c r="A44" s="31" t="s">
        <v>46</v>
      </c>
      <c r="B44" s="149"/>
      <c r="C44" s="110"/>
      <c r="D44" s="145"/>
      <c r="E44" s="32"/>
      <c r="F44" s="110"/>
      <c r="G44" s="32"/>
      <c r="H44" s="32"/>
      <c r="I44" s="110"/>
      <c r="J44" s="32"/>
      <c r="K44" s="110"/>
      <c r="L44" s="32"/>
      <c r="M44" s="110"/>
      <c r="N44" s="32"/>
      <c r="O44" s="110"/>
      <c r="P44" s="32"/>
      <c r="Q44" s="32"/>
      <c r="R44" s="110"/>
      <c r="S44" s="32"/>
      <c r="T44" s="32"/>
      <c r="U44" s="110"/>
      <c r="V44" s="32"/>
      <c r="W44" s="32"/>
      <c r="X44" s="110"/>
      <c r="Y44" s="32"/>
      <c r="Z44" s="32"/>
      <c r="AA44" s="110"/>
      <c r="AB44" s="32"/>
      <c r="AC44" s="32"/>
      <c r="AD44" s="110"/>
      <c r="AE44" s="32"/>
      <c r="AF44" s="32"/>
      <c r="AG44" s="110"/>
      <c r="AH44" s="32"/>
      <c r="AI44" s="32"/>
      <c r="AJ44" s="110"/>
      <c r="AK44" s="32"/>
      <c r="AL44" s="32"/>
      <c r="AM44" s="110"/>
      <c r="AN44" s="32"/>
      <c r="AO44" s="32"/>
      <c r="AP44" s="110"/>
      <c r="AQ44" s="32"/>
      <c r="AR44" s="32"/>
      <c r="AS44" s="110"/>
      <c r="AT44" s="32"/>
      <c r="AU44" s="32"/>
      <c r="AV44" s="110"/>
      <c r="AW44" s="32"/>
      <c r="AX44" s="32"/>
      <c r="AY44" s="573"/>
      <c r="AZ44" s="345">
        <f>AZ42-AZ43</f>
        <v>0</v>
      </c>
      <c r="BA44" s="346"/>
      <c r="BB44" s="346"/>
      <c r="BC44" s="345">
        <f>BC43-BC42</f>
        <v>0</v>
      </c>
      <c r="BD44" s="346"/>
      <c r="BE44" s="346"/>
      <c r="BF44" s="345">
        <f>BF43-BF42</f>
        <v>0</v>
      </c>
      <c r="BG44" s="346"/>
      <c r="BH44" s="346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187"/>
      <c r="BU44" s="554"/>
      <c r="BV44" s="558"/>
      <c r="BW44" s="558"/>
      <c r="BX44" s="558"/>
      <c r="BY44" s="558"/>
      <c r="BZ44" s="558"/>
      <c r="CA44" s="558"/>
      <c r="CB44" s="558"/>
      <c r="CC44" s="558"/>
      <c r="CD44" s="558"/>
      <c r="CE44" s="558"/>
      <c r="CF44" s="558"/>
      <c r="CG44" s="558"/>
      <c r="CH44" s="558"/>
      <c r="CI44" s="558"/>
      <c r="CJ44" s="558"/>
      <c r="CK44" s="558"/>
      <c r="CL44" s="558"/>
      <c r="CM44" s="558"/>
      <c r="CN44" s="558"/>
      <c r="CO44" s="558"/>
      <c r="CP44" s="558"/>
      <c r="CQ44" s="558"/>
      <c r="CR44" s="558"/>
      <c r="CS44" s="558"/>
      <c r="CT44" s="558"/>
      <c r="CU44" s="559"/>
      <c r="CV44" s="442"/>
    </row>
    <row r="45" spans="1:160" ht="33.75" customHeight="1" x14ac:dyDescent="0.25">
      <c r="A45" s="563" t="s">
        <v>144</v>
      </c>
      <c r="B45" s="563"/>
      <c r="C45" s="564">
        <f>SUM(E9:E38)</f>
        <v>13393</v>
      </c>
      <c r="D45" s="565"/>
      <c r="E45" s="566"/>
      <c r="F45" s="564">
        <f>SUM(H9:H38)</f>
        <v>11139</v>
      </c>
      <c r="G45" s="565"/>
      <c r="H45" s="566"/>
      <c r="I45" s="567">
        <v>7048.9</v>
      </c>
      <c r="J45" s="567"/>
      <c r="K45" s="567">
        <v>7702.2000000000116</v>
      </c>
      <c r="L45" s="567"/>
      <c r="M45" s="567"/>
      <c r="N45" s="567"/>
      <c r="O45" s="567">
        <f>SUM(Q9:Q38)</f>
        <v>2121</v>
      </c>
      <c r="P45" s="567"/>
      <c r="Q45" s="567"/>
      <c r="R45" s="564">
        <v>476</v>
      </c>
      <c r="S45" s="565"/>
      <c r="T45" s="574"/>
      <c r="U45" s="339">
        <f>SUM(W9:W38)</f>
        <v>-5523094.0800000001</v>
      </c>
      <c r="V45" s="340"/>
      <c r="W45" s="341"/>
      <c r="X45" s="339">
        <f>SUM(Z9:Z38)</f>
        <v>-10784659.199999999</v>
      </c>
      <c r="Y45" s="340"/>
      <c r="Z45" s="341"/>
      <c r="AA45" s="339">
        <f>SUM(AC9:AC38)</f>
        <v>-9842901.5999999996</v>
      </c>
      <c r="AB45" s="340"/>
      <c r="AC45" s="341"/>
      <c r="AD45" s="339">
        <f>SUM(AF9:AF38)</f>
        <v>-13177493.280000001</v>
      </c>
      <c r="AE45" s="340"/>
      <c r="AF45" s="341"/>
      <c r="AG45" s="339">
        <f>SUM(AI9:AI38)</f>
        <v>-13192547.76</v>
      </c>
      <c r="AH45" s="340"/>
      <c r="AI45" s="341"/>
      <c r="AJ45" s="339">
        <f>SUM(AL9:AL38)</f>
        <v>-12115884.48</v>
      </c>
      <c r="AK45" s="340"/>
      <c r="AL45" s="341"/>
      <c r="AM45" s="339">
        <f>SUM(AO9:AO38)</f>
        <v>-10538477.040000001</v>
      </c>
      <c r="AN45" s="340"/>
      <c r="AO45" s="341"/>
      <c r="AP45" s="339">
        <f>SUM(AR9:AR38)</f>
        <v>-10199239.68</v>
      </c>
      <c r="AQ45" s="340"/>
      <c r="AR45" s="341"/>
      <c r="AS45" s="339">
        <f>SUM(AU9:AU38)</f>
        <v>-8140186.3199999994</v>
      </c>
      <c r="AT45" s="340"/>
      <c r="AU45" s="341"/>
      <c r="AV45" s="339">
        <f>SUM(AX9:AX38)</f>
        <v>-12049138.08</v>
      </c>
      <c r="AW45" s="340"/>
      <c r="AX45" s="340"/>
      <c r="AY45" s="573"/>
      <c r="AZ45" s="325">
        <v>347300</v>
      </c>
      <c r="BA45" s="325"/>
      <c r="BB45" s="326"/>
      <c r="BC45" s="333">
        <v>361100</v>
      </c>
      <c r="BD45" s="325"/>
      <c r="BE45" s="326"/>
      <c r="BF45" s="333">
        <v>558842</v>
      </c>
      <c r="BG45" s="325"/>
      <c r="BH45" s="326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334">
        <v>131110</v>
      </c>
      <c r="BT45" s="335"/>
      <c r="BU45" s="554"/>
      <c r="BV45" s="336"/>
      <c r="BW45" s="336"/>
      <c r="BX45" s="114"/>
      <c r="BY45" s="337">
        <v>718</v>
      </c>
      <c r="BZ45" s="338"/>
      <c r="CA45" s="337">
        <v>719</v>
      </c>
      <c r="CB45" s="338"/>
      <c r="CC45" s="337">
        <v>234</v>
      </c>
      <c r="CD45" s="338"/>
      <c r="CE45" s="337">
        <v>265</v>
      </c>
      <c r="CF45" s="338"/>
      <c r="CG45" s="337">
        <v>368</v>
      </c>
      <c r="CH45" s="338"/>
      <c r="CI45" s="337">
        <v>820</v>
      </c>
      <c r="CJ45" s="338"/>
      <c r="CK45" s="339">
        <f>SUM(CM9:CM38)</f>
        <v>-176561</v>
      </c>
      <c r="CL45" s="340"/>
      <c r="CM45" s="341"/>
      <c r="CN45" s="339">
        <f>SUM(CP9:CP38)</f>
        <v>-128182</v>
      </c>
      <c r="CO45" s="340"/>
      <c r="CP45" s="341"/>
      <c r="CQ45" s="339">
        <f>SUM(CS9:CS38)</f>
        <v>-244371</v>
      </c>
      <c r="CR45" s="340"/>
      <c r="CS45" s="341"/>
      <c r="CT45" s="327">
        <v>3894</v>
      </c>
      <c r="CU45" s="328"/>
      <c r="CV45" s="442"/>
      <c r="DJ45" s="4">
        <v>487.2</v>
      </c>
    </row>
    <row r="46" spans="1:160" ht="30" customHeight="1" x14ac:dyDescent="0.25">
      <c r="A46" s="579" t="s">
        <v>145</v>
      </c>
      <c r="B46" s="579"/>
      <c r="C46" s="564">
        <f>SUM(D10:D38)</f>
        <v>-531034</v>
      </c>
      <c r="D46" s="565"/>
      <c r="E46" s="566"/>
      <c r="F46" s="564">
        <f>SUM(G9:G38)</f>
        <v>-699410</v>
      </c>
      <c r="G46" s="565"/>
      <c r="H46" s="566"/>
      <c r="I46" s="564">
        <f>SUM(J10:J38)</f>
        <v>-25016</v>
      </c>
      <c r="J46" s="566"/>
      <c r="K46" s="564">
        <f>SUM(L9:L38)</f>
        <v>-615621</v>
      </c>
      <c r="L46" s="566"/>
      <c r="M46" s="564"/>
      <c r="N46" s="566"/>
      <c r="O46" s="564">
        <f>SUM(P9:P38)</f>
        <v>-95774</v>
      </c>
      <c r="P46" s="565"/>
      <c r="Q46" s="566"/>
      <c r="R46" s="564">
        <f>SUM(S9:S38)</f>
        <v>-7324</v>
      </c>
      <c r="S46" s="565"/>
      <c r="T46" s="574"/>
      <c r="U46" s="575">
        <f>SUM(V9:V38)</f>
        <v>-5523094.0800000001</v>
      </c>
      <c r="V46" s="576"/>
      <c r="W46" s="577"/>
      <c r="X46" s="575">
        <f>SUM(Y9:Y38)</f>
        <v>-10784659.199999999</v>
      </c>
      <c r="Y46" s="576"/>
      <c r="Z46" s="577"/>
      <c r="AA46" s="329">
        <f>SUM(AB9:AB38)</f>
        <v>-9842901.5999999996</v>
      </c>
      <c r="AB46" s="330"/>
      <c r="AC46" s="331"/>
      <c r="AD46" s="329">
        <f>SUM(AE9:AE38)</f>
        <v>-13177493.280000001</v>
      </c>
      <c r="AE46" s="330"/>
      <c r="AF46" s="331"/>
      <c r="AG46" s="329">
        <f>SUM(AH9:AH38)</f>
        <v>-13192547.76</v>
      </c>
      <c r="AH46" s="330"/>
      <c r="AI46" s="331"/>
      <c r="AJ46" s="329">
        <f>SUM(AK9:AK38)</f>
        <v>-12115884.48</v>
      </c>
      <c r="AK46" s="330"/>
      <c r="AL46" s="331"/>
      <c r="AM46" s="329">
        <f>SUM(AN9:AN38)</f>
        <v>-10538477.040000001</v>
      </c>
      <c r="AN46" s="330"/>
      <c r="AO46" s="331"/>
      <c r="AP46" s="329">
        <f>SUM(AQ9:AQ38)</f>
        <v>-10199239.68</v>
      </c>
      <c r="AQ46" s="330"/>
      <c r="AR46" s="331"/>
      <c r="AS46" s="329">
        <f>SUM(AT9:AT38)</f>
        <v>-8140186.3199999994</v>
      </c>
      <c r="AT46" s="330"/>
      <c r="AU46" s="331"/>
      <c r="AV46" s="329">
        <f>SUM(AW9:AW38)</f>
        <v>-12049138.08</v>
      </c>
      <c r="AW46" s="330"/>
      <c r="AX46" s="330"/>
      <c r="AY46" s="573"/>
      <c r="AZ46" s="325">
        <f>SUM(BA9:BA38)</f>
        <v>-49766400</v>
      </c>
      <c r="BA46" s="325"/>
      <c r="BB46" s="326"/>
      <c r="BC46" s="325">
        <f>SUM(BD9:BD38)</f>
        <v>-54058400</v>
      </c>
      <c r="BD46" s="325"/>
      <c r="BE46" s="326"/>
      <c r="BF46" s="325">
        <f>SUM(BG9:BG38)</f>
        <v>-47821500</v>
      </c>
      <c r="BG46" s="325"/>
      <c r="BH46" s="32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332">
        <f>SUM(BT9:BT38)</f>
        <v>-4101280</v>
      </c>
      <c r="BT46" s="332"/>
      <c r="BU46" s="554"/>
      <c r="BV46" s="342"/>
      <c r="BW46" s="343"/>
      <c r="BX46" s="117"/>
      <c r="BY46" s="337">
        <f>SUM(BZ9:BZ38)</f>
        <v>-45036</v>
      </c>
      <c r="BZ46" s="338"/>
      <c r="CA46" s="337">
        <f>SUM(CB9:CB38)</f>
        <v>-39830</v>
      </c>
      <c r="CB46" s="338"/>
      <c r="CC46" s="337">
        <f>SUM(CD9:CD38)</f>
        <v>-13343</v>
      </c>
      <c r="CD46" s="338"/>
      <c r="CE46" s="337">
        <f>SUM(CF9:CF38)</f>
        <v>-16850</v>
      </c>
      <c r="CF46" s="338"/>
      <c r="CG46" s="337">
        <f>SUM(CH9:CH38)</f>
        <v>-19241</v>
      </c>
      <c r="CH46" s="338"/>
      <c r="CI46" s="337">
        <f>SUM(CJ9:CJ38)</f>
        <v>-40927</v>
      </c>
      <c r="CJ46" s="338"/>
      <c r="CK46" s="337">
        <f>SUM(CL9:CL38)</f>
        <v>-176561</v>
      </c>
      <c r="CL46" s="344"/>
      <c r="CM46" s="338"/>
      <c r="CN46" s="337">
        <f>SUM(CO9:CO38)</f>
        <v>-128182</v>
      </c>
      <c r="CO46" s="344"/>
      <c r="CP46" s="338"/>
      <c r="CQ46" s="337">
        <f>SUM(CR9:CR38)</f>
        <v>-244371</v>
      </c>
      <c r="CR46" s="344"/>
      <c r="CS46" s="338"/>
      <c r="CT46" s="337">
        <f>SUM(CU9:CU38)</f>
        <v>-475824</v>
      </c>
      <c r="CU46" s="344"/>
      <c r="CV46" s="442"/>
    </row>
    <row r="47" spans="1:160" ht="30" customHeight="1" x14ac:dyDescent="0.25">
      <c r="A47" s="291" t="s">
        <v>46</v>
      </c>
      <c r="B47" s="291"/>
      <c r="C47" s="292">
        <f>C45-C46</f>
        <v>544427</v>
      </c>
      <c r="D47" s="293"/>
      <c r="E47" s="294"/>
      <c r="F47" s="292">
        <f>F45-F46</f>
        <v>710549</v>
      </c>
      <c r="G47" s="293"/>
      <c r="H47" s="294"/>
      <c r="I47" s="292">
        <f>I45-I46</f>
        <v>32064.9</v>
      </c>
      <c r="J47" s="294"/>
      <c r="K47" s="292">
        <f>K45-K46</f>
        <v>623323.19999999995</v>
      </c>
      <c r="L47" s="294"/>
      <c r="M47" s="292"/>
      <c r="N47" s="294"/>
      <c r="O47" s="578">
        <f>O45-O46</f>
        <v>97895</v>
      </c>
      <c r="P47" s="578"/>
      <c r="Q47" s="578"/>
      <c r="R47" s="292">
        <f>R45-R46</f>
        <v>7800</v>
      </c>
      <c r="S47" s="293"/>
      <c r="T47" s="574"/>
      <c r="U47" s="289">
        <f>U46-U45</f>
        <v>0</v>
      </c>
      <c r="V47" s="290"/>
      <c r="W47" s="580"/>
      <c r="X47" s="289">
        <f>X45-X46</f>
        <v>0</v>
      </c>
      <c r="Y47" s="290"/>
      <c r="Z47" s="580"/>
      <c r="AA47" s="289">
        <f>AA45-AA46</f>
        <v>0</v>
      </c>
      <c r="AB47" s="290"/>
      <c r="AC47" s="580"/>
      <c r="AD47" s="289">
        <f>AD45-AD46</f>
        <v>0</v>
      </c>
      <c r="AE47" s="290"/>
      <c r="AF47" s="580"/>
      <c r="AG47" s="289">
        <f>AG45-AG46</f>
        <v>0</v>
      </c>
      <c r="AH47" s="290"/>
      <c r="AI47" s="580"/>
      <c r="AJ47" s="289">
        <f>AJ45-AJ46</f>
        <v>0</v>
      </c>
      <c r="AK47" s="290"/>
      <c r="AL47" s="580"/>
      <c r="AM47" s="289">
        <f>AM45-AM46</f>
        <v>0</v>
      </c>
      <c r="AN47" s="290"/>
      <c r="AO47" s="580"/>
      <c r="AP47" s="289">
        <f>AP45-AP46</f>
        <v>0</v>
      </c>
      <c r="AQ47" s="290"/>
      <c r="AR47" s="580"/>
      <c r="AS47" s="289">
        <f>AS45-AS46</f>
        <v>0</v>
      </c>
      <c r="AT47" s="290"/>
      <c r="AU47" s="580"/>
      <c r="AV47" s="289">
        <f>AV45-AV46</f>
        <v>0</v>
      </c>
      <c r="AW47" s="290"/>
      <c r="AX47" s="290"/>
      <c r="AY47" s="573"/>
      <c r="AZ47" s="325">
        <f>AZ46-AZ45</f>
        <v>-50113700</v>
      </c>
      <c r="BA47" s="325"/>
      <c r="BB47" s="326"/>
      <c r="BC47" s="325">
        <f t="shared" ref="BC47" si="0">BC46-BC45</f>
        <v>-54419500</v>
      </c>
      <c r="BD47" s="325"/>
      <c r="BE47" s="326"/>
      <c r="BF47" s="325">
        <f t="shared" ref="BF47" si="1">BF46-BF45</f>
        <v>-48380342</v>
      </c>
      <c r="BG47" s="325"/>
      <c r="BH47" s="326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33"/>
      <c r="BT47" s="326"/>
      <c r="BU47" s="554"/>
      <c r="BV47" s="317"/>
      <c r="BW47" s="323"/>
      <c r="BX47" s="118"/>
      <c r="BY47" s="119"/>
      <c r="BZ47" s="194"/>
      <c r="CA47" s="119"/>
      <c r="CB47" s="194"/>
      <c r="CC47" s="119"/>
      <c r="CD47" s="194"/>
      <c r="CE47" s="119"/>
      <c r="CF47" s="194"/>
      <c r="CG47" s="119"/>
      <c r="CH47" s="194"/>
      <c r="CI47" s="119"/>
      <c r="CJ47" s="194"/>
      <c r="CK47" s="296">
        <f>CK45-CK46</f>
        <v>0</v>
      </c>
      <c r="CL47" s="581"/>
      <c r="CM47" s="582"/>
      <c r="CN47" s="296">
        <f>CN45-CN46</f>
        <v>0</v>
      </c>
      <c r="CO47" s="581"/>
      <c r="CP47" s="582"/>
      <c r="CQ47" s="296">
        <f>CQ45-CQ46</f>
        <v>0</v>
      </c>
      <c r="CR47" s="581"/>
      <c r="CS47" s="582"/>
      <c r="CT47" s="295">
        <f>CT45-CT46</f>
        <v>479718</v>
      </c>
      <c r="CU47" s="296"/>
      <c r="CV47" s="442"/>
    </row>
    <row r="48" spans="1:160" ht="31.5" customHeight="1" thickBot="1" x14ac:dyDescent="0.3">
      <c r="A48" s="297" t="s">
        <v>146</v>
      </c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8" t="s">
        <v>147</v>
      </c>
      <c r="V48" s="299"/>
      <c r="W48" s="299"/>
      <c r="X48" s="299"/>
      <c r="Y48" s="299"/>
      <c r="Z48" s="300"/>
      <c r="AA48" s="301">
        <f>SUM(U45,X45,AA45,AD45,AG45,AJ45,AM45,AP45,AS45,AV45)</f>
        <v>-105563621.52</v>
      </c>
      <c r="AB48" s="302"/>
      <c r="AC48" s="302"/>
      <c r="AD48" s="302"/>
      <c r="AE48" s="302"/>
      <c r="AF48" s="303"/>
      <c r="AG48" s="304" t="s">
        <v>148</v>
      </c>
      <c r="AH48" s="305"/>
      <c r="AI48" s="305"/>
      <c r="AJ48" s="305"/>
      <c r="AK48" s="305"/>
      <c r="AL48" s="306"/>
      <c r="AM48" s="307">
        <f>SUM(U46,X46,AA46,AD46,AG46,AJ46,AM46,AP46,AS46,AV46)</f>
        <v>-105563621.52</v>
      </c>
      <c r="AN48" s="308"/>
      <c r="AO48" s="308"/>
      <c r="AP48" s="308"/>
      <c r="AQ48" s="308"/>
      <c r="AR48" s="309"/>
      <c r="AS48" s="310" t="s">
        <v>149</v>
      </c>
      <c r="AT48" s="311"/>
      <c r="AU48" s="312"/>
      <c r="AV48" s="310">
        <f>AA48-AM48</f>
        <v>0</v>
      </c>
      <c r="AW48" s="311"/>
      <c r="AX48" s="311"/>
      <c r="AY48" s="573"/>
      <c r="AZ48" s="313">
        <v>42751</v>
      </c>
      <c r="BA48" s="314"/>
      <c r="BB48" s="315"/>
      <c r="BC48" s="313">
        <v>43116</v>
      </c>
      <c r="BD48" s="314"/>
      <c r="BE48" s="315"/>
      <c r="BF48" s="318" t="s">
        <v>46</v>
      </c>
      <c r="BG48" s="319"/>
      <c r="BH48" s="3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321"/>
      <c r="BT48" s="322"/>
      <c r="BU48" s="554"/>
      <c r="BV48" s="317"/>
      <c r="BW48" s="323"/>
      <c r="BX48" s="118"/>
      <c r="BY48" s="119"/>
      <c r="BZ48" s="194"/>
      <c r="CA48" s="119"/>
      <c r="CB48" s="194"/>
      <c r="CC48" s="119"/>
      <c r="CD48" s="194"/>
      <c r="CE48" s="119"/>
      <c r="CF48" s="194"/>
      <c r="CG48" s="119"/>
      <c r="CH48" s="194"/>
      <c r="CI48" s="119"/>
      <c r="CJ48" s="194"/>
      <c r="CK48" s="317"/>
      <c r="CL48" s="324"/>
      <c r="CM48" s="323"/>
      <c r="CN48" s="317"/>
      <c r="CO48" s="324"/>
      <c r="CP48" s="323"/>
      <c r="CQ48" s="317"/>
      <c r="CR48" s="324"/>
      <c r="CS48" s="323"/>
      <c r="CT48" s="316"/>
      <c r="CU48" s="317"/>
      <c r="CV48" s="443"/>
    </row>
    <row r="49" spans="1:159" ht="27.75" customHeight="1" x14ac:dyDescent="0.3">
      <c r="A49" s="583"/>
      <c r="B49" s="583"/>
      <c r="C49" s="583"/>
      <c r="D49" s="583"/>
      <c r="E49" s="583"/>
      <c r="F49" s="583"/>
      <c r="G49" s="583"/>
      <c r="H49" s="583"/>
      <c r="I49" s="583"/>
      <c r="J49" s="583"/>
      <c r="K49" s="583"/>
      <c r="L49" s="583"/>
      <c r="M49" s="583"/>
      <c r="N49" s="583"/>
      <c r="O49" s="583"/>
      <c r="P49" s="583"/>
      <c r="Q49" s="583"/>
      <c r="R49" s="583"/>
      <c r="S49" s="583"/>
      <c r="T49" s="34"/>
      <c r="U49" s="584" t="s">
        <v>150</v>
      </c>
      <c r="V49" s="585"/>
      <c r="W49" s="585"/>
      <c r="X49" s="585"/>
      <c r="Y49" s="585"/>
      <c r="Z49" s="586"/>
      <c r="AA49" s="301">
        <f>SUM(U42:AX42)</f>
        <v>558331.19999999553</v>
      </c>
      <c r="AB49" s="302"/>
      <c r="AC49" s="302"/>
      <c r="AD49" s="302"/>
      <c r="AE49" s="302"/>
      <c r="AF49" s="303"/>
      <c r="AG49" s="587" t="s">
        <v>151</v>
      </c>
      <c r="AH49" s="588"/>
      <c r="AI49" s="588"/>
      <c r="AJ49" s="588"/>
      <c r="AK49" s="588"/>
      <c r="AL49" s="589"/>
      <c r="AM49" s="590">
        <f>SUM(U43:AX43)</f>
        <v>558331.19999999553</v>
      </c>
      <c r="AN49" s="590"/>
      <c r="AO49" s="590"/>
      <c r="AP49" s="590"/>
      <c r="AQ49" s="590"/>
      <c r="AR49" s="590"/>
      <c r="AS49" s="310" t="s">
        <v>149</v>
      </c>
      <c r="AT49" s="311"/>
      <c r="AU49" s="312"/>
      <c r="AV49" s="310">
        <f>AA49-AM49</f>
        <v>0</v>
      </c>
      <c r="AW49" s="311"/>
      <c r="AX49" s="312"/>
      <c r="AY49" s="573"/>
      <c r="AZ49" s="318">
        <f>SUM(AZ45,BC45,BF45)</f>
        <v>1267242</v>
      </c>
      <c r="BA49" s="319"/>
      <c r="BB49" s="320"/>
      <c r="BC49" s="318">
        <f>SUM(AZ46:BG46)</f>
        <v>-151646300</v>
      </c>
      <c r="BD49" s="319"/>
      <c r="BE49" s="320"/>
      <c r="BF49" s="318">
        <v>643100</v>
      </c>
      <c r="BG49" s="319"/>
      <c r="BH49" s="319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321"/>
      <c r="BT49" s="322"/>
      <c r="BU49" s="554"/>
      <c r="BV49" s="243"/>
      <c r="BW49" s="35"/>
      <c r="BX49" s="35"/>
      <c r="BY49" s="122"/>
      <c r="BZ49" s="189"/>
      <c r="CA49" s="122"/>
      <c r="CB49" s="189"/>
      <c r="CC49" s="122"/>
      <c r="CD49" s="189"/>
      <c r="CE49" s="122"/>
      <c r="CF49" s="189"/>
      <c r="CG49" s="122"/>
      <c r="CH49" s="189"/>
      <c r="CI49" s="122"/>
      <c r="CJ49" s="189"/>
      <c r="CK49" s="122"/>
      <c r="CL49" s="189"/>
      <c r="CM49" s="35"/>
      <c r="CN49" s="122"/>
      <c r="CO49" s="189"/>
      <c r="CP49" s="35"/>
      <c r="CQ49" s="111"/>
      <c r="CR49" s="189"/>
      <c r="CS49" s="35"/>
      <c r="CT49" s="122"/>
    </row>
    <row r="50" spans="1:159" ht="22.5" customHeight="1" x14ac:dyDescent="0.4">
      <c r="A50" s="593"/>
      <c r="B50" s="593"/>
      <c r="C50" s="593"/>
      <c r="D50" s="594"/>
      <c r="E50" s="594"/>
      <c r="F50" s="594"/>
      <c r="G50" s="595"/>
      <c r="H50" s="595"/>
      <c r="I50" s="595"/>
      <c r="J50" s="595"/>
      <c r="K50" s="123"/>
      <c r="L50" s="594"/>
      <c r="M50" s="594"/>
      <c r="N50" s="594"/>
      <c r="O50" s="594"/>
      <c r="P50" s="36"/>
      <c r="Q50" s="36"/>
      <c r="R50" s="124"/>
      <c r="S50" s="37"/>
      <c r="T50" s="38"/>
      <c r="U50" s="596"/>
      <c r="V50" s="596"/>
      <c r="W50" s="39"/>
      <c r="X50" s="597"/>
      <c r="Y50" s="597"/>
      <c r="Z50" s="7"/>
      <c r="AA50" s="125"/>
      <c r="AY50" s="573"/>
    </row>
    <row r="51" spans="1:159" ht="25.5" customHeight="1" x14ac:dyDescent="0.25">
      <c r="A51" s="598">
        <v>487.2</v>
      </c>
      <c r="B51" s="598"/>
      <c r="C51" s="598"/>
      <c r="D51" s="598"/>
      <c r="E51" s="598"/>
      <c r="F51" s="598"/>
      <c r="G51" s="598"/>
      <c r="H51" s="598"/>
      <c r="I51" s="598"/>
      <c r="J51" s="598"/>
      <c r="K51" s="598"/>
      <c r="L51" s="598"/>
      <c r="M51" s="598"/>
      <c r="N51" s="598"/>
      <c r="O51" s="598"/>
      <c r="P51" s="598"/>
      <c r="Q51" s="598"/>
      <c r="R51" s="598"/>
      <c r="S51" s="598"/>
      <c r="T51" s="598"/>
      <c r="U51" s="598"/>
      <c r="V51" s="598"/>
      <c r="W51" s="598"/>
      <c r="X51" s="598"/>
      <c r="Y51" s="598"/>
      <c r="Z51" s="598"/>
      <c r="AA51" s="598"/>
      <c r="AB51" s="598"/>
      <c r="AC51" s="598"/>
      <c r="AD51" s="598"/>
      <c r="AE51" s="598"/>
      <c r="AF51" s="598"/>
      <c r="AG51" s="598"/>
      <c r="AH51" s="598"/>
      <c r="AI51" s="598"/>
      <c r="AJ51" s="598"/>
      <c r="AK51" s="598"/>
      <c r="AL51" s="598"/>
      <c r="AM51" s="598"/>
      <c r="AN51" s="598"/>
      <c r="AO51" s="598"/>
      <c r="AP51" s="598"/>
      <c r="AQ51" s="598"/>
      <c r="AR51" s="598"/>
      <c r="AS51" s="598"/>
      <c r="AT51" s="598"/>
      <c r="AU51" s="598"/>
      <c r="AV51" s="598"/>
      <c r="AW51" s="598"/>
      <c r="AX51" s="598"/>
      <c r="AY51" s="598"/>
      <c r="AZ51" s="598"/>
      <c r="BA51" s="598"/>
      <c r="BB51" s="598"/>
      <c r="BC51" s="598"/>
      <c r="BD51" s="598"/>
      <c r="BE51" s="598"/>
      <c r="BF51" s="598"/>
      <c r="BG51" s="598"/>
      <c r="BH51" s="598"/>
      <c r="BI51" s="598"/>
      <c r="BJ51" s="598"/>
      <c r="BK51" s="598"/>
      <c r="BL51" s="598"/>
      <c r="BM51" s="598"/>
      <c r="BN51" s="598"/>
      <c r="BO51" s="598"/>
      <c r="BP51" s="598"/>
      <c r="BQ51" s="598"/>
      <c r="BR51" s="598"/>
      <c r="BS51" s="598"/>
      <c r="BT51" s="598"/>
      <c r="BU51" s="598"/>
      <c r="BV51" s="598"/>
      <c r="BW51" s="598"/>
      <c r="BX51" s="598"/>
      <c r="BY51" s="598"/>
      <c r="BZ51" s="598"/>
      <c r="CA51" s="598"/>
      <c r="CB51" s="598"/>
      <c r="CC51" s="598"/>
      <c r="CD51" s="598"/>
      <c r="CE51" s="598"/>
      <c r="CF51" s="598"/>
      <c r="CG51" s="598"/>
      <c r="CH51" s="598"/>
      <c r="CI51" s="598"/>
      <c r="CJ51" s="598"/>
      <c r="CK51" s="598"/>
      <c r="CL51" s="598"/>
      <c r="CM51" s="598"/>
      <c r="CN51" s="598"/>
      <c r="CO51" s="598"/>
      <c r="CP51" s="598"/>
      <c r="CQ51" s="598"/>
      <c r="CR51" s="598"/>
      <c r="CS51" s="598"/>
      <c r="CT51" s="598"/>
      <c r="CU51" s="598"/>
    </row>
    <row r="52" spans="1:159" s="1" customFormat="1" ht="12.75" customHeight="1" x14ac:dyDescent="0.4">
      <c r="A52" s="593"/>
      <c r="B52" s="593"/>
      <c r="C52" s="593"/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40"/>
      <c r="R52" s="40"/>
      <c r="S52" s="167"/>
      <c r="T52" s="38"/>
      <c r="U52" s="604"/>
      <c r="V52" s="604"/>
      <c r="W52" s="604"/>
      <c r="X52" s="604"/>
      <c r="Y52" s="604"/>
      <c r="Z52" s="8"/>
      <c r="AA52" s="111"/>
      <c r="AB52" s="2"/>
      <c r="AD52" s="112"/>
      <c r="AE52" s="2"/>
      <c r="AG52" s="112"/>
      <c r="AH52" s="2"/>
      <c r="AJ52" s="112"/>
      <c r="AK52" s="2"/>
      <c r="AL52" s="2"/>
      <c r="AM52" s="112"/>
      <c r="AN52" s="2"/>
      <c r="AO52" s="2"/>
      <c r="AP52" s="112"/>
      <c r="AQ52" s="2"/>
      <c r="AR52" s="2"/>
      <c r="AS52" s="112"/>
      <c r="AT52" s="2"/>
      <c r="AU52" s="2"/>
      <c r="AV52" s="112"/>
      <c r="AW52" s="2"/>
      <c r="AX52" s="2"/>
      <c r="AY52" s="2"/>
      <c r="AZ52" s="111"/>
      <c r="BA52" s="180"/>
      <c r="BB52"/>
      <c r="BC52" s="112"/>
      <c r="BD52" s="180"/>
      <c r="BE52"/>
      <c r="BF52" s="112"/>
      <c r="BG52" s="180"/>
      <c r="BH52"/>
      <c r="BI52"/>
      <c r="BJ52"/>
      <c r="BK52"/>
      <c r="BL52"/>
      <c r="BM52"/>
      <c r="BN52"/>
      <c r="BO52"/>
      <c r="BP52"/>
      <c r="BQ52"/>
      <c r="BR52"/>
      <c r="BS52" s="112"/>
      <c r="BT52" s="188"/>
      <c r="BU52"/>
      <c r="BV52" s="244"/>
      <c r="BW52"/>
      <c r="BX52"/>
      <c r="BY52" s="112"/>
      <c r="BZ52" s="188"/>
      <c r="CA52" s="112"/>
      <c r="CB52" s="188"/>
      <c r="CC52" s="112"/>
      <c r="CD52" s="188"/>
      <c r="CE52" s="112"/>
      <c r="CF52" s="188"/>
      <c r="CG52" s="112"/>
      <c r="CH52" s="188"/>
      <c r="CI52" s="112"/>
      <c r="CJ52" s="188"/>
      <c r="CK52" s="112"/>
      <c r="CL52" s="188"/>
      <c r="CM52"/>
      <c r="CN52" s="112"/>
      <c r="CO52" s="188"/>
      <c r="CP52"/>
      <c r="CQ52" s="112"/>
      <c r="CR52" s="188"/>
      <c r="CS52"/>
      <c r="CT52" s="112"/>
      <c r="CU52" s="190"/>
      <c r="CV52"/>
      <c r="CW52" s="111"/>
      <c r="CX52" s="2"/>
      <c r="CY52" s="111"/>
      <c r="CZ52" s="2"/>
      <c r="DA52" s="111"/>
      <c r="DB52" s="2"/>
      <c r="DC52" s="111"/>
      <c r="DD52" s="2"/>
      <c r="DE52" s="111"/>
      <c r="DF52" s="2"/>
      <c r="DG52" s="111"/>
      <c r="DH52" s="2"/>
      <c r="DI52" s="111"/>
      <c r="DJ52" s="2"/>
      <c r="DK52" s="111"/>
      <c r="DL52" s="2"/>
      <c r="DM52" s="111"/>
      <c r="DN52" s="2"/>
      <c r="DO52" s="111"/>
      <c r="DP52" s="2"/>
      <c r="DQ52" s="111"/>
      <c r="DR52" s="2"/>
      <c r="DT52" s="111"/>
      <c r="DU52" s="224"/>
      <c r="DV52" s="111"/>
      <c r="DW52" s="219"/>
      <c r="DX52" s="111"/>
      <c r="DY52" s="224"/>
      <c r="DZ52" s="111"/>
      <c r="EA52" s="224"/>
      <c r="EB52" s="111"/>
      <c r="EC52" s="224"/>
      <c r="ED52" s="111"/>
      <c r="EE52" s="224"/>
      <c r="EG52" s="111"/>
      <c r="EH52" s="190"/>
      <c r="EI52" s="111"/>
      <c r="EJ52" s="190"/>
      <c r="EK52" s="111"/>
      <c r="EL52" s="190"/>
      <c r="EM52" s="111"/>
      <c r="EN52" s="190"/>
      <c r="EO52" s="111"/>
      <c r="EP52" s="190"/>
      <c r="EQ52" s="111"/>
      <c r="ER52" s="190"/>
      <c r="ET52" s="111"/>
      <c r="EU52" s="190"/>
      <c r="EV52" s="111"/>
      <c r="EW52" s="190"/>
      <c r="EX52" s="111"/>
      <c r="EY52" s="190"/>
      <c r="EZ52" s="111"/>
      <c r="FA52" s="190"/>
      <c r="FB52" s="111"/>
      <c r="FC52" s="190"/>
    </row>
    <row r="53" spans="1:159" s="1" customFormat="1" ht="24" customHeight="1" x14ac:dyDescent="0.25">
      <c r="A53" s="602"/>
      <c r="B53" s="602"/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5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3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3"/>
      <c r="AZ53" s="603"/>
      <c r="BA53" s="603"/>
      <c r="BB53" s="603"/>
      <c r="BC53" s="603"/>
      <c r="BD53" s="603"/>
      <c r="BE53" s="603"/>
      <c r="BF53" s="603"/>
      <c r="BG53" s="603"/>
      <c r="BH53" s="603"/>
      <c r="BI53"/>
      <c r="BJ53"/>
      <c r="BK53"/>
      <c r="BL53"/>
      <c r="BM53"/>
      <c r="BN53"/>
      <c r="BO53"/>
      <c r="BP53"/>
      <c r="BQ53"/>
      <c r="BR53"/>
      <c r="BS53" s="112"/>
      <c r="BT53" s="188"/>
      <c r="BU53"/>
      <c r="BV53" s="244"/>
      <c r="BW53"/>
      <c r="BX53"/>
      <c r="BY53" s="112"/>
      <c r="BZ53" s="188"/>
      <c r="CA53" s="112"/>
      <c r="CB53" s="188"/>
      <c r="CC53" s="112"/>
      <c r="CD53" s="188"/>
      <c r="CE53" s="112"/>
      <c r="CF53" s="188"/>
      <c r="CG53" s="112"/>
      <c r="CH53" s="188"/>
      <c r="CI53" s="112"/>
      <c r="CJ53" s="188"/>
      <c r="CK53" s="112"/>
      <c r="CL53" s="188"/>
      <c r="CM53"/>
      <c r="CN53" s="112"/>
      <c r="CO53" s="188"/>
      <c r="CP53"/>
      <c r="CQ53" s="112"/>
      <c r="CR53" s="188"/>
      <c r="CS53"/>
      <c r="CT53" s="112"/>
      <c r="CU53" s="190"/>
      <c r="CW53" s="111"/>
      <c r="CX53" s="2"/>
      <c r="CY53" s="111"/>
      <c r="CZ53" s="2"/>
      <c r="DA53" s="111"/>
      <c r="DB53" s="2"/>
      <c r="DC53" s="111"/>
      <c r="DD53" s="2"/>
      <c r="DE53" s="111"/>
      <c r="DF53" s="2"/>
      <c r="DG53" s="111"/>
      <c r="DH53" s="2"/>
      <c r="DI53" s="111"/>
      <c r="DJ53" s="2"/>
      <c r="DK53" s="111"/>
      <c r="DL53" s="2"/>
      <c r="DM53" s="111"/>
      <c r="DN53" s="2"/>
      <c r="DO53" s="111"/>
      <c r="DP53" s="2"/>
      <c r="DQ53" s="111"/>
      <c r="DR53" s="2"/>
      <c r="DT53" s="111"/>
      <c r="DU53" s="224"/>
      <c r="DV53" s="111"/>
      <c r="DW53" s="219"/>
      <c r="DX53" s="111"/>
      <c r="DY53" s="224"/>
      <c r="DZ53" s="111"/>
      <c r="EA53" s="224"/>
      <c r="EB53" s="111"/>
      <c r="EC53" s="224"/>
      <c r="ED53" s="111"/>
      <c r="EE53" s="224"/>
      <c r="EG53" s="111"/>
      <c r="EH53" s="190"/>
      <c r="EI53" s="111"/>
      <c r="EJ53" s="190"/>
      <c r="EK53" s="111"/>
      <c r="EL53" s="190"/>
      <c r="EM53" s="111"/>
      <c r="EN53" s="190"/>
      <c r="EO53" s="111"/>
      <c r="EP53" s="190"/>
      <c r="EQ53" s="111"/>
      <c r="ER53" s="190"/>
      <c r="ET53" s="111"/>
      <c r="EU53" s="190"/>
      <c r="EV53" s="111"/>
      <c r="EW53" s="190"/>
      <c r="EX53" s="111"/>
      <c r="EY53" s="190"/>
      <c r="EZ53" s="111"/>
      <c r="FA53" s="190"/>
      <c r="FB53" s="111"/>
      <c r="FC53" s="190"/>
    </row>
    <row r="54" spans="1:159" s="1" customFormat="1" ht="26.1" customHeight="1" x14ac:dyDescent="0.25">
      <c r="A54" s="599"/>
      <c r="B54" s="599"/>
      <c r="C54" s="599"/>
      <c r="D54" s="599"/>
      <c r="E54" s="599"/>
      <c r="F54" s="599"/>
      <c r="G54" s="599"/>
      <c r="H54" s="599"/>
      <c r="I54" s="599"/>
      <c r="J54" s="612"/>
      <c r="K54" s="612"/>
      <c r="L54" s="612"/>
      <c r="M54" s="612"/>
      <c r="N54" s="599"/>
      <c r="O54" s="599"/>
      <c r="P54" s="599"/>
      <c r="Q54" s="599"/>
      <c r="R54" s="599"/>
      <c r="S54" s="599"/>
      <c r="T54" s="599"/>
      <c r="U54" s="599"/>
      <c r="V54" s="600">
        <v>487.2</v>
      </c>
      <c r="W54" s="600"/>
      <c r="X54" s="605"/>
      <c r="Y54" s="601"/>
      <c r="Z54" s="601"/>
      <c r="AA54" s="601"/>
      <c r="AB54" s="601"/>
      <c r="AC54" s="601"/>
      <c r="AD54" s="601"/>
      <c r="AE54" s="601"/>
      <c r="AF54" s="601"/>
      <c r="AG54" s="601"/>
      <c r="AH54" s="601"/>
      <c r="AI54" s="601"/>
      <c r="AJ54" s="601"/>
      <c r="AK54" s="603"/>
      <c r="AL54" s="601"/>
      <c r="AM54" s="601"/>
      <c r="AN54" s="601"/>
      <c r="AO54" s="601"/>
      <c r="AP54" s="601"/>
      <c r="AQ54" s="601"/>
      <c r="AR54" s="601"/>
      <c r="AS54" s="601"/>
      <c r="AT54" s="601"/>
      <c r="AU54" s="601"/>
      <c r="AV54" s="601"/>
      <c r="AW54" s="601"/>
      <c r="AX54" s="602"/>
      <c r="AY54" s="610"/>
      <c r="AZ54" s="610"/>
      <c r="BA54" s="610"/>
      <c r="BB54" s="610"/>
      <c r="BC54" s="610"/>
      <c r="BD54" s="610"/>
      <c r="BE54" s="610"/>
      <c r="BF54" s="610"/>
      <c r="BG54" s="610"/>
      <c r="BH54" s="610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6.1" customHeight="1" x14ac:dyDescent="0.25">
      <c r="A55" s="42"/>
      <c r="B55" s="148"/>
      <c r="C55" s="126"/>
      <c r="D55" s="146"/>
      <c r="E55" s="43"/>
      <c r="F55" s="87"/>
      <c r="G55" s="43"/>
      <c r="H55" s="41">
        <v>487.2</v>
      </c>
      <c r="I55" s="126"/>
      <c r="J55" s="143"/>
      <c r="K55" s="126"/>
      <c r="L55" s="143"/>
      <c r="M55" s="126"/>
      <c r="N55" s="143"/>
      <c r="O55" s="126"/>
      <c r="P55" s="143"/>
      <c r="Q55" s="43"/>
      <c r="R55" s="87"/>
      <c r="S55" s="43"/>
      <c r="T55" s="41"/>
      <c r="U55" s="126"/>
      <c r="V55" s="143"/>
      <c r="W55" s="43"/>
      <c r="X55" s="605"/>
      <c r="Y55" s="143"/>
      <c r="Z55" s="41"/>
      <c r="AA55" s="87"/>
      <c r="AB55" s="143"/>
      <c r="AC55" s="41">
        <v>487.2</v>
      </c>
      <c r="AD55" s="87"/>
      <c r="AE55" s="143"/>
      <c r="AF55" s="41"/>
      <c r="AG55" s="87"/>
      <c r="AH55" s="143"/>
      <c r="AI55" s="41"/>
      <c r="AJ55" s="87"/>
      <c r="AK55" s="603"/>
      <c r="AL55" s="41"/>
      <c r="AM55" s="87"/>
      <c r="AN55" s="143"/>
      <c r="AO55" s="41"/>
      <c r="AP55" s="87"/>
      <c r="AQ55" s="143"/>
      <c r="AR55" s="41"/>
      <c r="AS55" s="87"/>
      <c r="AT55" s="143">
        <v>487.2</v>
      </c>
      <c r="AU55" s="41"/>
      <c r="AV55" s="87"/>
      <c r="AW55" s="143"/>
      <c r="AX55" s="602"/>
      <c r="AY55" s="41"/>
      <c r="AZ55" s="126"/>
      <c r="BA55" s="175"/>
      <c r="BB55" s="43"/>
      <c r="BC55" s="87"/>
      <c r="BD55" s="177"/>
      <c r="BE55" s="41"/>
      <c r="BF55" s="126"/>
      <c r="BG55" s="175"/>
      <c r="BH55" s="4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3">
      <c r="A56" s="44"/>
      <c r="B56" s="151"/>
      <c r="C56" s="609"/>
      <c r="D56" s="156"/>
      <c r="E56" s="606"/>
      <c r="F56" s="45"/>
      <c r="G56" s="606"/>
      <c r="H56" s="127"/>
      <c r="I56" s="609"/>
      <c r="J56" s="160"/>
      <c r="K56" s="609"/>
      <c r="L56" s="163"/>
      <c r="M56" s="609"/>
      <c r="N56" s="160"/>
      <c r="O56" s="609"/>
      <c r="P56" s="160"/>
      <c r="Q56" s="606"/>
      <c r="R56" s="128"/>
      <c r="S56" s="141"/>
      <c r="T56" s="47"/>
      <c r="U56" s="128"/>
      <c r="V56" s="48"/>
      <c r="W56" s="606"/>
      <c r="X56" s="605"/>
      <c r="Y56" s="61"/>
      <c r="Z56" s="606"/>
      <c r="AA56" s="49"/>
      <c r="AB56" s="608"/>
      <c r="AC56" s="45"/>
      <c r="AD56" s="609"/>
      <c r="AE56" s="141"/>
      <c r="AF56" s="606"/>
      <c r="AG56" s="45"/>
      <c r="AH56" s="606"/>
      <c r="AI56" s="45"/>
      <c r="AJ56" s="609"/>
      <c r="AK56" s="603"/>
      <c r="AL56" s="51"/>
      <c r="AM56" s="609"/>
      <c r="AN56" s="171"/>
      <c r="AO56" s="606"/>
      <c r="AP56" s="52"/>
      <c r="AQ56" s="606"/>
      <c r="AR56" s="49"/>
      <c r="AS56" s="609"/>
      <c r="AT56" s="61"/>
      <c r="AU56" s="606"/>
      <c r="AV56" s="53"/>
      <c r="AW56" s="607"/>
      <c r="AX56" s="602"/>
      <c r="AY56" s="54"/>
      <c r="AZ56" s="609"/>
      <c r="BA56" s="178"/>
      <c r="BB56" s="606"/>
      <c r="BC56" s="55"/>
      <c r="BD56" s="611"/>
      <c r="BE56" s="55"/>
      <c r="BF56" s="609"/>
      <c r="BG56" s="178"/>
      <c r="BH56" s="6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3">
      <c r="A57" s="44"/>
      <c r="B57" s="152"/>
      <c r="C57" s="609"/>
      <c r="D57" s="157"/>
      <c r="E57" s="606"/>
      <c r="F57" s="57"/>
      <c r="G57" s="606"/>
      <c r="H57" s="129"/>
      <c r="I57" s="609"/>
      <c r="J57" s="144"/>
      <c r="K57" s="609"/>
      <c r="L57" s="144"/>
      <c r="M57" s="609"/>
      <c r="N57" s="165"/>
      <c r="O57" s="609"/>
      <c r="P57" s="160"/>
      <c r="Q57" s="606"/>
      <c r="R57" s="128"/>
      <c r="S57" s="141"/>
      <c r="T57" s="47"/>
      <c r="U57" s="128"/>
      <c r="V57" s="48"/>
      <c r="W57" s="606"/>
      <c r="X57" s="605"/>
      <c r="Y57" s="144"/>
      <c r="Z57" s="606"/>
      <c r="AA57" s="49"/>
      <c r="AB57" s="608"/>
      <c r="AC57" s="57"/>
      <c r="AD57" s="609"/>
      <c r="AE57" s="141"/>
      <c r="AF57" s="606"/>
      <c r="AG57" s="57"/>
      <c r="AH57" s="606"/>
      <c r="AI57" s="57"/>
      <c r="AJ57" s="609"/>
      <c r="AK57" s="603"/>
      <c r="AL57" s="51"/>
      <c r="AM57" s="609"/>
      <c r="AN57" s="172"/>
      <c r="AO57" s="606"/>
      <c r="AP57" s="52"/>
      <c r="AQ57" s="606"/>
      <c r="AR57" s="58"/>
      <c r="AS57" s="609"/>
      <c r="AT57" s="172"/>
      <c r="AU57" s="606"/>
      <c r="AV57" s="59"/>
      <c r="AW57" s="608"/>
      <c r="AX57" s="602"/>
      <c r="AY57" s="60"/>
      <c r="AZ57" s="609"/>
      <c r="BA57" s="178"/>
      <c r="BB57" s="606"/>
      <c r="BC57" s="55"/>
      <c r="BD57" s="611"/>
      <c r="BE57" s="55"/>
      <c r="BF57" s="609"/>
      <c r="BG57" s="178"/>
      <c r="BH57" s="606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49"/>
      <c r="D58" s="156"/>
      <c r="E58" s="48"/>
      <c r="F58" s="45"/>
      <c r="G58" s="62"/>
      <c r="H58" s="127"/>
      <c r="I58" s="130"/>
      <c r="J58" s="160"/>
      <c r="K58" s="46"/>
      <c r="L58" s="163"/>
      <c r="M58" s="46"/>
      <c r="N58" s="160"/>
      <c r="O58" s="131"/>
      <c r="P58" s="160"/>
      <c r="Q58" s="48"/>
      <c r="R58" s="46"/>
      <c r="S58" s="48"/>
      <c r="T58" s="48"/>
      <c r="U58" s="46"/>
      <c r="V58" s="48"/>
      <c r="W58" s="48"/>
      <c r="X58" s="605"/>
      <c r="Y58" s="61"/>
      <c r="Z58" s="48"/>
      <c r="AA58" s="49"/>
      <c r="AB58" s="48"/>
      <c r="AC58" s="45"/>
      <c r="AD58" s="132"/>
      <c r="AE58" s="63"/>
      <c r="AF58" s="63"/>
      <c r="AG58" s="45"/>
      <c r="AH58" s="63"/>
      <c r="AI58" s="45"/>
      <c r="AJ58" s="132"/>
      <c r="AK58" s="603"/>
      <c r="AL58" s="51"/>
      <c r="AM58" s="133"/>
      <c r="AN58" s="171"/>
      <c r="AO58" s="64"/>
      <c r="AP58" s="52"/>
      <c r="AQ58" s="65"/>
      <c r="AR58" s="49"/>
      <c r="AS58" s="134"/>
      <c r="AT58" s="61"/>
      <c r="AU58" s="64"/>
      <c r="AV58" s="53"/>
      <c r="AW58" s="65"/>
      <c r="AX58" s="602"/>
      <c r="AY58" s="54"/>
      <c r="AZ58" s="135"/>
      <c r="BA58" s="178"/>
      <c r="BB58" s="66"/>
      <c r="BC58" s="55"/>
      <c r="BD58" s="178"/>
      <c r="BE58" s="55"/>
      <c r="BF58" s="135"/>
      <c r="BG58" s="178"/>
      <c r="BH58" s="66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49"/>
      <c r="D59" s="157"/>
      <c r="E59" s="48"/>
      <c r="F59" s="57"/>
      <c r="G59" s="62"/>
      <c r="H59" s="136"/>
      <c r="I59" s="130"/>
      <c r="J59" s="144"/>
      <c r="K59" s="46"/>
      <c r="L59" s="161"/>
      <c r="M59" s="46"/>
      <c r="N59" s="165"/>
      <c r="O59" s="131"/>
      <c r="P59" s="166"/>
      <c r="Q59" s="48"/>
      <c r="R59" s="46"/>
      <c r="S59" s="48"/>
      <c r="T59" s="48"/>
      <c r="U59" s="46"/>
      <c r="V59" s="142"/>
      <c r="W59" s="48"/>
      <c r="X59" s="605"/>
      <c r="Y59" s="144"/>
      <c r="Z59" s="48"/>
      <c r="AA59" s="49"/>
      <c r="AB59" s="48"/>
      <c r="AC59" s="57"/>
      <c r="AD59" s="132"/>
      <c r="AE59" s="63"/>
      <c r="AF59" s="63"/>
      <c r="AG59" s="57"/>
      <c r="AH59" s="63"/>
      <c r="AI59" s="57"/>
      <c r="AJ59" s="132"/>
      <c r="AK59" s="603"/>
      <c r="AL59" s="51"/>
      <c r="AM59" s="133"/>
      <c r="AN59" s="171"/>
      <c r="AO59" s="64"/>
      <c r="AP59" s="52"/>
      <c r="AQ59" s="65"/>
      <c r="AR59" s="49"/>
      <c r="AS59" s="134"/>
      <c r="AT59" s="61"/>
      <c r="AU59" s="64"/>
      <c r="AV59" s="53"/>
      <c r="AW59" s="65"/>
      <c r="AX59" s="602"/>
      <c r="AY59" s="60"/>
      <c r="AZ59" s="135"/>
      <c r="BA59" s="181"/>
      <c r="BB59" s="66"/>
      <c r="BC59" s="55"/>
      <c r="BD59" s="178"/>
      <c r="BE59" s="67"/>
      <c r="BF59" s="135"/>
      <c r="BG59" s="181"/>
      <c r="BH59" s="66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2"/>
      <c r="C60" s="49"/>
      <c r="D60" s="157"/>
      <c r="E60" s="48"/>
      <c r="F60" s="57"/>
      <c r="G60" s="62"/>
      <c r="H60" s="129"/>
      <c r="I60" s="130"/>
      <c r="J60" s="144"/>
      <c r="K60" s="46"/>
      <c r="L60" s="144"/>
      <c r="M60" s="46"/>
      <c r="N60" s="165"/>
      <c r="O60" s="131"/>
      <c r="P60" s="166"/>
      <c r="Q60" s="48"/>
      <c r="R60" s="46"/>
      <c r="S60" s="48"/>
      <c r="T60" s="48"/>
      <c r="U60" s="46"/>
      <c r="V60" s="48"/>
      <c r="W60" s="48"/>
      <c r="X60" s="605"/>
      <c r="Y60" s="61"/>
      <c r="Z60" s="48"/>
      <c r="AA60" s="49"/>
      <c r="AB60" s="48"/>
      <c r="AC60" s="57"/>
      <c r="AD60" s="132"/>
      <c r="AE60" s="63"/>
      <c r="AF60" s="63"/>
      <c r="AG60" s="57"/>
      <c r="AH60" s="63"/>
      <c r="AI60" s="57"/>
      <c r="AJ60" s="132"/>
      <c r="AK60" s="60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29"/>
      <c r="I61" s="130"/>
      <c r="J61" s="144"/>
      <c r="K61" s="46"/>
      <c r="L61" s="144"/>
      <c r="M61" s="46"/>
      <c r="N61" s="165"/>
      <c r="O61" s="131"/>
      <c r="P61" s="166"/>
      <c r="Q61" s="48"/>
      <c r="R61" s="46"/>
      <c r="S61" s="48"/>
      <c r="T61" s="48"/>
      <c r="U61" s="46"/>
      <c r="V61" s="48"/>
      <c r="W61" s="48"/>
      <c r="X61" s="605"/>
      <c r="Y61" s="61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3"/>
      <c r="AL61" s="59"/>
      <c r="AM61" s="133"/>
      <c r="AN61" s="172"/>
      <c r="AO61" s="64"/>
      <c r="AP61" s="52"/>
      <c r="AQ61" s="65"/>
      <c r="AR61" s="58"/>
      <c r="AS61" s="134"/>
      <c r="AT61" s="172"/>
      <c r="AU61" s="64"/>
      <c r="AV61" s="59"/>
      <c r="AW61" s="65"/>
      <c r="AX61" s="602"/>
      <c r="AY61" s="54"/>
      <c r="AZ61" s="135"/>
      <c r="BA61" s="178"/>
      <c r="BB61" s="66"/>
      <c r="BC61" s="55"/>
      <c r="BD61" s="178"/>
      <c r="BE61" s="55"/>
      <c r="BF61" s="135"/>
      <c r="BG61" s="178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6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5"/>
      <c r="Y62" s="144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3"/>
      <c r="AL62" s="59"/>
      <c r="AM62" s="133"/>
      <c r="AN62" s="172"/>
      <c r="AO62" s="64"/>
      <c r="AP62" s="52"/>
      <c r="AQ62" s="65"/>
      <c r="AR62" s="58"/>
      <c r="AS62" s="134"/>
      <c r="AT62" s="172"/>
      <c r="AU62" s="64"/>
      <c r="AV62" s="59"/>
      <c r="AW62" s="65"/>
      <c r="AX62" s="602"/>
      <c r="AY62" s="60"/>
      <c r="AZ62" s="135"/>
      <c r="BA62" s="181"/>
      <c r="BB62" s="66"/>
      <c r="BC62" s="55"/>
      <c r="BD62" s="178"/>
      <c r="BE62" s="67"/>
      <c r="BF62" s="135"/>
      <c r="BG62" s="181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15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64"/>
      <c r="M63" s="46"/>
      <c r="N63" s="165"/>
      <c r="O63" s="131"/>
      <c r="P63" s="144"/>
      <c r="Q63" s="48"/>
      <c r="R63" s="46"/>
      <c r="S63" s="48"/>
      <c r="T63" s="48"/>
      <c r="U63" s="46"/>
      <c r="V63" s="48"/>
      <c r="W63" s="48"/>
      <c r="X63" s="605"/>
      <c r="Y63" s="144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2"/>
      <c r="AY63" s="60"/>
      <c r="AZ63" s="135"/>
      <c r="BA63" s="181"/>
      <c r="BB63" s="66"/>
      <c r="BC63" s="55"/>
      <c r="BD63" s="178"/>
      <c r="BE63" s="67"/>
      <c r="BF63" s="135"/>
      <c r="BG63" s="181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V63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44"/>
      <c r="Q64" s="48"/>
      <c r="R64" s="46"/>
      <c r="S64" s="48"/>
      <c r="T64" s="48"/>
      <c r="U64" s="46"/>
      <c r="V64" s="48"/>
      <c r="W64" s="48"/>
      <c r="X64" s="60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</row>
    <row r="65" spans="1:160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5"/>
      <c r="M65" s="46"/>
      <c r="N65" s="144"/>
      <c r="O65" s="131"/>
      <c r="P65" s="144"/>
      <c r="Q65" s="48"/>
      <c r="R65" s="46"/>
      <c r="S65" s="48"/>
      <c r="T65" s="48"/>
      <c r="U65" s="46"/>
      <c r="V65" s="48"/>
      <c r="W65" s="48"/>
      <c r="X65" s="60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</row>
    <row r="66" spans="1:160" s="1" customFormat="1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61"/>
      <c r="K66" s="46"/>
      <c r="L66" s="165"/>
      <c r="M66" s="46"/>
      <c r="N66" s="144"/>
      <c r="O66" s="131"/>
      <c r="P66" s="144"/>
      <c r="Q66" s="48"/>
      <c r="R66" s="46"/>
      <c r="S66" s="48"/>
      <c r="T66" s="48"/>
      <c r="U66" s="46"/>
      <c r="V66" s="48"/>
      <c r="W66" s="48"/>
      <c r="X66" s="60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  <c r="BI66"/>
      <c r="BJ66"/>
      <c r="BK66"/>
      <c r="BL66"/>
      <c r="BM66"/>
      <c r="BN66"/>
      <c r="BO66"/>
      <c r="BP66"/>
      <c r="BQ66"/>
      <c r="BR66"/>
      <c r="BS66" s="112"/>
      <c r="BT66" s="188"/>
      <c r="BU66"/>
      <c r="BV66" s="244"/>
      <c r="BW66"/>
      <c r="BX66"/>
      <c r="BY66" s="112"/>
      <c r="BZ66" s="188"/>
      <c r="CA66" s="112"/>
      <c r="CB66" s="188"/>
      <c r="CC66" s="112"/>
      <c r="CD66" s="188"/>
      <c r="CE66" s="112"/>
      <c r="CF66" s="188"/>
      <c r="CG66" s="112"/>
      <c r="CH66" s="188"/>
      <c r="CI66" s="112"/>
      <c r="CJ66" s="188"/>
      <c r="CK66" s="112"/>
      <c r="CL66" s="188"/>
      <c r="CM66"/>
      <c r="CN66" s="112"/>
      <c r="CO66" s="188"/>
      <c r="CP66"/>
      <c r="CQ66" s="112"/>
      <c r="CR66" s="188"/>
      <c r="CS66"/>
      <c r="CT66" s="112"/>
      <c r="CU66" s="190"/>
      <c r="CW66" s="111"/>
      <c r="CX66" s="2"/>
      <c r="CY66" s="111"/>
      <c r="CZ66" s="2"/>
      <c r="DA66" s="111"/>
      <c r="DB66" s="2"/>
      <c r="DC66" s="111"/>
      <c r="DD66" s="2"/>
      <c r="DE66" s="111"/>
      <c r="DF66" s="2"/>
      <c r="DG66" s="111"/>
      <c r="DH66" s="2"/>
      <c r="DI66" s="111"/>
      <c r="DJ66" s="2"/>
      <c r="DK66" s="111"/>
      <c r="DL66" s="2"/>
      <c r="DM66" s="111"/>
      <c r="DN66" s="2"/>
      <c r="DO66" s="111"/>
      <c r="DP66" s="2"/>
      <c r="DQ66" s="111"/>
      <c r="DR66" s="2"/>
      <c r="DT66" s="111"/>
      <c r="DU66" s="224"/>
      <c r="DV66" s="111"/>
      <c r="DW66" s="219"/>
      <c r="DX66" s="111"/>
      <c r="DY66" s="224"/>
      <c r="DZ66" s="111"/>
      <c r="EA66" s="224"/>
      <c r="EB66" s="111"/>
      <c r="EC66" s="224"/>
      <c r="ED66" s="111"/>
      <c r="EE66" s="224"/>
      <c r="EG66" s="111"/>
      <c r="EH66" s="190"/>
      <c r="EI66" s="111"/>
      <c r="EJ66" s="190"/>
      <c r="EK66" s="111"/>
      <c r="EL66" s="190"/>
      <c r="EM66" s="111"/>
      <c r="EN66" s="190"/>
      <c r="EO66" s="111"/>
      <c r="EP66" s="190"/>
      <c r="EQ66" s="111"/>
      <c r="ER66" s="190"/>
      <c r="ET66" s="111"/>
      <c r="EU66" s="190"/>
      <c r="EV66" s="111"/>
      <c r="EW66" s="190"/>
      <c r="EX66" s="111"/>
      <c r="EY66" s="190"/>
      <c r="EZ66" s="111"/>
      <c r="FA66" s="190"/>
      <c r="FB66" s="111"/>
      <c r="FC66" s="190"/>
    </row>
    <row r="67" spans="1:160" s="1" customFormat="1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  <c r="BI67"/>
      <c r="BJ67"/>
      <c r="BK67"/>
      <c r="BL67"/>
      <c r="BM67"/>
      <c r="BN67"/>
      <c r="BO67"/>
      <c r="BP67"/>
      <c r="BQ67"/>
      <c r="BR67"/>
      <c r="BS67" s="112"/>
      <c r="BT67" s="188"/>
      <c r="BU67"/>
      <c r="BV67" s="244"/>
      <c r="BW67"/>
      <c r="BX67"/>
      <c r="BY67" s="112"/>
      <c r="BZ67" s="188"/>
      <c r="CA67" s="112"/>
      <c r="CB67" s="188"/>
      <c r="CC67" s="112"/>
      <c r="CD67" s="188"/>
      <c r="CE67" s="112"/>
      <c r="CF67" s="188"/>
      <c r="CG67" s="112"/>
      <c r="CH67" s="188"/>
      <c r="CI67" s="112"/>
      <c r="CJ67" s="188"/>
      <c r="CK67" s="112"/>
      <c r="CL67" s="188"/>
      <c r="CM67"/>
      <c r="CN67" s="112"/>
      <c r="CO67" s="188"/>
      <c r="CP67"/>
      <c r="CQ67" s="112"/>
      <c r="CR67" s="188"/>
      <c r="CS67"/>
      <c r="CT67" s="112"/>
      <c r="CU67" s="190"/>
      <c r="CV67"/>
      <c r="CW67" s="111"/>
      <c r="CX67" s="4"/>
      <c r="CY67" s="112"/>
      <c r="CZ67" s="4"/>
      <c r="DA67" s="112"/>
      <c r="DB67" s="4"/>
      <c r="DC67" s="112"/>
      <c r="DD67" s="4"/>
      <c r="DE67" s="112"/>
      <c r="DF67" s="4"/>
      <c r="DG67" s="112"/>
      <c r="DH67" s="4"/>
      <c r="DI67" s="112"/>
      <c r="DJ67" s="4"/>
      <c r="DK67" s="112"/>
      <c r="DL67" s="4"/>
      <c r="DM67" s="112"/>
      <c r="DN67" s="4"/>
      <c r="DO67" s="112"/>
      <c r="DP67" s="4"/>
      <c r="DQ67" s="112"/>
      <c r="DR67" s="4"/>
      <c r="DS67"/>
      <c r="DT67" s="112"/>
      <c r="DU67" s="180"/>
      <c r="DV67" s="112"/>
      <c r="DW67" s="218"/>
      <c r="DX67" s="112"/>
      <c r="DY67" s="180"/>
      <c r="DZ67" s="112"/>
      <c r="EA67" s="180"/>
      <c r="EB67" s="112"/>
      <c r="EC67" s="180"/>
      <c r="ED67" s="112"/>
      <c r="EE67" s="180"/>
      <c r="EF67"/>
      <c r="EG67" s="112"/>
      <c r="EH67" s="188"/>
      <c r="EI67" s="112"/>
      <c r="EJ67" s="188"/>
      <c r="EK67" s="112"/>
      <c r="EL67" s="188"/>
      <c r="EM67" s="112"/>
      <c r="EN67" s="188"/>
      <c r="EO67" s="112"/>
      <c r="EP67" s="188"/>
      <c r="EQ67" s="112"/>
      <c r="ER67" s="188"/>
      <c r="ES67"/>
      <c r="ET67" s="112"/>
      <c r="EU67" s="188"/>
      <c r="EV67" s="112"/>
      <c r="EW67" s="188"/>
      <c r="EX67" s="112"/>
      <c r="EY67" s="188"/>
      <c r="EZ67" s="112"/>
      <c r="FA67" s="188"/>
      <c r="FB67" s="112"/>
      <c r="FC67" s="188"/>
      <c r="FD67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44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V68"/>
      <c r="CW68" s="111"/>
      <c r="CX68" s="4"/>
      <c r="CY68" s="112"/>
      <c r="CZ68" s="4"/>
      <c r="DA68" s="112"/>
      <c r="DB68" s="4"/>
      <c r="DC68" s="112"/>
      <c r="DD68" s="4"/>
      <c r="DE68" s="112"/>
      <c r="DF68" s="4"/>
      <c r="DG68" s="112"/>
      <c r="DH68" s="4"/>
      <c r="DI68" s="112"/>
      <c r="DJ68" s="4"/>
      <c r="DK68" s="112"/>
      <c r="DL68" s="4"/>
      <c r="DM68" s="112"/>
      <c r="DN68" s="4"/>
      <c r="DO68" s="112"/>
      <c r="DP68" s="4"/>
      <c r="DQ68" s="112"/>
      <c r="DR68" s="4"/>
      <c r="DS68"/>
      <c r="DT68" s="112"/>
      <c r="DU68" s="180"/>
      <c r="DV68" s="112"/>
      <c r="DW68" s="218"/>
      <c r="DX68" s="112"/>
      <c r="DY68" s="180"/>
      <c r="DZ68" s="112"/>
      <c r="EA68" s="180"/>
      <c r="EB68" s="112"/>
      <c r="EC68" s="180"/>
      <c r="ED68" s="112"/>
      <c r="EE68" s="180"/>
      <c r="EF68"/>
      <c r="EG68" s="112"/>
      <c r="EH68" s="188"/>
      <c r="EI68" s="112"/>
      <c r="EJ68" s="188"/>
      <c r="EK68" s="112"/>
      <c r="EL68" s="188"/>
      <c r="EM68" s="112"/>
      <c r="EN68" s="188"/>
      <c r="EO68" s="112"/>
      <c r="EP68" s="188"/>
      <c r="EQ68" s="112"/>
      <c r="ER68" s="188"/>
      <c r="ES68"/>
      <c r="ET68" s="112"/>
      <c r="EU68" s="188"/>
      <c r="EV68" s="112"/>
      <c r="EW68" s="188"/>
      <c r="EX68" s="112"/>
      <c r="EY68" s="188"/>
      <c r="EZ68" s="112"/>
      <c r="FA68" s="188"/>
      <c r="FB68" s="112"/>
      <c r="FC68" s="188"/>
      <c r="FD68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61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61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44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3"/>
      <c r="AL72" s="68"/>
      <c r="AM72" s="133"/>
      <c r="AN72" s="173"/>
      <c r="AO72" s="64"/>
      <c r="AP72" s="52"/>
      <c r="AQ72" s="65"/>
      <c r="AR72" s="69"/>
      <c r="AS72" s="134"/>
      <c r="AT72" s="173"/>
      <c r="AU72" s="64"/>
      <c r="AV72" s="137"/>
      <c r="AW72" s="65"/>
      <c r="AX72" s="60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44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5"/>
      <c r="Y73" s="141"/>
      <c r="Z73" s="48"/>
      <c r="AA73" s="49"/>
      <c r="AB73" s="48"/>
      <c r="AC73" s="56"/>
      <c r="AD73" s="132"/>
      <c r="AE73" s="63"/>
      <c r="AF73" s="63"/>
      <c r="AG73" s="128"/>
      <c r="AH73" s="63"/>
      <c r="AI73" s="56"/>
      <c r="AJ73" s="132"/>
      <c r="AK73" s="603"/>
      <c r="AL73" s="68"/>
      <c r="AM73" s="133"/>
      <c r="AN73" s="173"/>
      <c r="AO73" s="64"/>
      <c r="AP73" s="52"/>
      <c r="AQ73" s="65"/>
      <c r="AR73" s="69"/>
      <c r="AS73" s="134"/>
      <c r="AT73" s="173"/>
      <c r="AU73" s="64"/>
      <c r="AV73" s="137"/>
      <c r="AW73" s="65"/>
      <c r="AX73" s="60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5"/>
      <c r="Y74" s="141"/>
      <c r="Z74" s="48"/>
      <c r="AA74" s="49"/>
      <c r="AB74" s="48"/>
      <c r="AC74" s="56"/>
      <c r="AD74" s="132"/>
      <c r="AE74" s="63"/>
      <c r="AF74" s="63"/>
      <c r="AG74" s="128"/>
      <c r="AH74" s="63"/>
      <c r="AI74" s="56"/>
      <c r="AJ74" s="132"/>
      <c r="AK74" s="60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3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1"/>
      <c r="C80" s="49"/>
      <c r="D80" s="156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1"/>
      <c r="C81" s="49"/>
      <c r="D81" s="156"/>
      <c r="E81" s="48"/>
      <c r="F81" s="45"/>
      <c r="G81" s="62"/>
      <c r="H81" s="127"/>
      <c r="I81" s="130"/>
      <c r="J81" s="160"/>
      <c r="K81" s="46"/>
      <c r="L81" s="163"/>
      <c r="M81" s="46"/>
      <c r="N81" s="160"/>
      <c r="O81" s="131"/>
      <c r="P81" s="160"/>
      <c r="Q81" s="48"/>
      <c r="R81" s="46"/>
      <c r="S81" s="48"/>
      <c r="T81" s="48"/>
      <c r="U81" s="46"/>
      <c r="V81" s="48"/>
      <c r="W81" s="48"/>
      <c r="X81" s="605"/>
      <c r="Y81" s="61"/>
      <c r="Z81" s="48"/>
      <c r="AA81" s="49"/>
      <c r="AB81" s="48"/>
      <c r="AC81" s="50"/>
      <c r="AD81" s="132"/>
      <c r="AE81" s="63"/>
      <c r="AF81" s="63"/>
      <c r="AG81" s="49"/>
      <c r="AH81" s="63"/>
      <c r="AI81" s="50"/>
      <c r="AJ81" s="132"/>
      <c r="AK81" s="603"/>
      <c r="AL81" s="68"/>
      <c r="AM81" s="133"/>
      <c r="AN81" s="171"/>
      <c r="AO81" s="64"/>
      <c r="AP81" s="52"/>
      <c r="AQ81" s="65"/>
      <c r="AR81" s="49"/>
      <c r="AS81" s="134"/>
      <c r="AT81" s="61"/>
      <c r="AU81" s="64"/>
      <c r="AV81" s="53"/>
      <c r="AW81" s="65"/>
      <c r="AX81" s="602"/>
      <c r="AY81" s="54"/>
      <c r="AZ81" s="135"/>
      <c r="BA81" s="178"/>
      <c r="BB81" s="66"/>
      <c r="BC81" s="55"/>
      <c r="BD81" s="178"/>
      <c r="BE81" s="55"/>
      <c r="BF81" s="135"/>
      <c r="BG81" s="178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x14ac:dyDescent="0.3">
      <c r="A82" s="44"/>
      <c r="B82" s="151"/>
      <c r="C82" s="49"/>
      <c r="D82" s="156"/>
      <c r="E82" s="48"/>
      <c r="F82" s="45"/>
      <c r="G82" s="62"/>
      <c r="H82" s="127"/>
      <c r="I82" s="130"/>
      <c r="J82" s="160"/>
      <c r="K82" s="46"/>
      <c r="L82" s="163"/>
      <c r="M82" s="46"/>
      <c r="N82" s="160"/>
      <c r="O82" s="131"/>
      <c r="P82" s="160"/>
      <c r="Q82" s="48"/>
      <c r="R82" s="46"/>
      <c r="S82" s="48"/>
      <c r="T82" s="48"/>
      <c r="U82" s="46"/>
      <c r="V82" s="48"/>
      <c r="W82" s="48"/>
      <c r="X82" s="605"/>
      <c r="Y82" s="61"/>
      <c r="Z82" s="48"/>
      <c r="AA82" s="49"/>
      <c r="AB82" s="48"/>
      <c r="AC82" s="45"/>
      <c r="AD82" s="132"/>
      <c r="AE82" s="63"/>
      <c r="AF82" s="63"/>
      <c r="AG82" s="45"/>
      <c r="AH82" s="63"/>
      <c r="AI82" s="45"/>
      <c r="AJ82" s="132"/>
      <c r="AK82" s="603"/>
      <c r="AL82" s="51"/>
      <c r="AM82" s="133"/>
      <c r="AN82" s="171"/>
      <c r="AO82" s="64"/>
      <c r="AP82" s="52"/>
      <c r="AQ82" s="65"/>
      <c r="AR82" s="49"/>
      <c r="AS82" s="134"/>
      <c r="AT82" s="61"/>
      <c r="AU82" s="64"/>
      <c r="AV82" s="53"/>
      <c r="AW82" s="65"/>
      <c r="AX82" s="602"/>
      <c r="AY82" s="54"/>
      <c r="AZ82" s="135"/>
      <c r="BA82" s="178"/>
      <c r="BB82" s="66"/>
      <c r="BC82" s="55"/>
      <c r="BD82" s="178"/>
      <c r="BE82" s="55"/>
      <c r="BF82" s="135"/>
      <c r="BG82" s="178"/>
      <c r="BH82" s="66"/>
    </row>
    <row r="83" spans="1:160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5"/>
      <c r="Y83" s="61"/>
      <c r="Z83" s="48"/>
      <c r="AA83" s="49"/>
      <c r="AB83" s="48"/>
      <c r="AC83" s="45"/>
      <c r="AD83" s="132"/>
      <c r="AE83" s="63"/>
      <c r="AF83" s="63"/>
      <c r="AG83" s="45"/>
      <c r="AH83" s="63"/>
      <c r="AI83" s="45"/>
      <c r="AJ83" s="132"/>
      <c r="AK83" s="603"/>
      <c r="AL83" s="51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5"/>
      <c r="Y85" s="61"/>
      <c r="Z85" s="48"/>
      <c r="AA85" s="46"/>
      <c r="AB85" s="48"/>
      <c r="AC85" s="45"/>
      <c r="AD85" s="132"/>
      <c r="AE85" s="63"/>
      <c r="AF85" s="63"/>
      <c r="AG85" s="45"/>
      <c r="AH85" s="63"/>
      <c r="AI85" s="45"/>
      <c r="AJ85" s="132"/>
      <c r="AK85" s="60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5"/>
      <c r="Y86" s="61"/>
      <c r="Z86" s="48"/>
      <c r="AA86" s="46"/>
      <c r="AB86" s="48"/>
      <c r="AC86" s="45"/>
      <c r="AD86" s="132"/>
      <c r="AE86" s="63"/>
      <c r="AF86" s="63"/>
      <c r="AG86" s="45"/>
      <c r="AH86" s="63"/>
      <c r="AI86" s="45"/>
      <c r="AJ86" s="132"/>
      <c r="AK86" s="60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2"/>
      <c r="AY87" s="54"/>
      <c r="AZ87" s="135"/>
      <c r="BA87" s="178"/>
      <c r="BB87" s="66"/>
      <c r="BC87" s="55"/>
      <c r="BD87" s="178"/>
      <c r="BE87" s="55"/>
      <c r="BF87" s="135"/>
      <c r="BG87" s="183"/>
      <c r="BH87" s="70"/>
    </row>
    <row r="88" spans="1:160" ht="23.25" x14ac:dyDescent="0.3">
      <c r="A88" s="71"/>
      <c r="B88" s="150"/>
      <c r="C88" s="139"/>
      <c r="D88" s="147"/>
      <c r="E88" s="138"/>
      <c r="F88" s="139"/>
      <c r="G88" s="138"/>
      <c r="H88" s="138"/>
      <c r="I88" s="139"/>
      <c r="J88" s="138"/>
      <c r="K88" s="139"/>
      <c r="L88" s="138"/>
      <c r="M88" s="139"/>
      <c r="N88" s="138"/>
      <c r="O88" s="139"/>
      <c r="P88" s="138"/>
      <c r="Q88" s="138"/>
      <c r="R88" s="139"/>
      <c r="S88" s="138"/>
      <c r="T88" s="138"/>
      <c r="U88" s="139"/>
      <c r="V88" s="138"/>
      <c r="W88" s="138"/>
      <c r="X88" s="605"/>
      <c r="Y88" s="160"/>
      <c r="Z88" s="138"/>
      <c r="AA88" s="139"/>
      <c r="AB88" s="138"/>
      <c r="AC88" s="138"/>
      <c r="AD88" s="139"/>
      <c r="AE88" s="138"/>
      <c r="AF88" s="138"/>
      <c r="AG88" s="139"/>
      <c r="AH88" s="138"/>
      <c r="AI88" s="138"/>
      <c r="AJ88" s="139"/>
      <c r="AK88" s="603"/>
      <c r="AL88" s="45"/>
      <c r="AM88" s="139"/>
      <c r="AN88" s="138"/>
      <c r="AO88" s="138"/>
      <c r="AP88" s="139"/>
      <c r="AQ88" s="138"/>
      <c r="AR88" s="138"/>
      <c r="AS88" s="139"/>
      <c r="AT88" s="138"/>
      <c r="AU88" s="138"/>
      <c r="AV88" s="139"/>
      <c r="AW88" s="138"/>
      <c r="AX88" s="602"/>
      <c r="AY88" s="54"/>
      <c r="AZ88" s="139"/>
      <c r="BA88" s="176"/>
      <c r="BB88" s="138"/>
      <c r="BC88" s="139"/>
      <c r="BD88" s="176"/>
      <c r="BE88" s="138"/>
      <c r="BF88" s="139"/>
      <c r="BG88" s="183"/>
      <c r="BH88" s="70"/>
    </row>
    <row r="89" spans="1:160" ht="23.25" x14ac:dyDescent="0.3">
      <c r="A89" s="42"/>
      <c r="B89" s="151"/>
      <c r="C89" s="45"/>
      <c r="D89" s="156"/>
      <c r="E89" s="45"/>
      <c r="F89" s="45"/>
      <c r="G89" s="160"/>
      <c r="H89" s="45"/>
      <c r="I89" s="45"/>
      <c r="J89" s="160"/>
      <c r="K89" s="45"/>
      <c r="L89" s="160"/>
      <c r="M89" s="45"/>
      <c r="N89" s="160"/>
      <c r="O89" s="45"/>
      <c r="P89" s="160"/>
      <c r="Q89" s="45"/>
      <c r="R89" s="45"/>
      <c r="S89" s="160"/>
      <c r="T89" s="45"/>
      <c r="U89" s="45"/>
      <c r="V89" s="160"/>
      <c r="W89" s="45"/>
      <c r="X89" s="605"/>
      <c r="Y89" s="160"/>
      <c r="Z89" s="45"/>
      <c r="AA89" s="45"/>
      <c r="AB89" s="160"/>
      <c r="AC89" s="45"/>
      <c r="AD89" s="45"/>
      <c r="AE89" s="160"/>
      <c r="AF89" s="45"/>
      <c r="AG89" s="45"/>
      <c r="AH89" s="160"/>
      <c r="AI89" s="45"/>
      <c r="AJ89" s="45"/>
      <c r="AK89" s="603"/>
      <c r="AL89" s="45"/>
      <c r="AM89" s="45"/>
      <c r="AN89" s="160"/>
      <c r="AO89" s="64"/>
      <c r="AP89" s="53"/>
      <c r="AQ89" s="160"/>
      <c r="AR89" s="45"/>
      <c r="AS89" s="45"/>
      <c r="AT89" s="160"/>
      <c r="AU89" s="45"/>
      <c r="AV89" s="53"/>
      <c r="AW89" s="160"/>
      <c r="AX89" s="602"/>
      <c r="AY89" s="54"/>
      <c r="AZ89" s="55"/>
      <c r="BA89" s="182"/>
      <c r="BB89" s="72"/>
      <c r="BC89" s="72"/>
      <c r="BD89" s="176"/>
      <c r="BE89" s="72"/>
      <c r="BF89" s="72"/>
      <c r="BG89" s="183"/>
      <c r="BH89" s="70"/>
    </row>
    <row r="90" spans="1:160" x14ac:dyDescent="0.3">
      <c r="A90" s="71"/>
      <c r="B90" s="151"/>
      <c r="C90" s="45"/>
      <c r="D90" s="156"/>
      <c r="E90" s="45"/>
      <c r="F90" s="45"/>
      <c r="G90" s="160"/>
      <c r="H90" s="45"/>
      <c r="I90" s="45"/>
      <c r="J90" s="160"/>
      <c r="K90" s="45"/>
      <c r="L90" s="160"/>
      <c r="M90" s="45"/>
      <c r="N90" s="160"/>
      <c r="O90" s="45"/>
      <c r="P90" s="160"/>
      <c r="Q90" s="45"/>
      <c r="R90" s="45"/>
      <c r="S90" s="160"/>
      <c r="T90" s="45"/>
      <c r="U90" s="45"/>
      <c r="V90" s="160"/>
      <c r="W90" s="45"/>
      <c r="X90" s="605"/>
      <c r="Y90" s="160"/>
      <c r="Z90" s="45"/>
      <c r="AA90" s="45"/>
      <c r="AB90" s="160"/>
      <c r="AC90" s="45"/>
      <c r="AD90" s="45"/>
      <c r="AE90" s="160"/>
      <c r="AF90" s="45"/>
      <c r="AG90" s="45"/>
      <c r="AH90" s="160"/>
      <c r="AI90" s="45"/>
      <c r="AJ90" s="45"/>
      <c r="AK90" s="603"/>
      <c r="AL90" s="45"/>
      <c r="AM90" s="45"/>
      <c r="AN90" s="160"/>
      <c r="AO90" s="64"/>
      <c r="AP90" s="53"/>
      <c r="AQ90" s="160"/>
      <c r="AR90" s="45"/>
      <c r="AS90" s="45"/>
      <c r="AT90" s="160"/>
      <c r="AU90" s="45"/>
      <c r="AV90" s="53"/>
      <c r="AW90" s="160"/>
      <c r="AX90" s="602"/>
      <c r="AY90" s="73"/>
      <c r="AZ90" s="49"/>
      <c r="BA90" s="183"/>
      <c r="BB90" s="70"/>
      <c r="BC90" s="140"/>
      <c r="BD90" s="183"/>
      <c r="BE90" s="70"/>
      <c r="BF90" s="140"/>
      <c r="BG90" s="183"/>
      <c r="BH90" s="70"/>
    </row>
    <row r="91" spans="1:160" x14ac:dyDescent="0.3">
      <c r="A91" s="71"/>
      <c r="B91" s="154"/>
      <c r="C91" s="49"/>
      <c r="D91" s="158"/>
      <c r="E91" s="50"/>
      <c r="F91" s="49"/>
      <c r="G91" s="61"/>
      <c r="H91" s="50"/>
      <c r="I91" s="49"/>
      <c r="J91" s="61"/>
      <c r="K91" s="49"/>
      <c r="L91" s="61"/>
      <c r="M91" s="49"/>
      <c r="N91" s="61"/>
      <c r="O91" s="49"/>
      <c r="P91" s="61"/>
      <c r="Q91" s="50"/>
      <c r="R91" s="49"/>
      <c r="S91" s="61"/>
      <c r="T91" s="50"/>
      <c r="U91" s="49"/>
      <c r="V91" s="61"/>
      <c r="W91" s="50"/>
      <c r="X91" s="605"/>
      <c r="Y91" s="61"/>
      <c r="Z91" s="50"/>
      <c r="AA91" s="49"/>
      <c r="AB91" s="61"/>
      <c r="AC91" s="50"/>
      <c r="AD91" s="49"/>
      <c r="AE91" s="61"/>
      <c r="AF91" s="50"/>
      <c r="AG91" s="49"/>
      <c r="AH91" s="61"/>
      <c r="AI91" s="50"/>
      <c r="AJ91" s="49"/>
      <c r="AK91" s="603"/>
      <c r="AL91" s="50"/>
      <c r="AM91" s="49"/>
      <c r="AN91" s="61"/>
      <c r="AO91" s="64"/>
      <c r="AP91" s="51"/>
      <c r="AQ91" s="61"/>
      <c r="AR91" s="50"/>
      <c r="AS91" s="49"/>
      <c r="AT91" s="61"/>
      <c r="AU91" s="50"/>
      <c r="AV91" s="51"/>
      <c r="AW91" s="61"/>
      <c r="AX91" s="602"/>
      <c r="AY91" s="73"/>
      <c r="AZ91" s="49"/>
      <c r="BA91" s="183"/>
      <c r="BB91" s="70"/>
      <c r="BC91" s="140"/>
      <c r="BD91" s="183"/>
      <c r="BE91" s="70"/>
      <c r="BF91" s="140"/>
      <c r="BG91" s="183"/>
      <c r="BH91" s="70"/>
    </row>
    <row r="92" spans="1:160" ht="18.75" x14ac:dyDescent="0.3">
      <c r="A92" s="74"/>
      <c r="B92" s="154"/>
      <c r="C92" s="49"/>
      <c r="D92" s="158"/>
      <c r="E92" s="50"/>
      <c r="F92" s="140"/>
      <c r="G92" s="61"/>
      <c r="H92" s="50"/>
      <c r="I92" s="49"/>
      <c r="J92" s="162"/>
      <c r="K92" s="49"/>
      <c r="L92" s="61"/>
      <c r="M92" s="49"/>
      <c r="N92" s="162"/>
      <c r="O92" s="140"/>
      <c r="P92" s="162"/>
      <c r="Q92" s="50"/>
      <c r="R92" s="49"/>
      <c r="S92" s="61"/>
      <c r="T92" s="50"/>
      <c r="U92" s="49"/>
      <c r="V92" s="61"/>
      <c r="W92" s="50"/>
      <c r="X92" s="605"/>
      <c r="Y92" s="591"/>
      <c r="Z92" s="591"/>
      <c r="AA92" s="591"/>
      <c r="AB92" s="591"/>
      <c r="AC92" s="591"/>
      <c r="AD92" s="591"/>
      <c r="AE92" s="591"/>
      <c r="AF92" s="591"/>
      <c r="AG92" s="591"/>
      <c r="AH92" s="591"/>
      <c r="AI92" s="591"/>
      <c r="AJ92" s="591"/>
      <c r="AK92" s="591"/>
      <c r="AL92" s="591"/>
      <c r="AM92" s="591"/>
      <c r="AN92" s="591"/>
      <c r="AO92" s="591"/>
      <c r="AP92" s="592"/>
      <c r="AQ92" s="592"/>
      <c r="AR92" s="592"/>
      <c r="AS92" s="592"/>
      <c r="AT92" s="592"/>
      <c r="AU92" s="592"/>
      <c r="AV92" s="592"/>
      <c r="AW92" s="592"/>
      <c r="AX92" s="61"/>
      <c r="AY92" s="75"/>
      <c r="AZ92" s="49"/>
      <c r="BA92" s="183"/>
      <c r="BB92" s="70"/>
      <c r="BC92" s="140"/>
      <c r="BD92" s="183"/>
      <c r="BE92" s="70"/>
      <c r="BF92" s="140"/>
      <c r="BG92" s="183"/>
      <c r="BH92" s="70"/>
    </row>
  </sheetData>
  <mergeCells count="453">
    <mergeCell ref="C56:C57"/>
    <mergeCell ref="E56:E57"/>
    <mergeCell ref="G56:G57"/>
    <mergeCell ref="I56:I57"/>
    <mergeCell ref="K56:K57"/>
    <mergeCell ref="M56:M57"/>
    <mergeCell ref="AJ56:AJ57"/>
    <mergeCell ref="O56:O57"/>
    <mergeCell ref="AP54:AQ54"/>
    <mergeCell ref="AF56:AF57"/>
    <mergeCell ref="AM56:AM57"/>
    <mergeCell ref="AO56:AO57"/>
    <mergeCell ref="F54:I54"/>
    <mergeCell ref="J54:M54"/>
    <mergeCell ref="N54:Q54"/>
    <mergeCell ref="Q56:Q57"/>
    <mergeCell ref="W56:W57"/>
    <mergeCell ref="Z56:Z57"/>
    <mergeCell ref="AB56:AB57"/>
    <mergeCell ref="AD56:AD57"/>
    <mergeCell ref="A54:E54"/>
    <mergeCell ref="BH56:BH57"/>
    <mergeCell ref="AU56:AU57"/>
    <mergeCell ref="AW56:AW57"/>
    <mergeCell ref="AZ56:AZ57"/>
    <mergeCell ref="BB56:BB57"/>
    <mergeCell ref="BA54:BB54"/>
    <mergeCell ref="AC54:AD54"/>
    <mergeCell ref="AE54:AF54"/>
    <mergeCell ref="AG54:AH54"/>
    <mergeCell ref="AI54:AJ54"/>
    <mergeCell ref="AL54:AM54"/>
    <mergeCell ref="AN54:AO54"/>
    <mergeCell ref="BD56:BD57"/>
    <mergeCell ref="BF56:BF57"/>
    <mergeCell ref="AH56:AH57"/>
    <mergeCell ref="AS56:AS57"/>
    <mergeCell ref="AQ56:AQ57"/>
    <mergeCell ref="BC54:BD54"/>
    <mergeCell ref="BE54:BF54"/>
    <mergeCell ref="BG54:BH54"/>
    <mergeCell ref="AR54:AS54"/>
    <mergeCell ref="AT54:AU54"/>
    <mergeCell ref="AV54:AW54"/>
    <mergeCell ref="AY54:AZ54"/>
    <mergeCell ref="Y92:AO92"/>
    <mergeCell ref="AP92:AW92"/>
    <mergeCell ref="BF49:BH49"/>
    <mergeCell ref="BS49:BT49"/>
    <mergeCell ref="A50:C50"/>
    <mergeCell ref="D50:F50"/>
    <mergeCell ref="G50:J50"/>
    <mergeCell ref="L50:O50"/>
    <mergeCell ref="U50:V50"/>
    <mergeCell ref="X50:Y50"/>
    <mergeCell ref="A51:CU51"/>
    <mergeCell ref="R54:U54"/>
    <mergeCell ref="V54:W54"/>
    <mergeCell ref="Y54:Z54"/>
    <mergeCell ref="AA54:AB54"/>
    <mergeCell ref="AL53:AW53"/>
    <mergeCell ref="AX53:AX91"/>
    <mergeCell ref="AY53:BH53"/>
    <mergeCell ref="A52:P52"/>
    <mergeCell ref="U52:Y52"/>
    <mergeCell ref="A53:W53"/>
    <mergeCell ref="X53:X92"/>
    <mergeCell ref="Y53:AJ53"/>
    <mergeCell ref="AK53:AK91"/>
    <mergeCell ref="A49:S49"/>
    <mergeCell ref="U49:Z49"/>
    <mergeCell ref="AA49:AF49"/>
    <mergeCell ref="AG49:AL49"/>
    <mergeCell ref="AM49:AR49"/>
    <mergeCell ref="AS49:AU49"/>
    <mergeCell ref="AV49:AX49"/>
    <mergeCell ref="AZ49:BB49"/>
    <mergeCell ref="BC49:BE49"/>
    <mergeCell ref="A46:B46"/>
    <mergeCell ref="R47:S47"/>
    <mergeCell ref="U47:W47"/>
    <mergeCell ref="X47:Z47"/>
    <mergeCell ref="AA47:AC47"/>
    <mergeCell ref="CI46:CJ46"/>
    <mergeCell ref="CK46:CM46"/>
    <mergeCell ref="CN46:CP46"/>
    <mergeCell ref="CQ46:CS46"/>
    <mergeCell ref="CE46:CF46"/>
    <mergeCell ref="CG46:CH46"/>
    <mergeCell ref="BF47:BH47"/>
    <mergeCell ref="BS47:BT47"/>
    <mergeCell ref="BV47:BW47"/>
    <mergeCell ref="CK47:CM47"/>
    <mergeCell ref="CN47:CP47"/>
    <mergeCell ref="CQ47:CS47"/>
    <mergeCell ref="AD47:AF47"/>
    <mergeCell ref="AG47:AI47"/>
    <mergeCell ref="AJ47:AL47"/>
    <mergeCell ref="AM47:AO47"/>
    <mergeCell ref="AP47:AR47"/>
    <mergeCell ref="AS47:AU47"/>
    <mergeCell ref="M47:N47"/>
    <mergeCell ref="AD46:AF46"/>
    <mergeCell ref="AG46:AI46"/>
    <mergeCell ref="AJ46:AL46"/>
    <mergeCell ref="AM46:AO46"/>
    <mergeCell ref="AP46:AR46"/>
    <mergeCell ref="C46:E46"/>
    <mergeCell ref="F46:H46"/>
    <mergeCell ref="I46:J46"/>
    <mergeCell ref="K46:L46"/>
    <mergeCell ref="M46:N46"/>
    <mergeCell ref="O46:Q46"/>
    <mergeCell ref="AD45:AF45"/>
    <mergeCell ref="AG45:AI45"/>
    <mergeCell ref="AJ45:AL45"/>
    <mergeCell ref="AM45:AO45"/>
    <mergeCell ref="AP45:AR45"/>
    <mergeCell ref="BY45:BZ45"/>
    <mergeCell ref="AS45:AU45"/>
    <mergeCell ref="AV45:AX45"/>
    <mergeCell ref="AZ45:BB45"/>
    <mergeCell ref="BC45:BE45"/>
    <mergeCell ref="O45:Q45"/>
    <mergeCell ref="R45:S45"/>
    <mergeCell ref="T45:T47"/>
    <mergeCell ref="U45:W45"/>
    <mergeCell ref="X45:Z45"/>
    <mergeCell ref="AA45:AC45"/>
    <mergeCell ref="R46:S46"/>
    <mergeCell ref="U46:W46"/>
    <mergeCell ref="X46:Z46"/>
    <mergeCell ref="AA46:AC46"/>
    <mergeCell ref="O47:Q47"/>
    <mergeCell ref="A45:B45"/>
    <mergeCell ref="C45:E45"/>
    <mergeCell ref="F45:H45"/>
    <mergeCell ref="I45:J45"/>
    <mergeCell ref="K45:L45"/>
    <mergeCell ref="M45:N45"/>
    <mergeCell ref="CT41:CU41"/>
    <mergeCell ref="BC43:BE43"/>
    <mergeCell ref="DT43:EJ43"/>
    <mergeCell ref="AJ42:AL42"/>
    <mergeCell ref="AM42:AO42"/>
    <mergeCell ref="AS41:AU41"/>
    <mergeCell ref="AV41:AX41"/>
    <mergeCell ref="AY41:AY50"/>
    <mergeCell ref="BI41:BJ41"/>
    <mergeCell ref="BK41:BL41"/>
    <mergeCell ref="BM41:BN41"/>
    <mergeCell ref="U41:W41"/>
    <mergeCell ref="X41:Z41"/>
    <mergeCell ref="AZ47:BB47"/>
    <mergeCell ref="AA41:AC41"/>
    <mergeCell ref="AD41:AF41"/>
    <mergeCell ref="AG41:AI41"/>
    <mergeCell ref="AP41:AR41"/>
    <mergeCell ref="C41:E41"/>
    <mergeCell ref="F41:H41"/>
    <mergeCell ref="I41:J41"/>
    <mergeCell ref="K41:L41"/>
    <mergeCell ref="M41:N41"/>
    <mergeCell ref="O41:S41"/>
    <mergeCell ref="EK43:ER43"/>
    <mergeCell ref="CA41:CB41"/>
    <mergeCell ref="CC41:CD41"/>
    <mergeCell ref="CE41:CF41"/>
    <mergeCell ref="CG41:CH41"/>
    <mergeCell ref="BO41:BP41"/>
    <mergeCell ref="BQ41:BR41"/>
    <mergeCell ref="BS41:BT41"/>
    <mergeCell ref="BU41:BU49"/>
    <mergeCell ref="BV41:BW41"/>
    <mergeCell ref="BY41:BZ41"/>
    <mergeCell ref="BV44:CU44"/>
    <mergeCell ref="CA45:CB45"/>
    <mergeCell ref="CN41:CP41"/>
    <mergeCell ref="CQ41:CS41"/>
    <mergeCell ref="CK42:CM42"/>
    <mergeCell ref="CN42:CP42"/>
    <mergeCell ref="AZ44:BB44"/>
    <mergeCell ref="A40:S40"/>
    <mergeCell ref="T40:T43"/>
    <mergeCell ref="U40:AY40"/>
    <mergeCell ref="AZ40:BH40"/>
    <mergeCell ref="BI40:BR40"/>
    <mergeCell ref="BS40:BT40"/>
    <mergeCell ref="CW40:DR40"/>
    <mergeCell ref="A41:B41"/>
    <mergeCell ref="A39:CU39"/>
    <mergeCell ref="A42:B42"/>
    <mergeCell ref="C42:E42"/>
    <mergeCell ref="F42:H42"/>
    <mergeCell ref="I42:J42"/>
    <mergeCell ref="K42:L42"/>
    <mergeCell ref="AG42:AI42"/>
    <mergeCell ref="AD43:AF43"/>
    <mergeCell ref="AG43:AI43"/>
    <mergeCell ref="M42:N42"/>
    <mergeCell ref="O42:Q42"/>
    <mergeCell ref="R42:S42"/>
    <mergeCell ref="U42:W42"/>
    <mergeCell ref="X42:Z42"/>
    <mergeCell ref="AJ41:AL41"/>
    <mergeCell ref="AM41:AO41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8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8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48"/>
    <mergeCell ref="CW39:DR39"/>
    <mergeCell ref="CI41:CJ41"/>
    <mergeCell ref="CK41:CM41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3"/>
    <mergeCell ref="DN9:DN10"/>
    <mergeCell ref="DP9:DP10"/>
    <mergeCell ref="DT39:EE39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2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39:ER39"/>
    <mergeCell ref="ET39:FC39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0:CU40"/>
    <mergeCell ref="AZ41:BB41"/>
    <mergeCell ref="BC41:BE41"/>
    <mergeCell ref="BF41:BH41"/>
    <mergeCell ref="EF6:EF42"/>
    <mergeCell ref="CQ42:CS42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8"/>
    <mergeCell ref="BV7:BX7"/>
    <mergeCell ref="BY7:BZ7"/>
    <mergeCell ref="CA7:CB7"/>
    <mergeCell ref="EI7:EJ7"/>
    <mergeCell ref="EG6:ER6"/>
    <mergeCell ref="A43:B43"/>
    <mergeCell ref="C43:E43"/>
    <mergeCell ref="F43:H43"/>
    <mergeCell ref="I43:J43"/>
    <mergeCell ref="K43:L43"/>
    <mergeCell ref="M43:N43"/>
    <mergeCell ref="O43:Q43"/>
    <mergeCell ref="CQ43:CS43"/>
    <mergeCell ref="AP42:AR42"/>
    <mergeCell ref="CK43:CM43"/>
    <mergeCell ref="CN43:CP43"/>
    <mergeCell ref="AA42:AC42"/>
    <mergeCell ref="AS42:AU42"/>
    <mergeCell ref="AV42:AX42"/>
    <mergeCell ref="AZ42:BB42"/>
    <mergeCell ref="BC42:BE42"/>
    <mergeCell ref="BF42:BH42"/>
    <mergeCell ref="R43:S43"/>
    <mergeCell ref="U43:W43"/>
    <mergeCell ref="X43:Z43"/>
    <mergeCell ref="AA43:AC43"/>
    <mergeCell ref="AD42:AF42"/>
    <mergeCell ref="BF44:BH44"/>
    <mergeCell ref="AJ43:AL43"/>
    <mergeCell ref="AM43:AO43"/>
    <mergeCell ref="AP43:AR43"/>
    <mergeCell ref="AS43:AU43"/>
    <mergeCell ref="AV43:AX43"/>
    <mergeCell ref="AZ43:BB43"/>
    <mergeCell ref="BC44:BE44"/>
    <mergeCell ref="BF43:BH43"/>
    <mergeCell ref="CT45:CU45"/>
    <mergeCell ref="AS46:AU46"/>
    <mergeCell ref="AV46:AX46"/>
    <mergeCell ref="AZ46:BB46"/>
    <mergeCell ref="BF46:BH46"/>
    <mergeCell ref="BS46:BT46"/>
    <mergeCell ref="BF45:BH45"/>
    <mergeCell ref="BS45:BT45"/>
    <mergeCell ref="BV45:BW45"/>
    <mergeCell ref="CC45:CD45"/>
    <mergeCell ref="CE45:CF45"/>
    <mergeCell ref="CK45:CM45"/>
    <mergeCell ref="CN45:CP45"/>
    <mergeCell ref="CG45:CH45"/>
    <mergeCell ref="CI45:CJ45"/>
    <mergeCell ref="CQ45:CS45"/>
    <mergeCell ref="BV46:BW46"/>
    <mergeCell ref="BY46:BZ46"/>
    <mergeCell ref="CA46:CB46"/>
    <mergeCell ref="CC46:CD46"/>
    <mergeCell ref="CT46:CU46"/>
    <mergeCell ref="BC46:BE46"/>
    <mergeCell ref="AV47:AX47"/>
    <mergeCell ref="A47:B47"/>
    <mergeCell ref="C47:E47"/>
    <mergeCell ref="F47:H47"/>
    <mergeCell ref="I47:J47"/>
    <mergeCell ref="K47:L47"/>
    <mergeCell ref="CT47:CU47"/>
    <mergeCell ref="A48:T48"/>
    <mergeCell ref="U48:Z48"/>
    <mergeCell ref="AA48:AF48"/>
    <mergeCell ref="AG48:AL48"/>
    <mergeCell ref="AM48:AR48"/>
    <mergeCell ref="AS48:AU48"/>
    <mergeCell ref="AV48:AX48"/>
    <mergeCell ref="AZ48:BB48"/>
    <mergeCell ref="BC48:BE48"/>
    <mergeCell ref="CT48:CU48"/>
    <mergeCell ref="BF48:BH48"/>
    <mergeCell ref="BS48:BT48"/>
    <mergeCell ref="BV48:BW48"/>
    <mergeCell ref="CK48:CM48"/>
    <mergeCell ref="CN48:CP48"/>
    <mergeCell ref="CQ48:CS48"/>
    <mergeCell ref="BC47:BE4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2020-02-23T07:13:35Z</dcterms:modified>
</cp:coreProperties>
</file>