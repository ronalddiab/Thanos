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umoo.vicky\Desktop\"/>
    </mc:Choice>
  </mc:AlternateContent>
  <bookViews>
    <workbookView xWindow="-60" yWindow="-60" windowWidth="15480" windowHeight="11640" tabRatio="434"/>
  </bookViews>
  <sheets>
    <sheet name="TOTAL" sheetId="1" r:id="rId1"/>
    <sheet name="Submetering" sheetId="4" r:id="rId2"/>
    <sheet name="HOTEL" sheetId="3" r:id="rId3"/>
    <sheet name="Sheet1" sheetId="5" state="hidden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Z2" i="4" l="1"/>
  <c r="E32" i="1"/>
  <c r="E32" i="4" s="1"/>
  <c r="G32" i="1"/>
  <c r="T32" i="1" s="1"/>
  <c r="I32" i="1"/>
  <c r="K32" i="1"/>
  <c r="AK32" i="4" s="1"/>
  <c r="N32" i="1"/>
  <c r="G30" i="1"/>
  <c r="T30" i="1" s="1"/>
  <c r="I30" i="1"/>
  <c r="K30" i="1"/>
  <c r="N30" i="1"/>
  <c r="O30" i="1" s="1"/>
  <c r="E31" i="1"/>
  <c r="G31" i="1"/>
  <c r="T31" i="1" s="1"/>
  <c r="I31" i="1"/>
  <c r="K31" i="1"/>
  <c r="AK31" i="4" s="1"/>
  <c r="N31" i="1"/>
  <c r="N3" i="1"/>
  <c r="N4" i="1"/>
  <c r="N5" i="1"/>
  <c r="O5" i="1" s="1"/>
  <c r="N6" i="1"/>
  <c r="N7" i="1"/>
  <c r="N8" i="1"/>
  <c r="O8" i="1" s="1"/>
  <c r="N9" i="1"/>
  <c r="N10" i="1"/>
  <c r="O10" i="1" s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O18" i="1" s="1"/>
  <c r="N19" i="1"/>
  <c r="N20" i="1"/>
  <c r="O20" i="1" s="1"/>
  <c r="N21" i="1"/>
  <c r="O21" i="1" s="1"/>
  <c r="N22" i="1"/>
  <c r="O22" i="1" s="1"/>
  <c r="N23" i="1"/>
  <c r="O23" i="1" s="1"/>
  <c r="N24" i="1"/>
  <c r="N25" i="1"/>
  <c r="O25" i="1" s="1"/>
  <c r="N26" i="1"/>
  <c r="O26" i="1" s="1"/>
  <c r="N27" i="1"/>
  <c r="N28" i="1"/>
  <c r="O28" i="1" s="1"/>
  <c r="N29" i="1"/>
  <c r="O29" i="1" s="1"/>
  <c r="N2" i="1"/>
  <c r="O2" i="1" s="1"/>
  <c r="O7" i="1"/>
  <c r="O24" i="1"/>
  <c r="G32" i="4"/>
  <c r="H32" i="4"/>
  <c r="I32" i="4"/>
  <c r="J32" i="4"/>
  <c r="K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B2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F30" i="4"/>
  <c r="G30" i="4"/>
  <c r="O30" i="4"/>
  <c r="P30" i="4"/>
  <c r="Q30" i="4"/>
  <c r="R30" i="4"/>
  <c r="S30" i="4"/>
  <c r="U30" i="4"/>
  <c r="V30" i="4"/>
  <c r="W30" i="4"/>
  <c r="AJ30" i="4"/>
  <c r="H30" i="4"/>
  <c r="I30" i="4"/>
  <c r="J30" i="4"/>
  <c r="K30" i="4"/>
  <c r="E31" i="4"/>
  <c r="G31" i="4"/>
  <c r="N31" i="4"/>
  <c r="O31" i="4"/>
  <c r="P31" i="4"/>
  <c r="Q31" i="4"/>
  <c r="R31" i="4"/>
  <c r="S31" i="4"/>
  <c r="T31" i="4"/>
  <c r="U31" i="4"/>
  <c r="V31" i="4"/>
  <c r="Y31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AK30" i="4"/>
  <c r="Y20" i="4"/>
  <c r="X11" i="4"/>
  <c r="U24" i="4"/>
  <c r="F32" i="4"/>
  <c r="B4" i="1"/>
  <c r="B3" i="4"/>
  <c r="C23" i="5"/>
  <c r="O8" i="4"/>
  <c r="O5" i="4"/>
  <c r="O10" i="4"/>
  <c r="O2" i="4"/>
  <c r="O7" i="4"/>
  <c r="O4" i="4"/>
  <c r="O9" i="4"/>
  <c r="O6" i="4"/>
  <c r="O3" i="4"/>
  <c r="I9" i="1"/>
  <c r="X25" i="4"/>
  <c r="X24" i="4"/>
  <c r="I29" i="1"/>
  <c r="P29" i="1" s="1"/>
  <c r="J29" i="1" s="1"/>
  <c r="I3" i="1"/>
  <c r="I23" i="1"/>
  <c r="P23" i="1" s="1"/>
  <c r="R13" i="4"/>
  <c r="X16" i="4"/>
  <c r="I10" i="1"/>
  <c r="I12" i="1"/>
  <c r="P12" i="1" s="1"/>
  <c r="J12" i="1" s="1"/>
  <c r="Y3" i="4"/>
  <c r="Y2" i="4"/>
  <c r="X18" i="4"/>
  <c r="T21" i="4"/>
  <c r="X15" i="4"/>
  <c r="X31" i="4"/>
  <c r="X28" i="4"/>
  <c r="X26" i="4"/>
  <c r="X19" i="4"/>
  <c r="I21" i="1"/>
  <c r="P21" i="1" s="1"/>
  <c r="J21" i="1" s="1"/>
  <c r="I7" i="1"/>
  <c r="P7" i="1" s="1"/>
  <c r="I5" i="1"/>
  <c r="I20" i="1"/>
  <c r="P20" i="1" s="1"/>
  <c r="U20" i="1" s="1"/>
  <c r="I16" i="1"/>
  <c r="P16" i="1" s="1"/>
  <c r="J16" i="1" s="1"/>
  <c r="I6" i="1"/>
  <c r="I8" i="1"/>
  <c r="P8" i="1" s="1"/>
  <c r="U8" i="1" s="1"/>
  <c r="X12" i="4"/>
  <c r="X27" i="4"/>
  <c r="I27" i="1"/>
  <c r="N18" i="4"/>
  <c r="X22" i="4"/>
  <c r="I19" i="1"/>
  <c r="I13" i="1"/>
  <c r="P13" i="1" s="1"/>
  <c r="G17" i="1"/>
  <c r="T17" i="1" s="1"/>
  <c r="X17" i="4"/>
  <c r="X13" i="4"/>
  <c r="X14" i="4"/>
  <c r="U15" i="4"/>
  <c r="T8" i="4"/>
  <c r="N13" i="4"/>
  <c r="I26" i="1"/>
  <c r="I28" i="1"/>
  <c r="P28" i="1" s="1"/>
  <c r="I18" i="1"/>
  <c r="I2" i="1"/>
  <c r="E7" i="1"/>
  <c r="E7" i="4" s="1"/>
  <c r="E6" i="1"/>
  <c r="E6" i="4" s="1"/>
  <c r="E8" i="1"/>
  <c r="E8" i="4" s="1"/>
  <c r="R17" i="4"/>
  <c r="I17" i="1"/>
  <c r="E9" i="1"/>
  <c r="E9" i="4" s="1"/>
  <c r="I25" i="1"/>
  <c r="I14" i="1"/>
  <c r="X29" i="4"/>
  <c r="X23" i="4"/>
  <c r="N30" i="4"/>
  <c r="I24" i="1"/>
  <c r="P24" i="1" s="1"/>
  <c r="J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U22" i="4"/>
  <c r="R14" i="4"/>
  <c r="O15" i="4"/>
  <c r="N23" i="4"/>
  <c r="L23" i="4" s="1"/>
  <c r="N14" i="4"/>
  <c r="N20" i="4"/>
  <c r="X20" i="4"/>
  <c r="I22" i="1"/>
  <c r="F14" i="4"/>
  <c r="F31" i="4"/>
  <c r="B5" i="1"/>
  <c r="B4" i="4"/>
  <c r="X6" i="4"/>
  <c r="X10" i="4"/>
  <c r="X7" i="4"/>
  <c r="X5" i="4"/>
  <c r="L5" i="4" s="1"/>
  <c r="X4" i="4"/>
  <c r="X8" i="4"/>
  <c r="X3" i="4"/>
  <c r="X9" i="4"/>
  <c r="G21" i="1"/>
  <c r="T21" i="1" s="1"/>
  <c r="G7" i="1"/>
  <c r="T7" i="1" s="1"/>
  <c r="G8" i="1"/>
  <c r="T8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G29" i="1"/>
  <c r="T29" i="1" s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G28" i="1"/>
  <c r="T28" i="1" s="1"/>
  <c r="G26" i="1"/>
  <c r="T26" i="1" s="1"/>
  <c r="G11" i="1"/>
  <c r="T11" i="1" s="1"/>
  <c r="G23" i="1"/>
  <c r="T23" i="1" s="1"/>
  <c r="G10" i="1"/>
  <c r="T10" i="1" s="1"/>
  <c r="B6" i="1"/>
  <c r="B5" i="4"/>
  <c r="B7" i="1"/>
  <c r="B6" i="4"/>
  <c r="B8" i="1"/>
  <c r="B7" i="4"/>
  <c r="B9" i="1"/>
  <c r="B8" i="4"/>
  <c r="B10" i="1"/>
  <c r="B9" i="4"/>
  <c r="B11" i="1"/>
  <c r="B10" i="4"/>
  <c r="B12" i="1"/>
  <c r="B11" i="4"/>
  <c r="B13" i="1"/>
  <c r="B12" i="4"/>
  <c r="B14" i="1"/>
  <c r="B13" i="4"/>
  <c r="B15" i="1"/>
  <c r="B14" i="4"/>
  <c r="B16" i="1"/>
  <c r="B15" i="4"/>
  <c r="B17" i="1"/>
  <c r="B16" i="4"/>
  <c r="B18" i="1"/>
  <c r="B17" i="4"/>
  <c r="B19" i="1"/>
  <c r="B18" i="4"/>
  <c r="B20" i="1"/>
  <c r="B19" i="4"/>
  <c r="B21" i="1"/>
  <c r="B20" i="4"/>
  <c r="B22" i="1"/>
  <c r="B21" i="4"/>
  <c r="B23" i="1"/>
  <c r="B22" i="4"/>
  <c r="B24" i="1"/>
  <c r="B23" i="4"/>
  <c r="B25" i="1"/>
  <c r="B24" i="4"/>
  <c r="B26" i="1"/>
  <c r="B25" i="4"/>
  <c r="B27" i="1"/>
  <c r="B26" i="4"/>
  <c r="B28" i="1"/>
  <c r="B27" i="4"/>
  <c r="B29" i="1"/>
  <c r="B28" i="4"/>
  <c r="B29" i="4"/>
  <c r="B30" i="1"/>
  <c r="B31" i="1"/>
  <c r="B32" i="1"/>
  <c r="B32" i="4"/>
  <c r="B30" i="4"/>
  <c r="B31" i="4"/>
  <c r="L12" i="4" l="1"/>
  <c r="L10" i="4"/>
  <c r="L17" i="4"/>
  <c r="P15" i="1"/>
  <c r="J15" i="1" s="1"/>
  <c r="L32" i="4"/>
  <c r="L15" i="4"/>
  <c r="L7" i="4"/>
  <c r="P5" i="1"/>
  <c r="U5" i="1" s="1"/>
  <c r="L24" i="4"/>
  <c r="P31" i="1"/>
  <c r="J31" i="1" s="1"/>
  <c r="L11" i="4"/>
  <c r="L20" i="4"/>
  <c r="P25" i="1"/>
  <c r="J25" i="1" s="1"/>
  <c r="L3" i="4"/>
  <c r="L8" i="4"/>
  <c r="P10" i="1"/>
  <c r="U10" i="1" s="1"/>
  <c r="P18" i="1"/>
  <c r="J18" i="1" s="1"/>
  <c r="P32" i="1"/>
  <c r="J32" i="1" s="1"/>
  <c r="P26" i="1"/>
  <c r="J26" i="1" s="1"/>
  <c r="L18" i="4"/>
  <c r="P14" i="1"/>
  <c r="J14" i="1" s="1"/>
  <c r="P6" i="1"/>
  <c r="U6" i="1" s="1"/>
  <c r="J20" i="1"/>
  <c r="L29" i="4"/>
  <c r="L26" i="4"/>
  <c r="J7" i="1"/>
  <c r="U7" i="1"/>
  <c r="O14" i="1"/>
  <c r="L16" i="4"/>
  <c r="P22" i="1"/>
  <c r="L21" i="4"/>
  <c r="P30" i="1"/>
  <c r="J30" i="1" s="1"/>
  <c r="P27" i="1"/>
  <c r="U27" i="1" s="1"/>
  <c r="P19" i="1"/>
  <c r="J19" i="1" s="1"/>
  <c r="P3" i="1"/>
  <c r="U3" i="1" s="1"/>
  <c r="L13" i="4"/>
  <c r="O6" i="1"/>
  <c r="O19" i="1"/>
  <c r="L31" i="4"/>
  <c r="U28" i="1"/>
  <c r="J28" i="1"/>
  <c r="P2" i="1"/>
  <c r="J2" i="1" s="1"/>
  <c r="L9" i="4"/>
  <c r="L6" i="4"/>
  <c r="L4" i="4"/>
  <c r="O3" i="1"/>
  <c r="P4" i="1"/>
  <c r="J4" i="1" s="1"/>
  <c r="O32" i="1"/>
  <c r="L19" i="4"/>
  <c r="L28" i="4"/>
  <c r="O27" i="1"/>
  <c r="O31" i="1"/>
  <c r="L14" i="4"/>
  <c r="P9" i="1"/>
  <c r="U9" i="1" s="1"/>
  <c r="U12" i="1"/>
  <c r="J8" i="1"/>
  <c r="L27" i="4"/>
  <c r="L22" i="4"/>
  <c r="U24" i="1"/>
  <c r="U16" i="1"/>
  <c r="U21" i="1"/>
  <c r="P11" i="1"/>
  <c r="L25" i="4"/>
  <c r="U13" i="1"/>
  <c r="J13" i="1"/>
  <c r="J23" i="1"/>
  <c r="U23" i="1"/>
  <c r="U29" i="1"/>
  <c r="O4" i="1"/>
  <c r="P17" i="1"/>
  <c r="J17" i="1" s="1"/>
  <c r="O9" i="1"/>
  <c r="E30" i="1"/>
  <c r="E30" i="4" s="1"/>
  <c r="T30" i="4"/>
  <c r="Y30" i="4"/>
  <c r="Z31" i="4"/>
  <c r="AA30" i="4"/>
  <c r="AB30" i="4"/>
  <c r="AC30" i="4"/>
  <c r="AD30" i="4"/>
  <c r="AE30" i="4"/>
  <c r="AF30" i="4"/>
  <c r="AG30" i="4"/>
  <c r="AH30" i="4"/>
  <c r="AI30" i="4"/>
  <c r="J5" i="1" l="1"/>
  <c r="U19" i="1"/>
  <c r="U15" i="1"/>
  <c r="U25" i="1"/>
  <c r="U26" i="1"/>
  <c r="J3" i="1"/>
  <c r="J10" i="1"/>
  <c r="U31" i="1"/>
  <c r="U14" i="1"/>
  <c r="U32" i="1"/>
  <c r="U18" i="1"/>
  <c r="J27" i="1"/>
  <c r="U30" i="1"/>
  <c r="J6" i="1"/>
  <c r="J9" i="1"/>
  <c r="J22" i="1"/>
  <c r="U22" i="1"/>
  <c r="U11" i="1"/>
  <c r="J11" i="1"/>
  <c r="U4" i="1"/>
  <c r="U2" i="1"/>
  <c r="U17" i="1"/>
  <c r="X30" i="4"/>
  <c r="L30" i="4" s="1"/>
  <c r="X2" i="4"/>
  <c r="L2" i="4" s="1"/>
</calcChain>
</file>

<file path=xl/sharedStrings.xml><?xml version="1.0" encoding="utf-8"?>
<sst xmlns="http://schemas.openxmlformats.org/spreadsheetml/2006/main" count="290" uniqueCount="136">
  <si>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</si>
  <si>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</si>
  <si>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</si>
  <si>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</si>
  <si>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</si>
  <si>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</si>
  <si>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</si>
  <si>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</si>
  <si>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</si>
  <si>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</si>
  <si>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</si>
  <si>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</si>
  <si>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</si>
  <si>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</si>
  <si>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</si>
  <si>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</si>
  <si>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</si>
  <si>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</si>
  <si>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</si>
  <si>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</si>
  <si>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</si>
  <si>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</si>
  <si>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</si>
  <si>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</si>
  <si>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</si>
  <si>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</si>
  <si>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</si>
  <si>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</si>
  <si>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</si>
  <si>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</si>
  <si>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</si>
  <si>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</si>
  <si>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</si>
  <si>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</si>
  <si>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</si>
  <si>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</si>
  <si>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</si>
  <si>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</si>
  <si>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</si>
  <si>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</si>
  <si>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</si>
  <si>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</si>
  <si>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</si>
  <si>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</si>
  <si>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</si>
  <si>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</si>
  <si>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</si>
  <si>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</si>
  <si>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</si>
  <si>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</si>
  <si>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</si>
  <si>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</si>
  <si>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</si>
  <si>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</si>
  <si>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</si>
  <si>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 xml:space="preserve">MB &amp; Island </t>
  </si>
  <si>
    <t>CONS</t>
  </si>
  <si>
    <t>North &amp; South</t>
  </si>
  <si>
    <t>Vacoas KW</t>
  </si>
  <si>
    <t>Hotel</t>
  </si>
  <si>
    <t>% Water Available</t>
  </si>
  <si>
    <t>Water reservoir, 400 m3</t>
  </si>
  <si>
    <t>Water truck trip</t>
  </si>
  <si>
    <t>Water Softener</t>
  </si>
  <si>
    <t>bamboo pool</t>
  </si>
  <si>
    <t>CWA (FS)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</si>
  <si>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</si>
  <si>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</si>
  <si>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</si>
  <si>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</si>
  <si>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</si>
  <si>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</si>
  <si>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</si>
  <si>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</si>
  <si>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</si>
  <si>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</si>
  <si>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</si>
  <si>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</si>
  <si>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</si>
  <si>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</si>
  <si>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</si>
  <si>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</si>
  <si>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Boiler( Laundry)</t>
  </si>
  <si>
    <t>Main Building ( boiler)</t>
  </si>
  <si>
    <t>Pool Temperature</t>
  </si>
  <si>
    <t xml:space="preserve">BEVERAGE STORE </t>
  </si>
  <si>
    <t>Date</t>
  </si>
  <si>
    <t>KVAH</t>
  </si>
  <si>
    <t>KWH</t>
  </si>
  <si>
    <t>PF</t>
  </si>
  <si>
    <t>KVA</t>
  </si>
  <si>
    <t>KVA max</t>
  </si>
  <si>
    <t>Hrs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</si>
  <si>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</si>
  <si>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</si>
  <si>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</si>
  <si>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</si>
  <si>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</si>
  <si>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</si>
  <si>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</si>
  <si>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</si>
  <si>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</si>
  <si>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CW</t>
  </si>
  <si>
    <t>Bamboo HW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</si>
  <si>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</si>
  <si>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</si>
  <si>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</si>
  <si>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</si>
  <si>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</si>
  <si>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</si>
  <si>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</si>
  <si>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DIESEL( cm)</t>
  </si>
  <si>
    <t>stock</t>
  </si>
  <si>
    <t>Del</t>
  </si>
  <si>
    <t>Meter</t>
  </si>
  <si>
    <t xml:space="preserve">cons </t>
  </si>
  <si>
    <t>Kg</t>
  </si>
  <si>
    <t>LPG 1</t>
  </si>
  <si>
    <t>LPG 2</t>
  </si>
  <si>
    <t>LPG 3</t>
  </si>
  <si>
    <t>total stock</t>
  </si>
  <si>
    <t>del</t>
  </si>
  <si>
    <t>Beau champ ( Main kit)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</si>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</sst>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9C0006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0" borderId="0"/>
    <xf numFmtId="0" fontId="2" fillId="0" borderId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 vertical="center"/>
    </xf>
    <xf numFmtId="0" fontId="3" fillId="2" borderId="0" xfId="1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1" fontId="0" fillId="0" borderId="0" xfId="0" applyNumberFormat="1"/>
    <xf numFmtId="0" fontId="2" fillId="0" borderId="0" xfId="3"/>
    <xf numFmtId="0" fontId="0" fillId="0" borderId="0" xfId="0" applyProtection="1">
      <protection locked="0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2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5" xfId="0" applyFont="1" applyBorder="1"/>
    <xf numFmtId="0" fontId="7" fillId="0" borderId="5" xfId="0" applyFon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7" fillId="0" borderId="5" xfId="3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3" borderId="5" xfId="0" applyFill="1" applyBorder="1" applyAlignment="1" applyProtection="1">
      <alignment horizontal="center" wrapText="1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 wrapText="1"/>
      <protection locked="0"/>
    </xf>
    <xf numFmtId="0" fontId="7" fillId="0" borderId="5" xfId="3" applyFont="1" applyBorder="1" applyProtection="1">
      <protection locked="0"/>
    </xf>
    <xf numFmtId="0" fontId="2" fillId="0" borderId="5" xfId="3" applyBorder="1" applyProtection="1">
      <protection locked="0"/>
    </xf>
    <xf numFmtId="0" fontId="7" fillId="0" borderId="5" xfId="0" applyFont="1" applyBorder="1" applyProtection="1">
      <protection locked="0"/>
    </xf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/>
    <xf numFmtId="1" fontId="5" fillId="3" borderId="5" xfId="0" applyNumberFormat="1" applyFont="1" applyFill="1" applyBorder="1"/>
    <xf numFmtId="0" fontId="5" fillId="0" borderId="5" xfId="0" applyFont="1" applyBorder="1" applyAlignment="1">
      <alignment wrapText="1"/>
    </xf>
    <xf numFmtId="0" fontId="5" fillId="3" borderId="5" xfId="0" applyFont="1" applyFill="1" applyBorder="1"/>
    <xf numFmtId="0" fontId="5" fillId="4" borderId="5" xfId="0" applyFont="1" applyFill="1" applyBorder="1"/>
    <xf numFmtId="0" fontId="5" fillId="0" borderId="5" xfId="3" applyFont="1" applyBorder="1" applyAlignment="1">
      <alignment wrapText="1"/>
    </xf>
    <xf numFmtId="0" fontId="0" fillId="0" borderId="5" xfId="0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20" fontId="5" fillId="0" borderId="5" xfId="0" applyNumberFormat="1" applyFont="1" applyBorder="1" applyAlignment="1">
      <alignment horizontal="center"/>
    </xf>
    <xf numFmtId="1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10" fontId="6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7" fillId="0" borderId="5" xfId="0" applyFont="1" applyBorder="1" applyAlignment="1" applyProtection="1">
      <alignment horizontal="center"/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Alignment="1">
      <alignment horizontal="center"/>
    </xf>
  </cellXfs>
  <cellStyles count="5">
    <cellStyle name="Good" xfId="1" builtinId="26"/>
    <cellStyle name="Normal" xfId="0" builtinId="0"/>
    <cellStyle name="Normal 11" xfId="2"/>
    <cellStyle name="Normal 2" xfId="3"/>
    <cellStyle name="Percent 3" xfId="4"/>
  </cellStyles>
  <dxfs count="8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F22" activePane="bottomRight" state="frozen"/>
      <selection pane="topRight" activeCell="E1" sqref="E1"/>
      <selection pane="bottomLeft" activeCell="A14" sqref="A14"/>
      <selection pane="bottomRight" activeCell="F34" sqref="F34"/>
    </sheetView>
  </sheetViews>
  <sheetFormatPr defaultColWidth="11.54296875" defaultRowHeight="12.5" x14ac:dyDescent="0.25"/>
  <cols>
    <col min="1" max="1" width="22" customWidth="1"/>
    <col min="2" max="3" width="11.54296875" style="7"/>
    <col min="4" max="4" width="13.453125" style="7" customWidth="1"/>
    <col min="5" max="6" width="12.54296875" style="7" customWidth="1"/>
    <col min="7" max="13" width="11.54296875" style="7"/>
    <col min="14" max="14" width="15.1796875" style="7" customWidth="1"/>
    <col min="15" max="15" width="15.81640625" style="7" customWidth="1"/>
    <col min="16" max="18" width="11.54296875" style="7" customWidth="1"/>
    <col min="19" max="19" width="11.54296875" style="7" hidden="1" customWidth="1"/>
    <col min="20" max="20" width="12.453125" style="7" customWidth="1"/>
    <col min="21" max="21" width="14.453125" style="7" customWidth="1"/>
  </cols>
  <sheetData>
    <row r="1" spans="1:21" s="1" customFormat="1" ht="53.25" customHeight="1" x14ac:dyDescent="0.3">
      <c r="A1" s="3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2"/>
      <c r="M1" s="10"/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6" t="s">
        <v>16</v>
      </c>
      <c r="T1" s="6" t="s">
        <v>17</v>
      </c>
      <c r="U1" s="6" t="s">
        <v>18</v>
      </c>
    </row>
    <row r="2" spans="1:21" x14ac:dyDescent="0.25">
      <c r="A2" s="2" t="s">
        <v>19</v>
      </c>
      <c r="B2" s="7">
        <v>1</v>
      </c>
      <c r="C2" s="7">
        <v>1</v>
      </c>
      <c r="D2" s="7">
        <v>2023</v>
      </c>
      <c r="E2" s="8">
        <f>HOTEL!E4</f>
        <v>26115</v>
      </c>
      <c r="F2" s="11">
        <v>6.25</v>
      </c>
      <c r="G2" s="8">
        <f>HOTEL!CV4</f>
        <v>55250</v>
      </c>
      <c r="H2" s="11">
        <v>76.45</v>
      </c>
      <c r="I2" s="8">
        <f>HOTEL!Z4+HOTEL!AF4</f>
        <v>398</v>
      </c>
      <c r="J2" s="11">
        <f>P2</f>
        <v>34</v>
      </c>
      <c r="K2" s="7">
        <f>HOTEL!EP4</f>
        <v>0.76600000000000001</v>
      </c>
      <c r="L2" s="13"/>
      <c r="N2" s="7">
        <f>HOTEL!AD4</f>
        <v>0</v>
      </c>
      <c r="O2" s="7">
        <f>N2*4000</f>
        <v>0</v>
      </c>
      <c r="P2" s="8">
        <f>IFERROR(((((HOTEL!Z4*34))+(N2*2500))/(I2+N2*40)),0)</f>
        <v>34</v>
      </c>
      <c r="Q2" s="7">
        <v>6.21</v>
      </c>
      <c r="R2" s="11">
        <v>67.25</v>
      </c>
      <c r="S2" s="7">
        <v>33.880000000000003</v>
      </c>
      <c r="T2" s="8">
        <f>G2*H2</f>
        <v>4223862.5</v>
      </c>
      <c r="U2" s="8">
        <f>I2*P2</f>
        <v>13532</v>
      </c>
    </row>
    <row r="3" spans="1:21" x14ac:dyDescent="0.25">
      <c r="A3" s="2" t="s">
        <v>19</v>
      </c>
      <c r="B3" s="7">
        <f>B2+1</f>
        <v>2</v>
      </c>
      <c r="C3" s="7">
        <v>1</v>
      </c>
      <c r="D3" s="7">
        <v>2023</v>
      </c>
      <c r="E3" s="8">
        <f>HOTEL!E5</f>
        <v>28694</v>
      </c>
      <c r="F3" s="11">
        <v>6.25</v>
      </c>
      <c r="G3" s="8">
        <f>HOTEL!CV5</f>
        <v>55288</v>
      </c>
      <c r="H3" s="11">
        <v>76.45</v>
      </c>
      <c r="I3" s="8">
        <f>HOTEL!Z5+HOTEL!AF5</f>
        <v>411</v>
      </c>
      <c r="J3" s="11">
        <f t="shared" ref="J3:J29" si="0">P3</f>
        <v>34</v>
      </c>
      <c r="K3" s="7">
        <f>HOTEL!EP5</f>
        <v>0.63300000000000001</v>
      </c>
      <c r="L3" s="13"/>
      <c r="N3" s="7">
        <f>HOTEL!AD5</f>
        <v>0</v>
      </c>
      <c r="O3" s="7">
        <f>N3*4000</f>
        <v>0</v>
      </c>
      <c r="P3" s="8">
        <f>IFERROR(((((HOTEL!Z5*34))+(N3*2500))/(I3+N3*40)),0)</f>
        <v>34</v>
      </c>
      <c r="Q3" s="7">
        <v>6.21</v>
      </c>
      <c r="R3" s="11">
        <v>67.25</v>
      </c>
      <c r="S3" s="7">
        <v>33.880000000000003</v>
      </c>
      <c r="T3" s="8">
        <f t="shared" ref="T3:T19" si="1">G3*H3</f>
        <v>4226767.6000000006</v>
      </c>
      <c r="U3" s="8">
        <f t="shared" ref="U3:U29" si="2">I3*P3</f>
        <v>13974</v>
      </c>
    </row>
    <row r="4" spans="1:21" x14ac:dyDescent="0.25">
      <c r="A4" s="2" t="s">
        <v>19</v>
      </c>
      <c r="B4" s="7">
        <f t="shared" ref="B4:B32" si="3">B3+1</f>
        <v>3</v>
      </c>
      <c r="C4" s="7">
        <v>1</v>
      </c>
      <c r="D4" s="7">
        <v>2023</v>
      </c>
      <c r="E4" s="8">
        <f>HOTEL!E6</f>
        <v>28493</v>
      </c>
      <c r="F4" s="11">
        <v>6.25</v>
      </c>
      <c r="G4" s="8">
        <f>HOTEL!CV6</f>
        <v>55325</v>
      </c>
      <c r="H4" s="11">
        <v>76.45</v>
      </c>
      <c r="I4" s="8">
        <f>HOTEL!Z6+HOTEL!AF6</f>
        <v>378</v>
      </c>
      <c r="J4" s="11">
        <f t="shared" si="0"/>
        <v>34</v>
      </c>
      <c r="K4" s="7">
        <f>HOTEL!EP6</f>
        <v>0.81</v>
      </c>
      <c r="L4" s="13"/>
      <c r="N4" s="7">
        <f>HOTEL!AD6</f>
        <v>0</v>
      </c>
      <c r="O4" s="7">
        <f>N4*4000</f>
        <v>0</v>
      </c>
      <c r="P4" s="8">
        <f>IFERROR(((((HOTEL!Z6*34))+(N4*2500))/(I4+N4*40)),0)</f>
        <v>34</v>
      </c>
      <c r="Q4" s="7">
        <v>6.21</v>
      </c>
      <c r="R4" s="11">
        <v>67.25</v>
      </c>
      <c r="S4" s="7">
        <v>33.880000000000003</v>
      </c>
      <c r="T4" s="8">
        <f t="shared" si="1"/>
        <v>4229596.25</v>
      </c>
      <c r="U4" s="8">
        <f t="shared" si="2"/>
        <v>12852</v>
      </c>
    </row>
    <row r="5" spans="1:21" x14ac:dyDescent="0.25">
      <c r="A5" s="2" t="s">
        <v>19</v>
      </c>
      <c r="B5" s="7">
        <f t="shared" si="3"/>
        <v>4</v>
      </c>
      <c r="C5" s="7">
        <v>1</v>
      </c>
      <c r="D5" s="7">
        <v>2023</v>
      </c>
      <c r="E5" s="8">
        <f>HOTEL!E7</f>
        <v>25885</v>
      </c>
      <c r="F5" s="11">
        <v>6.25</v>
      </c>
      <c r="G5" s="8">
        <f>HOTEL!CV7</f>
        <v>55362</v>
      </c>
      <c r="H5" s="11">
        <v>76.45</v>
      </c>
      <c r="I5" s="8">
        <f>HOTEL!Z7+HOTEL!AF7</f>
        <v>440</v>
      </c>
      <c r="J5" s="11">
        <f t="shared" si="0"/>
        <v>34</v>
      </c>
      <c r="K5" s="7">
        <f>HOTEL!EP7</f>
        <v>0.93</v>
      </c>
      <c r="L5" s="13"/>
      <c r="N5" s="7">
        <f>HOTEL!AD7</f>
        <v>0</v>
      </c>
      <c r="O5" s="7">
        <f>N5*4000</f>
        <v>0</v>
      </c>
      <c r="P5" s="8">
        <f>IFERROR(((((HOTEL!Z7*34))+(N5*2500))/(I5+N5*40)),0)</f>
        <v>34</v>
      </c>
      <c r="Q5" s="7">
        <v>6.21</v>
      </c>
      <c r="R5" s="11">
        <v>67.25</v>
      </c>
      <c r="S5" s="7">
        <v>33.880000000000003</v>
      </c>
      <c r="T5" s="8">
        <f t="shared" si="1"/>
        <v>4232424.9000000004</v>
      </c>
      <c r="U5" s="8">
        <f t="shared" si="2"/>
        <v>14960</v>
      </c>
    </row>
    <row r="6" spans="1:21" x14ac:dyDescent="0.25">
      <c r="A6" s="2" t="s">
        <v>19</v>
      </c>
      <c r="B6" s="7">
        <f t="shared" si="3"/>
        <v>5</v>
      </c>
      <c r="C6" s="7">
        <v>1</v>
      </c>
      <c r="D6" s="7">
        <v>2023</v>
      </c>
      <c r="E6" s="8">
        <f>HOTEL!E8</f>
        <v>27430</v>
      </c>
      <c r="F6" s="11">
        <v>6.25</v>
      </c>
      <c r="G6" s="8">
        <f>HOTEL!CV8</f>
        <v>55396</v>
      </c>
      <c r="H6" s="11">
        <v>76.45</v>
      </c>
      <c r="I6" s="8">
        <f>HOTEL!Z8+HOTEL!AF8</f>
        <v>352</v>
      </c>
      <c r="J6" s="11">
        <f t="shared" si="0"/>
        <v>34</v>
      </c>
      <c r="K6" s="7">
        <f>HOTEL!EP8</f>
        <v>0.95</v>
      </c>
      <c r="L6" s="13"/>
      <c r="N6" s="7">
        <f>HOTEL!AD8</f>
        <v>0</v>
      </c>
      <c r="O6" s="7">
        <f>N6*4000</f>
        <v>0</v>
      </c>
      <c r="P6" s="8">
        <f>IFERROR(((((HOTEL!Z8*34))+(N6*2500))/(I6+N6*40)),0)</f>
        <v>34</v>
      </c>
      <c r="Q6" s="7">
        <v>6.21</v>
      </c>
      <c r="R6" s="11">
        <v>67.25</v>
      </c>
      <c r="S6" s="7">
        <v>33.880000000000003</v>
      </c>
      <c r="T6" s="8">
        <f t="shared" si="1"/>
        <v>4235024.2</v>
      </c>
      <c r="U6" s="8">
        <f t="shared" si="2"/>
        <v>11968</v>
      </c>
    </row>
    <row r="7" spans="1:21" x14ac:dyDescent="0.25">
      <c r="A7" s="2" t="s">
        <v>19</v>
      </c>
      <c r="B7" s="7">
        <f t="shared" si="3"/>
        <v>6</v>
      </c>
      <c r="C7" s="7">
        <v>1</v>
      </c>
      <c r="D7" s="7">
        <v>2023</v>
      </c>
      <c r="E7" s="8">
        <f>HOTEL!E9</f>
        <v>23664</v>
      </c>
      <c r="F7" s="11">
        <v>6.25</v>
      </c>
      <c r="G7" s="8">
        <f>HOTEL!CV9</f>
        <v>55435</v>
      </c>
      <c r="H7" s="11">
        <v>76.45</v>
      </c>
      <c r="I7" s="8">
        <f>HOTEL!Z9+HOTEL!AF9</f>
        <v>368</v>
      </c>
      <c r="J7" s="11">
        <f t="shared" si="0"/>
        <v>34</v>
      </c>
      <c r="K7" s="7">
        <f>HOTEL!EP9</f>
        <v>0.83</v>
      </c>
      <c r="L7" s="13"/>
      <c r="N7" s="7">
        <f>HOTEL!AD9</f>
        <v>0</v>
      </c>
      <c r="O7" s="7">
        <f t="shared" ref="O7:O29" si="4">N7*4000</f>
        <v>0</v>
      </c>
      <c r="P7" s="8">
        <f>IFERROR(((((HOTEL!Z9*34))+(N7*2500))/(I7+N7*40)),0)</f>
        <v>34</v>
      </c>
      <c r="Q7" s="7">
        <v>6.21</v>
      </c>
      <c r="R7" s="11">
        <v>67.25</v>
      </c>
      <c r="S7" s="7">
        <v>33.880000000000003</v>
      </c>
      <c r="T7" s="8">
        <f t="shared" si="1"/>
        <v>4238005.75</v>
      </c>
      <c r="U7" s="8">
        <f t="shared" si="2"/>
        <v>12512</v>
      </c>
    </row>
    <row r="8" spans="1:21" x14ac:dyDescent="0.25">
      <c r="A8" s="2" t="s">
        <v>19</v>
      </c>
      <c r="B8" s="7">
        <f t="shared" si="3"/>
        <v>7</v>
      </c>
      <c r="C8" s="7">
        <v>1</v>
      </c>
      <c r="D8" s="7">
        <v>2023</v>
      </c>
      <c r="E8" s="8">
        <f>HOTEL!E10</f>
        <v>25687</v>
      </c>
      <c r="F8" s="11">
        <v>6.25</v>
      </c>
      <c r="G8" s="8">
        <f>HOTEL!CV10</f>
        <v>55475</v>
      </c>
      <c r="H8" s="11">
        <v>76.45</v>
      </c>
      <c r="I8" s="8">
        <f>HOTEL!Z10+HOTEL!AF10</f>
        <v>405</v>
      </c>
      <c r="J8" s="11">
        <f t="shared" si="0"/>
        <v>34</v>
      </c>
      <c r="K8" s="7">
        <f>HOTEL!EP10</f>
        <v>0.85</v>
      </c>
      <c r="L8" s="13"/>
      <c r="N8" s="7">
        <f>HOTEL!AD10</f>
        <v>0</v>
      </c>
      <c r="O8" s="7">
        <f t="shared" si="4"/>
        <v>0</v>
      </c>
      <c r="P8" s="8">
        <f>IFERROR(((((HOTEL!Z10*34))+(N8*2500))/(I8+N8*40)),0)</f>
        <v>34</v>
      </c>
      <c r="Q8" s="7">
        <v>6.21</v>
      </c>
      <c r="R8" s="11">
        <v>67.25</v>
      </c>
      <c r="S8" s="7">
        <v>33.880000000000003</v>
      </c>
      <c r="T8" s="8">
        <f t="shared" si="1"/>
        <v>4241063.75</v>
      </c>
      <c r="U8" s="8">
        <f t="shared" si="2"/>
        <v>13770</v>
      </c>
    </row>
    <row r="9" spans="1:21" x14ac:dyDescent="0.25">
      <c r="A9" s="2" t="s">
        <v>19</v>
      </c>
      <c r="B9" s="7">
        <f t="shared" si="3"/>
        <v>8</v>
      </c>
      <c r="C9" s="7">
        <v>1</v>
      </c>
      <c r="D9" s="7">
        <v>2023</v>
      </c>
      <c r="E9" s="8">
        <f>HOTEL!E11</f>
        <v>27920</v>
      </c>
      <c r="F9" s="11">
        <v>6.25</v>
      </c>
      <c r="G9" s="8">
        <f>HOTEL!CV11</f>
        <v>55516</v>
      </c>
      <c r="H9" s="11">
        <v>76.45</v>
      </c>
      <c r="I9" s="8">
        <f>HOTEL!Z11+HOTEL!AF11</f>
        <v>400</v>
      </c>
      <c r="J9" s="11">
        <f t="shared" si="0"/>
        <v>34</v>
      </c>
      <c r="K9" s="7">
        <f>HOTEL!EP11</f>
        <v>0.83</v>
      </c>
      <c r="L9" s="13"/>
      <c r="N9" s="7">
        <f>HOTEL!AD11</f>
        <v>0</v>
      </c>
      <c r="O9" s="7">
        <f t="shared" si="4"/>
        <v>0</v>
      </c>
      <c r="P9" s="8">
        <f>IFERROR(((((HOTEL!Z11*34))+(N9*2500))/(I9+N9*40)),0)</f>
        <v>34</v>
      </c>
      <c r="Q9" s="7">
        <v>6.21</v>
      </c>
      <c r="R9" s="11">
        <v>67.25</v>
      </c>
      <c r="S9" s="7">
        <v>33.880000000000003</v>
      </c>
      <c r="T9" s="8">
        <f>G9*H9</f>
        <v>4244198.2</v>
      </c>
      <c r="U9" s="8">
        <f t="shared" si="2"/>
        <v>13600</v>
      </c>
    </row>
    <row r="10" spans="1:21" x14ac:dyDescent="0.25">
      <c r="A10" s="2" t="s">
        <v>19</v>
      </c>
      <c r="B10" s="7">
        <f t="shared" si="3"/>
        <v>9</v>
      </c>
      <c r="C10" s="7">
        <v>1</v>
      </c>
      <c r="D10" s="7">
        <v>2023</v>
      </c>
      <c r="E10" s="8">
        <f>HOTEL!E12</f>
        <v>28121</v>
      </c>
      <c r="F10" s="11">
        <v>6.25</v>
      </c>
      <c r="G10" s="8">
        <f>HOTEL!CV12</f>
        <v>55562</v>
      </c>
      <c r="H10" s="11">
        <v>76.45</v>
      </c>
      <c r="I10" s="8">
        <f>HOTEL!Z12+HOTEL!AF12</f>
        <v>399</v>
      </c>
      <c r="J10" s="11">
        <f t="shared" si="0"/>
        <v>34</v>
      </c>
      <c r="K10" s="7">
        <f>HOTEL!EP12</f>
        <v>0.72</v>
      </c>
      <c r="L10" s="13"/>
      <c r="N10" s="7">
        <f>HOTEL!AD12</f>
        <v>0</v>
      </c>
      <c r="O10" s="7">
        <f t="shared" si="4"/>
        <v>0</v>
      </c>
      <c r="P10" s="8">
        <f>IFERROR(((((HOTEL!Z12*34))+(N10*2500))/(I10+N10*40)),0)</f>
        <v>34</v>
      </c>
      <c r="Q10" s="7">
        <v>6.21</v>
      </c>
      <c r="R10" s="11">
        <v>67.25</v>
      </c>
      <c r="S10" s="7">
        <v>33.93</v>
      </c>
      <c r="T10" s="8">
        <f t="shared" si="1"/>
        <v>4247714.9000000004</v>
      </c>
      <c r="U10" s="8">
        <f t="shared" si="2"/>
        <v>13566</v>
      </c>
    </row>
    <row r="11" spans="1:21" x14ac:dyDescent="0.25">
      <c r="A11" s="2" t="s">
        <v>19</v>
      </c>
      <c r="B11" s="7">
        <f t="shared" si="3"/>
        <v>10</v>
      </c>
      <c r="C11" s="7">
        <v>1</v>
      </c>
      <c r="D11" s="7">
        <v>2023</v>
      </c>
      <c r="E11" s="8">
        <f>HOTEL!E13</f>
        <v>24976</v>
      </c>
      <c r="F11" s="11">
        <v>6.25</v>
      </c>
      <c r="G11" s="8">
        <f>HOTEL!CV13</f>
        <v>55596</v>
      </c>
      <c r="H11" s="11">
        <v>76.45</v>
      </c>
      <c r="I11" s="8">
        <f>HOTEL!Z13+HOTEL!AF13</f>
        <v>372</v>
      </c>
      <c r="J11" s="11">
        <f t="shared" si="0"/>
        <v>34</v>
      </c>
      <c r="K11" s="7">
        <f>HOTEL!EP13</f>
        <v>0.63</v>
      </c>
      <c r="L11" s="13"/>
      <c r="N11" s="7">
        <f>HOTEL!AD13</f>
        <v>0</v>
      </c>
      <c r="O11" s="7">
        <f t="shared" si="4"/>
        <v>0</v>
      </c>
      <c r="P11" s="8">
        <f>IFERROR(((((HOTEL!Z13*34))+(N11*2500))/(I11+N11*40)),0)</f>
        <v>34</v>
      </c>
      <c r="Q11" s="7">
        <v>6.21</v>
      </c>
      <c r="R11" s="11">
        <v>67.25</v>
      </c>
      <c r="S11" s="7">
        <v>33.93</v>
      </c>
      <c r="T11" s="8">
        <f>G11*H11</f>
        <v>4250314.2</v>
      </c>
      <c r="U11" s="8">
        <f t="shared" si="2"/>
        <v>12648</v>
      </c>
    </row>
    <row r="12" spans="1:21" x14ac:dyDescent="0.25">
      <c r="A12" s="2" t="s">
        <v>19</v>
      </c>
      <c r="B12" s="7">
        <f t="shared" si="3"/>
        <v>11</v>
      </c>
      <c r="C12" s="7">
        <v>1</v>
      </c>
      <c r="D12" s="7">
        <v>2023</v>
      </c>
      <c r="E12" s="8">
        <f>HOTEL!E14</f>
        <v>27584</v>
      </c>
      <c r="F12" s="11">
        <v>6.25</v>
      </c>
      <c r="G12" s="8">
        <f>HOTEL!CV14</f>
        <v>55637</v>
      </c>
      <c r="H12" s="11">
        <v>76.45</v>
      </c>
      <c r="I12" s="8">
        <f>HOTEL!Z14+HOTEL!AF14</f>
        <v>259</v>
      </c>
      <c r="J12" s="11">
        <f t="shared" si="0"/>
        <v>34</v>
      </c>
      <c r="K12" s="7">
        <f>HOTEL!EP14</f>
        <v>0.61</v>
      </c>
      <c r="L12" s="13"/>
      <c r="N12" s="7">
        <f>HOTEL!AD14</f>
        <v>0</v>
      </c>
      <c r="O12" s="7">
        <f t="shared" si="4"/>
        <v>0</v>
      </c>
      <c r="P12" s="8">
        <f>IFERROR(((((HOTEL!Z14*34))+(N12*2500))/(I12+N12*40)),0)</f>
        <v>34</v>
      </c>
      <c r="Q12" s="7">
        <v>6.21</v>
      </c>
      <c r="R12" s="11">
        <v>67.25</v>
      </c>
      <c r="S12" s="7">
        <v>33.93</v>
      </c>
      <c r="T12" s="8">
        <f>G12*H12</f>
        <v>4253448.6500000004</v>
      </c>
      <c r="U12" s="8">
        <f t="shared" si="2"/>
        <v>8806</v>
      </c>
    </row>
    <row r="13" spans="1:21" x14ac:dyDescent="0.25">
      <c r="A13" s="2" t="s">
        <v>19</v>
      </c>
      <c r="B13" s="7">
        <f t="shared" si="3"/>
        <v>12</v>
      </c>
      <c r="C13" s="7">
        <v>1</v>
      </c>
      <c r="D13" s="7">
        <v>2023</v>
      </c>
      <c r="E13" s="8">
        <f>HOTEL!E15</f>
        <v>28151</v>
      </c>
      <c r="F13" s="11">
        <v>6.25</v>
      </c>
      <c r="G13" s="8">
        <f>HOTEL!CV15</f>
        <v>55670</v>
      </c>
      <c r="H13" s="11">
        <v>76.45</v>
      </c>
      <c r="I13" s="8">
        <f>HOTEL!Z15+HOTEL!AF15</f>
        <v>581</v>
      </c>
      <c r="J13" s="11">
        <f t="shared" si="0"/>
        <v>35.075451647183847</v>
      </c>
      <c r="K13" s="7">
        <f>HOTEL!EP15</f>
        <v>0.8</v>
      </c>
      <c r="L13" s="13"/>
      <c r="N13" s="7">
        <f>HOTEL!AD15</f>
        <v>9</v>
      </c>
      <c r="O13" s="7">
        <f t="shared" si="4"/>
        <v>36000</v>
      </c>
      <c r="P13" s="8">
        <f>IFERROR(((((HOTEL!Z15*34))+(N13*2500))/(I13+N13*40)),0)</f>
        <v>35.075451647183847</v>
      </c>
      <c r="Q13" s="7">
        <v>6.21</v>
      </c>
      <c r="R13" s="11">
        <v>67.25</v>
      </c>
      <c r="S13" s="7">
        <v>33.93</v>
      </c>
      <c r="T13" s="8">
        <f t="shared" si="1"/>
        <v>4255971.5</v>
      </c>
      <c r="U13" s="8">
        <f t="shared" si="2"/>
        <v>20378.837407013816</v>
      </c>
    </row>
    <row r="14" spans="1:21" x14ac:dyDescent="0.25">
      <c r="A14" s="2" t="s">
        <v>19</v>
      </c>
      <c r="B14" s="7">
        <f t="shared" si="3"/>
        <v>13</v>
      </c>
      <c r="C14" s="7">
        <v>1</v>
      </c>
      <c r="D14" s="7">
        <v>2023</v>
      </c>
      <c r="E14" s="8">
        <f>HOTEL!E16</f>
        <v>26038</v>
      </c>
      <c r="F14" s="11">
        <v>6.25</v>
      </c>
      <c r="G14" s="8">
        <f>HOTEL!CV16</f>
        <v>55708</v>
      </c>
      <c r="H14" s="11">
        <v>76.45</v>
      </c>
      <c r="I14" s="8">
        <f>HOTEL!Z16+HOTEL!AF16</f>
        <v>450</v>
      </c>
      <c r="J14" s="11">
        <f t="shared" si="0"/>
        <v>21.457777777777778</v>
      </c>
      <c r="K14" s="7">
        <f>HOTEL!EP16</f>
        <v>0.82</v>
      </c>
      <c r="L14" s="13"/>
      <c r="N14" s="7">
        <f>HOTEL!AD16</f>
        <v>0</v>
      </c>
      <c r="O14" s="7">
        <f t="shared" si="4"/>
        <v>0</v>
      </c>
      <c r="P14" s="8">
        <f>IFERROR(((((HOTEL!Z16*34))+(N14*2500))/(I14+N14*40)),0)</f>
        <v>21.457777777777778</v>
      </c>
      <c r="Q14" s="7">
        <v>6.21</v>
      </c>
      <c r="R14" s="11">
        <v>67.25</v>
      </c>
      <c r="S14" s="7">
        <v>33.93</v>
      </c>
      <c r="T14" s="8">
        <f t="shared" si="1"/>
        <v>4258876.6000000006</v>
      </c>
      <c r="U14" s="8">
        <f t="shared" si="2"/>
        <v>9656</v>
      </c>
    </row>
    <row r="15" spans="1:21" x14ac:dyDescent="0.25">
      <c r="A15" s="2" t="s">
        <v>19</v>
      </c>
      <c r="B15" s="7">
        <f t="shared" si="3"/>
        <v>14</v>
      </c>
      <c r="C15" s="7">
        <v>1</v>
      </c>
      <c r="D15" s="7">
        <v>2023</v>
      </c>
      <c r="E15" s="8">
        <f>HOTEL!E17</f>
        <v>26515</v>
      </c>
      <c r="F15" s="11">
        <v>6.25</v>
      </c>
      <c r="G15" s="8">
        <f>HOTEL!CV17</f>
        <v>55743</v>
      </c>
      <c r="H15" s="11">
        <v>76.45</v>
      </c>
      <c r="I15" s="8">
        <f>HOTEL!Z17+HOTEL!AF17</f>
        <v>247</v>
      </c>
      <c r="J15" s="11">
        <f t="shared" si="0"/>
        <v>34</v>
      </c>
      <c r="K15" s="7">
        <f>HOTEL!EP17</f>
        <v>0.83</v>
      </c>
      <c r="L15" s="13"/>
      <c r="N15" s="7">
        <f>HOTEL!AD17</f>
        <v>0</v>
      </c>
      <c r="O15" s="7">
        <f t="shared" si="4"/>
        <v>0</v>
      </c>
      <c r="P15" s="8">
        <f>IFERROR(((((HOTEL!Z17*34))+(N15*2500))/(I15+N15*40)),0)</f>
        <v>34</v>
      </c>
      <c r="Q15" s="7">
        <v>6.21</v>
      </c>
      <c r="R15" s="11">
        <v>67.25</v>
      </c>
      <c r="S15" s="7">
        <v>33.93</v>
      </c>
      <c r="T15" s="8">
        <f t="shared" si="1"/>
        <v>4261552.3500000006</v>
      </c>
      <c r="U15" s="8">
        <f t="shared" si="2"/>
        <v>8398</v>
      </c>
    </row>
    <row r="16" spans="1:21" x14ac:dyDescent="0.25">
      <c r="A16" s="2" t="s">
        <v>19</v>
      </c>
      <c r="B16" s="7">
        <f t="shared" si="3"/>
        <v>15</v>
      </c>
      <c r="C16" s="7">
        <v>1</v>
      </c>
      <c r="D16" s="7">
        <v>2023</v>
      </c>
      <c r="E16" s="8">
        <f>HOTEL!E18</f>
        <v>27821</v>
      </c>
      <c r="F16" s="11">
        <v>6.25</v>
      </c>
      <c r="G16" s="8">
        <f>HOTEL!CV18</f>
        <v>55779</v>
      </c>
      <c r="H16" s="11">
        <v>76.45</v>
      </c>
      <c r="I16" s="8">
        <f>HOTEL!Z18+HOTEL!AF18</f>
        <v>526</v>
      </c>
      <c r="J16" s="11">
        <f t="shared" si="0"/>
        <v>22.106463878326995</v>
      </c>
      <c r="K16" s="7">
        <f>HOTEL!EP18</f>
        <v>0.8</v>
      </c>
      <c r="L16" s="13"/>
      <c r="N16" s="7">
        <f>HOTEL!AD18</f>
        <v>0</v>
      </c>
      <c r="O16" s="7">
        <f t="shared" si="4"/>
        <v>0</v>
      </c>
      <c r="P16" s="8">
        <f>IFERROR(((((HOTEL!Z18*34))+(N16*2500))/(I16+N16*40)),0)</f>
        <v>22.106463878326995</v>
      </c>
      <c r="Q16" s="7">
        <v>6.21</v>
      </c>
      <c r="R16" s="11">
        <v>67.25</v>
      </c>
      <c r="S16" s="7">
        <v>33.93</v>
      </c>
      <c r="T16" s="8">
        <f t="shared" si="1"/>
        <v>4264304.55</v>
      </c>
      <c r="U16" s="8">
        <f t="shared" si="2"/>
        <v>11628</v>
      </c>
    </row>
    <row r="17" spans="1:21" x14ac:dyDescent="0.25">
      <c r="A17" s="2" t="s">
        <v>19</v>
      </c>
      <c r="B17" s="7">
        <f t="shared" si="3"/>
        <v>16</v>
      </c>
      <c r="C17" s="7">
        <v>1</v>
      </c>
      <c r="D17" s="7">
        <v>2023</v>
      </c>
      <c r="E17" s="8">
        <f>HOTEL!E19</f>
        <v>24759</v>
      </c>
      <c r="F17" s="11">
        <v>6.25</v>
      </c>
      <c r="G17" s="8">
        <f>HOTEL!CV19</f>
        <v>55808</v>
      </c>
      <c r="H17" s="11">
        <v>76.45</v>
      </c>
      <c r="I17" s="8">
        <f>HOTEL!Z19+HOTEL!AF19</f>
        <v>457</v>
      </c>
      <c r="J17" s="11">
        <f t="shared" si="0"/>
        <v>27.750547045951858</v>
      </c>
      <c r="K17" s="7">
        <f>HOTEL!EP19</f>
        <v>0.8</v>
      </c>
      <c r="L17" s="13"/>
      <c r="N17" s="7">
        <f>HOTEL!AD19</f>
        <v>0</v>
      </c>
      <c r="O17" s="7">
        <f t="shared" si="4"/>
        <v>0</v>
      </c>
      <c r="P17" s="8">
        <f>IFERROR(((((HOTEL!Z19*34))+(N17*2500))/(I17+N17*40)),0)</f>
        <v>27.750547045951858</v>
      </c>
      <c r="Q17" s="7">
        <v>6.21</v>
      </c>
      <c r="R17" s="11">
        <v>67.25</v>
      </c>
      <c r="S17" s="7">
        <v>33.93</v>
      </c>
      <c r="T17" s="8">
        <f t="shared" si="1"/>
        <v>4266521.6000000006</v>
      </c>
      <c r="U17" s="8">
        <f t="shared" si="2"/>
        <v>12682</v>
      </c>
    </row>
    <row r="18" spans="1:21" x14ac:dyDescent="0.25">
      <c r="A18" s="2" t="s">
        <v>19</v>
      </c>
      <c r="B18" s="7">
        <f t="shared" si="3"/>
        <v>17</v>
      </c>
      <c r="C18" s="7">
        <v>1</v>
      </c>
      <c r="D18" s="7">
        <v>2023</v>
      </c>
      <c r="E18" s="8">
        <f>HOTEL!E20</f>
        <v>0</v>
      </c>
      <c r="F18" s="11">
        <v>6.25</v>
      </c>
      <c r="G18" s="8">
        <f>HOTEL!CV20</f>
        <v>0</v>
      </c>
      <c r="H18" s="11">
        <v>76.45</v>
      </c>
      <c r="I18" s="8">
        <f>HOTEL!Z20+HOTEL!AF20</f>
        <v>0</v>
      </c>
      <c r="J18" s="11">
        <f t="shared" si="0"/>
        <v>0</v>
      </c>
      <c r="K18" s="7">
        <f>HOTEL!EP20</f>
        <v>0</v>
      </c>
      <c r="L18" s="13"/>
      <c r="N18" s="7">
        <f>HOTEL!AD20</f>
        <v>0</v>
      </c>
      <c r="O18" s="7">
        <f t="shared" si="4"/>
        <v>0</v>
      </c>
      <c r="P18" s="8">
        <f>IFERROR(((((HOTEL!Z20*34))+(N18*2500))/(I18+N18*40)),0)</f>
        <v>0</v>
      </c>
      <c r="Q18" s="7">
        <v>6.21</v>
      </c>
      <c r="R18" s="11">
        <v>67.25</v>
      </c>
      <c r="S18" s="7">
        <v>33.93</v>
      </c>
      <c r="T18" s="8">
        <f t="shared" si="1"/>
        <v>0</v>
      </c>
      <c r="U18" s="8">
        <f t="shared" si="2"/>
        <v>0</v>
      </c>
    </row>
    <row r="19" spans="1:21" x14ac:dyDescent="0.25">
      <c r="A19" s="2" t="s">
        <v>19</v>
      </c>
      <c r="B19" s="7">
        <f t="shared" si="3"/>
        <v>18</v>
      </c>
      <c r="C19" s="7">
        <v>1</v>
      </c>
      <c r="D19" s="7">
        <v>2023</v>
      </c>
      <c r="E19" s="8">
        <f>HOTEL!E21</f>
        <v>0</v>
      </c>
      <c r="F19" s="11">
        <v>6.25</v>
      </c>
      <c r="G19" s="8">
        <f>HOTEL!CV21</f>
        <v>0</v>
      </c>
      <c r="H19" s="11">
        <v>76.45</v>
      </c>
      <c r="I19" s="8">
        <f>HOTEL!Z21+HOTEL!AF21</f>
        <v>0</v>
      </c>
      <c r="J19" s="11">
        <f t="shared" si="0"/>
        <v>0</v>
      </c>
      <c r="K19" s="7">
        <f>HOTEL!EP21</f>
        <v>0</v>
      </c>
      <c r="L19" s="13"/>
      <c r="N19" s="7">
        <f>HOTEL!AD21</f>
        <v>0</v>
      </c>
      <c r="O19" s="7">
        <f t="shared" si="4"/>
        <v>0</v>
      </c>
      <c r="P19" s="8">
        <f>IFERROR(((((HOTEL!Z21*34))+(N19*2500))/(I19+N19*40)),0)</f>
        <v>0</v>
      </c>
      <c r="Q19" s="7">
        <v>6.21</v>
      </c>
      <c r="R19" s="11">
        <v>67.25</v>
      </c>
      <c r="S19" s="7">
        <v>33.93</v>
      </c>
      <c r="T19" s="8">
        <f t="shared" si="1"/>
        <v>0</v>
      </c>
      <c r="U19" s="8">
        <f t="shared" si="2"/>
        <v>0</v>
      </c>
    </row>
    <row r="20" spans="1:21" x14ac:dyDescent="0.25">
      <c r="A20" s="2" t="s">
        <v>19</v>
      </c>
      <c r="B20" s="7">
        <f t="shared" si="3"/>
        <v>19</v>
      </c>
      <c r="C20" s="7">
        <v>1</v>
      </c>
      <c r="D20" s="7">
        <v>2023</v>
      </c>
      <c r="E20" s="8">
        <f>HOTEL!E22</f>
        <v>0</v>
      </c>
      <c r="F20" s="11">
        <v>6.25</v>
      </c>
      <c r="G20" s="8">
        <f>HOTEL!CV22</f>
        <v>0</v>
      </c>
      <c r="H20" s="11">
        <v>76.45</v>
      </c>
      <c r="I20" s="8">
        <f>HOTEL!Z22+HOTEL!AF22</f>
        <v>0</v>
      </c>
      <c r="J20" s="11">
        <f t="shared" si="0"/>
        <v>0</v>
      </c>
      <c r="K20" s="7">
        <f>HOTEL!EP22</f>
        <v>0</v>
      </c>
      <c r="L20" s="13"/>
      <c r="N20" s="7">
        <f>HOTEL!AD22</f>
        <v>0</v>
      </c>
      <c r="O20" s="7">
        <f t="shared" si="4"/>
        <v>0</v>
      </c>
      <c r="P20" s="8">
        <f>IFERROR(((((HOTEL!Z22*34))+(N20*2500))/(I20+N20*40)),0)</f>
        <v>0</v>
      </c>
      <c r="Q20" s="7">
        <v>6.21</v>
      </c>
      <c r="R20" s="11">
        <v>67.25</v>
      </c>
      <c r="S20" s="7">
        <v>33.93</v>
      </c>
      <c r="T20" s="8">
        <f>G20*H20</f>
        <v>0</v>
      </c>
      <c r="U20" s="8">
        <f t="shared" si="2"/>
        <v>0</v>
      </c>
    </row>
    <row r="21" spans="1:21" x14ac:dyDescent="0.25">
      <c r="A21" s="2" t="s">
        <v>19</v>
      </c>
      <c r="B21" s="7">
        <f t="shared" si="3"/>
        <v>20</v>
      </c>
      <c r="C21" s="7">
        <v>1</v>
      </c>
      <c r="D21" s="7">
        <v>2023</v>
      </c>
      <c r="E21" s="8">
        <f>HOTEL!E23</f>
        <v>0</v>
      </c>
      <c r="F21" s="11">
        <v>6.25</v>
      </c>
      <c r="G21" s="8">
        <f>HOTEL!CV23</f>
        <v>0</v>
      </c>
      <c r="H21" s="11">
        <v>76.45</v>
      </c>
      <c r="I21" s="8">
        <f>HOTEL!Z23+HOTEL!AF23</f>
        <v>0</v>
      </c>
      <c r="J21" s="11">
        <f t="shared" si="0"/>
        <v>0</v>
      </c>
      <c r="K21" s="7">
        <f>HOTEL!EP23</f>
        <v>0</v>
      </c>
      <c r="L21" s="13"/>
      <c r="N21" s="7">
        <f>HOTEL!AD23</f>
        <v>0</v>
      </c>
      <c r="O21" s="7">
        <f t="shared" si="4"/>
        <v>0</v>
      </c>
      <c r="P21" s="8">
        <f>IFERROR(((((HOTEL!Z23*34))+(N21*2500))/(I21+N21*40)),0)</f>
        <v>0</v>
      </c>
      <c r="Q21" s="7">
        <v>6.21</v>
      </c>
      <c r="R21" s="11">
        <v>67.25</v>
      </c>
      <c r="S21" s="7">
        <v>33.93</v>
      </c>
      <c r="T21" s="8">
        <f>G21*H21</f>
        <v>0</v>
      </c>
      <c r="U21" s="8">
        <f t="shared" si="2"/>
        <v>0</v>
      </c>
    </row>
    <row r="22" spans="1:21" x14ac:dyDescent="0.25">
      <c r="A22" s="2" t="s">
        <v>19</v>
      </c>
      <c r="B22" s="7">
        <f t="shared" si="3"/>
        <v>21</v>
      </c>
      <c r="C22" s="7">
        <v>1</v>
      </c>
      <c r="D22" s="7">
        <v>2023</v>
      </c>
      <c r="E22" s="8">
        <f>HOTEL!E24</f>
        <v>0</v>
      </c>
      <c r="F22" s="11">
        <v>6.25</v>
      </c>
      <c r="G22" s="8">
        <f>HOTEL!CV24</f>
        <v>0</v>
      </c>
      <c r="H22" s="11">
        <v>76.45</v>
      </c>
      <c r="I22" s="8">
        <f>HOTEL!Z24+HOTEL!AF24</f>
        <v>0</v>
      </c>
      <c r="J22" s="11">
        <f t="shared" si="0"/>
        <v>0</v>
      </c>
      <c r="K22" s="7">
        <f>HOTEL!EP24</f>
        <v>0</v>
      </c>
      <c r="L22" s="13"/>
      <c r="N22" s="7">
        <f>HOTEL!AD24</f>
        <v>0</v>
      </c>
      <c r="O22" s="7">
        <f t="shared" si="4"/>
        <v>0</v>
      </c>
      <c r="P22" s="8">
        <f>IFERROR(((((HOTEL!Z24*34))+(N22*2500))/(I22+N22*40)),0)</f>
        <v>0</v>
      </c>
      <c r="Q22" s="7">
        <v>6.21</v>
      </c>
      <c r="R22" s="11">
        <v>67.25</v>
      </c>
      <c r="S22" s="7">
        <v>33.93</v>
      </c>
      <c r="T22" s="8">
        <f t="shared" ref="T22:T29" si="5">G22*H22</f>
        <v>0</v>
      </c>
      <c r="U22" s="8">
        <f t="shared" si="2"/>
        <v>0</v>
      </c>
    </row>
    <row r="23" spans="1:21" x14ac:dyDescent="0.25">
      <c r="A23" s="2" t="s">
        <v>19</v>
      </c>
      <c r="B23" s="7">
        <f t="shared" si="3"/>
        <v>22</v>
      </c>
      <c r="C23" s="7">
        <v>1</v>
      </c>
      <c r="D23" s="7">
        <v>2023</v>
      </c>
      <c r="E23" s="8">
        <f>HOTEL!E25</f>
        <v>0</v>
      </c>
      <c r="F23" s="11">
        <v>6.25</v>
      </c>
      <c r="G23" s="8">
        <f>HOTEL!CV25</f>
        <v>0</v>
      </c>
      <c r="H23" s="11">
        <v>76.45</v>
      </c>
      <c r="I23" s="8">
        <f>HOTEL!Z25+HOTEL!AF25</f>
        <v>0</v>
      </c>
      <c r="J23" s="11">
        <f t="shared" si="0"/>
        <v>62.5</v>
      </c>
      <c r="K23" s="7">
        <f>HOTEL!EP25</f>
        <v>0</v>
      </c>
      <c r="L23" s="13"/>
      <c r="N23" s="7">
        <f>HOTEL!AD25</f>
        <v>4</v>
      </c>
      <c r="O23" s="7">
        <f t="shared" si="4"/>
        <v>16000</v>
      </c>
      <c r="P23" s="8">
        <f>IFERROR(((((HOTEL!Z25*34))+(N23*2500))/(I23+N23*40)),0)</f>
        <v>62.5</v>
      </c>
      <c r="Q23" s="7">
        <v>6.21</v>
      </c>
      <c r="R23" s="11">
        <v>67.25</v>
      </c>
      <c r="S23" s="7">
        <v>33.93</v>
      </c>
      <c r="T23" s="8">
        <f t="shared" si="5"/>
        <v>0</v>
      </c>
      <c r="U23" s="8">
        <f t="shared" si="2"/>
        <v>0</v>
      </c>
    </row>
    <row r="24" spans="1:21" x14ac:dyDescent="0.25">
      <c r="A24" s="2" t="s">
        <v>19</v>
      </c>
      <c r="B24" s="7">
        <f t="shared" si="3"/>
        <v>23</v>
      </c>
      <c r="C24" s="7">
        <v>1</v>
      </c>
      <c r="D24" s="7">
        <v>2023</v>
      </c>
      <c r="E24" s="8">
        <f>HOTEL!E26</f>
        <v>0</v>
      </c>
      <c r="F24" s="11">
        <v>6.25</v>
      </c>
      <c r="G24" s="8">
        <f>HOTEL!CV26</f>
        <v>0</v>
      </c>
      <c r="H24" s="11">
        <v>76.45</v>
      </c>
      <c r="I24" s="8">
        <f>HOTEL!Z26+HOTEL!AF26</f>
        <v>0</v>
      </c>
      <c r="J24" s="11">
        <f t="shared" si="0"/>
        <v>62.5</v>
      </c>
      <c r="K24" s="7">
        <f>HOTEL!EP26</f>
        <v>0</v>
      </c>
      <c r="L24" s="13"/>
      <c r="N24" s="7">
        <f>HOTEL!AD26</f>
        <v>8</v>
      </c>
      <c r="O24" s="7">
        <f t="shared" si="4"/>
        <v>32000</v>
      </c>
      <c r="P24" s="8">
        <f>IFERROR(((((HOTEL!Z26*34))+(N24*2500))/(I24+N24*40)),0)</f>
        <v>62.5</v>
      </c>
      <c r="Q24" s="7">
        <v>6.21</v>
      </c>
      <c r="R24" s="11">
        <v>67.25</v>
      </c>
      <c r="S24" s="7">
        <v>33.93</v>
      </c>
      <c r="T24" s="8">
        <f t="shared" si="5"/>
        <v>0</v>
      </c>
      <c r="U24" s="8">
        <f t="shared" si="2"/>
        <v>0</v>
      </c>
    </row>
    <row r="25" spans="1:21" x14ac:dyDescent="0.25">
      <c r="A25" s="2" t="s">
        <v>19</v>
      </c>
      <c r="B25" s="7">
        <f t="shared" si="3"/>
        <v>24</v>
      </c>
      <c r="C25" s="7">
        <v>1</v>
      </c>
      <c r="D25" s="7">
        <v>2023</v>
      </c>
      <c r="E25" s="8">
        <f>HOTEL!E27</f>
        <v>0</v>
      </c>
      <c r="F25" s="11">
        <v>6.25</v>
      </c>
      <c r="G25" s="8">
        <f>HOTEL!CV27</f>
        <v>0</v>
      </c>
      <c r="H25" s="11">
        <v>76.45</v>
      </c>
      <c r="I25" s="8">
        <f>HOTEL!Z27+HOTEL!AF27</f>
        <v>0</v>
      </c>
      <c r="J25" s="11">
        <f t="shared" si="0"/>
        <v>0</v>
      </c>
      <c r="K25" s="7">
        <f>HOTEL!EP27</f>
        <v>0</v>
      </c>
      <c r="L25" s="13"/>
      <c r="N25" s="7">
        <f>HOTEL!AD27</f>
        <v>0</v>
      </c>
      <c r="O25" s="7">
        <f t="shared" si="4"/>
        <v>0</v>
      </c>
      <c r="P25" s="8">
        <f>IFERROR(((((HOTEL!Z27*34))+(N25*2500))/(I25+N25*40)),0)</f>
        <v>0</v>
      </c>
      <c r="Q25" s="7">
        <v>6.21</v>
      </c>
      <c r="R25" s="11">
        <v>67.25</v>
      </c>
      <c r="S25" s="7">
        <v>33.93</v>
      </c>
      <c r="T25" s="8">
        <f t="shared" si="5"/>
        <v>0</v>
      </c>
      <c r="U25" s="8">
        <f t="shared" si="2"/>
        <v>0</v>
      </c>
    </row>
    <row r="26" spans="1:21" x14ac:dyDescent="0.25">
      <c r="A26" s="2" t="s">
        <v>19</v>
      </c>
      <c r="B26" s="7">
        <f>B25+1</f>
        <v>25</v>
      </c>
      <c r="C26" s="7">
        <v>1</v>
      </c>
      <c r="D26" s="7">
        <v>2023</v>
      </c>
      <c r="E26" s="8">
        <f>HOTEL!E28</f>
        <v>0</v>
      </c>
      <c r="F26" s="11">
        <v>6.25</v>
      </c>
      <c r="G26" s="8">
        <f>HOTEL!CV28</f>
        <v>0</v>
      </c>
      <c r="H26" s="11">
        <v>76.45</v>
      </c>
      <c r="I26" s="8">
        <f>HOTEL!Z28+HOTEL!AF28</f>
        <v>0</v>
      </c>
      <c r="J26" s="11">
        <f t="shared" si="0"/>
        <v>0</v>
      </c>
      <c r="K26" s="7">
        <f>HOTEL!EP28</f>
        <v>0</v>
      </c>
      <c r="L26" s="13"/>
      <c r="N26" s="7">
        <f>HOTEL!AD28</f>
        <v>0</v>
      </c>
      <c r="O26" s="7">
        <f t="shared" si="4"/>
        <v>0</v>
      </c>
      <c r="P26" s="8">
        <f>IFERROR(((((HOTEL!Z28*34))+(N26*2500))/(I26+N26*40)),0)</f>
        <v>0</v>
      </c>
      <c r="Q26" s="7">
        <v>6.21</v>
      </c>
      <c r="R26" s="11">
        <v>67.25</v>
      </c>
      <c r="S26" s="7">
        <v>33.93</v>
      </c>
      <c r="T26" s="8">
        <f t="shared" si="5"/>
        <v>0</v>
      </c>
      <c r="U26" s="8">
        <f t="shared" si="2"/>
        <v>0</v>
      </c>
    </row>
    <row r="27" spans="1:21" x14ac:dyDescent="0.25">
      <c r="A27" s="2" t="s">
        <v>19</v>
      </c>
      <c r="B27" s="7">
        <f t="shared" si="3"/>
        <v>26</v>
      </c>
      <c r="C27" s="7">
        <v>1</v>
      </c>
      <c r="D27" s="7">
        <v>2023</v>
      </c>
      <c r="E27" s="8">
        <f>HOTEL!E29</f>
        <v>0</v>
      </c>
      <c r="F27" s="11">
        <v>6.25</v>
      </c>
      <c r="G27" s="8">
        <f>HOTEL!CV29</f>
        <v>0</v>
      </c>
      <c r="H27" s="11">
        <v>76.45</v>
      </c>
      <c r="I27" s="8">
        <f>HOTEL!Z29+HOTEL!AF29</f>
        <v>0</v>
      </c>
      <c r="J27" s="11">
        <f t="shared" si="0"/>
        <v>0</v>
      </c>
      <c r="K27" s="7">
        <f>HOTEL!EP29</f>
        <v>0</v>
      </c>
      <c r="L27" s="13"/>
      <c r="N27" s="7">
        <f>HOTEL!AD29</f>
        <v>0</v>
      </c>
      <c r="O27" s="7">
        <f t="shared" si="4"/>
        <v>0</v>
      </c>
      <c r="P27" s="8">
        <f>IFERROR(((((HOTEL!Z29*34))+(N27*2500))/(I27+N27*40)),0)</f>
        <v>0</v>
      </c>
      <c r="Q27" s="7">
        <v>6.21</v>
      </c>
      <c r="R27" s="11">
        <v>67.25</v>
      </c>
      <c r="S27" s="7">
        <v>33.93</v>
      </c>
      <c r="T27" s="8">
        <f t="shared" si="5"/>
        <v>0</v>
      </c>
      <c r="U27" s="8">
        <f t="shared" si="2"/>
        <v>0</v>
      </c>
    </row>
    <row r="28" spans="1:21" x14ac:dyDescent="0.25">
      <c r="A28" s="2" t="s">
        <v>19</v>
      </c>
      <c r="B28" s="7">
        <f t="shared" si="3"/>
        <v>27</v>
      </c>
      <c r="C28" s="7">
        <v>1</v>
      </c>
      <c r="D28" s="7">
        <v>2023</v>
      </c>
      <c r="E28" s="8">
        <f>HOTEL!E30</f>
        <v>0</v>
      </c>
      <c r="F28" s="11">
        <v>6.25</v>
      </c>
      <c r="G28" s="8">
        <f>HOTEL!CV30</f>
        <v>0</v>
      </c>
      <c r="H28" s="11">
        <v>76.45</v>
      </c>
      <c r="I28" s="8">
        <f>HOTEL!Z30+HOTEL!AF30</f>
        <v>0</v>
      </c>
      <c r="J28" s="11">
        <f t="shared" si="0"/>
        <v>0</v>
      </c>
      <c r="K28" s="7">
        <f>HOTEL!EP30</f>
        <v>0</v>
      </c>
      <c r="L28" s="13"/>
      <c r="N28" s="7">
        <f>HOTEL!AD30</f>
        <v>0</v>
      </c>
      <c r="O28" s="7">
        <f t="shared" si="4"/>
        <v>0</v>
      </c>
      <c r="P28" s="8">
        <f>IFERROR(((((HOTEL!Z30*34))+(N28*2500))/(I28+N28*40)),0)</f>
        <v>0</v>
      </c>
      <c r="Q28" s="7">
        <v>6.21</v>
      </c>
      <c r="R28" s="11">
        <v>67.25</v>
      </c>
      <c r="S28" s="7">
        <v>33.93</v>
      </c>
      <c r="T28" s="8">
        <f t="shared" si="5"/>
        <v>0</v>
      </c>
      <c r="U28" s="8">
        <f t="shared" si="2"/>
        <v>0</v>
      </c>
    </row>
    <row r="29" spans="1:21" x14ac:dyDescent="0.25">
      <c r="A29" s="2" t="s">
        <v>19</v>
      </c>
      <c r="B29" s="7">
        <f t="shared" si="3"/>
        <v>28</v>
      </c>
      <c r="C29" s="7">
        <v>1</v>
      </c>
      <c r="D29" s="7">
        <v>2023</v>
      </c>
      <c r="E29" s="8">
        <f>HOTEL!E31</f>
        <v>0</v>
      </c>
      <c r="F29" s="11">
        <v>6.25</v>
      </c>
      <c r="G29" s="8">
        <f>HOTEL!CV31</f>
        <v>0</v>
      </c>
      <c r="H29" s="11">
        <v>76.45</v>
      </c>
      <c r="I29" s="8">
        <f>HOTEL!Z31+HOTEL!AF31</f>
        <v>0</v>
      </c>
      <c r="J29" s="11">
        <f t="shared" si="0"/>
        <v>0</v>
      </c>
      <c r="K29" s="7">
        <f>HOTEL!EP31</f>
        <v>0</v>
      </c>
      <c r="L29" s="13"/>
      <c r="N29" s="7">
        <f>HOTEL!AD31</f>
        <v>0</v>
      </c>
      <c r="O29" s="7">
        <f t="shared" si="4"/>
        <v>0</v>
      </c>
      <c r="P29" s="8">
        <f>IFERROR(((((HOTEL!Z31*34))+(N29*2500))/(I29+N29*40)),0)</f>
        <v>0</v>
      </c>
      <c r="Q29" s="7">
        <v>6.21</v>
      </c>
      <c r="R29" s="11">
        <v>67.25</v>
      </c>
      <c r="S29" s="7">
        <v>33.93</v>
      </c>
      <c r="T29" s="8">
        <f t="shared" si="5"/>
        <v>0</v>
      </c>
      <c r="U29" s="8">
        <f t="shared" si="2"/>
        <v>0</v>
      </c>
    </row>
    <row r="30" spans="1:21" x14ac:dyDescent="0.25">
      <c r="A30" s="2" t="s">
        <v>19</v>
      </c>
      <c r="B30" s="7">
        <f t="shared" si="3"/>
        <v>29</v>
      </c>
      <c r="C30" s="7">
        <v>1</v>
      </c>
      <c r="D30" s="7">
        <v>2023</v>
      </c>
      <c r="E30" s="8">
        <f>HOTEL!E32</f>
        <v>0</v>
      </c>
      <c r="F30" s="11">
        <v>6.25</v>
      </c>
      <c r="G30" s="8">
        <f>HOTEL!CV32</f>
        <v>0</v>
      </c>
      <c r="H30" s="11">
        <v>76.45</v>
      </c>
      <c r="I30" s="8">
        <f>HOTEL!Z32+HOTEL!AF32</f>
        <v>3220</v>
      </c>
      <c r="J30" s="11">
        <f>P30</f>
        <v>0</v>
      </c>
      <c r="K30" s="7">
        <f>HOTEL!EP32</f>
        <v>0.72</v>
      </c>
      <c r="L30" s="13"/>
      <c r="N30" s="7">
        <f>HOTEL!AD32</f>
        <v>0</v>
      </c>
      <c r="O30" s="7">
        <f>N30*4000</f>
        <v>0</v>
      </c>
      <c r="P30" s="8">
        <f>IFERROR(((((HOTEL!Z32*34))+(N30*2500))/(I30+N30*40)),0)</f>
        <v>0</v>
      </c>
      <c r="Q30" s="7">
        <v>6.21</v>
      </c>
      <c r="R30" s="11">
        <v>67.25</v>
      </c>
      <c r="S30" s="7">
        <v>34.93</v>
      </c>
      <c r="T30" s="8">
        <f>G30*H30</f>
        <v>0</v>
      </c>
      <c r="U30" s="8">
        <f>I30*P30</f>
        <v>0</v>
      </c>
    </row>
    <row r="31" spans="1:21" x14ac:dyDescent="0.25">
      <c r="A31" s="2" t="s">
        <v>19</v>
      </c>
      <c r="B31" s="7">
        <f t="shared" si="3"/>
        <v>30</v>
      </c>
      <c r="C31" s="7">
        <v>1</v>
      </c>
      <c r="D31" s="7">
        <v>2023</v>
      </c>
      <c r="E31" s="8">
        <f>HOTEL!E33</f>
        <v>0</v>
      </c>
      <c r="F31" s="11">
        <v>6.25</v>
      </c>
      <c r="G31" s="8">
        <f>HOTEL!CV33</f>
        <v>0</v>
      </c>
      <c r="H31" s="11">
        <v>76.45</v>
      </c>
      <c r="I31" s="8">
        <f>HOTEL!Z33+HOTEL!AF33</f>
        <v>269</v>
      </c>
      <c r="J31" s="11">
        <f>P31</f>
        <v>33.955857385398978</v>
      </c>
      <c r="K31" s="7">
        <f>HOTEL!EP33</f>
        <v>0.73799999999999999</v>
      </c>
      <c r="L31" s="13"/>
      <c r="N31" s="7">
        <f>HOTEL!AD33</f>
        <v>8</v>
      </c>
      <c r="O31" s="7">
        <f>N31*4000</f>
        <v>32000</v>
      </c>
      <c r="P31" s="8">
        <f>IFERROR(((((HOTEL!Z33*34))+(N31*2500))/(I31+N31*40)),0)</f>
        <v>33.955857385398978</v>
      </c>
      <c r="Q31" s="7">
        <v>6.21</v>
      </c>
      <c r="R31" s="11">
        <v>67.25</v>
      </c>
      <c r="S31" s="7">
        <v>35.93</v>
      </c>
      <c r="T31" s="8">
        <f>G31*H31</f>
        <v>0</v>
      </c>
      <c r="U31" s="8">
        <f>I31*P31</f>
        <v>9134.1256366723246</v>
      </c>
    </row>
    <row r="32" spans="1:21" x14ac:dyDescent="0.25">
      <c r="A32" s="2" t="s">
        <v>19</v>
      </c>
      <c r="B32" s="7">
        <f t="shared" si="3"/>
        <v>31</v>
      </c>
      <c r="C32" s="7">
        <v>1</v>
      </c>
      <c r="D32" s="7">
        <v>2023</v>
      </c>
      <c r="E32" s="8">
        <f>HOTEL!E34</f>
        <v>0</v>
      </c>
      <c r="F32" s="11">
        <v>6.25</v>
      </c>
      <c r="G32" s="8">
        <f>HOTEL!CV34</f>
        <v>0</v>
      </c>
      <c r="H32" s="11">
        <v>76.45</v>
      </c>
      <c r="I32" s="8">
        <f>HOTEL!Z34+HOTEL!AF34</f>
        <v>67</v>
      </c>
      <c r="J32" s="11">
        <f>P32</f>
        <v>34.013605442176868</v>
      </c>
      <c r="K32" s="7">
        <f>HOTEL!EP34</f>
        <v>0.77</v>
      </c>
      <c r="L32" s="13"/>
      <c r="N32" s="7">
        <f>HOTEL!AD34</f>
        <v>2</v>
      </c>
      <c r="O32" s="7">
        <f>N32*4000</f>
        <v>8000</v>
      </c>
      <c r="P32" s="8">
        <f>IFERROR(((((HOTEL!Z34*34))+(N32*2500))/(I32+N32*40)),0)</f>
        <v>34.013605442176868</v>
      </c>
      <c r="Q32" s="7">
        <v>6.21</v>
      </c>
      <c r="R32" s="11">
        <v>67.25</v>
      </c>
      <c r="S32" s="7">
        <v>35.93</v>
      </c>
      <c r="T32" s="8">
        <f>G32*H32</f>
        <v>0</v>
      </c>
      <c r="U32" s="8">
        <f>I32*P32</f>
        <v>2278.9115646258501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G11" sqref="G11"/>
    </sheetView>
  </sheetViews>
  <sheetFormatPr defaultRowHeight="12.5" x14ac:dyDescent="0.25"/>
  <cols>
    <col min="1" max="1" width="22" customWidth="1"/>
    <col min="2" max="3" width="11.54296875" style="7" customWidth="1"/>
    <col min="4" max="4" width="13.453125" style="7" customWidth="1"/>
    <col min="5" max="5" width="11.7265625" style="7" bestFit="1" customWidth="1"/>
    <col min="6" max="6" width="13.7265625" style="7" bestFit="1" customWidth="1"/>
    <col min="7" max="11" width="13.7265625" style="7" customWidth="1"/>
    <col min="12" max="20" width="9.26953125" style="7" customWidth="1"/>
    <col min="21" max="21" width="12.453125" style="7" bestFit="1" customWidth="1"/>
    <col min="22" max="38" width="9.26953125" style="7" customWidth="1"/>
  </cols>
  <sheetData>
    <row r="1" spans="1:38" s="1" customFormat="1" ht="39" x14ac:dyDescent="0.3">
      <c r="A1" s="4" t="s">
        <v>0</v>
      </c>
      <c r="B1" s="5" t="s">
        <v>1</v>
      </c>
      <c r="C1" s="9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4.5" x14ac:dyDescent="0.35">
      <c r="A2" s="2" t="s">
        <v>19</v>
      </c>
      <c r="B2" s="7">
        <f>TOTAL!B2</f>
        <v>1</v>
      </c>
      <c r="C2" s="19">
        <v>3</v>
      </c>
      <c r="D2" s="7">
        <v>2023</v>
      </c>
      <c r="E2" s="7">
        <f>TOTAL!E2</f>
        <v>26115</v>
      </c>
      <c r="F2" s="7">
        <f>HOTEL!V4</f>
        <v>598</v>
      </c>
      <c r="G2" s="7">
        <f>HOTEL!X4</f>
        <v>480</v>
      </c>
      <c r="H2" s="8">
        <f>HOTEL!EI4</f>
        <v>0</v>
      </c>
      <c r="I2" s="8">
        <f>HOTEL!EK4</f>
        <v>0</v>
      </c>
      <c r="J2" s="8">
        <f>HOTEL!EM4</f>
        <v>0</v>
      </c>
      <c r="K2" s="8">
        <f>HOTEL!EO4</f>
        <v>171</v>
      </c>
      <c r="L2" s="7">
        <f t="shared" ref="L2:L7" si="0">N2+W2+X2</f>
        <v>78</v>
      </c>
      <c r="M2" s="7">
        <f>HOTEL!AL4</f>
        <v>7</v>
      </c>
      <c r="N2" s="7">
        <f>HOTEL!AT4</f>
        <v>28</v>
      </c>
      <c r="O2" s="7">
        <f>HOTEL!AX4</f>
        <v>2</v>
      </c>
      <c r="P2" s="7">
        <f>HOTEL!AZ4</f>
        <v>2</v>
      </c>
      <c r="Q2" s="7">
        <f>HOTEL!BB4</f>
        <v>8</v>
      </c>
      <c r="R2" s="7">
        <f>HOTEL!BD4</f>
        <v>3</v>
      </c>
      <c r="S2" s="7">
        <f>HOTEL!BF4</f>
        <v>2</v>
      </c>
      <c r="T2" s="7">
        <f>HOTEL!BH4</f>
        <v>3</v>
      </c>
      <c r="U2" s="7">
        <f>HOTEL!BJ4</f>
        <v>1</v>
      </c>
      <c r="V2" s="7">
        <f>HOTEL!BL4</f>
        <v>4</v>
      </c>
      <c r="W2" s="7">
        <f>HOTEL!BX4</f>
        <v>0</v>
      </c>
      <c r="X2" s="7">
        <f>HOTEL!CE4</f>
        <v>50</v>
      </c>
      <c r="Y2" s="7">
        <f>HOTEL!CZ4</f>
        <v>3</v>
      </c>
      <c r="Z2" s="7">
        <f>HOTEL!DC3</f>
        <v>11</v>
      </c>
      <c r="AA2" s="7">
        <f>HOTEL!DF4</f>
        <v>89</v>
      </c>
      <c r="AB2" s="8">
        <f>HOTEL!DI4</f>
        <v>10</v>
      </c>
      <c r="AC2" s="7">
        <f>HOTEL!DL4</f>
        <v>7</v>
      </c>
      <c r="AD2" s="8">
        <f>HOTEL!DO4</f>
        <v>6</v>
      </c>
      <c r="AE2" s="7">
        <f>HOTEL!DR4</f>
        <v>1</v>
      </c>
      <c r="AF2" s="7">
        <f>HOTEL!DU4</f>
        <v>9</v>
      </c>
      <c r="AG2" s="7">
        <f>HOTEL!DX4</f>
        <v>6</v>
      </c>
      <c r="AH2" s="7">
        <f>HOTEL!EA4</f>
        <v>7</v>
      </c>
      <c r="AI2" s="7">
        <f>HOTEL!ED4</f>
        <v>9</v>
      </c>
      <c r="AJ2" s="7">
        <f>HOTEL!EG4</f>
        <v>0</v>
      </c>
      <c r="AK2" s="7">
        <f>TOTAL!K2</f>
        <v>0.76600000000000001</v>
      </c>
    </row>
    <row r="3" spans="1:38" ht="14.5" x14ac:dyDescent="0.35">
      <c r="A3" s="2" t="s">
        <v>19</v>
      </c>
      <c r="B3" s="7">
        <f>TOTAL!B3</f>
        <v>2</v>
      </c>
      <c r="C3" s="19">
        <v>3</v>
      </c>
      <c r="D3" s="7">
        <v>2023</v>
      </c>
      <c r="E3" s="7">
        <f>TOTAL!E3</f>
        <v>28694</v>
      </c>
      <c r="F3" s="7">
        <f>HOTEL!V5</f>
        <v>621</v>
      </c>
      <c r="G3" s="7">
        <f>HOTEL!X5</f>
        <v>539</v>
      </c>
      <c r="H3" s="8">
        <f>HOTEL!EI5</f>
        <v>0</v>
      </c>
      <c r="I3" s="8">
        <f>HOTEL!EK5</f>
        <v>0</v>
      </c>
      <c r="J3" s="8">
        <f>HOTEL!EM5</f>
        <v>0</v>
      </c>
      <c r="K3" s="8">
        <f>HOTEL!EO5</f>
        <v>114</v>
      </c>
      <c r="L3" s="7">
        <f t="shared" si="0"/>
        <v>86</v>
      </c>
      <c r="M3" s="7">
        <f>HOTEL!AL5</f>
        <v>14</v>
      </c>
      <c r="N3" s="7">
        <f>HOTEL!AT5</f>
        <v>24</v>
      </c>
      <c r="O3" s="7">
        <f>HOTEL!AX5</f>
        <v>2</v>
      </c>
      <c r="P3" s="7">
        <f>HOTEL!AZ5</f>
        <v>3</v>
      </c>
      <c r="Q3" s="7">
        <f>HOTEL!BB5</f>
        <v>9</v>
      </c>
      <c r="R3" s="7">
        <f>HOTEL!BD5</f>
        <v>4</v>
      </c>
      <c r="S3" s="7">
        <f>HOTEL!BF5</f>
        <v>2</v>
      </c>
      <c r="T3" s="7">
        <f>HOTEL!BH5</f>
        <v>2</v>
      </c>
      <c r="U3" s="7">
        <f>HOTEL!BJ5</f>
        <v>1</v>
      </c>
      <c r="V3" s="7">
        <f>HOTEL!BL5</f>
        <v>4</v>
      </c>
      <c r="W3" s="7">
        <f>HOTEL!BX5</f>
        <v>0</v>
      </c>
      <c r="X3" s="7">
        <f>HOTEL!CE5</f>
        <v>62</v>
      </c>
      <c r="Y3" s="7">
        <f>HOTEL!CZ5</f>
        <v>3</v>
      </c>
      <c r="Z3" s="7">
        <f>HOTEL!DC4</f>
        <v>12</v>
      </c>
      <c r="AA3" s="7">
        <f>HOTEL!DF5</f>
        <v>104</v>
      </c>
      <c r="AB3" s="8">
        <f>HOTEL!DI5</f>
        <v>15</v>
      </c>
      <c r="AC3" s="7">
        <f>HOTEL!DL5</f>
        <v>8</v>
      </c>
      <c r="AD3" s="8">
        <f>HOTEL!DO5</f>
        <v>6</v>
      </c>
      <c r="AE3" s="7">
        <f>HOTEL!DR5</f>
        <v>2</v>
      </c>
      <c r="AF3" s="7">
        <f>HOTEL!DU5</f>
        <v>10</v>
      </c>
      <c r="AG3" s="7">
        <f>HOTEL!DX5</f>
        <v>7</v>
      </c>
      <c r="AH3" s="7">
        <f>HOTEL!EA5</f>
        <v>9</v>
      </c>
      <c r="AI3" s="7">
        <f>HOTEL!ED5</f>
        <v>10</v>
      </c>
      <c r="AJ3" s="7">
        <f>HOTEL!EG5</f>
        <v>0</v>
      </c>
      <c r="AK3" s="7">
        <f>TOTAL!K3</f>
        <v>0.63300000000000001</v>
      </c>
    </row>
    <row r="4" spans="1:38" ht="14.5" x14ac:dyDescent="0.35">
      <c r="A4" s="2" t="s">
        <v>19</v>
      </c>
      <c r="B4" s="7">
        <f>TOTAL!B4</f>
        <v>3</v>
      </c>
      <c r="C4" s="19">
        <v>3</v>
      </c>
      <c r="D4" s="7">
        <v>2023</v>
      </c>
      <c r="E4" s="7">
        <f>TOTAL!E4</f>
        <v>28493</v>
      </c>
      <c r="F4" s="7">
        <f>HOTEL!V6</f>
        <v>943</v>
      </c>
      <c r="G4" s="7">
        <f>HOTEL!X6</f>
        <v>455</v>
      </c>
      <c r="H4" s="8">
        <f>HOTEL!EI6</f>
        <v>0</v>
      </c>
      <c r="I4" s="8">
        <f>HOTEL!EK6</f>
        <v>0</v>
      </c>
      <c r="J4" s="8">
        <f>HOTEL!EM6</f>
        <v>0</v>
      </c>
      <c r="K4" s="8">
        <f>HOTEL!EO6</f>
        <v>218</v>
      </c>
      <c r="L4" s="7">
        <f t="shared" si="0"/>
        <v>67</v>
      </c>
      <c r="M4" s="7">
        <f>HOTEL!AL6</f>
        <v>7</v>
      </c>
      <c r="N4" s="7">
        <f>HOTEL!AT6</f>
        <v>22</v>
      </c>
      <c r="O4" s="7">
        <f>HOTEL!AX6</f>
        <v>1</v>
      </c>
      <c r="P4" s="7">
        <f>HOTEL!AZ6</f>
        <v>0</v>
      </c>
      <c r="Q4" s="7">
        <f>HOTEL!BB6</f>
        <v>8</v>
      </c>
      <c r="R4" s="7">
        <f>HOTEL!BD6</f>
        <v>3</v>
      </c>
      <c r="S4" s="7">
        <f>HOTEL!BF6</f>
        <v>2</v>
      </c>
      <c r="T4" s="7">
        <f>HOTEL!BH6</f>
        <v>3</v>
      </c>
      <c r="U4" s="7">
        <f>HOTEL!BJ6</f>
        <v>1</v>
      </c>
      <c r="V4" s="7">
        <f>HOTEL!BL6</f>
        <v>2</v>
      </c>
      <c r="W4" s="7">
        <f>HOTEL!BX6</f>
        <v>0</v>
      </c>
      <c r="X4" s="7">
        <f>HOTEL!CE6</f>
        <v>45</v>
      </c>
      <c r="Y4" s="7">
        <f>HOTEL!CZ6</f>
        <v>2</v>
      </c>
      <c r="Z4" s="7">
        <f>HOTEL!DC5</f>
        <v>14</v>
      </c>
      <c r="AA4" s="7">
        <f>HOTEL!DF6</f>
        <v>81</v>
      </c>
      <c r="AB4" s="8">
        <f>HOTEL!DI6</f>
        <v>9</v>
      </c>
      <c r="AC4" s="7">
        <f>HOTEL!DL6</f>
        <v>13</v>
      </c>
      <c r="AD4" s="8">
        <f>HOTEL!DO6</f>
        <v>6</v>
      </c>
      <c r="AE4" s="7">
        <f>HOTEL!DR6</f>
        <v>2</v>
      </c>
      <c r="AF4" s="7">
        <f>HOTEL!DU6</f>
        <v>9</v>
      </c>
      <c r="AG4" s="7">
        <f>HOTEL!DX6</f>
        <v>7</v>
      </c>
      <c r="AH4" s="7">
        <f>HOTEL!EA6</f>
        <v>8</v>
      </c>
      <c r="AI4" s="7">
        <f>HOTEL!ED6</f>
        <v>10</v>
      </c>
      <c r="AJ4" s="7">
        <f>HOTEL!EG6</f>
        <v>0</v>
      </c>
      <c r="AK4" s="7">
        <f>TOTAL!K4</f>
        <v>0.81</v>
      </c>
    </row>
    <row r="5" spans="1:38" ht="14.5" x14ac:dyDescent="0.35">
      <c r="A5" s="2" t="s">
        <v>19</v>
      </c>
      <c r="B5" s="7">
        <f>TOTAL!B5</f>
        <v>4</v>
      </c>
      <c r="C5" s="19">
        <v>3</v>
      </c>
      <c r="D5" s="7">
        <v>2023</v>
      </c>
      <c r="E5" s="7">
        <f>TOTAL!E5</f>
        <v>25885</v>
      </c>
      <c r="F5" s="7">
        <f>HOTEL!V7</f>
        <v>654</v>
      </c>
      <c r="G5" s="7">
        <f>HOTEL!X7</f>
        <v>499</v>
      </c>
      <c r="H5" s="8">
        <f>HOTEL!EI7</f>
        <v>0</v>
      </c>
      <c r="I5" s="8">
        <f>HOTEL!EK7</f>
        <v>0</v>
      </c>
      <c r="J5" s="8">
        <f>HOTEL!EM7</f>
        <v>0</v>
      </c>
      <c r="K5" s="8">
        <f>HOTEL!EO7</f>
        <v>262</v>
      </c>
      <c r="L5" s="7">
        <f t="shared" si="0"/>
        <v>80</v>
      </c>
      <c r="M5" s="7">
        <f>HOTEL!AL7</f>
        <v>8</v>
      </c>
      <c r="N5" s="7">
        <f>HOTEL!AT7</f>
        <v>22</v>
      </c>
      <c r="O5" s="7">
        <f>HOTEL!AX7</f>
        <v>3</v>
      </c>
      <c r="P5" s="7">
        <f>HOTEL!AZ7</f>
        <v>2</v>
      </c>
      <c r="Q5" s="7">
        <f>HOTEL!BB7</f>
        <v>8</v>
      </c>
      <c r="R5" s="7">
        <f>HOTEL!BD7</f>
        <v>5</v>
      </c>
      <c r="S5" s="7">
        <f>HOTEL!BF7</f>
        <v>2</v>
      </c>
      <c r="T5" s="7">
        <f>HOTEL!BH7</f>
        <v>3</v>
      </c>
      <c r="U5" s="7">
        <f>HOTEL!BJ7</f>
        <v>2</v>
      </c>
      <c r="V5" s="7">
        <f>HOTEL!BL7</f>
        <v>4</v>
      </c>
      <c r="W5" s="7">
        <f>HOTEL!BX7</f>
        <v>0</v>
      </c>
      <c r="X5" s="7">
        <f>HOTEL!CE7</f>
        <v>58</v>
      </c>
      <c r="Y5" s="7">
        <f>HOTEL!CZ7</f>
        <v>3</v>
      </c>
      <c r="Z5" s="7">
        <f>HOTEL!DC6</f>
        <v>12</v>
      </c>
      <c r="AA5" s="7">
        <f>HOTEL!DF7</f>
        <v>93</v>
      </c>
      <c r="AB5" s="8">
        <f>HOTEL!DI7</f>
        <v>11</v>
      </c>
      <c r="AC5" s="7">
        <f>HOTEL!DL7</f>
        <v>1</v>
      </c>
      <c r="AD5" s="8">
        <f>HOTEL!DO7</f>
        <v>6</v>
      </c>
      <c r="AE5" s="7">
        <f>HOTEL!DR7</f>
        <v>1</v>
      </c>
      <c r="AF5" s="7">
        <f>HOTEL!DU7</f>
        <v>8</v>
      </c>
      <c r="AG5" s="7">
        <f>HOTEL!DX7</f>
        <v>4</v>
      </c>
      <c r="AH5" s="7">
        <f>HOTEL!EA7</f>
        <v>7</v>
      </c>
      <c r="AI5" s="7">
        <f>HOTEL!ED7</f>
        <v>9</v>
      </c>
      <c r="AJ5" s="7">
        <f>HOTEL!EG7</f>
        <v>0</v>
      </c>
      <c r="AK5" s="7">
        <f>TOTAL!K5</f>
        <v>0.93</v>
      </c>
    </row>
    <row r="6" spans="1:38" ht="14.5" x14ac:dyDescent="0.35">
      <c r="A6" s="2" t="s">
        <v>19</v>
      </c>
      <c r="B6" s="7">
        <f>TOTAL!B6</f>
        <v>5</v>
      </c>
      <c r="C6" s="19">
        <v>3</v>
      </c>
      <c r="D6" s="7">
        <v>2023</v>
      </c>
      <c r="E6" s="7">
        <f>TOTAL!E6</f>
        <v>27430</v>
      </c>
      <c r="F6" s="7">
        <f>HOTEL!V8</f>
        <v>1030</v>
      </c>
      <c r="G6" s="7">
        <f>HOTEL!X8</f>
        <v>569</v>
      </c>
      <c r="H6" s="8">
        <f>HOTEL!EI8</f>
        <v>0</v>
      </c>
      <c r="I6" s="8">
        <f>HOTEL!EK8</f>
        <v>0</v>
      </c>
      <c r="J6" s="8">
        <f>HOTEL!EM8</f>
        <v>0</v>
      </c>
      <c r="K6" s="8">
        <f>HOTEL!EO8</f>
        <v>261</v>
      </c>
      <c r="L6" s="7">
        <f t="shared" si="0"/>
        <v>98</v>
      </c>
      <c r="M6" s="7">
        <f>HOTEL!AL8</f>
        <v>0</v>
      </c>
      <c r="N6" s="7">
        <f>HOTEL!AT8</f>
        <v>27</v>
      </c>
      <c r="O6" s="7">
        <f>HOTEL!AX8</f>
        <v>3</v>
      </c>
      <c r="P6" s="7">
        <f>HOTEL!AZ8</f>
        <v>2</v>
      </c>
      <c r="Q6" s="7">
        <f>HOTEL!BB8</f>
        <v>5</v>
      </c>
      <c r="R6" s="7">
        <f>HOTEL!BD8</f>
        <v>6</v>
      </c>
      <c r="S6" s="7">
        <f>HOTEL!BF8</f>
        <v>3</v>
      </c>
      <c r="T6" s="7">
        <f>HOTEL!BH8</f>
        <v>3</v>
      </c>
      <c r="U6" s="7">
        <f>HOTEL!BJ8</f>
        <v>0</v>
      </c>
      <c r="V6" s="7">
        <f>HOTEL!BL8</f>
        <v>2</v>
      </c>
      <c r="W6" s="7">
        <f>HOTEL!BX8</f>
        <v>0</v>
      </c>
      <c r="X6" s="7">
        <f>HOTEL!CE8</f>
        <v>71</v>
      </c>
      <c r="Y6" s="7">
        <f>HOTEL!CZ8</f>
        <v>0</v>
      </c>
      <c r="Z6" s="7">
        <f>HOTEL!DC7</f>
        <v>17</v>
      </c>
      <c r="AA6" s="7">
        <f>HOTEL!DF8</f>
        <v>97</v>
      </c>
      <c r="AB6" s="8">
        <f>HOTEL!DI8</f>
        <v>17</v>
      </c>
      <c r="AC6" s="7">
        <f>HOTEL!DL8</f>
        <v>1</v>
      </c>
      <c r="AD6" s="8">
        <f>HOTEL!DO8</f>
        <v>4</v>
      </c>
      <c r="AE6" s="7">
        <f>HOTEL!DR8</f>
        <v>1</v>
      </c>
      <c r="AF6" s="7">
        <f>HOTEL!DU8</f>
        <v>10</v>
      </c>
      <c r="AG6" s="7">
        <f>HOTEL!DX8</f>
        <v>7</v>
      </c>
      <c r="AH6" s="7">
        <f>HOTEL!EA8</f>
        <v>8</v>
      </c>
      <c r="AI6" s="7">
        <f>HOTEL!ED8</f>
        <v>9</v>
      </c>
      <c r="AJ6" s="7">
        <f>HOTEL!EG8</f>
        <v>0</v>
      </c>
      <c r="AK6" s="7">
        <f>TOTAL!K6</f>
        <v>0.95</v>
      </c>
    </row>
    <row r="7" spans="1:38" ht="14.5" x14ac:dyDescent="0.35">
      <c r="A7" s="2" t="s">
        <v>19</v>
      </c>
      <c r="B7" s="7">
        <f>TOTAL!B7</f>
        <v>6</v>
      </c>
      <c r="C7" s="19">
        <v>3</v>
      </c>
      <c r="D7" s="7">
        <v>2023</v>
      </c>
      <c r="E7" s="7">
        <f>TOTAL!E7</f>
        <v>23664</v>
      </c>
      <c r="F7" s="7">
        <f>HOTEL!V9</f>
        <v>590</v>
      </c>
      <c r="G7" s="7">
        <f>HOTEL!X9</f>
        <v>541</v>
      </c>
      <c r="H7" s="8">
        <f>HOTEL!EI9</f>
        <v>0</v>
      </c>
      <c r="I7" s="8">
        <f>HOTEL!EK9</f>
        <v>0</v>
      </c>
      <c r="J7" s="8">
        <f>HOTEL!EM9</f>
        <v>0</v>
      </c>
      <c r="K7" s="8">
        <f>HOTEL!EO9</f>
        <v>247</v>
      </c>
      <c r="L7" s="7">
        <f t="shared" si="0"/>
        <v>85</v>
      </c>
      <c r="M7" s="7">
        <f>HOTEL!AL9</f>
        <v>0</v>
      </c>
      <c r="N7" s="7">
        <f>HOTEL!AT9</f>
        <v>34</v>
      </c>
      <c r="O7" s="7">
        <f>HOTEL!AX9</f>
        <v>4</v>
      </c>
      <c r="P7" s="7">
        <f>HOTEL!AZ9</f>
        <v>1</v>
      </c>
      <c r="Q7" s="7">
        <f>HOTEL!BB9</f>
        <v>7</v>
      </c>
      <c r="R7" s="7">
        <f>HOTEL!BD9</f>
        <v>4</v>
      </c>
      <c r="S7" s="7">
        <f>HOTEL!BF9</f>
        <v>2</v>
      </c>
      <c r="T7" s="7">
        <f>HOTEL!BH9</f>
        <v>4</v>
      </c>
      <c r="U7" s="7">
        <f>HOTEL!BJ9</f>
        <v>1</v>
      </c>
      <c r="V7" s="7">
        <f>HOTEL!BL9</f>
        <v>5</v>
      </c>
      <c r="W7" s="7">
        <f>HOTEL!BX9</f>
        <v>0</v>
      </c>
      <c r="X7" s="7">
        <f>HOTEL!CE9</f>
        <v>51</v>
      </c>
      <c r="Y7" s="7">
        <f>HOTEL!CZ9</f>
        <v>0</v>
      </c>
      <c r="Z7" s="7">
        <f>HOTEL!DC8</f>
        <v>14</v>
      </c>
      <c r="AA7" s="7">
        <f>HOTEL!DF9</f>
        <v>71</v>
      </c>
      <c r="AB7" s="8">
        <f>HOTEL!DI9</f>
        <v>9</v>
      </c>
      <c r="AC7" s="7">
        <f>HOTEL!DL9</f>
        <v>4</v>
      </c>
      <c r="AD7" s="8">
        <f>HOTEL!DO9</f>
        <v>7</v>
      </c>
      <c r="AE7" s="7">
        <f>HOTEL!DR9</f>
        <v>2</v>
      </c>
      <c r="AF7" s="7">
        <f>HOTEL!DU9</f>
        <v>11</v>
      </c>
      <c r="AG7" s="7">
        <f>HOTEL!DX9</f>
        <v>7</v>
      </c>
      <c r="AH7" s="7">
        <f>HOTEL!EA9</f>
        <v>8</v>
      </c>
      <c r="AI7" s="7">
        <f>HOTEL!ED9</f>
        <v>10</v>
      </c>
      <c r="AJ7" s="7">
        <f>HOTEL!EG9</f>
        <v>0</v>
      </c>
      <c r="AK7" s="7">
        <f>TOTAL!K7</f>
        <v>0.83</v>
      </c>
    </row>
    <row r="8" spans="1:38" ht="14.5" x14ac:dyDescent="0.35">
      <c r="A8" s="2" t="s">
        <v>19</v>
      </c>
      <c r="B8" s="7">
        <f>TOTAL!B8</f>
        <v>7</v>
      </c>
      <c r="C8" s="19">
        <v>3</v>
      </c>
      <c r="D8" s="7">
        <v>2023</v>
      </c>
      <c r="E8" s="7">
        <f>TOTAL!E8</f>
        <v>25687</v>
      </c>
      <c r="F8" s="7">
        <f>HOTEL!V10</f>
        <v>656</v>
      </c>
      <c r="G8" s="7">
        <f>HOTEL!X10</f>
        <v>529</v>
      </c>
      <c r="H8" s="8">
        <f>HOTEL!EI10</f>
        <v>0</v>
      </c>
      <c r="I8" s="8">
        <f>HOTEL!EK10</f>
        <v>0</v>
      </c>
      <c r="J8" s="8">
        <f>HOTEL!EM10</f>
        <v>0</v>
      </c>
      <c r="K8" s="8">
        <f>HOTEL!EO10</f>
        <v>242</v>
      </c>
      <c r="L8" s="7">
        <f>N8+W8+X8</f>
        <v>81</v>
      </c>
      <c r="M8" s="7">
        <f>HOTEL!AL10</f>
        <v>13</v>
      </c>
      <c r="N8" s="7">
        <f>HOTEL!AT10</f>
        <v>24</v>
      </c>
      <c r="O8" s="7">
        <f>HOTEL!AX10</f>
        <v>2</v>
      </c>
      <c r="P8" s="7">
        <f>HOTEL!AZ10</f>
        <v>1</v>
      </c>
      <c r="Q8" s="7">
        <f>HOTEL!BB10</f>
        <v>6</v>
      </c>
      <c r="R8" s="7">
        <f>HOTEL!BD10</f>
        <v>3</v>
      </c>
      <c r="S8" s="7">
        <f>HOTEL!BF10</f>
        <v>2</v>
      </c>
      <c r="T8" s="7">
        <f>HOTEL!BH10</f>
        <v>4</v>
      </c>
      <c r="U8" s="7">
        <f>HOTEL!BJ10</f>
        <v>2</v>
      </c>
      <c r="V8" s="7">
        <f>HOTEL!BL10</f>
        <v>3</v>
      </c>
      <c r="W8" s="7">
        <f>HOTEL!BX10</f>
        <v>0</v>
      </c>
      <c r="X8" s="7">
        <f>HOTEL!CE10</f>
        <v>57</v>
      </c>
      <c r="Y8" s="7">
        <f>HOTEL!CZ10</f>
        <v>3</v>
      </c>
      <c r="Z8" s="7">
        <f>HOTEL!DC9</f>
        <v>14</v>
      </c>
      <c r="AA8" s="7">
        <f>HOTEL!DF10</f>
        <v>70</v>
      </c>
      <c r="AB8" s="8">
        <f>HOTEL!DI10</f>
        <v>12</v>
      </c>
      <c r="AC8" s="7">
        <f>HOTEL!DL10</f>
        <v>7</v>
      </c>
      <c r="AD8" s="8">
        <f>HOTEL!DO10</f>
        <v>6</v>
      </c>
      <c r="AE8" s="7">
        <f>HOTEL!DR10</f>
        <v>1</v>
      </c>
      <c r="AF8" s="7">
        <f>HOTEL!DU10</f>
        <v>8</v>
      </c>
      <c r="AG8" s="7">
        <f>HOTEL!DX10</f>
        <v>6</v>
      </c>
      <c r="AH8" s="7">
        <f>HOTEL!EA10</f>
        <v>9</v>
      </c>
      <c r="AI8" s="7">
        <f>HOTEL!ED10</f>
        <v>11</v>
      </c>
      <c r="AJ8" s="7">
        <f>HOTEL!EG10</f>
        <v>0</v>
      </c>
      <c r="AK8" s="7">
        <f>TOTAL!K8</f>
        <v>0.85</v>
      </c>
    </row>
    <row r="9" spans="1:38" ht="14.5" x14ac:dyDescent="0.35">
      <c r="A9" s="2" t="s">
        <v>19</v>
      </c>
      <c r="B9" s="7">
        <f>TOTAL!B9</f>
        <v>8</v>
      </c>
      <c r="C9" s="19">
        <v>3</v>
      </c>
      <c r="D9" s="7">
        <v>2023</v>
      </c>
      <c r="E9" s="7">
        <f>TOTAL!E9</f>
        <v>27920</v>
      </c>
      <c r="F9" s="7">
        <f>HOTEL!V11</f>
        <v>835</v>
      </c>
      <c r="G9" s="7">
        <f>HOTEL!X11</f>
        <v>590</v>
      </c>
      <c r="H9" s="8">
        <f>HOTEL!EI11</f>
        <v>0</v>
      </c>
      <c r="I9" s="8">
        <f>HOTEL!EK11</f>
        <v>0</v>
      </c>
      <c r="J9" s="8">
        <f>HOTEL!EM11</f>
        <v>0</v>
      </c>
      <c r="K9" s="8">
        <f>HOTEL!EO11</f>
        <v>250</v>
      </c>
      <c r="L9" s="7">
        <f>N9+W9+X9</f>
        <v>102</v>
      </c>
      <c r="M9" s="7">
        <f>HOTEL!AL11</f>
        <v>7</v>
      </c>
      <c r="N9" s="7">
        <f>HOTEL!AT11</f>
        <v>12</v>
      </c>
      <c r="O9" s="7">
        <f>HOTEL!AX11</f>
        <v>3</v>
      </c>
      <c r="P9" s="7">
        <f>HOTEL!AZ11</f>
        <v>2</v>
      </c>
      <c r="Q9" s="7">
        <f>HOTEL!BB11</f>
        <v>8</v>
      </c>
      <c r="R9" s="7">
        <f>HOTEL!BD11</f>
        <v>4</v>
      </c>
      <c r="S9" s="7">
        <f>HOTEL!BF11</f>
        <v>3</v>
      </c>
      <c r="T9" s="7">
        <f>HOTEL!BH11</f>
        <v>5</v>
      </c>
      <c r="U9" s="7">
        <f>HOTEL!BJ11</f>
        <v>1</v>
      </c>
      <c r="V9" s="7">
        <f>HOTEL!BL11</f>
        <v>4</v>
      </c>
      <c r="W9" s="7">
        <f>HOTEL!BX11</f>
        <v>0</v>
      </c>
      <c r="X9" s="7">
        <f>HOTEL!CE11</f>
        <v>90</v>
      </c>
      <c r="Y9" s="7">
        <f>HOTEL!CZ11</f>
        <v>5</v>
      </c>
      <c r="Z9" s="7">
        <f>HOTEL!DC10</f>
        <v>13</v>
      </c>
      <c r="AA9" s="7">
        <f>HOTEL!DF11</f>
        <v>84</v>
      </c>
      <c r="AB9" s="8">
        <f>HOTEL!DI11</f>
        <v>19</v>
      </c>
      <c r="AC9" s="7">
        <f>HOTEL!DL11</f>
        <v>7</v>
      </c>
      <c r="AD9" s="8">
        <f>HOTEL!DO11</f>
        <v>7</v>
      </c>
      <c r="AE9" s="7">
        <f>HOTEL!DR11</f>
        <v>2</v>
      </c>
      <c r="AF9" s="7">
        <f>HOTEL!DU11</f>
        <v>9</v>
      </c>
      <c r="AG9" s="7">
        <f>HOTEL!DX11</f>
        <v>6</v>
      </c>
      <c r="AH9" s="7">
        <f>HOTEL!EA11</f>
        <v>8</v>
      </c>
      <c r="AI9" s="7">
        <f>HOTEL!ED11</f>
        <v>10</v>
      </c>
      <c r="AJ9" s="7">
        <f>HOTEL!EG11</f>
        <v>0</v>
      </c>
      <c r="AK9" s="7">
        <f>TOTAL!K9</f>
        <v>0.83</v>
      </c>
    </row>
    <row r="10" spans="1:38" ht="14.5" x14ac:dyDescent="0.35">
      <c r="A10" s="2" t="s">
        <v>19</v>
      </c>
      <c r="B10" s="7">
        <f>TOTAL!B10</f>
        <v>9</v>
      </c>
      <c r="C10" s="19">
        <v>3</v>
      </c>
      <c r="D10" s="7">
        <v>2023</v>
      </c>
      <c r="E10" s="7">
        <f>TOTAL!E10</f>
        <v>28121</v>
      </c>
      <c r="F10" s="7">
        <f>HOTEL!V12</f>
        <v>1106</v>
      </c>
      <c r="G10" s="7">
        <f>HOTEL!X12</f>
        <v>518</v>
      </c>
      <c r="H10" s="8">
        <f>HOTEL!EI12</f>
        <v>0</v>
      </c>
      <c r="I10" s="8">
        <f>HOTEL!EK12</f>
        <v>0</v>
      </c>
      <c r="J10" s="8">
        <f>HOTEL!EM12</f>
        <v>0</v>
      </c>
      <c r="K10" s="8">
        <f>HOTEL!EO12</f>
        <v>209</v>
      </c>
      <c r="L10" s="7">
        <f>N10+W10+X10</f>
        <v>78</v>
      </c>
      <c r="M10" s="7">
        <f>HOTEL!AL12</f>
        <v>6</v>
      </c>
      <c r="N10" s="7">
        <f>HOTEL!AT12</f>
        <v>12</v>
      </c>
      <c r="O10" s="7">
        <f>HOTEL!AX12</f>
        <v>2</v>
      </c>
      <c r="P10" s="7">
        <f>HOTEL!AZ12</f>
        <v>2</v>
      </c>
      <c r="Q10" s="7">
        <f>HOTEL!BB12</f>
        <v>9</v>
      </c>
      <c r="R10" s="7">
        <f>HOTEL!BD12</f>
        <v>5</v>
      </c>
      <c r="S10" s="7">
        <f>HOTEL!BF12</f>
        <v>2</v>
      </c>
      <c r="T10" s="7">
        <f>HOTEL!BH12</f>
        <v>3</v>
      </c>
      <c r="U10" s="7">
        <f>HOTEL!BJ12</f>
        <v>1</v>
      </c>
      <c r="V10" s="7">
        <f>HOTEL!BL12</f>
        <v>4</v>
      </c>
      <c r="W10" s="7">
        <f>HOTEL!BX12</f>
        <v>0</v>
      </c>
      <c r="X10" s="7">
        <f>HOTEL!CE12</f>
        <v>66</v>
      </c>
      <c r="Y10" s="7">
        <f>HOTEL!CZ12</f>
        <v>4</v>
      </c>
      <c r="Z10" s="7">
        <f>HOTEL!DC11</f>
        <v>17</v>
      </c>
      <c r="AA10" s="7">
        <f>HOTEL!DF12</f>
        <v>74</v>
      </c>
      <c r="AB10" s="8">
        <f>HOTEL!DI12</f>
        <v>13</v>
      </c>
      <c r="AC10" s="7">
        <f>HOTEL!DL12</f>
        <v>7</v>
      </c>
      <c r="AD10" s="8">
        <f>HOTEL!DO12</f>
        <v>6</v>
      </c>
      <c r="AE10" s="7">
        <f>HOTEL!DR12</f>
        <v>1</v>
      </c>
      <c r="AF10" s="7">
        <f>HOTEL!DU12</f>
        <v>11</v>
      </c>
      <c r="AG10" s="7">
        <f>HOTEL!DX12</f>
        <v>8</v>
      </c>
      <c r="AH10" s="7">
        <f>HOTEL!EA12</f>
        <v>9</v>
      </c>
      <c r="AI10" s="7">
        <f>HOTEL!ED12</f>
        <v>11</v>
      </c>
      <c r="AJ10" s="7">
        <f>HOTEL!EG12</f>
        <v>0</v>
      </c>
      <c r="AK10" s="7">
        <f>TOTAL!K10</f>
        <v>0.72</v>
      </c>
    </row>
    <row r="11" spans="1:38" ht="14.5" x14ac:dyDescent="0.35">
      <c r="A11" s="2" t="s">
        <v>19</v>
      </c>
      <c r="B11" s="7">
        <f>TOTAL!B11</f>
        <v>10</v>
      </c>
      <c r="C11" s="19">
        <v>3</v>
      </c>
      <c r="D11" s="7">
        <v>2023</v>
      </c>
      <c r="E11" s="7">
        <f>TOTAL!E11</f>
        <v>24976</v>
      </c>
      <c r="F11" s="7">
        <f>HOTEL!V13</f>
        <v>1668</v>
      </c>
      <c r="G11" s="7">
        <f>HOTEL!X13</f>
        <v>511</v>
      </c>
      <c r="H11" s="8">
        <f>HOTEL!EI13</f>
        <v>0</v>
      </c>
      <c r="I11" s="8">
        <f>HOTEL!EK13</f>
        <v>0</v>
      </c>
      <c r="J11" s="8">
        <f>HOTEL!EM13</f>
        <v>0</v>
      </c>
      <c r="K11" s="8">
        <f>HOTEL!EO13</f>
        <v>172</v>
      </c>
      <c r="L11" s="7">
        <f t="shared" ref="L11:L31" si="1">N11+W11+X11</f>
        <v>96</v>
      </c>
      <c r="M11" s="7">
        <f>HOTEL!AL13</f>
        <v>0</v>
      </c>
      <c r="N11" s="7">
        <f>HOTEL!AT13</f>
        <v>27</v>
      </c>
      <c r="O11" s="7">
        <f>HOTEL!AX13</f>
        <v>3</v>
      </c>
      <c r="P11" s="7">
        <f>HOTEL!AZ13</f>
        <v>1</v>
      </c>
      <c r="Q11" s="7">
        <f>HOTEL!BB13</f>
        <v>6</v>
      </c>
      <c r="R11" s="7">
        <f>HOTEL!BD13</f>
        <v>2</v>
      </c>
      <c r="S11" s="7">
        <f>HOTEL!BF13</f>
        <v>2</v>
      </c>
      <c r="T11" s="7">
        <f>HOTEL!BH13</f>
        <v>5</v>
      </c>
      <c r="U11" s="7">
        <f>HOTEL!BJ13</f>
        <v>1</v>
      </c>
      <c r="V11" s="7">
        <f>HOTEL!BL13</f>
        <v>2</v>
      </c>
      <c r="W11" s="7">
        <f>HOTEL!BX13</f>
        <v>0</v>
      </c>
      <c r="X11" s="7">
        <f>HOTEL!CE13</f>
        <v>69</v>
      </c>
      <c r="Y11" s="7">
        <f>HOTEL!CZ13</f>
        <v>3</v>
      </c>
      <c r="Z11" s="7">
        <f>HOTEL!DC12</f>
        <v>16</v>
      </c>
      <c r="AA11" s="7">
        <f>HOTEL!DF13</f>
        <v>77</v>
      </c>
      <c r="AB11" s="8">
        <f>HOTEL!DI13</f>
        <v>10</v>
      </c>
      <c r="AC11" s="7">
        <f>HOTEL!DL13</f>
        <v>7</v>
      </c>
      <c r="AD11" s="8">
        <f>HOTEL!DO13</f>
        <v>6</v>
      </c>
      <c r="AE11" s="7">
        <f>HOTEL!DR13</f>
        <v>2</v>
      </c>
      <c r="AF11" s="7">
        <f>HOTEL!DU13</f>
        <v>10</v>
      </c>
      <c r="AG11" s="7">
        <f>HOTEL!DX13</f>
        <v>7</v>
      </c>
      <c r="AH11" s="7">
        <f>HOTEL!EA13</f>
        <v>8</v>
      </c>
      <c r="AI11" s="7">
        <f>HOTEL!ED13</f>
        <v>10</v>
      </c>
      <c r="AJ11" s="7">
        <f>HOTEL!EG13</f>
        <v>0</v>
      </c>
      <c r="AK11" s="7">
        <f>TOTAL!K11</f>
        <v>0.63</v>
      </c>
    </row>
    <row r="12" spans="1:38" ht="14.5" x14ac:dyDescent="0.35">
      <c r="A12" s="2" t="s">
        <v>19</v>
      </c>
      <c r="B12" s="7">
        <f>TOTAL!B12</f>
        <v>11</v>
      </c>
      <c r="C12" s="19">
        <v>3</v>
      </c>
      <c r="D12" s="7">
        <v>2023</v>
      </c>
      <c r="E12" s="7">
        <f>TOTAL!E12</f>
        <v>27584</v>
      </c>
      <c r="F12" s="7">
        <f>HOTEL!V14</f>
        <v>1132</v>
      </c>
      <c r="G12" s="7">
        <f>HOTEL!X14</f>
        <v>555</v>
      </c>
      <c r="H12" s="8">
        <f>HOTEL!EI14</f>
        <v>0</v>
      </c>
      <c r="I12" s="8">
        <f>HOTEL!EK14</f>
        <v>0</v>
      </c>
      <c r="J12" s="8">
        <f>HOTEL!EM14</f>
        <v>0</v>
      </c>
      <c r="K12" s="8">
        <f>HOTEL!EO14</f>
        <v>165</v>
      </c>
      <c r="L12" s="7">
        <f t="shared" si="1"/>
        <v>89</v>
      </c>
      <c r="M12" s="7">
        <f>HOTEL!AL14</f>
        <v>6</v>
      </c>
      <c r="N12" s="7">
        <f>HOTEL!AT14</f>
        <v>21</v>
      </c>
      <c r="O12" s="7">
        <f>HOTEL!AX14</f>
        <v>2</v>
      </c>
      <c r="P12" s="7">
        <f>HOTEL!AZ14</f>
        <v>2</v>
      </c>
      <c r="Q12" s="7">
        <f>HOTEL!BB14</f>
        <v>9</v>
      </c>
      <c r="R12" s="7">
        <f>HOTEL!BD14</f>
        <v>3</v>
      </c>
      <c r="S12" s="7">
        <f>HOTEL!BF14</f>
        <v>1</v>
      </c>
      <c r="T12" s="7">
        <f>HOTEL!BH14</f>
        <v>5</v>
      </c>
      <c r="U12" s="7">
        <f>HOTEL!BJ14</f>
        <v>1</v>
      </c>
      <c r="V12" s="7">
        <f>HOTEL!BL14</f>
        <v>3</v>
      </c>
      <c r="W12" s="7">
        <f>HOTEL!BX14</f>
        <v>0</v>
      </c>
      <c r="X12" s="7">
        <f>HOTEL!CE14</f>
        <v>68</v>
      </c>
      <c r="Y12" s="7">
        <f>HOTEL!CZ14</f>
        <v>2</v>
      </c>
      <c r="Z12" s="7">
        <f>HOTEL!DC13</f>
        <v>16</v>
      </c>
      <c r="AA12" s="7">
        <f>HOTEL!DF14</f>
        <v>139</v>
      </c>
      <c r="AB12" s="8">
        <f>HOTEL!DI14</f>
        <v>14</v>
      </c>
      <c r="AC12" s="7">
        <f>HOTEL!DL14</f>
        <v>6</v>
      </c>
      <c r="AD12" s="8">
        <f>HOTEL!DO14</f>
        <v>6</v>
      </c>
      <c r="AE12" s="7">
        <f>HOTEL!DR14</f>
        <v>1</v>
      </c>
      <c r="AF12" s="7">
        <f>HOTEL!DU14</f>
        <v>7</v>
      </c>
      <c r="AG12" s="7">
        <f>HOTEL!DX14</f>
        <v>5</v>
      </c>
      <c r="AH12" s="7">
        <f>HOTEL!EA14</f>
        <v>9</v>
      </c>
      <c r="AI12" s="7">
        <f>HOTEL!ED14</f>
        <v>10</v>
      </c>
      <c r="AJ12" s="7">
        <f>HOTEL!EG14</f>
        <v>0</v>
      </c>
      <c r="AK12" s="7">
        <f>TOTAL!K12</f>
        <v>0.61</v>
      </c>
    </row>
    <row r="13" spans="1:38" ht="14.5" x14ac:dyDescent="0.35">
      <c r="A13" s="2" t="s">
        <v>19</v>
      </c>
      <c r="B13" s="7">
        <f>TOTAL!B13</f>
        <v>12</v>
      </c>
      <c r="C13" s="19">
        <v>3</v>
      </c>
      <c r="D13" s="7">
        <v>2023</v>
      </c>
      <c r="E13" s="7">
        <f>TOTAL!E13</f>
        <v>28151</v>
      </c>
      <c r="F13" s="7">
        <f>HOTEL!V15</f>
        <v>700</v>
      </c>
      <c r="G13" s="7">
        <f>HOTEL!X15</f>
        <v>565</v>
      </c>
      <c r="H13" s="8">
        <f>HOTEL!EI15</f>
        <v>0</v>
      </c>
      <c r="I13" s="8">
        <f>HOTEL!EK15</f>
        <v>0</v>
      </c>
      <c r="J13" s="8">
        <f>HOTEL!EM15</f>
        <v>0</v>
      </c>
      <c r="K13" s="8">
        <f>HOTEL!EO15</f>
        <v>228</v>
      </c>
      <c r="L13" s="7">
        <f t="shared" si="1"/>
        <v>103</v>
      </c>
      <c r="M13" s="7">
        <f>HOTEL!AL15</f>
        <v>14</v>
      </c>
      <c r="N13" s="7">
        <f>HOTEL!AT15</f>
        <v>32</v>
      </c>
      <c r="O13" s="7">
        <f>HOTEL!AX15</f>
        <v>2</v>
      </c>
      <c r="P13" s="7">
        <f>HOTEL!AZ15</f>
        <v>2</v>
      </c>
      <c r="Q13" s="7">
        <f>HOTEL!BB15</f>
        <v>6</v>
      </c>
      <c r="R13" s="7">
        <f>HOTEL!BD15</f>
        <v>4</v>
      </c>
      <c r="S13" s="7">
        <f>HOTEL!BF15</f>
        <v>2</v>
      </c>
      <c r="T13" s="7">
        <f>HOTEL!BH15</f>
        <v>5</v>
      </c>
      <c r="U13" s="7">
        <f>HOTEL!BJ15</f>
        <v>1</v>
      </c>
      <c r="V13" s="7" t="str">
        <f>HOTEL!BL15</f>
        <v>0</v>
      </c>
      <c r="W13" s="7">
        <f>HOTEL!BX15</f>
        <v>0</v>
      </c>
      <c r="X13" s="7">
        <f>HOTEL!CE15</f>
        <v>71</v>
      </c>
      <c r="Y13" s="7">
        <f>HOTEL!CZ15</f>
        <v>0</v>
      </c>
      <c r="Z13" s="7">
        <f>HOTEL!DC14</f>
        <v>14</v>
      </c>
      <c r="AA13" s="7">
        <f>HOTEL!DF15</f>
        <v>32</v>
      </c>
      <c r="AB13" s="8">
        <f>HOTEL!DI15</f>
        <v>14</v>
      </c>
      <c r="AC13" s="7">
        <f>HOTEL!DL15</f>
        <v>7</v>
      </c>
      <c r="AD13" s="8">
        <f>HOTEL!DO15</f>
        <v>8</v>
      </c>
      <c r="AE13" s="7">
        <f>HOTEL!DR15</f>
        <v>2</v>
      </c>
      <c r="AF13" s="7">
        <f>HOTEL!DU15</f>
        <v>11</v>
      </c>
      <c r="AG13" s="7">
        <f>HOTEL!DX15</f>
        <v>7</v>
      </c>
      <c r="AH13" s="7">
        <f>HOTEL!EA15</f>
        <v>9</v>
      </c>
      <c r="AI13" s="7">
        <f>HOTEL!ED15</f>
        <v>11</v>
      </c>
      <c r="AJ13" s="7">
        <f>HOTEL!EG15</f>
        <v>0</v>
      </c>
      <c r="AK13" s="7">
        <f>TOTAL!K13</f>
        <v>0.8</v>
      </c>
    </row>
    <row r="14" spans="1:38" ht="14.5" x14ac:dyDescent="0.35">
      <c r="A14" s="2" t="s">
        <v>19</v>
      </c>
      <c r="B14" s="7">
        <f>TOTAL!B14</f>
        <v>13</v>
      </c>
      <c r="C14" s="19">
        <v>3</v>
      </c>
      <c r="D14" s="7">
        <v>2023</v>
      </c>
      <c r="E14" s="7">
        <f>TOTAL!E14</f>
        <v>26038</v>
      </c>
      <c r="F14" s="7">
        <f>HOTEL!V16</f>
        <v>1567</v>
      </c>
      <c r="G14" s="7">
        <f>HOTEL!X16</f>
        <v>569</v>
      </c>
      <c r="H14" s="8">
        <f>HOTEL!EI16</f>
        <v>0</v>
      </c>
      <c r="I14" s="8">
        <f>HOTEL!EK16</f>
        <v>0</v>
      </c>
      <c r="J14" s="8">
        <f>HOTEL!EM16</f>
        <v>0</v>
      </c>
      <c r="K14" s="8">
        <f>HOTEL!EO16</f>
        <v>234</v>
      </c>
      <c r="L14" s="7">
        <f t="shared" si="1"/>
        <v>87</v>
      </c>
      <c r="M14" s="7">
        <f>HOTEL!AL16</f>
        <v>7</v>
      </c>
      <c r="N14" s="7">
        <f>HOTEL!AT16</f>
        <v>27</v>
      </c>
      <c r="O14" s="7">
        <f>HOTEL!AX16</f>
        <v>2</v>
      </c>
      <c r="P14" s="7">
        <f>HOTEL!AZ16</f>
        <v>2</v>
      </c>
      <c r="Q14" s="7">
        <f>HOTEL!BB16</f>
        <v>5</v>
      </c>
      <c r="R14" s="7">
        <f>HOTEL!BD16</f>
        <v>4</v>
      </c>
      <c r="S14" s="7">
        <f>HOTEL!BF16</f>
        <v>3</v>
      </c>
      <c r="T14" s="7">
        <f>HOTEL!BH16</f>
        <v>5</v>
      </c>
      <c r="U14" s="7">
        <f>HOTEL!BJ16</f>
        <v>1</v>
      </c>
      <c r="V14" s="7">
        <f>HOTEL!BL16</f>
        <v>204</v>
      </c>
      <c r="W14" s="7">
        <f>HOTEL!BX16</f>
        <v>0</v>
      </c>
      <c r="X14" s="7">
        <f>HOTEL!CE16</f>
        <v>60</v>
      </c>
      <c r="Y14" s="7">
        <f>HOTEL!CZ16</f>
        <v>0</v>
      </c>
      <c r="Z14" s="7">
        <f>HOTEL!DC15</f>
        <v>16</v>
      </c>
      <c r="AA14" s="7">
        <f>HOTEL!DF16</f>
        <v>230</v>
      </c>
      <c r="AB14" s="8">
        <f>HOTEL!DI16</f>
        <v>13</v>
      </c>
      <c r="AC14" s="7">
        <f>HOTEL!DL16</f>
        <v>7</v>
      </c>
      <c r="AD14" s="8">
        <f>HOTEL!DO16</f>
        <v>6</v>
      </c>
      <c r="AE14" s="7">
        <f>HOTEL!DR16</f>
        <v>1</v>
      </c>
      <c r="AF14" s="7">
        <f>HOTEL!DU16</f>
        <v>8</v>
      </c>
      <c r="AG14" s="7">
        <f>HOTEL!DX16</f>
        <v>6</v>
      </c>
      <c r="AH14" s="7">
        <f>HOTEL!EA16</f>
        <v>8</v>
      </c>
      <c r="AI14" s="7">
        <f>HOTEL!ED16</f>
        <v>10</v>
      </c>
      <c r="AJ14" s="7">
        <f>HOTEL!EG16</f>
        <v>0</v>
      </c>
      <c r="AK14" s="7">
        <f>TOTAL!K14</f>
        <v>0.82</v>
      </c>
    </row>
    <row r="15" spans="1:38" ht="14.5" x14ac:dyDescent="0.35">
      <c r="A15" s="2" t="s">
        <v>19</v>
      </c>
      <c r="B15" s="7">
        <f>TOTAL!B15</f>
        <v>14</v>
      </c>
      <c r="C15" s="19">
        <v>3</v>
      </c>
      <c r="D15" s="7">
        <v>2023</v>
      </c>
      <c r="E15" s="8">
        <f>TOTAL!E15</f>
        <v>26515</v>
      </c>
      <c r="F15" s="7">
        <f>HOTEL!V17</f>
        <v>952</v>
      </c>
      <c r="G15" s="7">
        <f>HOTEL!X17</f>
        <v>528</v>
      </c>
      <c r="H15" s="8">
        <f>HOTEL!EI17</f>
        <v>0</v>
      </c>
      <c r="I15" s="8">
        <f>HOTEL!EK17</f>
        <v>0</v>
      </c>
      <c r="J15" s="8">
        <f>HOTEL!EM17</f>
        <v>0</v>
      </c>
      <c r="K15" s="8">
        <f>HOTEL!EO17</f>
        <v>233</v>
      </c>
      <c r="L15" s="7">
        <f t="shared" si="1"/>
        <v>95</v>
      </c>
      <c r="M15" s="7">
        <f>HOTEL!AL17</f>
        <v>10</v>
      </c>
      <c r="N15" s="7">
        <f>HOTEL!AT17</f>
        <v>32</v>
      </c>
      <c r="O15" s="7">
        <f>HOTEL!AX17</f>
        <v>3</v>
      </c>
      <c r="P15" s="7">
        <f>HOTEL!AZ17</f>
        <v>2</v>
      </c>
      <c r="Q15" s="7">
        <f>HOTEL!BB17</f>
        <v>8</v>
      </c>
      <c r="R15" s="7">
        <f>HOTEL!BD17</f>
        <v>3</v>
      </c>
      <c r="S15" s="7">
        <f>HOTEL!BF17</f>
        <v>3</v>
      </c>
      <c r="T15" s="7">
        <f>HOTEL!BH17</f>
        <v>6</v>
      </c>
      <c r="U15" s="7">
        <f>HOTEL!BJ17</f>
        <v>1</v>
      </c>
      <c r="V15" s="7">
        <f>HOTEL!BL17</f>
        <v>5</v>
      </c>
      <c r="W15" s="7">
        <f>HOTEL!BX17</f>
        <v>0</v>
      </c>
      <c r="X15" s="7">
        <f>HOTEL!CE17</f>
        <v>63</v>
      </c>
      <c r="Y15" s="7">
        <f>HOTEL!CZ17</f>
        <v>3</v>
      </c>
      <c r="Z15" s="7">
        <f>HOTEL!DC16</f>
        <v>12</v>
      </c>
      <c r="AA15" s="7">
        <f>HOTEL!DF17</f>
        <v>730</v>
      </c>
      <c r="AB15" s="8">
        <f>HOTEL!DI17</f>
        <v>13</v>
      </c>
      <c r="AC15" s="7">
        <f>HOTEL!DL17</f>
        <v>5</v>
      </c>
      <c r="AD15" s="8">
        <f>HOTEL!DO17</f>
        <v>5</v>
      </c>
      <c r="AE15" s="7">
        <f>HOTEL!DR17</f>
        <v>2</v>
      </c>
      <c r="AF15" s="7">
        <f>HOTEL!DU17</f>
        <v>9</v>
      </c>
      <c r="AG15" s="7">
        <f>HOTEL!DX17</f>
        <v>753</v>
      </c>
      <c r="AH15" s="7">
        <f>HOTEL!EA17</f>
        <v>9</v>
      </c>
      <c r="AI15" s="7">
        <f>HOTEL!ED17</f>
        <v>9</v>
      </c>
      <c r="AJ15" s="7">
        <f>HOTEL!EG17</f>
        <v>0</v>
      </c>
      <c r="AK15" s="7">
        <f>TOTAL!K15</f>
        <v>0.83</v>
      </c>
    </row>
    <row r="16" spans="1:38" ht="14.5" x14ac:dyDescent="0.35">
      <c r="A16" s="2" t="s">
        <v>19</v>
      </c>
      <c r="B16" s="7">
        <f>TOTAL!B16</f>
        <v>15</v>
      </c>
      <c r="C16" s="19">
        <v>3</v>
      </c>
      <c r="D16" s="7">
        <v>2023</v>
      </c>
      <c r="E16" s="7">
        <f>TOTAL!E16</f>
        <v>27821</v>
      </c>
      <c r="F16" s="7">
        <f>HOTEL!V18</f>
        <v>905</v>
      </c>
      <c r="G16" s="7">
        <f>HOTEL!X18</f>
        <v>568</v>
      </c>
      <c r="H16" s="8">
        <f>HOTEL!EI18</f>
        <v>0</v>
      </c>
      <c r="I16" s="8">
        <f>HOTEL!EK18</f>
        <v>0</v>
      </c>
      <c r="J16" s="8">
        <f>HOTEL!EM18</f>
        <v>0</v>
      </c>
      <c r="K16" s="8">
        <f>HOTEL!EO18</f>
        <v>200</v>
      </c>
      <c r="L16" s="7">
        <f t="shared" si="1"/>
        <v>98</v>
      </c>
      <c r="M16" s="7">
        <f>HOTEL!AL18</f>
        <v>9</v>
      </c>
      <c r="N16" s="7">
        <f>HOTEL!AT18</f>
        <v>32</v>
      </c>
      <c r="O16" s="7">
        <f>HOTEL!AX18</f>
        <v>2</v>
      </c>
      <c r="P16" s="7">
        <f>HOTEL!AZ18</f>
        <v>2</v>
      </c>
      <c r="Q16" s="7">
        <f>HOTEL!BB18</f>
        <v>9</v>
      </c>
      <c r="R16" s="7">
        <f>HOTEL!BD18</f>
        <v>4</v>
      </c>
      <c r="S16" s="7">
        <f>HOTEL!BF18</f>
        <v>3</v>
      </c>
      <c r="T16" s="7">
        <f>HOTEL!BH18</f>
        <v>6</v>
      </c>
      <c r="U16" s="7">
        <f>HOTEL!BJ18</f>
        <v>0</v>
      </c>
      <c r="V16" s="7">
        <f>HOTEL!BL18</f>
        <v>2</v>
      </c>
      <c r="W16" s="7">
        <f>HOTEL!BX18</f>
        <v>0</v>
      </c>
      <c r="X16" s="7">
        <f>HOTEL!CE18</f>
        <v>66</v>
      </c>
      <c r="Y16" s="7">
        <f>HOTEL!CZ18</f>
        <v>3</v>
      </c>
      <c r="Z16" s="7">
        <f>HOTEL!DC17</f>
        <v>12</v>
      </c>
      <c r="AA16" s="7" t="str">
        <f>HOTEL!DF18</f>
        <v>0</v>
      </c>
      <c r="AB16" s="8">
        <f>HOTEL!DI18</f>
        <v>13</v>
      </c>
      <c r="AC16" s="7">
        <f>HOTEL!DL18</f>
        <v>7</v>
      </c>
      <c r="AD16" s="8">
        <f>HOTEL!DO18</f>
        <v>7</v>
      </c>
      <c r="AE16" s="7">
        <f>HOTEL!DR18</f>
        <v>1</v>
      </c>
      <c r="AF16" s="7">
        <f>HOTEL!DU18</f>
        <v>5</v>
      </c>
      <c r="AG16" s="7" t="str">
        <f>HOTEL!DX18</f>
        <v>0</v>
      </c>
      <c r="AH16" s="7">
        <f>HOTEL!EA18</f>
        <v>8</v>
      </c>
      <c r="AI16" s="7">
        <f>HOTEL!ED18</f>
        <v>9</v>
      </c>
      <c r="AJ16" s="7">
        <f>HOTEL!EG18</f>
        <v>0</v>
      </c>
      <c r="AK16" s="7">
        <f>TOTAL!K16</f>
        <v>0.8</v>
      </c>
    </row>
    <row r="17" spans="1:37" ht="14.5" x14ac:dyDescent="0.35">
      <c r="A17" s="2" t="s">
        <v>19</v>
      </c>
      <c r="B17" s="7">
        <f>TOTAL!B17</f>
        <v>16</v>
      </c>
      <c r="C17" s="19">
        <v>3</v>
      </c>
      <c r="D17" s="7">
        <v>2023</v>
      </c>
      <c r="E17" s="7">
        <f>TOTAL!E17</f>
        <v>24759</v>
      </c>
      <c r="F17" s="7">
        <f>HOTEL!V19</f>
        <v>749</v>
      </c>
      <c r="G17" s="7">
        <f>HOTEL!X19</f>
        <v>504</v>
      </c>
      <c r="H17" s="8">
        <f>HOTEL!EI19</f>
        <v>0</v>
      </c>
      <c r="I17" s="8">
        <f>HOTEL!EK19</f>
        <v>0</v>
      </c>
      <c r="J17" s="8">
        <f>HOTEL!EM19</f>
        <v>0</v>
      </c>
      <c r="K17" s="8">
        <f>HOTEL!EO19</f>
        <v>200</v>
      </c>
      <c r="L17" s="7">
        <f t="shared" si="1"/>
        <v>97</v>
      </c>
      <c r="M17" s="7">
        <f>HOTEL!AL19</f>
        <v>8</v>
      </c>
      <c r="N17" s="7">
        <f>HOTEL!AT19</f>
        <v>33</v>
      </c>
      <c r="O17" s="7">
        <f>HOTEL!AX19</f>
        <v>3</v>
      </c>
      <c r="P17" s="7">
        <f>HOTEL!AZ19</f>
        <v>2</v>
      </c>
      <c r="Q17" s="7">
        <f>HOTEL!BB19</f>
        <v>13</v>
      </c>
      <c r="R17" s="7">
        <f>HOTEL!BD19</f>
        <v>6</v>
      </c>
      <c r="S17" s="7">
        <f>HOTEL!BF19</f>
        <v>3</v>
      </c>
      <c r="T17" s="7">
        <f>HOTEL!BH19</f>
        <v>6</v>
      </c>
      <c r="U17" s="7">
        <f>HOTEL!BJ19</f>
        <v>1</v>
      </c>
      <c r="V17" s="7">
        <f>HOTEL!BL19</f>
        <v>5</v>
      </c>
      <c r="W17" s="7">
        <f>HOTEL!BX19</f>
        <v>0</v>
      </c>
      <c r="X17" s="7">
        <f>HOTEL!CE19</f>
        <v>64</v>
      </c>
      <c r="Y17" s="7">
        <f>HOTEL!CZ19</f>
        <v>3</v>
      </c>
      <c r="Z17" s="7">
        <f>HOTEL!DC18</f>
        <v>16</v>
      </c>
      <c r="AA17" s="7">
        <f>HOTEL!DF19</f>
        <v>117</v>
      </c>
      <c r="AB17" s="8">
        <f>HOTEL!DI19</f>
        <v>11</v>
      </c>
      <c r="AC17" s="7">
        <f>HOTEL!DL19</f>
        <v>7</v>
      </c>
      <c r="AD17" s="8">
        <f>HOTEL!DO19</f>
        <v>6</v>
      </c>
      <c r="AE17" s="7">
        <f>HOTEL!DR19</f>
        <v>2</v>
      </c>
      <c r="AF17" s="7">
        <f>HOTEL!DU19</f>
        <v>8</v>
      </c>
      <c r="AG17" s="7">
        <f>HOTEL!DX19</f>
        <v>8</v>
      </c>
      <c r="AH17" s="7">
        <f>HOTEL!EA19</f>
        <v>9</v>
      </c>
      <c r="AI17" s="7">
        <f>HOTEL!ED19</f>
        <v>10</v>
      </c>
      <c r="AJ17" s="7">
        <f>HOTEL!EG19</f>
        <v>0</v>
      </c>
      <c r="AK17" s="7">
        <f>TOTAL!K17</f>
        <v>0.8</v>
      </c>
    </row>
    <row r="18" spans="1:37" ht="14.5" x14ac:dyDescent="0.35">
      <c r="A18" s="2" t="s">
        <v>19</v>
      </c>
      <c r="B18" s="7">
        <f>TOTAL!B18</f>
        <v>17</v>
      </c>
      <c r="C18" s="19">
        <v>3</v>
      </c>
      <c r="D18" s="7">
        <v>2023</v>
      </c>
      <c r="E18" s="7">
        <f>TOTAL!E18</f>
        <v>0</v>
      </c>
      <c r="F18" s="7">
        <f>HOTEL!V20</f>
        <v>0</v>
      </c>
      <c r="G18" s="7">
        <f>HOTEL!X20</f>
        <v>0</v>
      </c>
      <c r="H18" s="8">
        <f>HOTEL!EI20</f>
        <v>0</v>
      </c>
      <c r="I18" s="8">
        <f>HOTEL!EK20</f>
        <v>0</v>
      </c>
      <c r="J18" s="8">
        <f>HOTEL!EM20</f>
        <v>0</v>
      </c>
      <c r="K18" s="8">
        <f>HOTEL!EO20</f>
        <v>0</v>
      </c>
      <c r="L18" s="7">
        <f t="shared" si="1"/>
        <v>0</v>
      </c>
      <c r="M18" s="7">
        <f>HOTEL!AL20</f>
        <v>0</v>
      </c>
      <c r="N18" s="7">
        <f>HOTEL!AT20</f>
        <v>0</v>
      </c>
      <c r="O18" s="7">
        <f>HOTEL!AX20</f>
        <v>0</v>
      </c>
      <c r="P18" s="7">
        <f>HOTEL!AZ20</f>
        <v>0</v>
      </c>
      <c r="Q18" s="7">
        <f>HOTEL!BB20</f>
        <v>0</v>
      </c>
      <c r="R18" s="7">
        <f>HOTEL!BD20</f>
        <v>0</v>
      </c>
      <c r="S18" s="7">
        <f>HOTEL!BF20</f>
        <v>0</v>
      </c>
      <c r="T18" s="7">
        <f>HOTEL!BH20</f>
        <v>0</v>
      </c>
      <c r="U18" s="7">
        <f>HOTEL!BJ20</f>
        <v>0</v>
      </c>
      <c r="V18" s="7">
        <f>HOTEL!BL20</f>
        <v>0</v>
      </c>
      <c r="W18" s="7">
        <f>HOTEL!BX20</f>
        <v>0</v>
      </c>
      <c r="X18" s="7">
        <f>HOTEL!CE20</f>
        <v>0</v>
      </c>
      <c r="Y18" s="7">
        <f>HOTEL!CZ20</f>
        <v>0</v>
      </c>
      <c r="Z18" s="7">
        <f>HOTEL!DC19</f>
        <v>13</v>
      </c>
      <c r="AA18" s="7">
        <f>HOTEL!DF20</f>
        <v>0</v>
      </c>
      <c r="AB18" s="8">
        <f>HOTEL!DI20</f>
        <v>0</v>
      </c>
      <c r="AC18" s="7">
        <f>HOTEL!DL20</f>
        <v>0</v>
      </c>
      <c r="AD18" s="8">
        <f>HOTEL!DO20</f>
        <v>0</v>
      </c>
      <c r="AE18" s="7">
        <f>HOTEL!DR20</f>
        <v>0</v>
      </c>
      <c r="AF18" s="7">
        <f>HOTEL!DU20</f>
        <v>0</v>
      </c>
      <c r="AG18" s="7">
        <f>HOTEL!DX20</f>
        <v>0</v>
      </c>
      <c r="AH18" s="7">
        <f>HOTEL!EA20</f>
        <v>0</v>
      </c>
      <c r="AI18" s="7">
        <f>HOTEL!ED20</f>
        <v>0</v>
      </c>
      <c r="AJ18" s="7">
        <f>HOTEL!EG20</f>
        <v>0</v>
      </c>
      <c r="AK18" s="7">
        <f>TOTAL!K18</f>
        <v>0</v>
      </c>
    </row>
    <row r="19" spans="1:37" ht="14.5" x14ac:dyDescent="0.35">
      <c r="A19" s="2" t="s">
        <v>19</v>
      </c>
      <c r="B19" s="7">
        <f>TOTAL!B19</f>
        <v>18</v>
      </c>
      <c r="C19" s="19">
        <v>3</v>
      </c>
      <c r="D19" s="7">
        <v>2023</v>
      </c>
      <c r="E19" s="7">
        <f>TOTAL!E19</f>
        <v>0</v>
      </c>
      <c r="F19" s="7">
        <f>HOTEL!V21</f>
        <v>0</v>
      </c>
      <c r="G19" s="7">
        <f>HOTEL!X21</f>
        <v>0</v>
      </c>
      <c r="H19" s="8">
        <f>HOTEL!EI21</f>
        <v>0</v>
      </c>
      <c r="I19" s="8">
        <f>HOTEL!EK21</f>
        <v>0</v>
      </c>
      <c r="J19" s="8">
        <f>HOTEL!EM21</f>
        <v>0</v>
      </c>
      <c r="K19" s="8">
        <f>HOTEL!EO21</f>
        <v>0</v>
      </c>
      <c r="L19" s="7">
        <f t="shared" si="1"/>
        <v>0</v>
      </c>
      <c r="M19" s="7">
        <f>HOTEL!AL21</f>
        <v>0</v>
      </c>
      <c r="N19" s="7">
        <f>HOTEL!AT21</f>
        <v>0</v>
      </c>
      <c r="O19" s="7">
        <f>HOTEL!AX21</f>
        <v>0</v>
      </c>
      <c r="P19" s="7">
        <f>HOTEL!AZ21</f>
        <v>0</v>
      </c>
      <c r="Q19" s="7">
        <f>HOTEL!BB21</f>
        <v>0</v>
      </c>
      <c r="R19" s="7">
        <f>HOTEL!BD21</f>
        <v>0</v>
      </c>
      <c r="S19" s="7">
        <f>HOTEL!BF21</f>
        <v>0</v>
      </c>
      <c r="T19" s="7">
        <f>HOTEL!BH21</f>
        <v>0</v>
      </c>
      <c r="U19" s="7">
        <f>HOTEL!BJ21</f>
        <v>0</v>
      </c>
      <c r="V19" s="7">
        <f>HOTEL!BL21</f>
        <v>0</v>
      </c>
      <c r="W19" s="7">
        <f>HOTEL!BX21</f>
        <v>0</v>
      </c>
      <c r="X19" s="7">
        <f>HOTEL!CE21</f>
        <v>0</v>
      </c>
      <c r="Y19" s="7">
        <f>HOTEL!CZ21</f>
        <v>0</v>
      </c>
      <c r="Z19" s="7">
        <f>HOTEL!DC20</f>
        <v>0</v>
      </c>
      <c r="AA19" s="7">
        <f>HOTEL!DF21</f>
        <v>0</v>
      </c>
      <c r="AB19" s="8">
        <f>HOTEL!DI21</f>
        <v>0</v>
      </c>
      <c r="AC19" s="7">
        <f>HOTEL!DL21</f>
        <v>0</v>
      </c>
      <c r="AD19" s="8">
        <f>HOTEL!DO21</f>
        <v>0</v>
      </c>
      <c r="AE19" s="7">
        <f>HOTEL!DR21</f>
        <v>0</v>
      </c>
      <c r="AF19" s="7">
        <f>HOTEL!DU21</f>
        <v>0</v>
      </c>
      <c r="AG19" s="7">
        <f>HOTEL!DX21</f>
        <v>0</v>
      </c>
      <c r="AH19" s="7">
        <f>HOTEL!EA21</f>
        <v>0</v>
      </c>
      <c r="AI19" s="7">
        <f>HOTEL!ED21</f>
        <v>0</v>
      </c>
      <c r="AJ19" s="7">
        <f>HOTEL!EG21</f>
        <v>0</v>
      </c>
      <c r="AK19" s="7">
        <f>TOTAL!K19</f>
        <v>0</v>
      </c>
    </row>
    <row r="20" spans="1:37" ht="14.5" x14ac:dyDescent="0.35">
      <c r="A20" s="2" t="s">
        <v>19</v>
      </c>
      <c r="B20" s="7">
        <f>TOTAL!B20</f>
        <v>19</v>
      </c>
      <c r="C20" s="19">
        <v>3</v>
      </c>
      <c r="D20" s="7">
        <v>2023</v>
      </c>
      <c r="E20" s="7">
        <f>TOTAL!E20</f>
        <v>0</v>
      </c>
      <c r="F20" s="7">
        <f>HOTEL!V22</f>
        <v>0</v>
      </c>
      <c r="G20" s="7">
        <f>HOTEL!X22</f>
        <v>0</v>
      </c>
      <c r="H20" s="8">
        <f>HOTEL!EI22</f>
        <v>0</v>
      </c>
      <c r="I20" s="8">
        <f>HOTEL!EK22</f>
        <v>0</v>
      </c>
      <c r="J20" s="8">
        <f>HOTEL!EM22</f>
        <v>0</v>
      </c>
      <c r="K20" s="8">
        <f>HOTEL!EO22</f>
        <v>0</v>
      </c>
      <c r="L20" s="7">
        <f t="shared" si="1"/>
        <v>0</v>
      </c>
      <c r="M20" s="7">
        <f>HOTEL!AL22</f>
        <v>0</v>
      </c>
      <c r="N20" s="7">
        <f>HOTEL!AT22</f>
        <v>0</v>
      </c>
      <c r="O20" s="7">
        <f>HOTEL!AX22</f>
        <v>0</v>
      </c>
      <c r="P20" s="7">
        <f>HOTEL!AZ22</f>
        <v>0</v>
      </c>
      <c r="Q20" s="7">
        <f>HOTEL!BB22</f>
        <v>0</v>
      </c>
      <c r="R20" s="7">
        <f>HOTEL!BD22</f>
        <v>0</v>
      </c>
      <c r="S20" s="7">
        <f>HOTEL!BF22</f>
        <v>0</v>
      </c>
      <c r="T20" s="7">
        <f>HOTEL!BH22</f>
        <v>0</v>
      </c>
      <c r="U20" s="7">
        <f>HOTEL!BJ22</f>
        <v>0</v>
      </c>
      <c r="V20" s="7">
        <f>HOTEL!BL22</f>
        <v>0</v>
      </c>
      <c r="W20" s="7">
        <f>HOTEL!BX22</f>
        <v>0</v>
      </c>
      <c r="X20" s="7">
        <f>HOTEL!CE22</f>
        <v>0</v>
      </c>
      <c r="Y20" s="7">
        <f>HOTEL!CZ22</f>
        <v>0</v>
      </c>
      <c r="Z20" s="7">
        <f>HOTEL!DC21</f>
        <v>0</v>
      </c>
      <c r="AA20" s="7">
        <f>HOTEL!DF22</f>
        <v>0</v>
      </c>
      <c r="AB20" s="8">
        <f>HOTEL!DI22</f>
        <v>0</v>
      </c>
      <c r="AC20" s="7">
        <f>HOTEL!DL22</f>
        <v>0</v>
      </c>
      <c r="AD20" s="8">
        <f>HOTEL!DO22</f>
        <v>0</v>
      </c>
      <c r="AE20" s="7">
        <f>HOTEL!DR22</f>
        <v>0</v>
      </c>
      <c r="AF20" s="7">
        <f>HOTEL!DU22</f>
        <v>0</v>
      </c>
      <c r="AG20" s="7">
        <f>HOTEL!DX22</f>
        <v>0</v>
      </c>
      <c r="AH20" s="7">
        <f>HOTEL!EA22</f>
        <v>0</v>
      </c>
      <c r="AI20" s="7">
        <f>HOTEL!ED22</f>
        <v>0</v>
      </c>
      <c r="AJ20" s="7">
        <f>HOTEL!EG22</f>
        <v>0</v>
      </c>
      <c r="AK20" s="7">
        <f>TOTAL!K20</f>
        <v>0</v>
      </c>
    </row>
    <row r="21" spans="1:37" ht="14.5" x14ac:dyDescent="0.35">
      <c r="A21" s="2" t="s">
        <v>19</v>
      </c>
      <c r="B21" s="7">
        <f>TOTAL!B21</f>
        <v>20</v>
      </c>
      <c r="C21" s="19">
        <v>3</v>
      </c>
      <c r="D21" s="7">
        <v>2023</v>
      </c>
      <c r="E21" s="7">
        <f>TOTAL!E21</f>
        <v>0</v>
      </c>
      <c r="F21" s="7">
        <f>HOTEL!V23</f>
        <v>0</v>
      </c>
      <c r="G21" s="7">
        <f>HOTEL!X23</f>
        <v>0</v>
      </c>
      <c r="H21" s="8">
        <f>HOTEL!EI23</f>
        <v>0</v>
      </c>
      <c r="I21" s="8">
        <f>HOTEL!EK23</f>
        <v>0</v>
      </c>
      <c r="J21" s="8">
        <f>HOTEL!EM23</f>
        <v>0</v>
      </c>
      <c r="K21" s="8">
        <f>HOTEL!EO23</f>
        <v>0</v>
      </c>
      <c r="L21" s="7">
        <f t="shared" si="1"/>
        <v>0</v>
      </c>
      <c r="M21" s="7">
        <f>HOTEL!AL23</f>
        <v>0</v>
      </c>
      <c r="N21" s="7">
        <f>HOTEL!AT23</f>
        <v>0</v>
      </c>
      <c r="O21" s="7">
        <f>HOTEL!AX23</f>
        <v>0</v>
      </c>
      <c r="P21" s="7">
        <f>HOTEL!AZ23</f>
        <v>0</v>
      </c>
      <c r="Q21" s="7">
        <f>HOTEL!BB23</f>
        <v>0</v>
      </c>
      <c r="R21" s="7">
        <f>HOTEL!BD23</f>
        <v>0</v>
      </c>
      <c r="S21" s="7">
        <f>HOTEL!BF23</f>
        <v>0</v>
      </c>
      <c r="T21" s="7">
        <f>HOTEL!BH23</f>
        <v>0</v>
      </c>
      <c r="U21" s="7">
        <f>HOTEL!BJ23</f>
        <v>0</v>
      </c>
      <c r="V21" s="7">
        <f>HOTEL!BL23</f>
        <v>0</v>
      </c>
      <c r="W21" s="7">
        <f>HOTEL!BX23</f>
        <v>0</v>
      </c>
      <c r="X21" s="7">
        <f>HOTEL!CE23</f>
        <v>0</v>
      </c>
      <c r="Y21" s="7">
        <f>HOTEL!CZ23</f>
        <v>0</v>
      </c>
      <c r="Z21" s="7">
        <f>HOTEL!DC22</f>
        <v>0</v>
      </c>
      <c r="AA21" s="7">
        <f>HOTEL!DF23</f>
        <v>0</v>
      </c>
      <c r="AB21" s="8">
        <f>HOTEL!DI23</f>
        <v>0</v>
      </c>
      <c r="AC21" s="7">
        <f>HOTEL!DL23</f>
        <v>0</v>
      </c>
      <c r="AD21" s="8">
        <f>HOTEL!DO23</f>
        <v>0</v>
      </c>
      <c r="AE21" s="7">
        <f>HOTEL!DR23</f>
        <v>0</v>
      </c>
      <c r="AF21" s="7">
        <f>HOTEL!DU23</f>
        <v>0</v>
      </c>
      <c r="AG21" s="7">
        <f>HOTEL!DX23</f>
        <v>0</v>
      </c>
      <c r="AH21" s="7">
        <f>HOTEL!EA23</f>
        <v>0</v>
      </c>
      <c r="AI21" s="7">
        <f>HOTEL!ED23</f>
        <v>0</v>
      </c>
      <c r="AJ21" s="7">
        <f>HOTEL!EG23</f>
        <v>0</v>
      </c>
      <c r="AK21" s="7">
        <f>TOTAL!K21</f>
        <v>0</v>
      </c>
    </row>
    <row r="22" spans="1:37" ht="14.5" x14ac:dyDescent="0.35">
      <c r="A22" s="2" t="s">
        <v>19</v>
      </c>
      <c r="B22" s="7">
        <f>TOTAL!B22</f>
        <v>21</v>
      </c>
      <c r="C22" s="19">
        <v>3</v>
      </c>
      <c r="D22" s="7">
        <v>2023</v>
      </c>
      <c r="E22" s="7">
        <f>TOTAL!E22</f>
        <v>0</v>
      </c>
      <c r="F22" s="7">
        <f>HOTEL!V24</f>
        <v>0</v>
      </c>
      <c r="G22" s="7">
        <f>HOTEL!X24</f>
        <v>0</v>
      </c>
      <c r="H22" s="8">
        <f>HOTEL!EI24</f>
        <v>0</v>
      </c>
      <c r="I22" s="8">
        <f>HOTEL!EK24</f>
        <v>0</v>
      </c>
      <c r="J22" s="8">
        <f>HOTEL!EM24</f>
        <v>0</v>
      </c>
      <c r="K22" s="8">
        <f>HOTEL!EO24</f>
        <v>0</v>
      </c>
      <c r="L22" s="7">
        <f t="shared" si="1"/>
        <v>0</v>
      </c>
      <c r="M22" s="7">
        <f>HOTEL!AL24</f>
        <v>0</v>
      </c>
      <c r="N22" s="7">
        <f>HOTEL!AT24</f>
        <v>0</v>
      </c>
      <c r="O22" s="7">
        <f>HOTEL!AX24</f>
        <v>0</v>
      </c>
      <c r="P22" s="7">
        <f>HOTEL!AZ24</f>
        <v>0</v>
      </c>
      <c r="Q22" s="7">
        <f>HOTEL!BB24</f>
        <v>0</v>
      </c>
      <c r="R22" s="7">
        <f>HOTEL!BD24</f>
        <v>0</v>
      </c>
      <c r="S22" s="7">
        <f>HOTEL!BF24</f>
        <v>0</v>
      </c>
      <c r="T22" s="7">
        <f>HOTEL!BH24</f>
        <v>0</v>
      </c>
      <c r="U22" s="7">
        <f>HOTEL!BJ24</f>
        <v>0</v>
      </c>
      <c r="V22" s="7">
        <f>HOTEL!BL24</f>
        <v>0</v>
      </c>
      <c r="W22" s="7">
        <f>HOTEL!BX24</f>
        <v>0</v>
      </c>
      <c r="X22" s="7">
        <f>HOTEL!CE24</f>
        <v>0</v>
      </c>
      <c r="Y22" s="7">
        <f>HOTEL!CZ24</f>
        <v>0</v>
      </c>
      <c r="Z22" s="7">
        <f>HOTEL!DC23</f>
        <v>0</v>
      </c>
      <c r="AA22" s="7">
        <f>HOTEL!DF24</f>
        <v>0</v>
      </c>
      <c r="AB22" s="8">
        <f>HOTEL!DI24</f>
        <v>0</v>
      </c>
      <c r="AC22" s="7">
        <f>HOTEL!DL24</f>
        <v>0</v>
      </c>
      <c r="AD22" s="8">
        <f>HOTEL!DO24</f>
        <v>0</v>
      </c>
      <c r="AE22" s="7">
        <f>HOTEL!DR24</f>
        <v>0</v>
      </c>
      <c r="AF22" s="7">
        <f>HOTEL!DU24</f>
        <v>0</v>
      </c>
      <c r="AG22" s="7">
        <f>HOTEL!DX24</f>
        <v>0</v>
      </c>
      <c r="AH22" s="7">
        <f>HOTEL!EA24</f>
        <v>0</v>
      </c>
      <c r="AI22" s="7">
        <f>HOTEL!ED24</f>
        <v>0</v>
      </c>
      <c r="AJ22" s="7">
        <f>HOTEL!EG24</f>
        <v>0</v>
      </c>
      <c r="AK22" s="7">
        <f>TOTAL!K22</f>
        <v>0</v>
      </c>
    </row>
    <row r="23" spans="1:37" ht="14.5" x14ac:dyDescent="0.35">
      <c r="A23" s="2" t="s">
        <v>19</v>
      </c>
      <c r="B23" s="7">
        <f>TOTAL!B23</f>
        <v>22</v>
      </c>
      <c r="C23" s="19">
        <v>3</v>
      </c>
      <c r="D23" s="7">
        <v>2023</v>
      </c>
      <c r="E23" s="7">
        <f>TOTAL!E23</f>
        <v>0</v>
      </c>
      <c r="F23" s="7">
        <f>HOTEL!V25</f>
        <v>0</v>
      </c>
      <c r="G23" s="7">
        <f>HOTEL!X25</f>
        <v>0</v>
      </c>
      <c r="H23" s="8">
        <f>HOTEL!EI25</f>
        <v>0</v>
      </c>
      <c r="I23" s="8">
        <f>HOTEL!EK25</f>
        <v>0</v>
      </c>
      <c r="J23" s="8">
        <f>HOTEL!EM25</f>
        <v>0</v>
      </c>
      <c r="K23" s="8">
        <f>HOTEL!EO25</f>
        <v>0</v>
      </c>
      <c r="L23" s="7">
        <f t="shared" si="1"/>
        <v>0</v>
      </c>
      <c r="M23" s="7">
        <f>HOTEL!AL25</f>
        <v>0</v>
      </c>
      <c r="N23" s="7">
        <f>HOTEL!AT25</f>
        <v>0</v>
      </c>
      <c r="O23" s="7">
        <f>HOTEL!AX25</f>
        <v>0</v>
      </c>
      <c r="P23" s="7">
        <f>HOTEL!AZ25</f>
        <v>0</v>
      </c>
      <c r="Q23" s="7">
        <f>HOTEL!BB25</f>
        <v>0</v>
      </c>
      <c r="R23" s="7">
        <f>HOTEL!BD25</f>
        <v>0</v>
      </c>
      <c r="S23" s="7">
        <f>HOTEL!BF25</f>
        <v>0</v>
      </c>
      <c r="T23" s="7">
        <f>HOTEL!BH25</f>
        <v>0</v>
      </c>
      <c r="U23" s="7">
        <f>HOTEL!BJ25</f>
        <v>0</v>
      </c>
      <c r="V23" s="7">
        <f>HOTEL!BL25</f>
        <v>0</v>
      </c>
      <c r="W23" s="7">
        <f>HOTEL!BX25</f>
        <v>0</v>
      </c>
      <c r="X23" s="7">
        <f>HOTEL!CE25</f>
        <v>0</v>
      </c>
      <c r="Y23" s="7">
        <f>HOTEL!CZ25</f>
        <v>0</v>
      </c>
      <c r="Z23" s="7">
        <f>HOTEL!DC24</f>
        <v>0</v>
      </c>
      <c r="AA23" s="7">
        <f>HOTEL!DF25</f>
        <v>0</v>
      </c>
      <c r="AB23" s="8">
        <f>HOTEL!DI25</f>
        <v>0</v>
      </c>
      <c r="AC23" s="7">
        <f>HOTEL!DL25</f>
        <v>0</v>
      </c>
      <c r="AD23" s="8">
        <f>HOTEL!DO25</f>
        <v>0</v>
      </c>
      <c r="AE23" s="7">
        <f>HOTEL!DR25</f>
        <v>0</v>
      </c>
      <c r="AF23" s="7">
        <f>HOTEL!DU25</f>
        <v>0</v>
      </c>
      <c r="AG23" s="7">
        <f>HOTEL!DX25</f>
        <v>0</v>
      </c>
      <c r="AH23" s="7">
        <f>HOTEL!EA25</f>
        <v>0</v>
      </c>
      <c r="AI23" s="7">
        <f>HOTEL!ED25</f>
        <v>0</v>
      </c>
      <c r="AJ23" s="7">
        <f>HOTEL!EG25</f>
        <v>0</v>
      </c>
      <c r="AK23" s="7">
        <f>TOTAL!K23</f>
        <v>0</v>
      </c>
    </row>
    <row r="24" spans="1:37" ht="14.5" x14ac:dyDescent="0.35">
      <c r="A24" s="2" t="s">
        <v>19</v>
      </c>
      <c r="B24" s="7">
        <f>TOTAL!B24</f>
        <v>23</v>
      </c>
      <c r="C24" s="19">
        <v>3</v>
      </c>
      <c r="D24" s="7">
        <v>2023</v>
      </c>
      <c r="E24" s="7">
        <f>TOTAL!E24</f>
        <v>0</v>
      </c>
      <c r="F24" s="7">
        <f>HOTEL!V26</f>
        <v>0</v>
      </c>
      <c r="G24" s="7">
        <f>HOTEL!X26</f>
        <v>0</v>
      </c>
      <c r="H24" s="8">
        <f>HOTEL!EI26</f>
        <v>0</v>
      </c>
      <c r="I24" s="8">
        <f>HOTEL!EK26</f>
        <v>0</v>
      </c>
      <c r="J24" s="8">
        <f>HOTEL!EM26</f>
        <v>0</v>
      </c>
      <c r="K24" s="8">
        <f>HOTEL!EO26</f>
        <v>0</v>
      </c>
      <c r="L24" s="7">
        <f t="shared" si="1"/>
        <v>0</v>
      </c>
      <c r="M24" s="7">
        <f>HOTEL!AL26</f>
        <v>0</v>
      </c>
      <c r="N24" s="7">
        <f>HOTEL!AT26</f>
        <v>0</v>
      </c>
      <c r="O24" s="7">
        <f>HOTEL!AX26</f>
        <v>0</v>
      </c>
      <c r="P24" s="7">
        <f>HOTEL!AZ26</f>
        <v>0</v>
      </c>
      <c r="Q24" s="7">
        <f>HOTEL!BB26</f>
        <v>0</v>
      </c>
      <c r="R24" s="7">
        <f>HOTEL!BD26</f>
        <v>0</v>
      </c>
      <c r="S24" s="7">
        <f>HOTEL!BF26</f>
        <v>0</v>
      </c>
      <c r="T24" s="7">
        <f>HOTEL!BH26</f>
        <v>0</v>
      </c>
      <c r="U24" s="7">
        <f>HOTEL!BJ26</f>
        <v>0</v>
      </c>
      <c r="V24" s="7">
        <f>HOTEL!BL26</f>
        <v>0</v>
      </c>
      <c r="W24" s="7">
        <f>HOTEL!BX26</f>
        <v>0</v>
      </c>
      <c r="X24" s="7">
        <f>HOTEL!CE26</f>
        <v>0</v>
      </c>
      <c r="Y24" s="7">
        <f>HOTEL!CZ26</f>
        <v>0</v>
      </c>
      <c r="Z24" s="7">
        <f>HOTEL!DC25</f>
        <v>0</v>
      </c>
      <c r="AA24" s="7">
        <f>HOTEL!DF26</f>
        <v>0</v>
      </c>
      <c r="AB24" s="8">
        <f>HOTEL!DI26</f>
        <v>0</v>
      </c>
      <c r="AC24" s="7">
        <f>HOTEL!DL26</f>
        <v>0</v>
      </c>
      <c r="AD24" s="8">
        <f>HOTEL!DO26</f>
        <v>0</v>
      </c>
      <c r="AE24" s="7">
        <f>HOTEL!DR26</f>
        <v>0</v>
      </c>
      <c r="AF24" s="7">
        <f>HOTEL!DU26</f>
        <v>0</v>
      </c>
      <c r="AG24" s="7">
        <f>HOTEL!DX26</f>
        <v>0</v>
      </c>
      <c r="AH24" s="7">
        <f>HOTEL!EA26</f>
        <v>0</v>
      </c>
      <c r="AI24" s="7">
        <f>HOTEL!ED26</f>
        <v>0</v>
      </c>
      <c r="AJ24" s="7">
        <f>HOTEL!EG26</f>
        <v>0</v>
      </c>
      <c r="AK24" s="7">
        <f>TOTAL!K24</f>
        <v>0</v>
      </c>
    </row>
    <row r="25" spans="1:37" ht="14.5" x14ac:dyDescent="0.35">
      <c r="A25" s="2" t="s">
        <v>19</v>
      </c>
      <c r="B25" s="7">
        <f>TOTAL!B25</f>
        <v>24</v>
      </c>
      <c r="C25" s="19">
        <v>3</v>
      </c>
      <c r="D25" s="7">
        <v>2023</v>
      </c>
      <c r="E25" s="7">
        <f>TOTAL!E25</f>
        <v>0</v>
      </c>
      <c r="F25" s="7">
        <f>HOTEL!V27</f>
        <v>0</v>
      </c>
      <c r="G25" s="7">
        <f>HOTEL!X27</f>
        <v>0</v>
      </c>
      <c r="H25" s="8">
        <f>HOTEL!EI27</f>
        <v>0</v>
      </c>
      <c r="I25" s="8">
        <f>HOTEL!EK27</f>
        <v>0</v>
      </c>
      <c r="J25" s="8">
        <f>HOTEL!EM27</f>
        <v>0</v>
      </c>
      <c r="K25" s="8">
        <f>HOTEL!EO27</f>
        <v>0</v>
      </c>
      <c r="L25" s="7">
        <f t="shared" si="1"/>
        <v>0</v>
      </c>
      <c r="M25" s="7">
        <f>HOTEL!AL27</f>
        <v>0</v>
      </c>
      <c r="N25" s="7">
        <f>HOTEL!AT27</f>
        <v>0</v>
      </c>
      <c r="O25" s="7">
        <f>HOTEL!AX27</f>
        <v>0</v>
      </c>
      <c r="P25" s="7">
        <f>HOTEL!AZ27</f>
        <v>0</v>
      </c>
      <c r="Q25" s="7">
        <f>HOTEL!BB27</f>
        <v>0</v>
      </c>
      <c r="R25" s="7">
        <f>HOTEL!BD27</f>
        <v>0</v>
      </c>
      <c r="S25" s="7">
        <f>HOTEL!BF27</f>
        <v>0</v>
      </c>
      <c r="T25" s="7">
        <f>HOTEL!BH27</f>
        <v>0</v>
      </c>
      <c r="U25" s="7">
        <f>HOTEL!BJ27</f>
        <v>0</v>
      </c>
      <c r="V25" s="7">
        <f>HOTEL!BL27</f>
        <v>0</v>
      </c>
      <c r="W25" s="7">
        <f>HOTEL!BX27</f>
        <v>0</v>
      </c>
      <c r="X25" s="7">
        <f>HOTEL!CE27</f>
        <v>0</v>
      </c>
      <c r="Y25" s="7">
        <f>HOTEL!CZ27</f>
        <v>0</v>
      </c>
      <c r="Z25" s="7">
        <f>HOTEL!DC26</f>
        <v>0</v>
      </c>
      <c r="AA25" s="7">
        <f>HOTEL!DF27</f>
        <v>0</v>
      </c>
      <c r="AB25" s="8">
        <f>HOTEL!DI27</f>
        <v>0</v>
      </c>
      <c r="AC25" s="7">
        <f>HOTEL!DL27</f>
        <v>0</v>
      </c>
      <c r="AD25" s="8">
        <f>HOTEL!DO27</f>
        <v>0</v>
      </c>
      <c r="AE25" s="7">
        <f>HOTEL!DR27</f>
        <v>0</v>
      </c>
      <c r="AF25" s="7">
        <f>HOTEL!DU27</f>
        <v>0</v>
      </c>
      <c r="AG25" s="7">
        <f>HOTEL!DX27</f>
        <v>0</v>
      </c>
      <c r="AH25" s="7">
        <f>HOTEL!EA27</f>
        <v>0</v>
      </c>
      <c r="AI25" s="7">
        <f>HOTEL!ED27</f>
        <v>0</v>
      </c>
      <c r="AJ25" s="7">
        <f>HOTEL!EG27</f>
        <v>0</v>
      </c>
      <c r="AK25" s="7">
        <f>TOTAL!K25</f>
        <v>0</v>
      </c>
    </row>
    <row r="26" spans="1:37" ht="14.5" x14ac:dyDescent="0.35">
      <c r="A26" s="2" t="s">
        <v>19</v>
      </c>
      <c r="B26" s="7">
        <f>TOTAL!B26</f>
        <v>25</v>
      </c>
      <c r="C26" s="19">
        <v>3</v>
      </c>
      <c r="D26" s="7">
        <v>2023</v>
      </c>
      <c r="E26" s="7">
        <f>TOTAL!E26</f>
        <v>0</v>
      </c>
      <c r="F26" s="7">
        <f>HOTEL!V28</f>
        <v>0</v>
      </c>
      <c r="G26" s="7">
        <f>HOTEL!X28</f>
        <v>0</v>
      </c>
      <c r="H26" s="8">
        <f>HOTEL!EI28</f>
        <v>0</v>
      </c>
      <c r="I26" s="8">
        <f>HOTEL!EK28</f>
        <v>0</v>
      </c>
      <c r="J26" s="8">
        <f>HOTEL!EM28</f>
        <v>0</v>
      </c>
      <c r="K26" s="8">
        <f>HOTEL!EO28</f>
        <v>0</v>
      </c>
      <c r="L26" s="7">
        <f t="shared" si="1"/>
        <v>0</v>
      </c>
      <c r="M26" s="7">
        <f>HOTEL!AL28</f>
        <v>0</v>
      </c>
      <c r="N26" s="7">
        <f>HOTEL!AT28</f>
        <v>0</v>
      </c>
      <c r="O26" s="7">
        <f>HOTEL!AX28</f>
        <v>0</v>
      </c>
      <c r="P26" s="7">
        <f>HOTEL!AZ28</f>
        <v>0</v>
      </c>
      <c r="Q26" s="7">
        <f>HOTEL!BB28</f>
        <v>0</v>
      </c>
      <c r="R26" s="7">
        <f>HOTEL!BD28</f>
        <v>0</v>
      </c>
      <c r="S26" s="7">
        <f>HOTEL!BF28</f>
        <v>0</v>
      </c>
      <c r="T26" s="7">
        <f>HOTEL!BH28</f>
        <v>0</v>
      </c>
      <c r="U26" s="7">
        <f>HOTEL!BJ28</f>
        <v>0</v>
      </c>
      <c r="V26" s="7">
        <f>HOTEL!BL28</f>
        <v>0</v>
      </c>
      <c r="W26" s="7">
        <f>HOTEL!BX28</f>
        <v>0</v>
      </c>
      <c r="X26" s="7">
        <f>HOTEL!CE28</f>
        <v>0</v>
      </c>
      <c r="Y26" s="7">
        <f>HOTEL!CZ28</f>
        <v>0</v>
      </c>
      <c r="Z26" s="7">
        <f>HOTEL!DC27</f>
        <v>0</v>
      </c>
      <c r="AA26" s="7">
        <f>HOTEL!DF28</f>
        <v>0</v>
      </c>
      <c r="AB26" s="8">
        <f>HOTEL!DI28</f>
        <v>0</v>
      </c>
      <c r="AC26" s="7">
        <f>HOTEL!DL28</f>
        <v>0</v>
      </c>
      <c r="AD26" s="8">
        <f>HOTEL!DO28</f>
        <v>0</v>
      </c>
      <c r="AE26" s="7">
        <f>HOTEL!DR28</f>
        <v>0</v>
      </c>
      <c r="AF26" s="7">
        <f>HOTEL!DU28</f>
        <v>0</v>
      </c>
      <c r="AG26" s="7">
        <f>HOTEL!DX28</f>
        <v>0</v>
      </c>
      <c r="AH26" s="7">
        <f>HOTEL!EA28</f>
        <v>0</v>
      </c>
      <c r="AI26" s="7">
        <f>HOTEL!ED28</f>
        <v>0</v>
      </c>
      <c r="AJ26" s="7">
        <f>HOTEL!EG28</f>
        <v>0</v>
      </c>
      <c r="AK26" s="7">
        <f>TOTAL!K26</f>
        <v>0</v>
      </c>
    </row>
    <row r="27" spans="1:37" ht="14.5" x14ac:dyDescent="0.35">
      <c r="A27" s="2" t="s">
        <v>19</v>
      </c>
      <c r="B27" s="7">
        <f>TOTAL!B27</f>
        <v>26</v>
      </c>
      <c r="C27" s="19">
        <v>3</v>
      </c>
      <c r="D27" s="7">
        <v>2023</v>
      </c>
      <c r="E27" s="7">
        <f>TOTAL!E27</f>
        <v>0</v>
      </c>
      <c r="F27" s="7">
        <f>HOTEL!V29</f>
        <v>0</v>
      </c>
      <c r="G27" s="7">
        <f>HOTEL!X29</f>
        <v>0</v>
      </c>
      <c r="H27" s="8">
        <f>HOTEL!EI29</f>
        <v>0</v>
      </c>
      <c r="I27" s="8">
        <f>HOTEL!EK29</f>
        <v>0</v>
      </c>
      <c r="J27" s="8">
        <f>HOTEL!EM29</f>
        <v>0</v>
      </c>
      <c r="K27" s="8">
        <f>HOTEL!EO29</f>
        <v>0</v>
      </c>
      <c r="L27" s="7">
        <f>N27+W27+X27</f>
        <v>0</v>
      </c>
      <c r="M27" s="7">
        <f>HOTEL!AL29</f>
        <v>0</v>
      </c>
      <c r="N27" s="7">
        <f>HOTEL!AT29</f>
        <v>0</v>
      </c>
      <c r="O27" s="7">
        <f>HOTEL!AX29</f>
        <v>0</v>
      </c>
      <c r="P27" s="7">
        <f>HOTEL!AZ29</f>
        <v>0</v>
      </c>
      <c r="Q27" s="7">
        <f>HOTEL!BB29</f>
        <v>0</v>
      </c>
      <c r="R27" s="7">
        <f>HOTEL!BD29</f>
        <v>0</v>
      </c>
      <c r="S27" s="7">
        <f>HOTEL!BF29</f>
        <v>0</v>
      </c>
      <c r="T27" s="7">
        <f>HOTEL!BH29</f>
        <v>0</v>
      </c>
      <c r="U27" s="7">
        <f>HOTEL!BJ29</f>
        <v>0</v>
      </c>
      <c r="V27" s="7">
        <f>HOTEL!BL29</f>
        <v>0</v>
      </c>
      <c r="W27" s="7">
        <f>HOTEL!BX29</f>
        <v>0</v>
      </c>
      <c r="X27" s="7">
        <f>HOTEL!CE29</f>
        <v>0</v>
      </c>
      <c r="Y27" s="7">
        <f>HOTEL!CZ29</f>
        <v>0</v>
      </c>
      <c r="Z27" s="7">
        <f>HOTEL!DC28</f>
        <v>0</v>
      </c>
      <c r="AA27" s="7">
        <f>HOTEL!DF29</f>
        <v>0</v>
      </c>
      <c r="AB27" s="8">
        <f>HOTEL!DI29</f>
        <v>0</v>
      </c>
      <c r="AC27" s="7">
        <f>HOTEL!DL29</f>
        <v>0</v>
      </c>
      <c r="AD27" s="8">
        <f>HOTEL!DO29</f>
        <v>0</v>
      </c>
      <c r="AE27" s="7">
        <f>HOTEL!DR29</f>
        <v>0</v>
      </c>
      <c r="AF27" s="7">
        <f>HOTEL!DU29</f>
        <v>0</v>
      </c>
      <c r="AG27" s="7">
        <f>HOTEL!DX29</f>
        <v>0</v>
      </c>
      <c r="AH27" s="7">
        <f>HOTEL!EA29</f>
        <v>0</v>
      </c>
      <c r="AI27" s="7">
        <f>HOTEL!ED29</f>
        <v>0</v>
      </c>
      <c r="AJ27" s="7">
        <f>HOTEL!EG29</f>
        <v>0</v>
      </c>
      <c r="AK27" s="7">
        <f>TOTAL!K27</f>
        <v>0</v>
      </c>
    </row>
    <row r="28" spans="1:37" ht="14.5" x14ac:dyDescent="0.35">
      <c r="A28" s="2" t="s">
        <v>19</v>
      </c>
      <c r="B28" s="7">
        <f>TOTAL!B28</f>
        <v>27</v>
      </c>
      <c r="C28" s="19">
        <v>3</v>
      </c>
      <c r="D28" s="7">
        <v>2023</v>
      </c>
      <c r="E28" s="7">
        <f>TOTAL!E28</f>
        <v>0</v>
      </c>
      <c r="F28" s="7">
        <f>HOTEL!V30</f>
        <v>0</v>
      </c>
      <c r="G28" s="7">
        <f>HOTEL!X30</f>
        <v>0</v>
      </c>
      <c r="H28" s="8">
        <f>HOTEL!EI30</f>
        <v>0</v>
      </c>
      <c r="I28" s="8">
        <f>HOTEL!EK30</f>
        <v>0</v>
      </c>
      <c r="J28" s="8">
        <f>HOTEL!EM30</f>
        <v>0</v>
      </c>
      <c r="K28" s="8">
        <f>HOTEL!EO30</f>
        <v>0</v>
      </c>
      <c r="L28" s="7">
        <f t="shared" si="1"/>
        <v>0</v>
      </c>
      <c r="M28" s="7">
        <f>HOTEL!AL30</f>
        <v>0</v>
      </c>
      <c r="N28" s="7">
        <f>HOTEL!AT30</f>
        <v>0</v>
      </c>
      <c r="O28" s="7">
        <f>HOTEL!AX30</f>
        <v>0</v>
      </c>
      <c r="P28" s="7">
        <f>HOTEL!AZ30</f>
        <v>0</v>
      </c>
      <c r="Q28" s="7">
        <f>HOTEL!BB30</f>
        <v>0</v>
      </c>
      <c r="R28" s="7">
        <f>HOTEL!BD30</f>
        <v>0</v>
      </c>
      <c r="S28" s="7">
        <f>HOTEL!BF30</f>
        <v>0</v>
      </c>
      <c r="T28" s="7">
        <f>HOTEL!BH30</f>
        <v>0</v>
      </c>
      <c r="U28" s="7">
        <f>HOTEL!BJ30</f>
        <v>0</v>
      </c>
      <c r="V28" s="7">
        <f>HOTEL!BL30</f>
        <v>0</v>
      </c>
      <c r="W28" s="7">
        <f>HOTEL!BX30</f>
        <v>0</v>
      </c>
      <c r="X28" s="7">
        <f>HOTEL!CE30</f>
        <v>0</v>
      </c>
      <c r="Y28" s="7">
        <f>HOTEL!CZ30</f>
        <v>0</v>
      </c>
      <c r="Z28" s="7">
        <f>HOTEL!DC29</f>
        <v>0</v>
      </c>
      <c r="AA28" s="7">
        <f>HOTEL!DF30</f>
        <v>0</v>
      </c>
      <c r="AB28" s="8">
        <f>HOTEL!DI30</f>
        <v>0</v>
      </c>
      <c r="AC28" s="7">
        <f>HOTEL!DL30</f>
        <v>0</v>
      </c>
      <c r="AD28" s="8">
        <f>HOTEL!DO30</f>
        <v>0</v>
      </c>
      <c r="AE28" s="7">
        <f>HOTEL!DR30</f>
        <v>0</v>
      </c>
      <c r="AF28" s="7">
        <f>HOTEL!DU30</f>
        <v>0</v>
      </c>
      <c r="AG28" s="7">
        <f>HOTEL!DX30</f>
        <v>0</v>
      </c>
      <c r="AH28" s="7">
        <f>HOTEL!EA30</f>
        <v>0</v>
      </c>
      <c r="AI28" s="7">
        <f>HOTEL!ED30</f>
        <v>0</v>
      </c>
      <c r="AJ28" s="7">
        <f>HOTEL!EG30</f>
        <v>0</v>
      </c>
      <c r="AK28" s="7">
        <f>TOTAL!K28</f>
        <v>0</v>
      </c>
    </row>
    <row r="29" spans="1:37" ht="14.5" x14ac:dyDescent="0.35">
      <c r="A29" s="2" t="s">
        <v>19</v>
      </c>
      <c r="B29" s="7">
        <f>TOTAL!B29</f>
        <v>28</v>
      </c>
      <c r="C29" s="19">
        <v>3</v>
      </c>
      <c r="D29" s="7">
        <v>2023</v>
      </c>
      <c r="E29" s="7">
        <f>TOTAL!E29</f>
        <v>0</v>
      </c>
      <c r="F29" s="7">
        <f>HOTEL!V31</f>
        <v>0</v>
      </c>
      <c r="G29" s="7">
        <f>HOTEL!X31</f>
        <v>0</v>
      </c>
      <c r="H29" s="8">
        <f>HOTEL!EI31</f>
        <v>0</v>
      </c>
      <c r="I29" s="8">
        <f>HOTEL!EK31</f>
        <v>0</v>
      </c>
      <c r="J29" s="8">
        <f>HOTEL!EM31</f>
        <v>0</v>
      </c>
      <c r="K29" s="8">
        <f>HOTEL!EO31</f>
        <v>0</v>
      </c>
      <c r="L29" s="7">
        <f t="shared" si="1"/>
        <v>0</v>
      </c>
      <c r="M29" s="7">
        <f>HOTEL!AL31</f>
        <v>0</v>
      </c>
      <c r="N29" s="7">
        <f>HOTEL!AT31</f>
        <v>0</v>
      </c>
      <c r="O29" s="7">
        <f>HOTEL!AX31</f>
        <v>0</v>
      </c>
      <c r="P29" s="7">
        <f>HOTEL!AZ31</f>
        <v>0</v>
      </c>
      <c r="Q29" s="7">
        <f>HOTEL!BB31</f>
        <v>0</v>
      </c>
      <c r="R29" s="7">
        <f>HOTEL!BD31</f>
        <v>0</v>
      </c>
      <c r="S29" s="7">
        <f>HOTEL!BF31</f>
        <v>0</v>
      </c>
      <c r="T29" s="7">
        <f>HOTEL!BH31</f>
        <v>0</v>
      </c>
      <c r="U29" s="7">
        <f>HOTEL!BJ31</f>
        <v>0</v>
      </c>
      <c r="V29" s="7">
        <f>HOTEL!BL31</f>
        <v>0</v>
      </c>
      <c r="W29" s="7">
        <f>HOTEL!BX31</f>
        <v>0</v>
      </c>
      <c r="X29" s="7">
        <f>HOTEL!CE31</f>
        <v>0</v>
      </c>
      <c r="Y29" s="7">
        <f>HOTEL!CZ31</f>
        <v>0</v>
      </c>
      <c r="Z29" s="7">
        <f>HOTEL!DC30</f>
        <v>0</v>
      </c>
      <c r="AA29" s="7">
        <f>HOTEL!DF31</f>
        <v>0</v>
      </c>
      <c r="AB29" s="8">
        <f>HOTEL!DI31</f>
        <v>0</v>
      </c>
      <c r="AC29" s="7">
        <f>HOTEL!DL31</f>
        <v>0</v>
      </c>
      <c r="AD29" s="8">
        <f>HOTEL!DO31</f>
        <v>0</v>
      </c>
      <c r="AE29" s="7">
        <f>HOTEL!DR31</f>
        <v>0</v>
      </c>
      <c r="AF29" s="7">
        <f>HOTEL!DU31</f>
        <v>0</v>
      </c>
      <c r="AG29" s="7">
        <f>HOTEL!DX31</f>
        <v>0</v>
      </c>
      <c r="AH29" s="7">
        <f>HOTEL!EA31</f>
        <v>0</v>
      </c>
      <c r="AI29" s="7">
        <f>HOTEL!ED31</f>
        <v>0</v>
      </c>
      <c r="AJ29" s="7">
        <f>HOTEL!EG31</f>
        <v>0</v>
      </c>
      <c r="AK29" s="7">
        <f>TOTAL!K29</f>
        <v>0</v>
      </c>
    </row>
    <row r="30" spans="1:37" ht="14.5" x14ac:dyDescent="0.35">
      <c r="A30" s="2" t="s">
        <v>19</v>
      </c>
      <c r="B30" s="7">
        <f>TOTAL!B30</f>
        <v>29</v>
      </c>
      <c r="C30" s="19">
        <v>3</v>
      </c>
      <c r="D30" s="7">
        <v>2023</v>
      </c>
      <c r="E30" s="7">
        <f>TOTAL!E30</f>
        <v>0</v>
      </c>
      <c r="F30" s="7">
        <f>HOTEL!V32</f>
        <v>0</v>
      </c>
      <c r="G30" s="7">
        <f>HOTEL!X32</f>
        <v>0</v>
      </c>
      <c r="H30" s="8">
        <f>HOTEL!EI32</f>
        <v>0</v>
      </c>
      <c r="I30" s="8">
        <f>HOTEL!EK32</f>
        <v>0</v>
      </c>
      <c r="J30" s="8">
        <f>HOTEL!EM32</f>
        <v>0</v>
      </c>
      <c r="K30" s="8">
        <f>HOTEL!EO32</f>
        <v>191</v>
      </c>
      <c r="L30" s="7">
        <f>N30+W30+X30</f>
        <v>0</v>
      </c>
      <c r="M30" s="7">
        <f>HOTEL!AL32</f>
        <v>0</v>
      </c>
      <c r="N30" s="7">
        <f>HOTEL!AT32</f>
        <v>0</v>
      </c>
      <c r="O30" s="7">
        <f>HOTEL!AX32</f>
        <v>0</v>
      </c>
      <c r="P30" s="7">
        <f>HOTEL!AZ32</f>
        <v>0</v>
      </c>
      <c r="Q30" s="7">
        <f>HOTEL!BB32</f>
        <v>0</v>
      </c>
      <c r="R30" s="7">
        <f>HOTEL!BD32</f>
        <v>0</v>
      </c>
      <c r="S30" s="7">
        <f>HOTEL!BF32</f>
        <v>0</v>
      </c>
      <c r="T30" s="7">
        <f>HOTEL!BH32</f>
        <v>0</v>
      </c>
      <c r="U30" s="7">
        <f>HOTEL!BJ32</f>
        <v>0</v>
      </c>
      <c r="V30" s="7">
        <f>HOTEL!BL32</f>
        <v>0</v>
      </c>
      <c r="W30" s="7">
        <f>HOTEL!BX32</f>
        <v>0</v>
      </c>
      <c r="X30" s="7">
        <f>HOTEL!CE32</f>
        <v>0</v>
      </c>
      <c r="Y30" s="7">
        <f>HOTEL!CZ32</f>
        <v>0</v>
      </c>
      <c r="Z30" s="7">
        <f>HOTEL!DC31</f>
        <v>0</v>
      </c>
      <c r="AA30" s="7">
        <f>HOTEL!DF32</f>
        <v>0</v>
      </c>
      <c r="AB30" s="8">
        <f>HOTEL!DI32</f>
        <v>0</v>
      </c>
      <c r="AC30" s="7">
        <f>HOTEL!DL32</f>
        <v>0</v>
      </c>
      <c r="AD30" s="8">
        <f>HOTEL!DO32</f>
        <v>0</v>
      </c>
      <c r="AE30" s="7">
        <f>HOTEL!DR32</f>
        <v>0</v>
      </c>
      <c r="AF30" s="7">
        <f>HOTEL!DU32</f>
        <v>0</v>
      </c>
      <c r="AG30" s="7">
        <f>HOTEL!DX32</f>
        <v>0</v>
      </c>
      <c r="AH30" s="7">
        <f>HOTEL!EA32</f>
        <v>0</v>
      </c>
      <c r="AI30" s="7">
        <f>HOTEL!ED32</f>
        <v>0</v>
      </c>
      <c r="AJ30" s="7">
        <f>HOTEL!EG32</f>
        <v>0</v>
      </c>
      <c r="AK30" s="7">
        <f>TOTAL!K30</f>
        <v>0.72</v>
      </c>
    </row>
    <row r="31" spans="1:37" ht="14.5" x14ac:dyDescent="0.35">
      <c r="A31" s="2" t="s">
        <v>19</v>
      </c>
      <c r="B31" s="7">
        <f>TOTAL!B31</f>
        <v>30</v>
      </c>
      <c r="C31" s="19">
        <v>3</v>
      </c>
      <c r="D31" s="7">
        <v>2023</v>
      </c>
      <c r="E31" s="7">
        <f>TOTAL!E31</f>
        <v>0</v>
      </c>
      <c r="F31" s="7">
        <f>HOTEL!V33</f>
        <v>0</v>
      </c>
      <c r="G31" s="7">
        <f>HOTEL!X33</f>
        <v>0</v>
      </c>
      <c r="H31" s="8">
        <f>HOTEL!EI33</f>
        <v>0</v>
      </c>
      <c r="I31" s="8">
        <f>HOTEL!EK33</f>
        <v>0</v>
      </c>
      <c r="J31" s="8">
        <f>HOTEL!EM33</f>
        <v>0</v>
      </c>
      <c r="K31" s="8">
        <f>HOTEL!EO33</f>
        <v>180</v>
      </c>
      <c r="L31" s="7">
        <f t="shared" si="1"/>
        <v>0</v>
      </c>
      <c r="M31" s="7">
        <f>HOTEL!AL33</f>
        <v>0</v>
      </c>
      <c r="N31" s="7">
        <f>HOTEL!AT33</f>
        <v>0</v>
      </c>
      <c r="O31" s="7">
        <f>HOTEL!AX33</f>
        <v>0</v>
      </c>
      <c r="P31" s="7">
        <f>HOTEL!AZ33</f>
        <v>0</v>
      </c>
      <c r="Q31" s="7">
        <f>HOTEL!BB33</f>
        <v>0</v>
      </c>
      <c r="R31" s="7">
        <f>HOTEL!BD33</f>
        <v>0</v>
      </c>
      <c r="S31" s="7">
        <f>HOTEL!BF33</f>
        <v>0</v>
      </c>
      <c r="T31" s="7">
        <f>HOTEL!BH33</f>
        <v>0</v>
      </c>
      <c r="U31" s="7">
        <f>HOTEL!BJ33</f>
        <v>0</v>
      </c>
      <c r="V31" s="7">
        <f>HOTEL!BL33</f>
        <v>0</v>
      </c>
      <c r="W31" s="7">
        <f>HOTEL!BX33</f>
        <v>0</v>
      </c>
      <c r="X31" s="7">
        <f>HOTEL!CE33</f>
        <v>0</v>
      </c>
      <c r="Y31" s="7">
        <f>HOTEL!CZ33</f>
        <v>0</v>
      </c>
      <c r="Z31" s="7">
        <f>HOTEL!DC32</f>
        <v>0</v>
      </c>
      <c r="AA31" s="7">
        <f>HOTEL!DF33</f>
        <v>0</v>
      </c>
      <c r="AB31" s="8">
        <f>HOTEL!DI33</f>
        <v>0</v>
      </c>
      <c r="AC31" s="7">
        <f>HOTEL!DL33</f>
        <v>0</v>
      </c>
      <c r="AD31" s="8">
        <f>HOTEL!DO33</f>
        <v>0</v>
      </c>
      <c r="AE31" s="7">
        <f>HOTEL!DR33</f>
        <v>0</v>
      </c>
      <c r="AF31" s="7">
        <f>HOTEL!DU33</f>
        <v>0</v>
      </c>
      <c r="AG31" s="7">
        <f>HOTEL!DX33</f>
        <v>0</v>
      </c>
      <c r="AH31" s="7">
        <f>HOTEL!EA33</f>
        <v>0</v>
      </c>
      <c r="AI31" s="7">
        <f>HOTEL!ED33</f>
        <v>0</v>
      </c>
      <c r="AJ31" s="7">
        <f>HOTEL!EG33</f>
        <v>0</v>
      </c>
      <c r="AK31" s="7">
        <f>TOTAL!K31</f>
        <v>0.73799999999999999</v>
      </c>
    </row>
    <row r="32" spans="1:37" ht="14.5" x14ac:dyDescent="0.35">
      <c r="A32" s="2" t="s">
        <v>19</v>
      </c>
      <c r="B32" s="7">
        <f>TOTAL!B32</f>
        <v>31</v>
      </c>
      <c r="C32" s="19">
        <v>3</v>
      </c>
      <c r="D32" s="7">
        <v>2023</v>
      </c>
      <c r="E32" s="7">
        <f>TOTAL!E32</f>
        <v>0</v>
      </c>
      <c r="F32" s="7">
        <f>HOTEL!V34</f>
        <v>0</v>
      </c>
      <c r="G32" s="7">
        <f>HOTEL!X34</f>
        <v>0</v>
      </c>
      <c r="H32" s="8">
        <f>HOTEL!EI34</f>
        <v>0</v>
      </c>
      <c r="I32" s="8">
        <f>HOTEL!EK34</f>
        <v>0</v>
      </c>
      <c r="J32" s="8">
        <f>HOTEL!EM34</f>
        <v>0</v>
      </c>
      <c r="K32" s="8">
        <f>HOTEL!EO34</f>
        <v>163</v>
      </c>
      <c r="L32" s="7">
        <f>N32+W32+X32</f>
        <v>0</v>
      </c>
      <c r="M32" s="7">
        <f>HOTEL!AL34</f>
        <v>0</v>
      </c>
      <c r="N32" s="7">
        <f>HOTEL!AT34</f>
        <v>0</v>
      </c>
      <c r="O32" s="7">
        <f>HOTEL!AX34</f>
        <v>0</v>
      </c>
      <c r="P32" s="7">
        <f>HOTEL!AZ34</f>
        <v>0</v>
      </c>
      <c r="Q32" s="7">
        <f>HOTEL!BB34</f>
        <v>0</v>
      </c>
      <c r="R32" s="7">
        <f>HOTEL!BD34</f>
        <v>0</v>
      </c>
      <c r="S32" s="7">
        <f>HOTEL!BF34</f>
        <v>0</v>
      </c>
      <c r="T32" s="7">
        <f>HOTEL!BH34</f>
        <v>0</v>
      </c>
      <c r="U32" s="7">
        <f>HOTEL!BJ34</f>
        <v>0</v>
      </c>
      <c r="V32" s="7">
        <f>HOTEL!BL34</f>
        <v>0</v>
      </c>
      <c r="W32" s="7">
        <f>HOTEL!BX34</f>
        <v>0</v>
      </c>
      <c r="X32" s="7">
        <f>HOTEL!CE34</f>
        <v>0</v>
      </c>
      <c r="Y32" s="7">
        <f>HOTEL!CZ34</f>
        <v>0</v>
      </c>
      <c r="Z32" s="7">
        <f>HOTEL!DC33</f>
        <v>0</v>
      </c>
      <c r="AA32" s="7">
        <f>HOTEL!DF34</f>
        <v>0</v>
      </c>
      <c r="AB32" s="8">
        <f>HOTEL!DI34</f>
        <v>0</v>
      </c>
      <c r="AC32" s="7">
        <f>HOTEL!DL34</f>
        <v>0</v>
      </c>
      <c r="AD32" s="8">
        <f>HOTEL!DO34</f>
        <v>0</v>
      </c>
      <c r="AE32" s="7">
        <f>HOTEL!DR34</f>
        <v>0</v>
      </c>
      <c r="AF32" s="7">
        <f>HOTEL!DU34</f>
        <v>0</v>
      </c>
      <c r="AG32" s="7">
        <f>HOTEL!DX34</f>
        <v>0</v>
      </c>
      <c r="AH32" s="7">
        <f>HOTEL!EA34</f>
        <v>0</v>
      </c>
      <c r="AI32" s="7">
        <f>HOTEL!ED34</f>
        <v>0</v>
      </c>
      <c r="AJ32" s="7">
        <f>HOTEL!EG34</f>
        <v>0</v>
      </c>
      <c r="AK32" s="7">
        <f>TOTAL!K32</f>
        <v>0.77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Y52"/>
  <sheetViews>
    <sheetView zoomScale="85" zoomScaleNormal="85" workbookViewId="0">
      <pane xSplit="1" ySplit="2" topLeftCell="DP3" activePane="bottomRight" state="frozen"/>
      <selection pane="topRight" activeCell="B1" sqref="B1"/>
      <selection pane="bottomLeft" activeCell="A3" sqref="A3"/>
      <selection pane="bottomRight" activeCell="AC12" sqref="AC12"/>
    </sheetView>
  </sheetViews>
  <sheetFormatPr defaultRowHeight="12.5" x14ac:dyDescent="0.25"/>
  <cols>
    <col min="1" max="1" width="9.54296875" customWidth="1"/>
    <col min="2" max="2" width="11.81640625" customWidth="1"/>
    <col min="3" max="3" width="10.54296875" style="21" customWidth="1"/>
    <col min="4" max="4" width="12.453125" customWidth="1"/>
    <col min="5" max="5" width="11" style="21" customWidth="1"/>
    <col min="6" max="6" width="9.54296875" customWidth="1"/>
    <col min="7" max="7" width="9.1796875" customWidth="1"/>
    <col min="8" max="10" width="9.453125" customWidth="1"/>
    <col min="11" max="16" width="9.1796875" customWidth="1"/>
    <col min="17" max="17" width="11.7265625" customWidth="1"/>
    <col min="18" max="18" width="9.81640625" customWidth="1"/>
    <col min="19" max="19" width="14.26953125" customWidth="1"/>
    <col min="20" max="20" width="9.81640625" customWidth="1"/>
    <col min="21" max="21" width="11.7265625" customWidth="1"/>
    <col min="22" max="22" width="9.81640625" customWidth="1"/>
    <col min="23" max="23" width="14.26953125" customWidth="1"/>
    <col min="24" max="24" width="13.26953125" customWidth="1"/>
    <col min="25" max="26" width="10" customWidth="1"/>
    <col min="27" max="27" width="3.81640625" customWidth="1"/>
    <col min="28" max="29" width="9.81640625" customWidth="1"/>
    <col min="30" max="30" width="9.1796875" customWidth="1"/>
    <col min="31" max="31" width="12" customWidth="1"/>
    <col min="32" max="32" width="9.1796875" customWidth="1"/>
    <col min="33" max="34" width="10" customWidth="1"/>
    <col min="35" max="35" width="9.1796875" customWidth="1"/>
    <col min="36" max="36" width="8.81640625" customWidth="1"/>
    <col min="37" max="37" width="13.7265625" customWidth="1"/>
    <col min="38" max="43" width="9.1796875" customWidth="1"/>
    <col min="44" max="46" width="9.7265625" customWidth="1"/>
    <col min="47" max="62" width="9.1796875" customWidth="1"/>
    <col min="63" max="63" width="12.81640625" customWidth="1"/>
    <col min="64" max="64" width="8.54296875" customWidth="1"/>
    <col min="65" max="65" width="13.1796875" customWidth="1"/>
    <col min="66" max="66" width="9.7265625" customWidth="1"/>
    <col min="67" max="67" width="9.81640625" customWidth="1"/>
    <col min="68" max="68" width="9.1796875" customWidth="1"/>
    <col min="69" max="69" width="12.81640625" customWidth="1"/>
    <col min="70" max="70" width="9.1796875" customWidth="1"/>
    <col min="71" max="71" width="11" customWidth="1"/>
    <col min="72" max="72" width="14.54296875" customWidth="1"/>
    <col min="73" max="73" width="10" customWidth="1"/>
    <col min="74" max="76" width="9.7265625" customWidth="1"/>
    <col min="77" max="77" width="12.453125" customWidth="1"/>
    <col min="78" max="81" width="9.7265625" customWidth="1"/>
    <col min="82" max="82" width="11.81640625" customWidth="1"/>
    <col min="83" max="83" width="10" customWidth="1"/>
    <col min="84" max="84" width="10.26953125" customWidth="1"/>
    <col min="85" max="85" width="10.54296875" bestFit="1" customWidth="1"/>
    <col min="86" max="86" width="6" customWidth="1"/>
    <col min="87" max="87" width="9.453125" customWidth="1"/>
    <col min="88" max="88" width="11.81640625" customWidth="1"/>
    <col min="97" max="97" width="13.54296875" bestFit="1" customWidth="1"/>
    <col min="98" max="98" width="10.1796875" bestFit="1" customWidth="1"/>
    <col min="100" max="100" width="16.1796875" customWidth="1"/>
    <col min="104" max="104" width="8.7265625" customWidth="1"/>
    <col min="105" max="105" width="14.54296875" bestFit="1" customWidth="1"/>
    <col min="106" max="106" width="11.54296875" bestFit="1" customWidth="1"/>
    <col min="109" max="109" width="10.1796875" bestFit="1" customWidth="1"/>
    <col min="111" max="111" width="9.7265625" bestFit="1" customWidth="1"/>
    <col min="136" max="139" width="8.7265625" customWidth="1"/>
    <col min="140" max="140" width="10.26953125" bestFit="1" customWidth="1"/>
    <col min="142" max="142" width="11.26953125" customWidth="1"/>
    <col min="144" max="144" width="12" customWidth="1"/>
    <col min="147" max="147" width="13.1796875" customWidth="1"/>
    <col min="148" max="148" width="16.26953125" customWidth="1"/>
    <col min="149" max="149" width="19.1796875" customWidth="1"/>
    <col min="154" max="154" width="77.1796875" customWidth="1"/>
  </cols>
  <sheetData>
    <row r="1" spans="1:155" s="23" customFormat="1" ht="39.75" customHeight="1" x14ac:dyDescent="0.35">
      <c r="A1" s="30"/>
      <c r="B1" s="72" t="s">
        <v>52</v>
      </c>
      <c r="C1" s="72"/>
      <c r="D1" s="72"/>
      <c r="E1" s="72"/>
      <c r="F1" s="72"/>
      <c r="G1" s="72"/>
      <c r="H1" s="72"/>
      <c r="I1" s="72" t="s">
        <v>53</v>
      </c>
      <c r="J1" s="72"/>
      <c r="K1" s="72"/>
      <c r="L1" s="72"/>
      <c r="M1" s="72" t="s">
        <v>54</v>
      </c>
      <c r="N1" s="72"/>
      <c r="O1" s="72"/>
      <c r="P1" s="72"/>
      <c r="Q1" s="31" t="s">
        <v>55</v>
      </c>
      <c r="R1" s="29" t="s">
        <v>56</v>
      </c>
      <c r="S1" s="32" t="s">
        <v>57</v>
      </c>
      <c r="T1" s="29" t="s">
        <v>56</v>
      </c>
      <c r="U1" s="31" t="s">
        <v>58</v>
      </c>
      <c r="V1" s="29" t="s">
        <v>56</v>
      </c>
      <c r="W1" s="32" t="s">
        <v>22</v>
      </c>
      <c r="X1" s="32" t="s">
        <v>56</v>
      </c>
      <c r="Y1" s="72" t="s">
        <v>59</v>
      </c>
      <c r="Z1" s="72"/>
      <c r="AA1" s="29"/>
      <c r="AB1" s="33" t="s">
        <v>60</v>
      </c>
      <c r="AC1" s="33" t="s">
        <v>61</v>
      </c>
      <c r="AD1" s="34" t="s">
        <v>62</v>
      </c>
      <c r="AE1" s="33"/>
      <c r="AF1" s="33"/>
      <c r="AG1" s="35"/>
      <c r="AH1" s="35"/>
      <c r="AI1" s="75" t="s">
        <v>63</v>
      </c>
      <c r="AJ1" s="75"/>
      <c r="AK1" s="36" t="s">
        <v>64</v>
      </c>
      <c r="AL1" s="36"/>
      <c r="AM1" s="37" t="s">
        <v>65</v>
      </c>
      <c r="AN1" s="36" t="s">
        <v>56</v>
      </c>
      <c r="AO1" s="37"/>
      <c r="AP1" s="36" t="s">
        <v>56</v>
      </c>
      <c r="AQ1" s="73" t="s">
        <v>66</v>
      </c>
      <c r="AR1" s="73"/>
      <c r="AS1" s="73" t="s">
        <v>67</v>
      </c>
      <c r="AT1" s="73"/>
      <c r="AU1" s="72" t="s">
        <v>68</v>
      </c>
      <c r="AV1" s="72"/>
      <c r="AW1" s="72" t="s">
        <v>69</v>
      </c>
      <c r="AX1" s="72"/>
      <c r="AY1" s="72" t="s">
        <v>70</v>
      </c>
      <c r="AZ1" s="72"/>
      <c r="BA1" s="72" t="s">
        <v>71</v>
      </c>
      <c r="BB1" s="72"/>
      <c r="BC1" s="72" t="s">
        <v>72</v>
      </c>
      <c r="BD1" s="72"/>
      <c r="BE1" s="72" t="s">
        <v>73</v>
      </c>
      <c r="BF1" s="72"/>
      <c r="BG1" s="72" t="s">
        <v>74</v>
      </c>
      <c r="BH1" s="72"/>
      <c r="BI1" s="72" t="s">
        <v>75</v>
      </c>
      <c r="BJ1" s="72"/>
      <c r="BK1" s="29"/>
      <c r="BL1" s="29"/>
      <c r="BM1" s="29"/>
      <c r="BN1" s="29"/>
      <c r="BO1" s="29"/>
      <c r="BP1" s="29"/>
      <c r="BQ1" s="20"/>
      <c r="BR1" s="20"/>
      <c r="BS1" s="20"/>
      <c r="BT1" s="20"/>
      <c r="BU1" s="73" t="s">
        <v>76</v>
      </c>
      <c r="BV1" s="73"/>
      <c r="BW1" s="73" t="s">
        <v>77</v>
      </c>
      <c r="BX1" s="73"/>
      <c r="BY1" s="72" t="s">
        <v>78</v>
      </c>
      <c r="BZ1" s="72"/>
      <c r="CA1" s="73" t="s">
        <v>79</v>
      </c>
      <c r="CB1" s="73"/>
      <c r="CC1" s="35"/>
      <c r="CD1" s="35"/>
      <c r="CE1" s="35"/>
      <c r="CF1" s="38" t="s">
        <v>80</v>
      </c>
      <c r="CG1" s="39"/>
      <c r="CH1" s="39"/>
      <c r="CI1" s="39"/>
      <c r="CJ1" s="40" t="s">
        <v>81</v>
      </c>
      <c r="CK1" s="4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74" t="s">
        <v>82</v>
      </c>
      <c r="DF1" s="74"/>
      <c r="DG1" s="74"/>
      <c r="DH1" s="72" t="s">
        <v>83</v>
      </c>
      <c r="DI1" s="72"/>
      <c r="DJ1" s="72"/>
      <c r="DK1" s="74" t="s">
        <v>69</v>
      </c>
      <c r="DL1" s="74"/>
      <c r="DM1" s="74"/>
      <c r="DN1" s="74" t="s">
        <v>70</v>
      </c>
      <c r="DO1" s="74"/>
      <c r="DP1" s="74"/>
      <c r="DQ1" s="74" t="s">
        <v>71</v>
      </c>
      <c r="DR1" s="74"/>
      <c r="DS1" s="74"/>
      <c r="DT1" s="74" t="s">
        <v>72</v>
      </c>
      <c r="DU1" s="74"/>
      <c r="DV1" s="74"/>
      <c r="DW1" s="74" t="s">
        <v>73</v>
      </c>
      <c r="DX1" s="74"/>
      <c r="DY1" s="74"/>
      <c r="DZ1" s="74" t="s">
        <v>74</v>
      </c>
      <c r="EA1" s="74"/>
      <c r="EB1" s="74"/>
      <c r="EC1" s="74" t="s">
        <v>75</v>
      </c>
      <c r="ED1" s="74"/>
      <c r="EE1" s="74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75" t="s">
        <v>84</v>
      </c>
      <c r="ER1" s="75"/>
      <c r="ES1" s="75"/>
      <c r="ET1" s="76" t="s">
        <v>85</v>
      </c>
      <c r="EU1" s="76"/>
      <c r="EV1" s="76"/>
    </row>
    <row r="2" spans="1:155" ht="29" x14ac:dyDescent="0.35">
      <c r="A2" s="25" t="s">
        <v>86</v>
      </c>
      <c r="B2" s="25" t="s">
        <v>87</v>
      </c>
      <c r="C2" s="42" t="s">
        <v>56</v>
      </c>
      <c r="D2" s="25" t="s">
        <v>88</v>
      </c>
      <c r="E2" s="43" t="s">
        <v>56</v>
      </c>
      <c r="F2" s="25" t="s">
        <v>89</v>
      </c>
      <c r="G2" s="25" t="s">
        <v>90</v>
      </c>
      <c r="H2" s="44" t="s">
        <v>91</v>
      </c>
      <c r="I2" s="25" t="s">
        <v>88</v>
      </c>
      <c r="J2" s="42" t="s">
        <v>56</v>
      </c>
      <c r="K2" s="25" t="s">
        <v>92</v>
      </c>
      <c r="L2" s="42" t="s">
        <v>56</v>
      </c>
      <c r="M2" s="25" t="s">
        <v>88</v>
      </c>
      <c r="N2" s="42" t="s">
        <v>56</v>
      </c>
      <c r="O2" s="25" t="s">
        <v>92</v>
      </c>
      <c r="P2" s="42" t="s">
        <v>56</v>
      </c>
      <c r="Q2" s="25" t="s">
        <v>88</v>
      </c>
      <c r="R2" s="42" t="s">
        <v>56</v>
      </c>
      <c r="S2" s="25" t="s">
        <v>88</v>
      </c>
      <c r="T2" s="42" t="s">
        <v>56</v>
      </c>
      <c r="U2" s="25" t="s">
        <v>88</v>
      </c>
      <c r="V2" s="42" t="s">
        <v>56</v>
      </c>
      <c r="W2" s="25" t="s">
        <v>88</v>
      </c>
      <c r="X2" s="42" t="s">
        <v>56</v>
      </c>
      <c r="Y2" s="25" t="s">
        <v>93</v>
      </c>
      <c r="Z2" s="45" t="s">
        <v>56</v>
      </c>
      <c r="AA2" s="45"/>
      <c r="AB2" s="25"/>
      <c r="AC2" s="25"/>
      <c r="AD2" s="25"/>
      <c r="AE2" s="25" t="s">
        <v>94</v>
      </c>
      <c r="AF2" s="25" t="s">
        <v>95</v>
      </c>
      <c r="AG2" s="24" t="s">
        <v>96</v>
      </c>
      <c r="AH2" s="24"/>
      <c r="AI2" s="25" t="s">
        <v>97</v>
      </c>
      <c r="AJ2" s="25" t="s">
        <v>56</v>
      </c>
      <c r="AK2" s="25"/>
      <c r="AL2" s="25" t="s">
        <v>56</v>
      </c>
      <c r="AM2" s="25"/>
      <c r="AN2" s="25"/>
      <c r="AO2" s="25"/>
      <c r="AP2" s="25"/>
      <c r="AQ2" s="25" t="s">
        <v>98</v>
      </c>
      <c r="AR2" s="25" t="s">
        <v>99</v>
      </c>
      <c r="AS2" s="25"/>
      <c r="AT2" s="25"/>
      <c r="AU2" s="25" t="s">
        <v>100</v>
      </c>
      <c r="AV2" s="25" t="s">
        <v>95</v>
      </c>
      <c r="AW2" s="25" t="s">
        <v>69</v>
      </c>
      <c r="AX2" s="25" t="s">
        <v>95</v>
      </c>
      <c r="AY2" s="25" t="s">
        <v>70</v>
      </c>
      <c r="AZ2" s="25" t="s">
        <v>95</v>
      </c>
      <c r="BA2" s="25" t="s">
        <v>71</v>
      </c>
      <c r="BB2" s="25" t="s">
        <v>99</v>
      </c>
      <c r="BC2" s="25" t="s">
        <v>72</v>
      </c>
      <c r="BD2" s="25" t="s">
        <v>99</v>
      </c>
      <c r="BE2" s="25" t="s">
        <v>73</v>
      </c>
      <c r="BF2" s="25" t="s">
        <v>99</v>
      </c>
      <c r="BG2" s="25" t="s">
        <v>74</v>
      </c>
      <c r="BH2" s="25" t="s">
        <v>99</v>
      </c>
      <c r="BI2" s="25" t="s">
        <v>75</v>
      </c>
      <c r="BJ2" s="25" t="s">
        <v>95</v>
      </c>
      <c r="BK2" s="25" t="s">
        <v>101</v>
      </c>
      <c r="BL2" s="25" t="s">
        <v>95</v>
      </c>
      <c r="BM2" s="46" t="s">
        <v>102</v>
      </c>
      <c r="BN2" s="25" t="s">
        <v>95</v>
      </c>
      <c r="BO2" s="46" t="s">
        <v>103</v>
      </c>
      <c r="BP2" s="25" t="s">
        <v>95</v>
      </c>
      <c r="BQ2" s="25" t="s">
        <v>104</v>
      </c>
      <c r="BR2" s="25" t="s">
        <v>99</v>
      </c>
      <c r="BS2" s="25" t="s">
        <v>105</v>
      </c>
      <c r="BT2" s="25" t="s">
        <v>106</v>
      </c>
      <c r="BU2" s="25" t="s">
        <v>107</v>
      </c>
      <c r="BV2" s="25" t="s">
        <v>99</v>
      </c>
      <c r="BW2" s="25"/>
      <c r="BX2" s="25"/>
      <c r="BY2" s="25" t="s">
        <v>108</v>
      </c>
      <c r="BZ2" s="25" t="s">
        <v>99</v>
      </c>
      <c r="CA2" s="25"/>
      <c r="CB2" s="25"/>
      <c r="CC2" s="25" t="s">
        <v>108</v>
      </c>
      <c r="CD2" s="24" t="s">
        <v>109</v>
      </c>
      <c r="CE2" s="24" t="s">
        <v>110</v>
      </c>
      <c r="CF2" s="47" t="s">
        <v>111</v>
      </c>
      <c r="CG2" s="47" t="s">
        <v>112</v>
      </c>
      <c r="CH2" s="47" t="s">
        <v>113</v>
      </c>
      <c r="CI2" s="47" t="s">
        <v>56</v>
      </c>
      <c r="CJ2" s="25" t="s">
        <v>114</v>
      </c>
      <c r="CK2" s="25" t="s">
        <v>115</v>
      </c>
      <c r="CL2" s="25" t="s">
        <v>116</v>
      </c>
      <c r="CM2" s="25" t="s">
        <v>117</v>
      </c>
      <c r="CN2" s="25" t="s">
        <v>112</v>
      </c>
      <c r="CO2" s="25" t="s">
        <v>118</v>
      </c>
      <c r="CP2" s="25" t="s">
        <v>112</v>
      </c>
      <c r="CQ2" s="25" t="s">
        <v>119</v>
      </c>
      <c r="CR2" s="25" t="s">
        <v>112</v>
      </c>
      <c r="CS2" s="25" t="s">
        <v>120</v>
      </c>
      <c r="CT2" s="25" t="s">
        <v>99</v>
      </c>
      <c r="CU2" s="25" t="s">
        <v>121</v>
      </c>
      <c r="CV2" s="27" t="s">
        <v>122</v>
      </c>
      <c r="CW2" s="25" t="s">
        <v>123</v>
      </c>
      <c r="CX2" s="25" t="s">
        <v>124</v>
      </c>
      <c r="CY2" s="25" t="s">
        <v>125</v>
      </c>
      <c r="CZ2" s="25" t="s">
        <v>123</v>
      </c>
      <c r="DA2" s="25" t="s">
        <v>124</v>
      </c>
      <c r="DB2" s="25" t="s">
        <v>126</v>
      </c>
      <c r="DC2" s="25" t="s">
        <v>123</v>
      </c>
      <c r="DD2" s="25" t="s">
        <v>124</v>
      </c>
      <c r="DE2" s="25"/>
      <c r="DF2" s="25" t="s">
        <v>123</v>
      </c>
      <c r="DG2" s="25" t="s">
        <v>124</v>
      </c>
      <c r="DH2" s="25"/>
      <c r="DI2" s="25" t="s">
        <v>123</v>
      </c>
      <c r="DJ2" s="25" t="s">
        <v>124</v>
      </c>
      <c r="DK2" s="25"/>
      <c r="DL2" s="25" t="s">
        <v>123</v>
      </c>
      <c r="DM2" s="25" t="s">
        <v>124</v>
      </c>
      <c r="DN2" s="25"/>
      <c r="DO2" s="25" t="s">
        <v>123</v>
      </c>
      <c r="DP2" s="25" t="s">
        <v>124</v>
      </c>
      <c r="DQ2" s="25"/>
      <c r="DR2" s="25" t="s">
        <v>123</v>
      </c>
      <c r="DS2" s="25" t="s">
        <v>124</v>
      </c>
      <c r="DT2" s="25"/>
      <c r="DU2" s="25" t="s">
        <v>123</v>
      </c>
      <c r="DV2" s="25" t="s">
        <v>124</v>
      </c>
      <c r="DW2" s="25"/>
      <c r="DX2" s="25" t="s">
        <v>123</v>
      </c>
      <c r="DY2" s="25" t="s">
        <v>124</v>
      </c>
      <c r="DZ2" s="25"/>
      <c r="EA2" s="25" t="s">
        <v>123</v>
      </c>
      <c r="EB2" s="25" t="s">
        <v>124</v>
      </c>
      <c r="EC2" s="25"/>
      <c r="ED2" s="25" t="s">
        <v>123</v>
      </c>
      <c r="EE2" s="25" t="s">
        <v>124</v>
      </c>
      <c r="EF2" s="48">
        <v>145</v>
      </c>
      <c r="EG2" s="41" t="s">
        <v>56</v>
      </c>
      <c r="EH2" s="49">
        <v>146</v>
      </c>
      <c r="EI2" s="41" t="s">
        <v>56</v>
      </c>
      <c r="EJ2" s="41" t="s">
        <v>127</v>
      </c>
      <c r="EK2" s="41" t="s">
        <v>56</v>
      </c>
      <c r="EL2" s="41" t="s">
        <v>128</v>
      </c>
      <c r="EM2" s="41" t="s">
        <v>56</v>
      </c>
      <c r="EN2" s="50" t="s">
        <v>129</v>
      </c>
      <c r="EO2" s="50" t="s">
        <v>130</v>
      </c>
      <c r="EP2" s="51" t="s">
        <v>131</v>
      </c>
      <c r="EQ2" s="41" t="s">
        <v>132</v>
      </c>
      <c r="ER2" s="41" t="s">
        <v>133</v>
      </c>
      <c r="ES2" s="41" t="s">
        <v>134</v>
      </c>
      <c r="ET2" s="52">
        <v>0.75</v>
      </c>
      <c r="EU2" s="52">
        <v>0</v>
      </c>
      <c r="EV2" s="52">
        <v>0.25</v>
      </c>
    </row>
    <row r="3" spans="1:155" s="15" customFormat="1" ht="14.5" x14ac:dyDescent="0.35">
      <c r="A3" s="53">
        <v>44985</v>
      </c>
      <c r="B3" s="54">
        <v>9862912</v>
      </c>
      <c r="C3" s="55">
        <v>23536</v>
      </c>
      <c r="D3" s="54">
        <v>8708003</v>
      </c>
      <c r="E3" s="55">
        <v>23191</v>
      </c>
      <c r="F3" s="54">
        <v>0.99</v>
      </c>
      <c r="G3" s="54">
        <v>1324</v>
      </c>
      <c r="H3" s="54">
        <v>1278</v>
      </c>
      <c r="I3" s="54">
        <v>296394</v>
      </c>
      <c r="J3" s="55">
        <v>0</v>
      </c>
      <c r="K3" s="56">
        <v>822</v>
      </c>
      <c r="L3" s="55">
        <v>0</v>
      </c>
      <c r="M3" s="56">
        <v>652202</v>
      </c>
      <c r="N3" s="55">
        <v>0</v>
      </c>
      <c r="O3" s="56">
        <v>1052</v>
      </c>
      <c r="P3" s="55">
        <v>0</v>
      </c>
      <c r="Q3" s="56">
        <v>5825600</v>
      </c>
      <c r="R3" s="55">
        <v>15200</v>
      </c>
      <c r="S3" s="56">
        <v>5282600</v>
      </c>
      <c r="T3" s="55">
        <v>15200</v>
      </c>
      <c r="U3" s="56">
        <v>3183406</v>
      </c>
      <c r="V3" s="55">
        <v>736</v>
      </c>
      <c r="W3" s="56">
        <v>2439424</v>
      </c>
      <c r="X3" s="55">
        <v>543</v>
      </c>
      <c r="Y3" s="56">
        <v>14953</v>
      </c>
      <c r="Z3" s="55">
        <v>368</v>
      </c>
      <c r="AA3" s="55"/>
      <c r="AB3" s="57">
        <v>0.92</v>
      </c>
      <c r="AC3" s="56">
        <v>367</v>
      </c>
      <c r="AD3" s="28">
        <v>2</v>
      </c>
      <c r="AE3" s="56">
        <v>3556</v>
      </c>
      <c r="AF3" s="55">
        <v>67</v>
      </c>
      <c r="AG3" s="58">
        <v>643820</v>
      </c>
      <c r="AH3" s="59">
        <v>400</v>
      </c>
      <c r="AI3" s="56">
        <v>91</v>
      </c>
      <c r="AJ3" s="55">
        <v>0</v>
      </c>
      <c r="AK3" s="56">
        <v>7262</v>
      </c>
      <c r="AL3" s="55">
        <v>7</v>
      </c>
      <c r="AM3" s="54">
        <v>115993</v>
      </c>
      <c r="AN3" s="55">
        <v>310</v>
      </c>
      <c r="AO3" s="54"/>
      <c r="AP3" s="55">
        <v>0</v>
      </c>
      <c r="AQ3" s="56">
        <v>682890</v>
      </c>
      <c r="AR3" s="55">
        <v>160</v>
      </c>
      <c r="AS3" s="60">
        <v>12659</v>
      </c>
      <c r="AT3" s="55">
        <v>25</v>
      </c>
      <c r="AU3" s="56">
        <v>2963</v>
      </c>
      <c r="AV3" s="55">
        <v>26</v>
      </c>
      <c r="AW3" s="56">
        <v>9834</v>
      </c>
      <c r="AX3" s="55">
        <v>1</v>
      </c>
      <c r="AY3" s="56">
        <v>11720</v>
      </c>
      <c r="AZ3" s="55">
        <v>1</v>
      </c>
      <c r="BA3" s="56">
        <v>21947</v>
      </c>
      <c r="BB3" s="55">
        <v>7</v>
      </c>
      <c r="BC3" s="56">
        <v>22595</v>
      </c>
      <c r="BD3" s="55">
        <v>1</v>
      </c>
      <c r="BE3" s="56">
        <v>261</v>
      </c>
      <c r="BF3" s="59">
        <v>2</v>
      </c>
      <c r="BG3" s="56">
        <v>15568</v>
      </c>
      <c r="BH3" s="59">
        <v>3</v>
      </c>
      <c r="BI3" s="56">
        <v>7122</v>
      </c>
      <c r="BJ3" s="59">
        <v>0</v>
      </c>
      <c r="BK3" s="56">
        <v>29490</v>
      </c>
      <c r="BL3" s="59">
        <v>3</v>
      </c>
      <c r="BM3" s="56">
        <v>7015</v>
      </c>
      <c r="BN3" s="59">
        <v>3</v>
      </c>
      <c r="BO3" s="56">
        <v>46242</v>
      </c>
      <c r="BP3" s="59">
        <v>49</v>
      </c>
      <c r="BQ3" s="56">
        <v>3641</v>
      </c>
      <c r="BR3" s="59">
        <v>0</v>
      </c>
      <c r="BS3" s="59">
        <v>10</v>
      </c>
      <c r="BT3" s="59">
        <v>150</v>
      </c>
      <c r="BU3" s="56">
        <v>694470</v>
      </c>
      <c r="BV3" s="59">
        <v>120</v>
      </c>
      <c r="BW3" s="56"/>
      <c r="BX3" s="59"/>
      <c r="BY3" s="56">
        <v>900070</v>
      </c>
      <c r="BZ3" s="59">
        <v>260</v>
      </c>
      <c r="CA3" s="56"/>
      <c r="CB3" s="59"/>
      <c r="CC3" s="61">
        <v>100</v>
      </c>
      <c r="CD3" s="59">
        <v>380</v>
      </c>
      <c r="CE3" s="59">
        <v>42</v>
      </c>
      <c r="CF3" s="56">
        <v>161</v>
      </c>
      <c r="CG3" s="59">
        <v>21035.52</v>
      </c>
      <c r="CH3" s="56"/>
      <c r="CI3" s="55">
        <v>0</v>
      </c>
      <c r="CJ3" s="54">
        <v>3179378</v>
      </c>
      <c r="CK3" s="59">
        <v>1984</v>
      </c>
      <c r="CL3" s="61">
        <v>11328.64</v>
      </c>
      <c r="CM3" s="54">
        <v>41</v>
      </c>
      <c r="CN3" s="59">
        <v>4418</v>
      </c>
      <c r="CO3" s="54">
        <v>84</v>
      </c>
      <c r="CP3" s="61">
        <v>9051</v>
      </c>
      <c r="CQ3" s="54">
        <v>54</v>
      </c>
      <c r="CR3" s="59">
        <v>5819</v>
      </c>
      <c r="CS3" s="61">
        <v>19287</v>
      </c>
      <c r="CT3" s="59">
        <v>1078</v>
      </c>
      <c r="CU3" s="56"/>
      <c r="CV3" s="54">
        <v>55217</v>
      </c>
      <c r="CW3" s="59">
        <v>40</v>
      </c>
      <c r="CX3" s="61">
        <v>228.4</v>
      </c>
      <c r="CY3" s="54">
        <v>36941</v>
      </c>
      <c r="CZ3" s="59">
        <v>3</v>
      </c>
      <c r="DA3" s="61">
        <v>17.13</v>
      </c>
      <c r="DB3" s="54">
        <v>18491</v>
      </c>
      <c r="DC3" s="59">
        <v>11</v>
      </c>
      <c r="DD3" s="61">
        <v>62.81</v>
      </c>
      <c r="DE3" s="54">
        <v>878924</v>
      </c>
      <c r="DF3" s="59">
        <v>109</v>
      </c>
      <c r="DG3" s="61">
        <v>622.39</v>
      </c>
      <c r="DH3" s="56">
        <v>14287</v>
      </c>
      <c r="DI3" s="59">
        <v>11</v>
      </c>
      <c r="DJ3" s="61">
        <v>62.81</v>
      </c>
      <c r="DK3" s="54">
        <v>12992</v>
      </c>
      <c r="DL3" s="59">
        <v>12</v>
      </c>
      <c r="DM3" s="61">
        <v>68.52</v>
      </c>
      <c r="DN3" s="54">
        <v>8137</v>
      </c>
      <c r="DO3" s="59">
        <v>6</v>
      </c>
      <c r="DP3" s="61">
        <v>34.26</v>
      </c>
      <c r="DQ3" s="54">
        <v>2654</v>
      </c>
      <c r="DR3" s="59">
        <v>2</v>
      </c>
      <c r="DS3" s="61">
        <v>11.42</v>
      </c>
      <c r="DT3" s="54">
        <v>10465</v>
      </c>
      <c r="DU3" s="59">
        <v>8</v>
      </c>
      <c r="DV3" s="61">
        <v>45.68</v>
      </c>
      <c r="DW3" s="54">
        <v>9123</v>
      </c>
      <c r="DX3" s="59">
        <v>5</v>
      </c>
      <c r="DY3" s="61">
        <v>28.55</v>
      </c>
      <c r="DZ3" s="54">
        <v>9843</v>
      </c>
      <c r="EA3" s="59">
        <v>8</v>
      </c>
      <c r="EB3" s="61">
        <v>45.68</v>
      </c>
      <c r="EC3" s="54">
        <v>10055</v>
      </c>
      <c r="ED3" s="59">
        <v>10</v>
      </c>
      <c r="EE3" s="61">
        <v>57.1</v>
      </c>
      <c r="EF3" s="56"/>
      <c r="EG3" s="61">
        <v>0</v>
      </c>
      <c r="EH3" s="56"/>
      <c r="EI3" s="61">
        <v>0</v>
      </c>
      <c r="EJ3" s="56"/>
      <c r="EK3" s="61">
        <v>0</v>
      </c>
      <c r="EL3" s="56"/>
      <c r="EM3" s="61">
        <v>0</v>
      </c>
      <c r="EN3" s="56">
        <v>50</v>
      </c>
      <c r="EO3" s="56">
        <v>114</v>
      </c>
      <c r="EP3" s="62">
        <v>0.59399999999999997</v>
      </c>
      <c r="EQ3" s="54"/>
      <c r="ER3" s="54"/>
      <c r="ES3" s="54"/>
      <c r="ET3" s="54"/>
      <c r="EU3" s="54"/>
      <c r="EV3" s="54"/>
      <c r="EW3" s="58"/>
      <c r="EX3" s="58"/>
      <c r="EY3" s="58"/>
    </row>
    <row r="4" spans="1:155" s="15" customFormat="1" ht="14.5" x14ac:dyDescent="0.35">
      <c r="A4" s="53">
        <v>44986</v>
      </c>
      <c r="B4" s="54">
        <v>9889974</v>
      </c>
      <c r="C4" s="55">
        <v>27062</v>
      </c>
      <c r="D4" s="54">
        <v>8734118</v>
      </c>
      <c r="E4" s="55">
        <v>26115</v>
      </c>
      <c r="F4" s="54">
        <v>0.97</v>
      </c>
      <c r="G4" s="54">
        <v>1324</v>
      </c>
      <c r="H4" s="54">
        <v>1278</v>
      </c>
      <c r="I4" s="54">
        <v>296394</v>
      </c>
      <c r="J4" s="55">
        <v>0</v>
      </c>
      <c r="K4" s="56">
        <v>822</v>
      </c>
      <c r="L4" s="55">
        <v>0</v>
      </c>
      <c r="M4" s="56">
        <v>652202</v>
      </c>
      <c r="N4" s="55">
        <v>0</v>
      </c>
      <c r="O4" s="56">
        <v>1052</v>
      </c>
      <c r="P4" s="55">
        <v>0</v>
      </c>
      <c r="Q4" s="56">
        <v>5839900</v>
      </c>
      <c r="R4" s="55">
        <v>14300</v>
      </c>
      <c r="S4" s="56">
        <v>5294100</v>
      </c>
      <c r="T4" s="55">
        <v>11500</v>
      </c>
      <c r="U4" s="56">
        <v>3184004</v>
      </c>
      <c r="V4" s="55">
        <v>598</v>
      </c>
      <c r="W4" s="56">
        <v>2439904</v>
      </c>
      <c r="X4" s="55">
        <v>480</v>
      </c>
      <c r="Y4" s="56">
        <v>15351</v>
      </c>
      <c r="Z4" s="55">
        <v>398</v>
      </c>
      <c r="AA4" s="55"/>
      <c r="AB4" s="57">
        <v>0.92</v>
      </c>
      <c r="AC4" s="63">
        <v>367</v>
      </c>
      <c r="AD4" s="28">
        <v>0</v>
      </c>
      <c r="AE4" s="56">
        <v>3556</v>
      </c>
      <c r="AF4" s="55">
        <v>0</v>
      </c>
      <c r="AG4" s="56">
        <v>644180</v>
      </c>
      <c r="AH4" s="59">
        <v>360</v>
      </c>
      <c r="AI4" s="56">
        <v>91</v>
      </c>
      <c r="AJ4" s="55">
        <v>0</v>
      </c>
      <c r="AK4" s="56">
        <v>7269</v>
      </c>
      <c r="AL4" s="55">
        <v>7</v>
      </c>
      <c r="AM4" s="54">
        <v>116293</v>
      </c>
      <c r="AN4" s="55">
        <v>300</v>
      </c>
      <c r="AO4" s="54"/>
      <c r="AP4" s="55">
        <v>0</v>
      </c>
      <c r="AQ4" s="56">
        <v>683060</v>
      </c>
      <c r="AR4" s="55">
        <v>170</v>
      </c>
      <c r="AS4" s="60">
        <v>12687</v>
      </c>
      <c r="AT4" s="55">
        <v>28</v>
      </c>
      <c r="AU4" s="56">
        <v>2990</v>
      </c>
      <c r="AV4" s="55">
        <v>27</v>
      </c>
      <c r="AW4" s="56">
        <v>9836</v>
      </c>
      <c r="AX4" s="55">
        <v>2</v>
      </c>
      <c r="AY4" s="56">
        <v>11722</v>
      </c>
      <c r="AZ4" s="55">
        <v>2</v>
      </c>
      <c r="BA4" s="56">
        <v>21955</v>
      </c>
      <c r="BB4" s="55">
        <v>8</v>
      </c>
      <c r="BC4" s="56">
        <v>22598</v>
      </c>
      <c r="BD4" s="55">
        <v>3</v>
      </c>
      <c r="BE4" s="56">
        <v>263</v>
      </c>
      <c r="BF4" s="59">
        <v>2</v>
      </c>
      <c r="BG4" s="56">
        <v>15571</v>
      </c>
      <c r="BH4" s="59">
        <v>3</v>
      </c>
      <c r="BI4" s="56">
        <v>7123</v>
      </c>
      <c r="BJ4" s="59">
        <v>1</v>
      </c>
      <c r="BK4" s="56">
        <v>29494</v>
      </c>
      <c r="BL4" s="59">
        <v>4</v>
      </c>
      <c r="BM4" s="56">
        <v>7017</v>
      </c>
      <c r="BN4" s="59">
        <v>2</v>
      </c>
      <c r="BO4" s="56">
        <v>46292</v>
      </c>
      <c r="BP4" s="59">
        <v>50</v>
      </c>
      <c r="BQ4" s="56">
        <v>3641</v>
      </c>
      <c r="BR4" s="59">
        <v>0</v>
      </c>
      <c r="BS4" s="59">
        <v>13</v>
      </c>
      <c r="BT4" s="59">
        <v>157</v>
      </c>
      <c r="BU4" s="56">
        <v>694580</v>
      </c>
      <c r="BV4" s="59">
        <v>110</v>
      </c>
      <c r="BW4" s="56"/>
      <c r="BX4" s="59"/>
      <c r="BY4" s="56">
        <v>900320</v>
      </c>
      <c r="BZ4" s="59">
        <v>250</v>
      </c>
      <c r="CA4" s="56"/>
      <c r="CB4" s="59"/>
      <c r="CC4" s="61">
        <v>80</v>
      </c>
      <c r="CD4" s="59">
        <v>360</v>
      </c>
      <c r="CE4" s="59">
        <v>50</v>
      </c>
      <c r="CF4" s="56">
        <v>161</v>
      </c>
      <c r="CG4" s="59">
        <v>21035.52</v>
      </c>
      <c r="CH4" s="56"/>
      <c r="CI4" s="55">
        <v>0</v>
      </c>
      <c r="CJ4" s="54">
        <v>3180830</v>
      </c>
      <c r="CK4" s="59">
        <v>1452</v>
      </c>
      <c r="CL4" s="61">
        <v>8290.92</v>
      </c>
      <c r="CM4" s="54">
        <v>39</v>
      </c>
      <c r="CN4" s="59">
        <v>4202</v>
      </c>
      <c r="CO4" s="54">
        <v>85</v>
      </c>
      <c r="CP4" s="61">
        <v>9159</v>
      </c>
      <c r="CQ4" s="54">
        <v>54</v>
      </c>
      <c r="CR4" s="59">
        <v>5819</v>
      </c>
      <c r="CS4" s="61">
        <v>19180</v>
      </c>
      <c r="CT4" s="59">
        <v>108</v>
      </c>
      <c r="CU4" s="56"/>
      <c r="CV4" s="54">
        <v>55250</v>
      </c>
      <c r="CW4" s="59">
        <v>33</v>
      </c>
      <c r="CX4" s="61">
        <v>188.43</v>
      </c>
      <c r="CY4" s="54">
        <v>36944</v>
      </c>
      <c r="CZ4" s="59">
        <v>3</v>
      </c>
      <c r="DA4" s="61">
        <v>17.13</v>
      </c>
      <c r="DB4" s="54">
        <v>18503</v>
      </c>
      <c r="DC4" s="59">
        <v>12</v>
      </c>
      <c r="DD4" s="61">
        <v>68.52</v>
      </c>
      <c r="DE4" s="54">
        <v>879013</v>
      </c>
      <c r="DF4" s="59">
        <v>89</v>
      </c>
      <c r="DG4" s="61">
        <v>508.19</v>
      </c>
      <c r="DH4" s="56">
        <v>14297</v>
      </c>
      <c r="DI4" s="59">
        <v>10</v>
      </c>
      <c r="DJ4" s="61">
        <v>57.1</v>
      </c>
      <c r="DK4" s="54">
        <v>12999</v>
      </c>
      <c r="DL4" s="59">
        <v>7</v>
      </c>
      <c r="DM4" s="61">
        <v>39.97</v>
      </c>
      <c r="DN4" s="54">
        <v>8143</v>
      </c>
      <c r="DO4" s="59">
        <v>6</v>
      </c>
      <c r="DP4" s="61">
        <v>34.26</v>
      </c>
      <c r="DQ4" s="54">
        <v>2655</v>
      </c>
      <c r="DR4" s="59">
        <v>1</v>
      </c>
      <c r="DS4" s="61">
        <v>5.71</v>
      </c>
      <c r="DT4" s="54">
        <v>10474</v>
      </c>
      <c r="DU4" s="59">
        <v>9</v>
      </c>
      <c r="DV4" s="61">
        <v>51.39</v>
      </c>
      <c r="DW4" s="54">
        <v>9129</v>
      </c>
      <c r="DX4" s="59">
        <v>6</v>
      </c>
      <c r="DY4" s="61">
        <v>34.26</v>
      </c>
      <c r="DZ4" s="54">
        <v>9850</v>
      </c>
      <c r="EA4" s="59">
        <v>7</v>
      </c>
      <c r="EB4" s="61">
        <v>39.97</v>
      </c>
      <c r="EC4" s="54">
        <v>10064</v>
      </c>
      <c r="ED4" s="59">
        <v>9</v>
      </c>
      <c r="EE4" s="61">
        <v>51.39</v>
      </c>
      <c r="EF4" s="56"/>
      <c r="EG4" s="61">
        <v>0</v>
      </c>
      <c r="EH4" s="56"/>
      <c r="EI4" s="61">
        <v>0</v>
      </c>
      <c r="EJ4" s="56"/>
      <c r="EK4" s="61">
        <v>0</v>
      </c>
      <c r="EL4" s="56"/>
      <c r="EM4" s="61">
        <v>0</v>
      </c>
      <c r="EN4" s="56">
        <v>74</v>
      </c>
      <c r="EO4" s="56">
        <v>171</v>
      </c>
      <c r="EP4" s="62">
        <v>0.76600000000000001</v>
      </c>
      <c r="EQ4" s="54"/>
      <c r="ER4" s="54"/>
      <c r="ES4" s="54"/>
      <c r="ET4" s="54"/>
      <c r="EU4" s="54"/>
      <c r="EV4" s="54"/>
      <c r="EW4" s="58"/>
      <c r="EX4" s="58"/>
      <c r="EY4" s="58"/>
    </row>
    <row r="5" spans="1:155" s="7" customFormat="1" ht="14.5" x14ac:dyDescent="0.35">
      <c r="A5" s="53">
        <v>44987</v>
      </c>
      <c r="B5" s="54">
        <v>9919780</v>
      </c>
      <c r="C5" s="55">
        <v>29806</v>
      </c>
      <c r="D5" s="54">
        <v>8762812</v>
      </c>
      <c r="E5" s="55">
        <v>28694</v>
      </c>
      <c r="F5" s="54">
        <v>0.96</v>
      </c>
      <c r="G5" s="54">
        <v>1324</v>
      </c>
      <c r="H5" s="54">
        <v>1330</v>
      </c>
      <c r="I5" s="54">
        <v>296394</v>
      </c>
      <c r="J5" s="55">
        <v>0</v>
      </c>
      <c r="K5" s="56">
        <v>823</v>
      </c>
      <c r="L5" s="55">
        <v>1</v>
      </c>
      <c r="M5" s="56">
        <v>652202</v>
      </c>
      <c r="N5" s="55">
        <v>0</v>
      </c>
      <c r="O5" s="56">
        <v>1052</v>
      </c>
      <c r="P5" s="55">
        <v>0</v>
      </c>
      <c r="Q5" s="56">
        <v>5855700</v>
      </c>
      <c r="R5" s="55">
        <v>15800</v>
      </c>
      <c r="S5" s="56">
        <v>5301000</v>
      </c>
      <c r="T5" s="55">
        <v>6900</v>
      </c>
      <c r="U5" s="56">
        <v>3184625</v>
      </c>
      <c r="V5" s="55">
        <v>621</v>
      </c>
      <c r="W5" s="56">
        <v>2440443</v>
      </c>
      <c r="X5" s="55">
        <v>539</v>
      </c>
      <c r="Y5" s="56">
        <v>15762</v>
      </c>
      <c r="Z5" s="55">
        <v>411</v>
      </c>
      <c r="AA5" s="55"/>
      <c r="AB5" s="57">
        <v>0.94</v>
      </c>
      <c r="AC5" s="64">
        <v>378</v>
      </c>
      <c r="AD5" s="28"/>
      <c r="AE5" s="56">
        <v>3556</v>
      </c>
      <c r="AF5" s="55">
        <v>0</v>
      </c>
      <c r="AG5" s="56">
        <v>644580</v>
      </c>
      <c r="AH5" s="59">
        <v>400</v>
      </c>
      <c r="AI5" s="56">
        <v>92</v>
      </c>
      <c r="AJ5" s="55">
        <v>1</v>
      </c>
      <c r="AK5" s="56">
        <v>7283</v>
      </c>
      <c r="AL5" s="55">
        <v>14</v>
      </c>
      <c r="AM5" s="54">
        <v>116784</v>
      </c>
      <c r="AN5" s="55">
        <v>491</v>
      </c>
      <c r="AO5" s="54"/>
      <c r="AP5" s="55">
        <v>0</v>
      </c>
      <c r="AQ5" s="56">
        <v>683250</v>
      </c>
      <c r="AR5" s="55">
        <v>190</v>
      </c>
      <c r="AS5" s="60">
        <v>12711</v>
      </c>
      <c r="AT5" s="55">
        <v>24</v>
      </c>
      <c r="AU5" s="56">
        <v>3025</v>
      </c>
      <c r="AV5" s="55">
        <v>35</v>
      </c>
      <c r="AW5" s="56">
        <v>9838</v>
      </c>
      <c r="AX5" s="55">
        <v>2</v>
      </c>
      <c r="AY5" s="56">
        <v>11725</v>
      </c>
      <c r="AZ5" s="55">
        <v>3</v>
      </c>
      <c r="BA5" s="56">
        <v>21964</v>
      </c>
      <c r="BB5" s="55">
        <v>9</v>
      </c>
      <c r="BC5" s="56">
        <v>22602</v>
      </c>
      <c r="BD5" s="55">
        <v>4</v>
      </c>
      <c r="BE5" s="56">
        <v>265</v>
      </c>
      <c r="BF5" s="59">
        <v>2</v>
      </c>
      <c r="BG5" s="56">
        <v>15573</v>
      </c>
      <c r="BH5" s="59">
        <v>2</v>
      </c>
      <c r="BI5" s="56">
        <v>7124</v>
      </c>
      <c r="BJ5" s="59">
        <v>1</v>
      </c>
      <c r="BK5" s="56">
        <v>29498</v>
      </c>
      <c r="BL5" s="59">
        <v>4</v>
      </c>
      <c r="BM5" s="56">
        <v>7021</v>
      </c>
      <c r="BN5" s="59">
        <v>4</v>
      </c>
      <c r="BO5" s="56">
        <v>46349</v>
      </c>
      <c r="BP5" s="59">
        <v>57</v>
      </c>
      <c r="BQ5" s="56">
        <v>3641</v>
      </c>
      <c r="BR5" s="59">
        <v>0</v>
      </c>
      <c r="BS5" s="59">
        <v>13</v>
      </c>
      <c r="BT5" s="59">
        <v>177</v>
      </c>
      <c r="BU5" s="56">
        <v>694700</v>
      </c>
      <c r="BV5" s="59">
        <v>120</v>
      </c>
      <c r="BW5" s="56"/>
      <c r="BX5" s="59"/>
      <c r="BY5" s="56">
        <v>900600</v>
      </c>
      <c r="BZ5" s="59">
        <v>280</v>
      </c>
      <c r="CA5" s="56"/>
      <c r="CB5" s="59"/>
      <c r="CC5" s="61">
        <v>90</v>
      </c>
      <c r="CD5" s="59">
        <v>400</v>
      </c>
      <c r="CE5" s="59">
        <v>62</v>
      </c>
      <c r="CF5" s="56">
        <v>161</v>
      </c>
      <c r="CG5" s="59">
        <v>21035.52</v>
      </c>
      <c r="CH5" s="56"/>
      <c r="CI5" s="55">
        <v>0</v>
      </c>
      <c r="CJ5" s="54">
        <v>3183053</v>
      </c>
      <c r="CK5" s="59">
        <v>2223</v>
      </c>
      <c r="CL5" s="61">
        <v>12693.33</v>
      </c>
      <c r="CM5" s="54">
        <v>85</v>
      </c>
      <c r="CN5" s="59">
        <v>9159</v>
      </c>
      <c r="CO5" s="54">
        <v>75</v>
      </c>
      <c r="CP5" s="61">
        <v>8081</v>
      </c>
      <c r="CQ5" s="54">
        <v>79</v>
      </c>
      <c r="CR5" s="59">
        <v>8512</v>
      </c>
      <c r="CS5" s="61">
        <v>25752</v>
      </c>
      <c r="CT5" s="65">
        <v>-6573</v>
      </c>
      <c r="CU5" s="56"/>
      <c r="CV5" s="54">
        <v>55288</v>
      </c>
      <c r="CW5" s="59">
        <v>38</v>
      </c>
      <c r="CX5" s="61">
        <v>216.98</v>
      </c>
      <c r="CY5" s="54">
        <v>36947</v>
      </c>
      <c r="CZ5" s="59">
        <v>3</v>
      </c>
      <c r="DA5" s="61">
        <v>17.13</v>
      </c>
      <c r="DB5" s="54">
        <v>18517</v>
      </c>
      <c r="DC5" s="59">
        <v>14</v>
      </c>
      <c r="DD5" s="61">
        <v>79.94</v>
      </c>
      <c r="DE5" s="54">
        <v>879117</v>
      </c>
      <c r="DF5" s="59">
        <v>104</v>
      </c>
      <c r="DG5" s="61">
        <v>593.84</v>
      </c>
      <c r="DH5" s="56">
        <v>14312</v>
      </c>
      <c r="DI5" s="59">
        <v>15</v>
      </c>
      <c r="DJ5" s="61">
        <v>85.65</v>
      </c>
      <c r="DK5" s="54">
        <v>13007</v>
      </c>
      <c r="DL5" s="59">
        <v>8</v>
      </c>
      <c r="DM5" s="61">
        <v>45.68</v>
      </c>
      <c r="DN5" s="54">
        <v>8149</v>
      </c>
      <c r="DO5" s="59">
        <v>6</v>
      </c>
      <c r="DP5" s="61">
        <v>34.26</v>
      </c>
      <c r="DQ5" s="54">
        <v>2657</v>
      </c>
      <c r="DR5" s="59">
        <v>2</v>
      </c>
      <c r="DS5" s="61">
        <v>11.42</v>
      </c>
      <c r="DT5" s="54">
        <v>10484</v>
      </c>
      <c r="DU5" s="59">
        <v>10</v>
      </c>
      <c r="DV5" s="61">
        <v>57.1</v>
      </c>
      <c r="DW5" s="54">
        <v>9136</v>
      </c>
      <c r="DX5" s="59">
        <v>7</v>
      </c>
      <c r="DY5" s="61">
        <v>39.97</v>
      </c>
      <c r="DZ5" s="54">
        <v>9859</v>
      </c>
      <c r="EA5" s="59">
        <v>9</v>
      </c>
      <c r="EB5" s="61">
        <v>51.39</v>
      </c>
      <c r="EC5" s="54">
        <v>10074</v>
      </c>
      <c r="ED5" s="59">
        <v>10</v>
      </c>
      <c r="EE5" s="61">
        <v>57.1</v>
      </c>
      <c r="EF5" s="56"/>
      <c r="EG5" s="61">
        <v>0</v>
      </c>
      <c r="EH5" s="56"/>
      <c r="EI5" s="61">
        <v>0</v>
      </c>
      <c r="EJ5" s="56"/>
      <c r="EK5" s="61">
        <v>0</v>
      </c>
      <c r="EL5" s="56"/>
      <c r="EM5" s="61">
        <v>0</v>
      </c>
      <c r="EN5" s="56">
        <v>50</v>
      </c>
      <c r="EO5" s="56">
        <v>114</v>
      </c>
      <c r="EP5" s="62">
        <v>0.63300000000000001</v>
      </c>
      <c r="EQ5" s="54"/>
      <c r="ER5" s="54"/>
      <c r="ES5" s="54"/>
      <c r="ET5" s="54"/>
      <c r="EU5" s="54"/>
      <c r="EV5" s="54"/>
      <c r="EW5" s="66"/>
      <c r="EX5" s="66"/>
      <c r="EY5" s="66"/>
    </row>
    <row r="6" spans="1:155" s="15" customFormat="1" ht="14.5" x14ac:dyDescent="0.35">
      <c r="A6" s="53">
        <v>44988</v>
      </c>
      <c r="B6" s="54">
        <v>9949405</v>
      </c>
      <c r="C6" s="55">
        <v>29625</v>
      </c>
      <c r="D6" s="54">
        <v>8791305</v>
      </c>
      <c r="E6" s="55">
        <v>28493</v>
      </c>
      <c r="F6" s="54">
        <v>0.96</v>
      </c>
      <c r="G6" s="54">
        <v>1324</v>
      </c>
      <c r="H6" s="54">
        <v>1324</v>
      </c>
      <c r="I6" s="54">
        <v>296394</v>
      </c>
      <c r="J6" s="55">
        <v>0</v>
      </c>
      <c r="K6" s="56">
        <v>823</v>
      </c>
      <c r="L6" s="55">
        <v>0</v>
      </c>
      <c r="M6" s="56">
        <v>652202</v>
      </c>
      <c r="N6" s="55">
        <v>0</v>
      </c>
      <c r="O6" s="56">
        <v>1052</v>
      </c>
      <c r="P6" s="55">
        <v>0</v>
      </c>
      <c r="Q6" s="56">
        <v>5871300</v>
      </c>
      <c r="R6" s="55">
        <v>15600</v>
      </c>
      <c r="S6" s="56">
        <v>5310700</v>
      </c>
      <c r="T6" s="55">
        <v>9700</v>
      </c>
      <c r="U6" s="56">
        <v>3185568</v>
      </c>
      <c r="V6" s="55">
        <v>943</v>
      </c>
      <c r="W6" s="56">
        <v>2440898</v>
      </c>
      <c r="X6" s="55">
        <v>455</v>
      </c>
      <c r="Y6" s="56">
        <v>16140</v>
      </c>
      <c r="Z6" s="55">
        <v>378</v>
      </c>
      <c r="AA6" s="55"/>
      <c r="AB6" s="57">
        <v>0.86</v>
      </c>
      <c r="AC6" s="64">
        <v>344</v>
      </c>
      <c r="AD6" s="28"/>
      <c r="AE6" s="56">
        <v>3556</v>
      </c>
      <c r="AF6" s="55">
        <v>0</v>
      </c>
      <c r="AG6" s="56">
        <v>645020</v>
      </c>
      <c r="AH6" s="59">
        <v>440</v>
      </c>
      <c r="AI6" s="56">
        <v>92</v>
      </c>
      <c r="AJ6" s="55">
        <v>0</v>
      </c>
      <c r="AK6" s="56">
        <v>7290</v>
      </c>
      <c r="AL6" s="55">
        <v>7</v>
      </c>
      <c r="AM6" s="54">
        <v>117148</v>
      </c>
      <c r="AN6" s="55">
        <v>364</v>
      </c>
      <c r="AO6" s="54"/>
      <c r="AP6" s="55">
        <v>0</v>
      </c>
      <c r="AQ6" s="56">
        <v>683440</v>
      </c>
      <c r="AR6" s="55">
        <v>190</v>
      </c>
      <c r="AS6" s="60">
        <v>12733</v>
      </c>
      <c r="AT6" s="55">
        <v>22</v>
      </c>
      <c r="AU6" s="56">
        <v>3049</v>
      </c>
      <c r="AV6" s="55">
        <v>24</v>
      </c>
      <c r="AW6" s="56">
        <v>9839</v>
      </c>
      <c r="AX6" s="55">
        <v>1</v>
      </c>
      <c r="AY6" s="56">
        <v>11725</v>
      </c>
      <c r="AZ6" s="55">
        <v>0</v>
      </c>
      <c r="BA6" s="56">
        <v>21972</v>
      </c>
      <c r="BB6" s="55">
        <v>8</v>
      </c>
      <c r="BC6" s="56">
        <v>22605</v>
      </c>
      <c r="BD6" s="55">
        <v>3</v>
      </c>
      <c r="BE6" s="56">
        <v>267</v>
      </c>
      <c r="BF6" s="59">
        <v>2</v>
      </c>
      <c r="BG6" s="56">
        <v>15576</v>
      </c>
      <c r="BH6" s="59">
        <v>3</v>
      </c>
      <c r="BI6" s="56">
        <v>7125</v>
      </c>
      <c r="BJ6" s="59">
        <v>1</v>
      </c>
      <c r="BK6" s="56">
        <v>29500</v>
      </c>
      <c r="BL6" s="59">
        <v>2</v>
      </c>
      <c r="BM6" s="56">
        <v>7024</v>
      </c>
      <c r="BN6" s="59">
        <v>3</v>
      </c>
      <c r="BO6" s="56">
        <v>46399</v>
      </c>
      <c r="BP6" s="59">
        <v>50</v>
      </c>
      <c r="BQ6" s="56">
        <v>3641</v>
      </c>
      <c r="BR6" s="59">
        <v>0</v>
      </c>
      <c r="BS6" s="59">
        <v>13</v>
      </c>
      <c r="BT6" s="59">
        <v>177</v>
      </c>
      <c r="BU6" s="56">
        <v>694840</v>
      </c>
      <c r="BV6" s="59">
        <v>140</v>
      </c>
      <c r="BW6" s="56"/>
      <c r="BX6" s="59"/>
      <c r="BY6" s="56">
        <v>900900</v>
      </c>
      <c r="BZ6" s="59">
        <v>300</v>
      </c>
      <c r="CA6" s="56"/>
      <c r="CB6" s="59"/>
      <c r="CC6" s="61">
        <v>110</v>
      </c>
      <c r="CD6" s="59">
        <v>440</v>
      </c>
      <c r="CE6" s="59">
        <v>45</v>
      </c>
      <c r="CF6" s="56">
        <v>160.5</v>
      </c>
      <c r="CG6" s="59">
        <v>20963.43</v>
      </c>
      <c r="CH6" s="56"/>
      <c r="CI6" s="55">
        <v>72.08</v>
      </c>
      <c r="CJ6" s="54">
        <v>3184675</v>
      </c>
      <c r="CK6" s="59">
        <v>1622</v>
      </c>
      <c r="CL6" s="61">
        <v>9261.6200000000008</v>
      </c>
      <c r="CM6" s="54">
        <v>0</v>
      </c>
      <c r="CN6" s="59">
        <v>0</v>
      </c>
      <c r="CO6" s="54">
        <v>70</v>
      </c>
      <c r="CP6" s="61">
        <v>7543</v>
      </c>
      <c r="CQ6" s="54">
        <v>79</v>
      </c>
      <c r="CR6" s="59">
        <v>8512</v>
      </c>
      <c r="CS6" s="61">
        <v>16055</v>
      </c>
      <c r="CT6" s="59">
        <v>9698</v>
      </c>
      <c r="CU6" s="56"/>
      <c r="CV6" s="54">
        <v>55325</v>
      </c>
      <c r="CW6" s="59">
        <v>37</v>
      </c>
      <c r="CX6" s="61">
        <v>211.27</v>
      </c>
      <c r="CY6" s="54">
        <v>36949</v>
      </c>
      <c r="CZ6" s="59">
        <v>2</v>
      </c>
      <c r="DA6" s="61">
        <v>11.42</v>
      </c>
      <c r="DB6" s="54">
        <v>18529</v>
      </c>
      <c r="DC6" s="59">
        <v>12</v>
      </c>
      <c r="DD6" s="61">
        <v>68.52</v>
      </c>
      <c r="DE6" s="54">
        <v>879198</v>
      </c>
      <c r="DF6" s="59">
        <v>81</v>
      </c>
      <c r="DG6" s="61">
        <v>462.51</v>
      </c>
      <c r="DH6" s="56">
        <v>14321</v>
      </c>
      <c r="DI6" s="59">
        <v>9</v>
      </c>
      <c r="DJ6" s="61">
        <v>51.39</v>
      </c>
      <c r="DK6" s="54">
        <v>13020</v>
      </c>
      <c r="DL6" s="59">
        <v>13</v>
      </c>
      <c r="DM6" s="61">
        <v>74.23</v>
      </c>
      <c r="DN6" s="54">
        <v>8155</v>
      </c>
      <c r="DO6" s="59">
        <v>6</v>
      </c>
      <c r="DP6" s="61">
        <v>34.26</v>
      </c>
      <c r="DQ6" s="54">
        <v>2659</v>
      </c>
      <c r="DR6" s="59">
        <v>2</v>
      </c>
      <c r="DS6" s="61">
        <v>11.42</v>
      </c>
      <c r="DT6" s="54">
        <v>10493</v>
      </c>
      <c r="DU6" s="59">
        <v>9</v>
      </c>
      <c r="DV6" s="61">
        <v>51.39</v>
      </c>
      <c r="DW6" s="54">
        <v>9143</v>
      </c>
      <c r="DX6" s="59">
        <v>7</v>
      </c>
      <c r="DY6" s="61">
        <v>39.97</v>
      </c>
      <c r="DZ6" s="54">
        <v>9867</v>
      </c>
      <c r="EA6" s="59">
        <v>8</v>
      </c>
      <c r="EB6" s="61">
        <v>45.68</v>
      </c>
      <c r="EC6" s="54">
        <v>10084</v>
      </c>
      <c r="ED6" s="59">
        <v>10</v>
      </c>
      <c r="EE6" s="61">
        <v>57.1</v>
      </c>
      <c r="EF6" s="56"/>
      <c r="EG6" s="61">
        <v>0</v>
      </c>
      <c r="EH6" s="56"/>
      <c r="EI6" s="61">
        <v>0</v>
      </c>
      <c r="EJ6" s="56"/>
      <c r="EK6" s="61">
        <v>0</v>
      </c>
      <c r="EL6" s="56"/>
      <c r="EM6" s="61">
        <v>0</v>
      </c>
      <c r="EN6" s="56">
        <v>82</v>
      </c>
      <c r="EO6" s="56">
        <v>218</v>
      </c>
      <c r="EP6" s="62">
        <v>0.81</v>
      </c>
      <c r="EQ6" s="54"/>
      <c r="ER6" s="54"/>
      <c r="ES6" s="54"/>
      <c r="ET6" s="54"/>
      <c r="EU6" s="54"/>
      <c r="EV6" s="54"/>
      <c r="EW6" s="58"/>
      <c r="EX6" s="58"/>
      <c r="EY6" s="58"/>
    </row>
    <row r="7" spans="1:155" s="15" customFormat="1" ht="14.5" x14ac:dyDescent="0.35">
      <c r="A7" s="53">
        <v>44989</v>
      </c>
      <c r="B7" s="54">
        <v>9976348</v>
      </c>
      <c r="C7" s="55">
        <v>26943</v>
      </c>
      <c r="D7" s="54">
        <v>8817190</v>
      </c>
      <c r="E7" s="55">
        <v>25885</v>
      </c>
      <c r="F7" s="54">
        <v>0.96</v>
      </c>
      <c r="G7" s="54">
        <v>1338</v>
      </c>
      <c r="H7" s="54">
        <v>1324</v>
      </c>
      <c r="I7" s="54">
        <v>296394</v>
      </c>
      <c r="J7" s="55">
        <v>0</v>
      </c>
      <c r="K7" s="56">
        <v>823</v>
      </c>
      <c r="L7" s="55">
        <v>0</v>
      </c>
      <c r="M7" s="56">
        <v>652202</v>
      </c>
      <c r="N7" s="55">
        <v>0</v>
      </c>
      <c r="O7" s="56">
        <v>1052</v>
      </c>
      <c r="P7" s="55">
        <v>0</v>
      </c>
      <c r="Q7" s="56">
        <v>5885600</v>
      </c>
      <c r="R7" s="55">
        <v>14300</v>
      </c>
      <c r="S7" s="56">
        <v>5319400</v>
      </c>
      <c r="T7" s="55">
        <v>8700</v>
      </c>
      <c r="U7" s="56">
        <v>3186222</v>
      </c>
      <c r="V7" s="55">
        <v>654</v>
      </c>
      <c r="W7" s="56">
        <v>2441397</v>
      </c>
      <c r="X7" s="55">
        <v>499</v>
      </c>
      <c r="Y7" s="56">
        <v>16580</v>
      </c>
      <c r="Z7" s="55">
        <v>440</v>
      </c>
      <c r="AA7" s="55"/>
      <c r="AB7" s="57">
        <v>0.89</v>
      </c>
      <c r="AC7" s="64">
        <v>356</v>
      </c>
      <c r="AD7" s="28"/>
      <c r="AE7" s="56">
        <v>3556</v>
      </c>
      <c r="AF7" s="55">
        <v>0</v>
      </c>
      <c r="AG7" s="56">
        <v>645380</v>
      </c>
      <c r="AH7" s="59">
        <v>360</v>
      </c>
      <c r="AI7" s="56">
        <v>92</v>
      </c>
      <c r="AJ7" s="55">
        <v>0</v>
      </c>
      <c r="AK7" s="56">
        <v>7298</v>
      </c>
      <c r="AL7" s="55">
        <v>8</v>
      </c>
      <c r="AM7" s="54">
        <v>117542</v>
      </c>
      <c r="AN7" s="55">
        <v>394</v>
      </c>
      <c r="AO7" s="54"/>
      <c r="AP7" s="55">
        <v>0</v>
      </c>
      <c r="AQ7" s="56">
        <v>683600</v>
      </c>
      <c r="AR7" s="55">
        <v>160</v>
      </c>
      <c r="AS7" s="60">
        <v>12755</v>
      </c>
      <c r="AT7" s="55">
        <v>22</v>
      </c>
      <c r="AU7" s="56">
        <v>3077</v>
      </c>
      <c r="AV7" s="55">
        <v>28</v>
      </c>
      <c r="AW7" s="56">
        <v>9842</v>
      </c>
      <c r="AX7" s="55">
        <v>3</v>
      </c>
      <c r="AY7" s="56">
        <v>11727</v>
      </c>
      <c r="AZ7" s="55">
        <v>2</v>
      </c>
      <c r="BA7" s="56">
        <v>21980</v>
      </c>
      <c r="BB7" s="55">
        <v>8</v>
      </c>
      <c r="BC7" s="56">
        <v>22610</v>
      </c>
      <c r="BD7" s="55">
        <v>5</v>
      </c>
      <c r="BE7" s="56">
        <v>269</v>
      </c>
      <c r="BF7" s="59">
        <v>2</v>
      </c>
      <c r="BG7" s="56">
        <v>15579</v>
      </c>
      <c r="BH7" s="59">
        <v>3</v>
      </c>
      <c r="BI7" s="56">
        <v>7127</v>
      </c>
      <c r="BJ7" s="59">
        <v>2</v>
      </c>
      <c r="BK7" s="56">
        <v>29504</v>
      </c>
      <c r="BL7" s="59">
        <v>4</v>
      </c>
      <c r="BM7" s="56">
        <v>7029</v>
      </c>
      <c r="BN7" s="59">
        <v>5</v>
      </c>
      <c r="BO7" s="56">
        <v>46445</v>
      </c>
      <c r="BP7" s="59">
        <v>46</v>
      </c>
      <c r="BQ7" s="56">
        <v>3641</v>
      </c>
      <c r="BR7" s="59">
        <v>0</v>
      </c>
      <c r="BS7" s="59">
        <v>13</v>
      </c>
      <c r="BT7" s="59">
        <v>147</v>
      </c>
      <c r="BU7" s="56">
        <v>694950</v>
      </c>
      <c r="BV7" s="59">
        <v>110</v>
      </c>
      <c r="BW7" s="56"/>
      <c r="BX7" s="59"/>
      <c r="BY7" s="56">
        <v>901140</v>
      </c>
      <c r="BZ7" s="59">
        <v>240</v>
      </c>
      <c r="CA7" s="56"/>
      <c r="CB7" s="59"/>
      <c r="CC7" s="61">
        <v>80</v>
      </c>
      <c r="CD7" s="59">
        <v>350</v>
      </c>
      <c r="CE7" s="59">
        <v>58</v>
      </c>
      <c r="CF7" s="56">
        <v>160.5</v>
      </c>
      <c r="CG7" s="59">
        <v>20963.43</v>
      </c>
      <c r="CH7" s="56"/>
      <c r="CI7" s="55">
        <v>0</v>
      </c>
      <c r="CJ7" s="54">
        <v>3186904</v>
      </c>
      <c r="CK7" s="59">
        <v>2229</v>
      </c>
      <c r="CL7" s="61">
        <v>12727.59</v>
      </c>
      <c r="CM7" s="54">
        <v>0</v>
      </c>
      <c r="CN7" s="59">
        <v>0</v>
      </c>
      <c r="CO7" s="54">
        <v>60</v>
      </c>
      <c r="CP7" s="61">
        <v>6465</v>
      </c>
      <c r="CQ7" s="54">
        <v>75</v>
      </c>
      <c r="CR7" s="59">
        <v>8081</v>
      </c>
      <c r="CS7" s="61">
        <v>14546</v>
      </c>
      <c r="CT7" s="59">
        <v>1509</v>
      </c>
      <c r="CU7" s="56"/>
      <c r="CV7" s="54">
        <v>55362</v>
      </c>
      <c r="CW7" s="59">
        <v>37</v>
      </c>
      <c r="CX7" s="61">
        <v>211.27</v>
      </c>
      <c r="CY7" s="54">
        <v>36952</v>
      </c>
      <c r="CZ7" s="59">
        <v>3</v>
      </c>
      <c r="DA7" s="61">
        <v>17.13</v>
      </c>
      <c r="DB7" s="54">
        <v>18546</v>
      </c>
      <c r="DC7" s="59">
        <v>17</v>
      </c>
      <c r="DD7" s="61">
        <v>97.07</v>
      </c>
      <c r="DE7" s="54">
        <v>879291</v>
      </c>
      <c r="DF7" s="59">
        <v>93</v>
      </c>
      <c r="DG7" s="61">
        <v>531.03</v>
      </c>
      <c r="DH7" s="56">
        <v>14332</v>
      </c>
      <c r="DI7" s="59">
        <v>11</v>
      </c>
      <c r="DJ7" s="61">
        <v>62.81</v>
      </c>
      <c r="DK7" s="54">
        <v>13021</v>
      </c>
      <c r="DL7" s="59">
        <v>1</v>
      </c>
      <c r="DM7" s="61">
        <v>5.71</v>
      </c>
      <c r="DN7" s="54">
        <v>8161</v>
      </c>
      <c r="DO7" s="59">
        <v>6</v>
      </c>
      <c r="DP7" s="61">
        <v>34.26</v>
      </c>
      <c r="DQ7" s="54">
        <v>2660</v>
      </c>
      <c r="DR7" s="59">
        <v>1</v>
      </c>
      <c r="DS7" s="61">
        <v>5.71</v>
      </c>
      <c r="DT7" s="54">
        <v>10501</v>
      </c>
      <c r="DU7" s="59">
        <v>8</v>
      </c>
      <c r="DV7" s="61">
        <v>45.68</v>
      </c>
      <c r="DW7" s="54">
        <v>9147</v>
      </c>
      <c r="DX7" s="59">
        <v>4</v>
      </c>
      <c r="DY7" s="61">
        <v>22.84</v>
      </c>
      <c r="DZ7" s="54">
        <v>9874</v>
      </c>
      <c r="EA7" s="59">
        <v>7</v>
      </c>
      <c r="EB7" s="61">
        <v>39.97</v>
      </c>
      <c r="EC7" s="54">
        <v>10093</v>
      </c>
      <c r="ED7" s="59">
        <v>9</v>
      </c>
      <c r="EE7" s="61">
        <v>51.39</v>
      </c>
      <c r="EF7" s="56"/>
      <c r="EG7" s="61">
        <v>0</v>
      </c>
      <c r="EH7" s="56"/>
      <c r="EI7" s="61">
        <v>0</v>
      </c>
      <c r="EJ7" s="56"/>
      <c r="EK7" s="61">
        <v>0</v>
      </c>
      <c r="EL7" s="56"/>
      <c r="EM7" s="61">
        <v>0</v>
      </c>
      <c r="EN7" s="56">
        <v>102</v>
      </c>
      <c r="EO7" s="56">
        <v>262</v>
      </c>
      <c r="EP7" s="62">
        <v>0.93</v>
      </c>
      <c r="EQ7" s="54"/>
      <c r="ER7" s="54"/>
      <c r="ES7" s="54"/>
      <c r="ET7" s="54"/>
      <c r="EU7" s="54"/>
      <c r="EV7" s="54"/>
      <c r="EW7" s="58"/>
      <c r="EX7" s="58"/>
      <c r="EY7" s="58"/>
    </row>
    <row r="8" spans="1:155" s="15" customFormat="1" ht="14.5" x14ac:dyDescent="0.35">
      <c r="A8" s="53">
        <v>44990</v>
      </c>
      <c r="B8" s="54">
        <v>4867</v>
      </c>
      <c r="C8" s="55">
        <v>0</v>
      </c>
      <c r="D8" s="54">
        <v>8844620</v>
      </c>
      <c r="E8" s="55">
        <v>27430</v>
      </c>
      <c r="F8" s="54" t="e">
        <v>#DIV/0!</v>
      </c>
      <c r="G8" s="54">
        <v>1338</v>
      </c>
      <c r="H8" s="54">
        <v>1324</v>
      </c>
      <c r="I8" s="54">
        <v>296394</v>
      </c>
      <c r="J8" s="55">
        <v>0</v>
      </c>
      <c r="K8" s="56">
        <v>823</v>
      </c>
      <c r="L8" s="55">
        <v>0</v>
      </c>
      <c r="M8" s="56">
        <v>652202</v>
      </c>
      <c r="N8" s="55">
        <v>0</v>
      </c>
      <c r="O8" s="56">
        <v>1052</v>
      </c>
      <c r="P8" s="55">
        <v>0</v>
      </c>
      <c r="Q8" s="56">
        <v>5901100</v>
      </c>
      <c r="R8" s="55">
        <v>15500</v>
      </c>
      <c r="S8" s="56">
        <v>5328200</v>
      </c>
      <c r="T8" s="55">
        <v>8800</v>
      </c>
      <c r="U8" s="56">
        <v>3187252</v>
      </c>
      <c r="V8" s="55">
        <v>1030</v>
      </c>
      <c r="W8" s="56">
        <v>2441966</v>
      </c>
      <c r="X8" s="55">
        <v>569</v>
      </c>
      <c r="Y8" s="56">
        <v>16932</v>
      </c>
      <c r="Z8" s="55">
        <v>352</v>
      </c>
      <c r="AA8" s="55"/>
      <c r="AB8" s="57">
        <v>0.94</v>
      </c>
      <c r="AC8" s="64">
        <v>378</v>
      </c>
      <c r="AD8" s="28"/>
      <c r="AE8" s="56">
        <v>3556</v>
      </c>
      <c r="AF8" s="55">
        <v>0</v>
      </c>
      <c r="AG8" s="56">
        <v>645740</v>
      </c>
      <c r="AH8" s="59">
        <v>360</v>
      </c>
      <c r="AI8" s="56">
        <v>92</v>
      </c>
      <c r="AJ8" s="55">
        <v>0</v>
      </c>
      <c r="AK8" s="56">
        <v>7296</v>
      </c>
      <c r="AL8" s="55">
        <v>0</v>
      </c>
      <c r="AM8" s="54">
        <v>117933</v>
      </c>
      <c r="AN8" s="55">
        <v>391</v>
      </c>
      <c r="AO8" s="54"/>
      <c r="AP8" s="55">
        <v>0</v>
      </c>
      <c r="AQ8" s="56">
        <v>683740</v>
      </c>
      <c r="AR8" s="55">
        <v>140</v>
      </c>
      <c r="AS8" s="60">
        <v>12782</v>
      </c>
      <c r="AT8" s="55">
        <v>27</v>
      </c>
      <c r="AU8" s="56">
        <v>3121</v>
      </c>
      <c r="AV8" s="55">
        <v>44</v>
      </c>
      <c r="AW8" s="56">
        <v>9845</v>
      </c>
      <c r="AX8" s="55">
        <v>3</v>
      </c>
      <c r="AY8" s="56">
        <v>11729</v>
      </c>
      <c r="AZ8" s="55">
        <v>2</v>
      </c>
      <c r="BA8" s="56">
        <v>21985</v>
      </c>
      <c r="BB8" s="55">
        <v>5</v>
      </c>
      <c r="BC8" s="56">
        <v>22616</v>
      </c>
      <c r="BD8" s="55">
        <v>6</v>
      </c>
      <c r="BE8" s="56">
        <v>272</v>
      </c>
      <c r="BF8" s="59">
        <v>3</v>
      </c>
      <c r="BG8" s="56">
        <v>15582</v>
      </c>
      <c r="BH8" s="59">
        <v>3</v>
      </c>
      <c r="BI8" s="56">
        <v>7127</v>
      </c>
      <c r="BJ8" s="59">
        <v>0</v>
      </c>
      <c r="BK8" s="56">
        <v>29506</v>
      </c>
      <c r="BL8" s="59">
        <v>2</v>
      </c>
      <c r="BM8" s="56">
        <v>7034</v>
      </c>
      <c r="BN8" s="59">
        <v>5</v>
      </c>
      <c r="BO8" s="56">
        <v>46497</v>
      </c>
      <c r="BP8" s="59">
        <v>52</v>
      </c>
      <c r="BQ8" s="56">
        <v>3641</v>
      </c>
      <c r="BR8" s="59">
        <v>0</v>
      </c>
      <c r="BS8" s="59">
        <v>11</v>
      </c>
      <c r="BT8" s="59">
        <v>129</v>
      </c>
      <c r="BU8" s="56">
        <v>695070</v>
      </c>
      <c r="BV8" s="59">
        <v>120</v>
      </c>
      <c r="BW8" s="56"/>
      <c r="BX8" s="59"/>
      <c r="BY8" s="56">
        <v>901370</v>
      </c>
      <c r="BZ8" s="59">
        <v>230</v>
      </c>
      <c r="CA8" s="56"/>
      <c r="CB8" s="59"/>
      <c r="CC8" s="61">
        <v>90</v>
      </c>
      <c r="CD8" s="59">
        <v>350</v>
      </c>
      <c r="CE8" s="59">
        <v>71</v>
      </c>
      <c r="CF8" s="56">
        <v>160.5</v>
      </c>
      <c r="CG8" s="59">
        <v>20963.43</v>
      </c>
      <c r="CH8" s="56"/>
      <c r="CI8" s="55">
        <v>0</v>
      </c>
      <c r="CJ8" s="54">
        <v>3188613</v>
      </c>
      <c r="CK8" s="59">
        <v>1709</v>
      </c>
      <c r="CL8" s="61">
        <v>9758.39</v>
      </c>
      <c r="CM8" s="54">
        <v>0</v>
      </c>
      <c r="CN8" s="59">
        <v>0</v>
      </c>
      <c r="CO8" s="54">
        <v>55</v>
      </c>
      <c r="CP8" s="61">
        <v>5926</v>
      </c>
      <c r="CQ8" s="54">
        <v>71</v>
      </c>
      <c r="CR8" s="59">
        <v>7650</v>
      </c>
      <c r="CS8" s="61">
        <v>13577</v>
      </c>
      <c r="CT8" s="59">
        <v>970</v>
      </c>
      <c r="CU8" s="56"/>
      <c r="CV8" s="54">
        <v>55396</v>
      </c>
      <c r="CW8" s="59">
        <v>34</v>
      </c>
      <c r="CX8" s="61">
        <v>194.14</v>
      </c>
      <c r="CY8" s="54">
        <v>36952</v>
      </c>
      <c r="CZ8" s="59">
        <v>0</v>
      </c>
      <c r="DA8" s="61">
        <v>0</v>
      </c>
      <c r="DB8" s="54">
        <v>18560</v>
      </c>
      <c r="DC8" s="59">
        <v>14</v>
      </c>
      <c r="DD8" s="61">
        <v>79.94</v>
      </c>
      <c r="DE8" s="54">
        <v>879388</v>
      </c>
      <c r="DF8" s="59">
        <v>97</v>
      </c>
      <c r="DG8" s="61">
        <v>553.87</v>
      </c>
      <c r="DH8" s="56">
        <v>14349</v>
      </c>
      <c r="DI8" s="59">
        <v>17</v>
      </c>
      <c r="DJ8" s="61">
        <v>97.07</v>
      </c>
      <c r="DK8" s="54">
        <v>13022</v>
      </c>
      <c r="DL8" s="59">
        <v>1</v>
      </c>
      <c r="DM8" s="61">
        <v>5.71</v>
      </c>
      <c r="DN8" s="54">
        <v>8165</v>
      </c>
      <c r="DO8" s="59">
        <v>4</v>
      </c>
      <c r="DP8" s="61">
        <v>22.84</v>
      </c>
      <c r="DQ8" s="54">
        <v>2661</v>
      </c>
      <c r="DR8" s="59">
        <v>1</v>
      </c>
      <c r="DS8" s="61">
        <v>5.71</v>
      </c>
      <c r="DT8" s="54">
        <v>10511</v>
      </c>
      <c r="DU8" s="59">
        <v>10</v>
      </c>
      <c r="DV8" s="61">
        <v>57.1</v>
      </c>
      <c r="DW8" s="54">
        <v>9154</v>
      </c>
      <c r="DX8" s="59">
        <v>7</v>
      </c>
      <c r="DY8" s="61">
        <v>39.97</v>
      </c>
      <c r="DZ8" s="54">
        <v>9882</v>
      </c>
      <c r="EA8" s="59">
        <v>8</v>
      </c>
      <c r="EB8" s="61">
        <v>45.68</v>
      </c>
      <c r="EC8" s="54">
        <v>10102</v>
      </c>
      <c r="ED8" s="59">
        <v>9</v>
      </c>
      <c r="EE8" s="61">
        <v>51.39</v>
      </c>
      <c r="EF8" s="56"/>
      <c r="EG8" s="61">
        <v>0</v>
      </c>
      <c r="EH8" s="56"/>
      <c r="EI8" s="61">
        <v>0</v>
      </c>
      <c r="EJ8" s="56"/>
      <c r="EK8" s="61">
        <v>0</v>
      </c>
      <c r="EL8" s="56"/>
      <c r="EM8" s="61">
        <v>0</v>
      </c>
      <c r="EN8" s="56">
        <v>95</v>
      </c>
      <c r="EO8" s="56">
        <v>261</v>
      </c>
      <c r="EP8" s="62">
        <v>0.95</v>
      </c>
      <c r="EQ8" s="54"/>
      <c r="ER8" s="54"/>
      <c r="ES8" s="54"/>
      <c r="ET8" s="54"/>
      <c r="EU8" s="54"/>
      <c r="EV8" s="54"/>
      <c r="EW8" s="58"/>
      <c r="EX8" s="58"/>
      <c r="EY8" s="58"/>
    </row>
    <row r="9" spans="1:155" s="15" customFormat="1" ht="14.5" x14ac:dyDescent="0.35">
      <c r="A9" s="53">
        <v>44991</v>
      </c>
      <c r="B9" s="54">
        <v>29456</v>
      </c>
      <c r="C9" s="55">
        <v>24589</v>
      </c>
      <c r="D9" s="54">
        <v>8868284</v>
      </c>
      <c r="E9" s="55">
        <v>23664</v>
      </c>
      <c r="F9" s="54">
        <v>0.96</v>
      </c>
      <c r="G9" s="54">
        <v>1338</v>
      </c>
      <c r="H9" s="54">
        <v>1324</v>
      </c>
      <c r="I9" s="54">
        <v>296394</v>
      </c>
      <c r="J9" s="55">
        <v>0</v>
      </c>
      <c r="K9" s="56">
        <v>823</v>
      </c>
      <c r="L9" s="55">
        <v>0</v>
      </c>
      <c r="M9" s="56">
        <v>652202</v>
      </c>
      <c r="N9" s="55">
        <v>0</v>
      </c>
      <c r="O9" s="56">
        <v>1052</v>
      </c>
      <c r="P9" s="55">
        <v>0</v>
      </c>
      <c r="Q9" s="56">
        <v>5914600</v>
      </c>
      <c r="R9" s="55">
        <v>13500</v>
      </c>
      <c r="S9" s="56">
        <v>5335600</v>
      </c>
      <c r="T9" s="55">
        <v>7400</v>
      </c>
      <c r="U9" s="56">
        <v>3187842</v>
      </c>
      <c r="V9" s="55">
        <v>590</v>
      </c>
      <c r="W9" s="56">
        <v>2442507</v>
      </c>
      <c r="X9" s="55">
        <v>541</v>
      </c>
      <c r="Y9" s="56">
        <v>17300</v>
      </c>
      <c r="Z9" s="55">
        <v>368</v>
      </c>
      <c r="AA9" s="55"/>
      <c r="AB9" s="57">
        <v>0.94</v>
      </c>
      <c r="AC9" s="64">
        <v>378</v>
      </c>
      <c r="AD9" s="28"/>
      <c r="AE9" s="56">
        <v>3556</v>
      </c>
      <c r="AF9" s="55">
        <v>0</v>
      </c>
      <c r="AG9" s="56">
        <v>646100</v>
      </c>
      <c r="AH9" s="59">
        <v>360</v>
      </c>
      <c r="AI9" s="56">
        <v>92</v>
      </c>
      <c r="AJ9" s="55">
        <v>0</v>
      </c>
      <c r="AK9" s="56">
        <v>7296</v>
      </c>
      <c r="AL9" s="55">
        <v>0</v>
      </c>
      <c r="AM9" s="54">
        <v>118324</v>
      </c>
      <c r="AN9" s="55">
        <v>391</v>
      </c>
      <c r="AO9" s="54"/>
      <c r="AP9" s="55">
        <v>0</v>
      </c>
      <c r="AQ9" s="56">
        <v>683900</v>
      </c>
      <c r="AR9" s="55">
        <v>160</v>
      </c>
      <c r="AS9" s="60">
        <v>12816</v>
      </c>
      <c r="AT9" s="55">
        <v>34</v>
      </c>
      <c r="AU9" s="56">
        <v>3145</v>
      </c>
      <c r="AV9" s="55">
        <v>24</v>
      </c>
      <c r="AW9" s="56">
        <v>9849</v>
      </c>
      <c r="AX9" s="55">
        <v>4</v>
      </c>
      <c r="AY9" s="56">
        <v>11730</v>
      </c>
      <c r="AZ9" s="55">
        <v>1</v>
      </c>
      <c r="BA9" s="56">
        <v>21992</v>
      </c>
      <c r="BB9" s="55">
        <v>7</v>
      </c>
      <c r="BC9" s="56">
        <v>22620</v>
      </c>
      <c r="BD9" s="55">
        <v>4</v>
      </c>
      <c r="BE9" s="56">
        <v>274</v>
      </c>
      <c r="BF9" s="59">
        <v>2</v>
      </c>
      <c r="BG9" s="56">
        <v>15586</v>
      </c>
      <c r="BH9" s="59">
        <v>4</v>
      </c>
      <c r="BI9" s="56">
        <v>7128</v>
      </c>
      <c r="BJ9" s="59">
        <v>1</v>
      </c>
      <c r="BK9" s="56">
        <v>29511</v>
      </c>
      <c r="BL9" s="59">
        <v>5</v>
      </c>
      <c r="BM9" s="56">
        <v>7038</v>
      </c>
      <c r="BN9" s="59">
        <v>4</v>
      </c>
      <c r="BO9" s="56">
        <v>46560</v>
      </c>
      <c r="BP9" s="59">
        <v>63</v>
      </c>
      <c r="BQ9" s="56">
        <v>3641</v>
      </c>
      <c r="BR9" s="59">
        <v>0</v>
      </c>
      <c r="BS9" s="59">
        <v>13</v>
      </c>
      <c r="BT9" s="59">
        <v>147</v>
      </c>
      <c r="BU9" s="56">
        <v>695200</v>
      </c>
      <c r="BV9" s="59">
        <v>130</v>
      </c>
      <c r="BW9" s="56"/>
      <c r="BX9" s="59"/>
      <c r="BY9" s="56">
        <v>901590</v>
      </c>
      <c r="BZ9" s="59">
        <v>220</v>
      </c>
      <c r="CA9" s="56"/>
      <c r="CB9" s="59"/>
      <c r="CC9" s="61">
        <v>60</v>
      </c>
      <c r="CD9" s="59">
        <v>350</v>
      </c>
      <c r="CE9" s="59">
        <v>51</v>
      </c>
      <c r="CF9" s="56">
        <v>160.5</v>
      </c>
      <c r="CG9" s="59">
        <v>20963.43</v>
      </c>
      <c r="CH9" s="56"/>
      <c r="CI9" s="55">
        <v>0</v>
      </c>
      <c r="CJ9" s="54">
        <v>3190230</v>
      </c>
      <c r="CK9" s="59">
        <v>1617</v>
      </c>
      <c r="CL9" s="61">
        <v>9233.07</v>
      </c>
      <c r="CM9" s="54">
        <v>0</v>
      </c>
      <c r="CN9" s="59">
        <v>0</v>
      </c>
      <c r="CO9" s="54">
        <v>50</v>
      </c>
      <c r="CP9" s="61">
        <v>5388</v>
      </c>
      <c r="CQ9" s="54">
        <v>69</v>
      </c>
      <c r="CR9" s="59">
        <v>7435</v>
      </c>
      <c r="CS9" s="61">
        <v>12822</v>
      </c>
      <c r="CT9" s="59">
        <v>754</v>
      </c>
      <c r="CU9" s="56"/>
      <c r="CV9" s="54">
        <v>55435</v>
      </c>
      <c r="CW9" s="59">
        <v>39</v>
      </c>
      <c r="CX9" s="61">
        <v>222.69</v>
      </c>
      <c r="CY9" s="54">
        <v>36952</v>
      </c>
      <c r="CZ9" s="59">
        <v>0</v>
      </c>
      <c r="DA9" s="61">
        <v>0</v>
      </c>
      <c r="DB9" s="54">
        <v>18574</v>
      </c>
      <c r="DC9" s="59">
        <v>14</v>
      </c>
      <c r="DD9" s="61">
        <v>79.94</v>
      </c>
      <c r="DE9" s="54">
        <v>879459</v>
      </c>
      <c r="DF9" s="59">
        <v>71</v>
      </c>
      <c r="DG9" s="61">
        <v>405.41</v>
      </c>
      <c r="DH9" s="56">
        <v>14358</v>
      </c>
      <c r="DI9" s="59">
        <v>9</v>
      </c>
      <c r="DJ9" s="61">
        <v>51.39</v>
      </c>
      <c r="DK9" s="54">
        <v>13026</v>
      </c>
      <c r="DL9" s="59">
        <v>4</v>
      </c>
      <c r="DM9" s="61">
        <v>22.84</v>
      </c>
      <c r="DN9" s="54">
        <v>8172</v>
      </c>
      <c r="DO9" s="59">
        <v>7</v>
      </c>
      <c r="DP9" s="61">
        <v>39.97</v>
      </c>
      <c r="DQ9" s="54">
        <v>2663</v>
      </c>
      <c r="DR9" s="59">
        <v>2</v>
      </c>
      <c r="DS9" s="61">
        <v>11.42</v>
      </c>
      <c r="DT9" s="54">
        <v>10522</v>
      </c>
      <c r="DU9" s="59">
        <v>11</v>
      </c>
      <c r="DV9" s="61">
        <v>62.81</v>
      </c>
      <c r="DW9" s="54">
        <v>9161</v>
      </c>
      <c r="DX9" s="59">
        <v>7</v>
      </c>
      <c r="DY9" s="61">
        <v>39.97</v>
      </c>
      <c r="DZ9" s="54">
        <v>9890</v>
      </c>
      <c r="EA9" s="59">
        <v>8</v>
      </c>
      <c r="EB9" s="61">
        <v>45.68</v>
      </c>
      <c r="EC9" s="54">
        <v>10112</v>
      </c>
      <c r="ED9" s="59">
        <v>10</v>
      </c>
      <c r="EE9" s="61">
        <v>57.1</v>
      </c>
      <c r="EF9" s="56"/>
      <c r="EG9" s="61">
        <v>0</v>
      </c>
      <c r="EH9" s="56"/>
      <c r="EI9" s="61">
        <v>0</v>
      </c>
      <c r="EJ9" s="56"/>
      <c r="EK9" s="61">
        <v>0</v>
      </c>
      <c r="EL9" s="56"/>
      <c r="EM9" s="61">
        <v>0</v>
      </c>
      <c r="EN9" s="56">
        <v>96</v>
      </c>
      <c r="EO9" s="56">
        <v>247</v>
      </c>
      <c r="EP9" s="62">
        <v>0.83</v>
      </c>
      <c r="EQ9" s="54"/>
      <c r="ER9" s="54"/>
      <c r="ES9" s="54"/>
      <c r="ET9" s="54"/>
      <c r="EU9" s="54"/>
      <c r="EV9" s="54"/>
      <c r="EW9" s="58"/>
      <c r="EX9" s="58"/>
      <c r="EY9" s="58"/>
    </row>
    <row r="10" spans="1:155" s="15" customFormat="1" ht="14.5" x14ac:dyDescent="0.35">
      <c r="A10" s="53">
        <v>44992</v>
      </c>
      <c r="B10" s="54">
        <v>56156</v>
      </c>
      <c r="C10" s="55">
        <v>26700</v>
      </c>
      <c r="D10" s="54">
        <v>8893971</v>
      </c>
      <c r="E10" s="55">
        <v>25687</v>
      </c>
      <c r="F10" s="54">
        <v>0.96</v>
      </c>
      <c r="G10" s="54">
        <v>1338</v>
      </c>
      <c r="H10" s="54">
        <v>1324</v>
      </c>
      <c r="I10" s="54">
        <v>296394</v>
      </c>
      <c r="J10" s="55">
        <v>0</v>
      </c>
      <c r="K10" s="56">
        <v>823</v>
      </c>
      <c r="L10" s="55">
        <v>0</v>
      </c>
      <c r="M10" s="56">
        <v>652202</v>
      </c>
      <c r="N10" s="55">
        <v>0</v>
      </c>
      <c r="O10" s="56">
        <v>1052</v>
      </c>
      <c r="P10" s="55">
        <v>0</v>
      </c>
      <c r="Q10" s="56">
        <v>5929300</v>
      </c>
      <c r="R10" s="55">
        <v>14700</v>
      </c>
      <c r="S10" s="56">
        <v>5343500</v>
      </c>
      <c r="T10" s="55">
        <v>7900</v>
      </c>
      <c r="U10" s="56">
        <v>3188498</v>
      </c>
      <c r="V10" s="55">
        <v>656</v>
      </c>
      <c r="W10" s="56">
        <v>2443036</v>
      </c>
      <c r="X10" s="55">
        <v>529</v>
      </c>
      <c r="Y10" s="56">
        <v>17705</v>
      </c>
      <c r="Z10" s="55">
        <v>405</v>
      </c>
      <c r="AA10" s="55"/>
      <c r="AB10" s="57">
        <v>0.86</v>
      </c>
      <c r="AC10" s="64">
        <v>344</v>
      </c>
      <c r="AD10" s="28"/>
      <c r="AE10" s="56">
        <v>3556</v>
      </c>
      <c r="AF10" s="55">
        <v>0</v>
      </c>
      <c r="AG10" s="56">
        <v>646510</v>
      </c>
      <c r="AH10" s="59">
        <v>410</v>
      </c>
      <c r="AI10" s="56">
        <v>92</v>
      </c>
      <c r="AJ10" s="55">
        <v>0</v>
      </c>
      <c r="AK10" s="56">
        <v>7309</v>
      </c>
      <c r="AL10" s="55">
        <v>13</v>
      </c>
      <c r="AM10" s="54">
        <v>118635</v>
      </c>
      <c r="AN10" s="55">
        <v>311</v>
      </c>
      <c r="AO10" s="54"/>
      <c r="AP10" s="55">
        <v>0</v>
      </c>
      <c r="AQ10" s="56">
        <v>684030</v>
      </c>
      <c r="AR10" s="55">
        <v>130</v>
      </c>
      <c r="AS10" s="60">
        <v>12840</v>
      </c>
      <c r="AT10" s="55">
        <v>24</v>
      </c>
      <c r="AU10" s="56">
        <v>3179</v>
      </c>
      <c r="AV10" s="55">
        <v>34</v>
      </c>
      <c r="AW10" s="56">
        <v>9851</v>
      </c>
      <c r="AX10" s="55">
        <v>2</v>
      </c>
      <c r="AY10" s="56">
        <v>11731</v>
      </c>
      <c r="AZ10" s="55">
        <v>1</v>
      </c>
      <c r="BA10" s="56">
        <v>21998</v>
      </c>
      <c r="BB10" s="55">
        <v>6</v>
      </c>
      <c r="BC10" s="56">
        <v>22623</v>
      </c>
      <c r="BD10" s="55">
        <v>3</v>
      </c>
      <c r="BE10" s="56">
        <v>276</v>
      </c>
      <c r="BF10" s="59">
        <v>2</v>
      </c>
      <c r="BG10" s="56">
        <v>15590</v>
      </c>
      <c r="BH10" s="59">
        <v>4</v>
      </c>
      <c r="BI10" s="56">
        <v>7130</v>
      </c>
      <c r="BJ10" s="59">
        <v>2</v>
      </c>
      <c r="BK10" s="56">
        <v>29514</v>
      </c>
      <c r="BL10" s="59">
        <v>3</v>
      </c>
      <c r="BM10" s="56">
        <v>7041</v>
      </c>
      <c r="BN10" s="59">
        <v>3</v>
      </c>
      <c r="BO10" s="56">
        <v>46602</v>
      </c>
      <c r="BP10" s="59">
        <v>42</v>
      </c>
      <c r="BQ10" s="56">
        <v>3641</v>
      </c>
      <c r="BR10" s="59">
        <v>0</v>
      </c>
      <c r="BS10" s="59">
        <v>12</v>
      </c>
      <c r="BT10" s="59">
        <v>118</v>
      </c>
      <c r="BU10" s="56">
        <v>695330</v>
      </c>
      <c r="BV10" s="59">
        <v>130</v>
      </c>
      <c r="BW10" s="56"/>
      <c r="BX10" s="59"/>
      <c r="BY10" s="56">
        <v>901850</v>
      </c>
      <c r="BZ10" s="59">
        <v>260</v>
      </c>
      <c r="CA10" s="56"/>
      <c r="CB10" s="59"/>
      <c r="CC10" s="61">
        <v>130</v>
      </c>
      <c r="CD10" s="59">
        <v>390</v>
      </c>
      <c r="CE10" s="59">
        <v>57</v>
      </c>
      <c r="CF10" s="56">
        <v>160.5</v>
      </c>
      <c r="CG10" s="59">
        <v>20963.43</v>
      </c>
      <c r="CH10" s="56"/>
      <c r="CI10" s="55">
        <v>0</v>
      </c>
      <c r="CJ10" s="54">
        <v>3191590</v>
      </c>
      <c r="CK10" s="59">
        <v>1360</v>
      </c>
      <c r="CL10" s="61">
        <v>7765.6</v>
      </c>
      <c r="CM10" s="54">
        <v>75</v>
      </c>
      <c r="CN10" s="59">
        <v>8081</v>
      </c>
      <c r="CO10" s="54">
        <v>75</v>
      </c>
      <c r="CP10" s="61">
        <v>8081</v>
      </c>
      <c r="CQ10" s="54">
        <v>69</v>
      </c>
      <c r="CR10" s="59">
        <v>7435</v>
      </c>
      <c r="CS10" s="61">
        <v>23597</v>
      </c>
      <c r="CT10" s="65">
        <v>-10775</v>
      </c>
      <c r="CU10" s="56"/>
      <c r="CV10" s="54">
        <v>55475</v>
      </c>
      <c r="CW10" s="59">
        <v>40</v>
      </c>
      <c r="CX10" s="61">
        <v>228.4</v>
      </c>
      <c r="CY10" s="54">
        <v>36955</v>
      </c>
      <c r="CZ10" s="59">
        <v>3</v>
      </c>
      <c r="DA10" s="61">
        <v>17.13</v>
      </c>
      <c r="DB10" s="54">
        <v>18587</v>
      </c>
      <c r="DC10" s="59">
        <v>13</v>
      </c>
      <c r="DD10" s="61">
        <v>74.23</v>
      </c>
      <c r="DE10" s="54">
        <v>879529</v>
      </c>
      <c r="DF10" s="59">
        <v>70</v>
      </c>
      <c r="DG10" s="61">
        <v>399.7</v>
      </c>
      <c r="DH10" s="56">
        <v>14370</v>
      </c>
      <c r="DI10" s="59">
        <v>12</v>
      </c>
      <c r="DJ10" s="61">
        <v>68.52</v>
      </c>
      <c r="DK10" s="54">
        <v>13033</v>
      </c>
      <c r="DL10" s="59">
        <v>7</v>
      </c>
      <c r="DM10" s="61">
        <v>39.97</v>
      </c>
      <c r="DN10" s="54">
        <v>8178</v>
      </c>
      <c r="DO10" s="59">
        <v>6</v>
      </c>
      <c r="DP10" s="61">
        <v>34.26</v>
      </c>
      <c r="DQ10" s="54">
        <v>2664</v>
      </c>
      <c r="DR10" s="59">
        <v>1</v>
      </c>
      <c r="DS10" s="61">
        <v>5.71</v>
      </c>
      <c r="DT10" s="54">
        <v>10530</v>
      </c>
      <c r="DU10" s="59">
        <v>8</v>
      </c>
      <c r="DV10" s="61">
        <v>45.68</v>
      </c>
      <c r="DW10" s="54">
        <v>9167</v>
      </c>
      <c r="DX10" s="59">
        <v>6</v>
      </c>
      <c r="DY10" s="61">
        <v>34.26</v>
      </c>
      <c r="DZ10" s="54">
        <v>9899</v>
      </c>
      <c r="EA10" s="59">
        <v>9</v>
      </c>
      <c r="EB10" s="61">
        <v>51.39</v>
      </c>
      <c r="EC10" s="54">
        <v>10123</v>
      </c>
      <c r="ED10" s="59">
        <v>11</v>
      </c>
      <c r="EE10" s="61">
        <v>62.81</v>
      </c>
      <c r="EF10" s="56"/>
      <c r="EG10" s="61">
        <v>0</v>
      </c>
      <c r="EH10" s="56"/>
      <c r="EI10" s="61">
        <v>0</v>
      </c>
      <c r="EJ10" s="56"/>
      <c r="EK10" s="61">
        <v>0</v>
      </c>
      <c r="EL10" s="56"/>
      <c r="EM10" s="61">
        <v>0</v>
      </c>
      <c r="EN10" s="56">
        <v>96</v>
      </c>
      <c r="EO10" s="56">
        <v>242</v>
      </c>
      <c r="EP10" s="62">
        <v>0.85</v>
      </c>
      <c r="EQ10" s="54"/>
      <c r="ER10" s="54"/>
      <c r="ES10" s="54"/>
      <c r="ET10" s="54"/>
      <c r="EU10" s="54"/>
      <c r="EV10" s="54"/>
      <c r="EW10" s="58"/>
      <c r="EX10" s="58"/>
      <c r="EY10" s="58"/>
    </row>
    <row r="11" spans="1:155" s="15" customFormat="1" ht="14.5" x14ac:dyDescent="0.35">
      <c r="A11" s="53">
        <v>44993</v>
      </c>
      <c r="B11" s="54">
        <v>85152</v>
      </c>
      <c r="C11" s="55">
        <v>28996</v>
      </c>
      <c r="D11" s="54">
        <v>8921891</v>
      </c>
      <c r="E11" s="55">
        <v>27920</v>
      </c>
      <c r="F11" s="54">
        <v>0.96</v>
      </c>
      <c r="G11" s="54">
        <v>1338</v>
      </c>
      <c r="H11" s="54">
        <v>1324</v>
      </c>
      <c r="I11" s="54">
        <v>296394</v>
      </c>
      <c r="J11" s="55">
        <v>0</v>
      </c>
      <c r="K11" s="56">
        <v>823</v>
      </c>
      <c r="L11" s="55">
        <v>0</v>
      </c>
      <c r="M11" s="56">
        <v>652202</v>
      </c>
      <c r="N11" s="55">
        <v>0</v>
      </c>
      <c r="O11" s="56">
        <v>1052</v>
      </c>
      <c r="P11" s="55">
        <v>0</v>
      </c>
      <c r="Q11" s="56">
        <v>5945000</v>
      </c>
      <c r="R11" s="55">
        <v>15700</v>
      </c>
      <c r="S11" s="56">
        <v>5352500</v>
      </c>
      <c r="T11" s="55">
        <v>9000</v>
      </c>
      <c r="U11" s="56">
        <v>3189333</v>
      </c>
      <c r="V11" s="55">
        <v>835</v>
      </c>
      <c r="W11" s="56">
        <v>2443626</v>
      </c>
      <c r="X11" s="55">
        <v>590</v>
      </c>
      <c r="Y11" s="56">
        <v>18105</v>
      </c>
      <c r="Z11" s="55">
        <v>400</v>
      </c>
      <c r="AA11" s="55"/>
      <c r="AB11" s="57">
        <v>0.83</v>
      </c>
      <c r="AC11" s="64">
        <v>333</v>
      </c>
      <c r="AD11" s="28"/>
      <c r="AE11" s="56">
        <v>3556</v>
      </c>
      <c r="AF11" s="55">
        <v>0</v>
      </c>
      <c r="AG11" s="56">
        <v>646970</v>
      </c>
      <c r="AH11" s="59">
        <v>460</v>
      </c>
      <c r="AI11" s="56">
        <v>92</v>
      </c>
      <c r="AJ11" s="55">
        <v>0</v>
      </c>
      <c r="AK11" s="56">
        <v>7316</v>
      </c>
      <c r="AL11" s="55">
        <v>7</v>
      </c>
      <c r="AM11" s="54">
        <v>119059</v>
      </c>
      <c r="AN11" s="55">
        <v>424</v>
      </c>
      <c r="AO11" s="54"/>
      <c r="AP11" s="55">
        <v>0</v>
      </c>
      <c r="AQ11" s="56">
        <v>684230</v>
      </c>
      <c r="AR11" s="55">
        <v>200</v>
      </c>
      <c r="AS11" s="60">
        <v>12852</v>
      </c>
      <c r="AT11" s="55">
        <v>12</v>
      </c>
      <c r="AU11" s="56">
        <v>3240</v>
      </c>
      <c r="AV11" s="55">
        <v>61</v>
      </c>
      <c r="AW11" s="56">
        <v>9854</v>
      </c>
      <c r="AX11" s="55">
        <v>3</v>
      </c>
      <c r="AY11" s="56">
        <v>11733</v>
      </c>
      <c r="AZ11" s="55">
        <v>2</v>
      </c>
      <c r="BA11" s="56">
        <v>22006</v>
      </c>
      <c r="BB11" s="55">
        <v>8</v>
      </c>
      <c r="BC11" s="56">
        <v>22627</v>
      </c>
      <c r="BD11" s="55">
        <v>4</v>
      </c>
      <c r="BE11" s="56">
        <v>279</v>
      </c>
      <c r="BF11" s="59">
        <v>3</v>
      </c>
      <c r="BG11" s="56">
        <v>15595</v>
      </c>
      <c r="BH11" s="59">
        <v>5</v>
      </c>
      <c r="BI11" s="56">
        <v>7131</v>
      </c>
      <c r="BJ11" s="59">
        <v>1</v>
      </c>
      <c r="BK11" s="56">
        <v>29518</v>
      </c>
      <c r="BL11" s="59">
        <v>4</v>
      </c>
      <c r="BM11" s="56">
        <v>7044</v>
      </c>
      <c r="BN11" s="59">
        <v>3</v>
      </c>
      <c r="BO11" s="56">
        <v>46650</v>
      </c>
      <c r="BP11" s="59">
        <v>48</v>
      </c>
      <c r="BQ11" s="56">
        <v>3641</v>
      </c>
      <c r="BR11" s="59">
        <v>0</v>
      </c>
      <c r="BS11" s="59">
        <v>16</v>
      </c>
      <c r="BT11" s="59">
        <v>184</v>
      </c>
      <c r="BU11" s="56">
        <v>695500</v>
      </c>
      <c r="BV11" s="59">
        <v>170</v>
      </c>
      <c r="BW11" s="56"/>
      <c r="BX11" s="59"/>
      <c r="BY11" s="56">
        <v>902140</v>
      </c>
      <c r="BZ11" s="59">
        <v>290</v>
      </c>
      <c r="CA11" s="56"/>
      <c r="CB11" s="59"/>
      <c r="CC11" s="61">
        <v>90</v>
      </c>
      <c r="CD11" s="59">
        <v>460</v>
      </c>
      <c r="CE11" s="59">
        <v>90</v>
      </c>
      <c r="CF11" s="56">
        <v>160.5</v>
      </c>
      <c r="CG11" s="59">
        <v>20963.43</v>
      </c>
      <c r="CH11" s="56"/>
      <c r="CI11" s="55">
        <v>0</v>
      </c>
      <c r="CJ11" s="54">
        <v>3193895</v>
      </c>
      <c r="CK11" s="59">
        <v>2305</v>
      </c>
      <c r="CL11" s="61">
        <v>13161.55</v>
      </c>
      <c r="CM11" s="54">
        <v>65</v>
      </c>
      <c r="CN11" s="59">
        <v>7004</v>
      </c>
      <c r="CO11" s="54">
        <v>74</v>
      </c>
      <c r="CP11" s="61">
        <v>7974</v>
      </c>
      <c r="CQ11" s="54">
        <v>69</v>
      </c>
      <c r="CR11" s="59">
        <v>7435</v>
      </c>
      <c r="CS11" s="61">
        <v>22412</v>
      </c>
      <c r="CT11" s="59">
        <v>1185</v>
      </c>
      <c r="CU11" s="56"/>
      <c r="CV11" s="54">
        <v>55516</v>
      </c>
      <c r="CW11" s="59">
        <v>41</v>
      </c>
      <c r="CX11" s="61">
        <v>234.11</v>
      </c>
      <c r="CY11" s="54">
        <v>36960</v>
      </c>
      <c r="CZ11" s="59">
        <v>5</v>
      </c>
      <c r="DA11" s="61">
        <v>28.55</v>
      </c>
      <c r="DB11" s="54">
        <v>18604</v>
      </c>
      <c r="DC11" s="59">
        <v>17</v>
      </c>
      <c r="DD11" s="61">
        <v>97.07</v>
      </c>
      <c r="DE11" s="54">
        <v>879613</v>
      </c>
      <c r="DF11" s="59">
        <v>84</v>
      </c>
      <c r="DG11" s="61">
        <v>479.64</v>
      </c>
      <c r="DH11" s="56">
        <v>14389</v>
      </c>
      <c r="DI11" s="59">
        <v>19</v>
      </c>
      <c r="DJ11" s="61">
        <v>108.49</v>
      </c>
      <c r="DK11" s="54">
        <v>13040</v>
      </c>
      <c r="DL11" s="59">
        <v>7</v>
      </c>
      <c r="DM11" s="61">
        <v>39.97</v>
      </c>
      <c r="DN11" s="54">
        <v>8185</v>
      </c>
      <c r="DO11" s="59">
        <v>7</v>
      </c>
      <c r="DP11" s="61">
        <v>39.97</v>
      </c>
      <c r="DQ11" s="54">
        <v>2666</v>
      </c>
      <c r="DR11" s="59">
        <v>2</v>
      </c>
      <c r="DS11" s="61">
        <v>11.42</v>
      </c>
      <c r="DT11" s="54">
        <v>10539</v>
      </c>
      <c r="DU11" s="59">
        <v>9</v>
      </c>
      <c r="DV11" s="61">
        <v>51.39</v>
      </c>
      <c r="DW11" s="54">
        <v>9173</v>
      </c>
      <c r="DX11" s="59">
        <v>6</v>
      </c>
      <c r="DY11" s="61">
        <v>34.26</v>
      </c>
      <c r="DZ11" s="54">
        <v>9907</v>
      </c>
      <c r="EA11" s="59">
        <v>8</v>
      </c>
      <c r="EB11" s="61">
        <v>45.68</v>
      </c>
      <c r="EC11" s="54">
        <v>10133</v>
      </c>
      <c r="ED11" s="59">
        <v>10</v>
      </c>
      <c r="EE11" s="61">
        <v>57.1</v>
      </c>
      <c r="EF11" s="56"/>
      <c r="EG11" s="61">
        <v>0</v>
      </c>
      <c r="EH11" s="56"/>
      <c r="EI11" s="61">
        <v>0</v>
      </c>
      <c r="EJ11" s="56"/>
      <c r="EK11" s="61">
        <v>0</v>
      </c>
      <c r="EL11" s="56"/>
      <c r="EM11" s="61">
        <v>0</v>
      </c>
      <c r="EN11" s="56">
        <v>95</v>
      </c>
      <c r="EO11" s="56">
        <v>250</v>
      </c>
      <c r="EP11" s="62">
        <v>0.83</v>
      </c>
      <c r="EQ11" s="54"/>
      <c r="ER11" s="54"/>
      <c r="ES11" s="54"/>
      <c r="ET11" s="54"/>
      <c r="EU11" s="54"/>
      <c r="EV11" s="54"/>
      <c r="EW11" s="58"/>
      <c r="EX11" s="58"/>
      <c r="EY11" s="58"/>
    </row>
    <row r="12" spans="1:155" s="15" customFormat="1" ht="14.5" x14ac:dyDescent="0.35">
      <c r="A12" s="53">
        <v>44994</v>
      </c>
      <c r="B12" s="54">
        <v>114345</v>
      </c>
      <c r="C12" s="55">
        <v>29193</v>
      </c>
      <c r="D12" s="54">
        <v>8950012</v>
      </c>
      <c r="E12" s="55">
        <v>28121</v>
      </c>
      <c r="F12" s="54">
        <v>0.96</v>
      </c>
      <c r="G12" s="54">
        <v>1338</v>
      </c>
      <c r="H12" s="54">
        <v>1324</v>
      </c>
      <c r="I12" s="54">
        <v>296394</v>
      </c>
      <c r="J12" s="55">
        <v>0</v>
      </c>
      <c r="K12" s="56">
        <v>823</v>
      </c>
      <c r="L12" s="55">
        <v>0</v>
      </c>
      <c r="M12" s="56">
        <v>652202</v>
      </c>
      <c r="N12" s="55">
        <v>0</v>
      </c>
      <c r="O12" s="56">
        <v>1052</v>
      </c>
      <c r="P12" s="55">
        <v>0</v>
      </c>
      <c r="Q12" s="56">
        <v>5960600</v>
      </c>
      <c r="R12" s="55">
        <v>15600</v>
      </c>
      <c r="S12" s="56">
        <v>5361900</v>
      </c>
      <c r="T12" s="55">
        <v>9400</v>
      </c>
      <c r="U12" s="56">
        <v>3190439</v>
      </c>
      <c r="V12" s="55">
        <v>1106</v>
      </c>
      <c r="W12" s="56">
        <v>2444144</v>
      </c>
      <c r="X12" s="55">
        <v>518</v>
      </c>
      <c r="Y12" s="56">
        <v>18504</v>
      </c>
      <c r="Z12" s="55">
        <v>399</v>
      </c>
      <c r="AA12" s="55"/>
      <c r="AB12" s="57">
        <v>0.83</v>
      </c>
      <c r="AC12" s="64">
        <v>333</v>
      </c>
      <c r="AD12" s="28"/>
      <c r="AE12" s="56">
        <v>3556</v>
      </c>
      <c r="AF12" s="55">
        <v>0</v>
      </c>
      <c r="AG12" s="56">
        <v>647380</v>
      </c>
      <c r="AH12" s="59">
        <v>410</v>
      </c>
      <c r="AI12" s="56">
        <v>92</v>
      </c>
      <c r="AJ12" s="55">
        <v>0</v>
      </c>
      <c r="AK12" s="56">
        <v>7322</v>
      </c>
      <c r="AL12" s="55">
        <v>6</v>
      </c>
      <c r="AM12" s="54"/>
      <c r="AN12" s="55">
        <v>0</v>
      </c>
      <c r="AO12" s="54"/>
      <c r="AP12" s="55">
        <v>0</v>
      </c>
      <c r="AQ12" s="56">
        <v>684380</v>
      </c>
      <c r="AR12" s="55">
        <v>150</v>
      </c>
      <c r="AS12" s="60">
        <v>12864</v>
      </c>
      <c r="AT12" s="55">
        <v>12</v>
      </c>
      <c r="AU12" s="56">
        <v>3277</v>
      </c>
      <c r="AV12" s="55">
        <v>37</v>
      </c>
      <c r="AW12" s="56">
        <v>9856</v>
      </c>
      <c r="AX12" s="55">
        <v>2</v>
      </c>
      <c r="AY12" s="56">
        <v>11735</v>
      </c>
      <c r="AZ12" s="55">
        <v>2</v>
      </c>
      <c r="BA12" s="56">
        <v>22015</v>
      </c>
      <c r="BB12" s="55">
        <v>9</v>
      </c>
      <c r="BC12" s="56">
        <v>22632</v>
      </c>
      <c r="BD12" s="55">
        <v>5</v>
      </c>
      <c r="BE12" s="56">
        <v>281</v>
      </c>
      <c r="BF12" s="59">
        <v>2</v>
      </c>
      <c r="BG12" s="56">
        <v>15598</v>
      </c>
      <c r="BH12" s="59">
        <v>3</v>
      </c>
      <c r="BI12" s="56">
        <v>7132</v>
      </c>
      <c r="BJ12" s="59">
        <v>1</v>
      </c>
      <c r="BK12" s="56">
        <v>29522</v>
      </c>
      <c r="BL12" s="59">
        <v>4</v>
      </c>
      <c r="BM12" s="56">
        <v>7049</v>
      </c>
      <c r="BN12" s="59">
        <v>5</v>
      </c>
      <c r="BO12" s="56">
        <v>46704</v>
      </c>
      <c r="BP12" s="59">
        <v>54</v>
      </c>
      <c r="BQ12" s="56">
        <v>3641</v>
      </c>
      <c r="BR12" s="59">
        <v>0</v>
      </c>
      <c r="BS12" s="59">
        <v>14</v>
      </c>
      <c r="BT12" s="59">
        <v>136</v>
      </c>
      <c r="BU12" s="56">
        <v>695650</v>
      </c>
      <c r="BV12" s="59">
        <v>150</v>
      </c>
      <c r="BW12" s="56"/>
      <c r="BX12" s="59"/>
      <c r="BY12" s="56">
        <v>902600</v>
      </c>
      <c r="BZ12" s="59">
        <v>460</v>
      </c>
      <c r="CA12" s="56"/>
      <c r="CB12" s="59"/>
      <c r="CC12" s="61">
        <v>310</v>
      </c>
      <c r="CD12" s="59">
        <v>610</v>
      </c>
      <c r="CE12" s="59">
        <v>66</v>
      </c>
      <c r="CF12" s="56">
        <v>160.5</v>
      </c>
      <c r="CG12" s="59">
        <v>20963.43</v>
      </c>
      <c r="CH12" s="56"/>
      <c r="CI12" s="55">
        <v>0</v>
      </c>
      <c r="CJ12" s="54">
        <v>3195284</v>
      </c>
      <c r="CK12" s="59">
        <v>1389</v>
      </c>
      <c r="CL12" s="61">
        <v>7931.19</v>
      </c>
      <c r="CM12" s="54">
        <v>60</v>
      </c>
      <c r="CN12" s="59">
        <v>6465</v>
      </c>
      <c r="CO12" s="54">
        <v>70</v>
      </c>
      <c r="CP12" s="61">
        <v>7543</v>
      </c>
      <c r="CQ12" s="54">
        <v>70</v>
      </c>
      <c r="CR12" s="59">
        <v>7543</v>
      </c>
      <c r="CS12" s="61">
        <v>21550</v>
      </c>
      <c r="CT12" s="59">
        <v>862</v>
      </c>
      <c r="CU12" s="56"/>
      <c r="CV12" s="54">
        <v>55562</v>
      </c>
      <c r="CW12" s="59">
        <v>46</v>
      </c>
      <c r="CX12" s="61">
        <v>262.66000000000003</v>
      </c>
      <c r="CY12" s="54">
        <v>36964</v>
      </c>
      <c r="CZ12" s="59">
        <v>4</v>
      </c>
      <c r="DA12" s="61">
        <v>22.84</v>
      </c>
      <c r="DB12" s="54">
        <v>18620</v>
      </c>
      <c r="DC12" s="59">
        <v>16</v>
      </c>
      <c r="DD12" s="61">
        <v>91.36</v>
      </c>
      <c r="DE12" s="54">
        <v>879687</v>
      </c>
      <c r="DF12" s="59">
        <v>74</v>
      </c>
      <c r="DG12" s="61">
        <v>422.54</v>
      </c>
      <c r="DH12" s="56">
        <v>14402</v>
      </c>
      <c r="DI12" s="59">
        <v>13</v>
      </c>
      <c r="DJ12" s="61">
        <v>74.23</v>
      </c>
      <c r="DK12" s="54">
        <v>13047</v>
      </c>
      <c r="DL12" s="59">
        <v>7</v>
      </c>
      <c r="DM12" s="61">
        <v>39.97</v>
      </c>
      <c r="DN12" s="54">
        <v>8191</v>
      </c>
      <c r="DO12" s="59">
        <v>6</v>
      </c>
      <c r="DP12" s="61">
        <v>34.26</v>
      </c>
      <c r="DQ12" s="54">
        <v>2667</v>
      </c>
      <c r="DR12" s="59">
        <v>1</v>
      </c>
      <c r="DS12" s="61">
        <v>5.71</v>
      </c>
      <c r="DT12" s="54">
        <v>10550</v>
      </c>
      <c r="DU12" s="59">
        <v>11</v>
      </c>
      <c r="DV12" s="61">
        <v>62.81</v>
      </c>
      <c r="DW12" s="54">
        <v>9181</v>
      </c>
      <c r="DX12" s="59">
        <v>8</v>
      </c>
      <c r="DY12" s="61">
        <v>45.68</v>
      </c>
      <c r="DZ12" s="54">
        <v>9916</v>
      </c>
      <c r="EA12" s="59">
        <v>9</v>
      </c>
      <c r="EB12" s="61">
        <v>51.39</v>
      </c>
      <c r="EC12" s="54">
        <v>10144</v>
      </c>
      <c r="ED12" s="59">
        <v>11</v>
      </c>
      <c r="EE12" s="61">
        <v>62.81</v>
      </c>
      <c r="EF12" s="56"/>
      <c r="EG12" s="61">
        <v>0</v>
      </c>
      <c r="EH12" s="56"/>
      <c r="EI12" s="61">
        <v>0</v>
      </c>
      <c r="EJ12" s="56"/>
      <c r="EK12" s="61">
        <v>0</v>
      </c>
      <c r="EL12" s="56"/>
      <c r="EM12" s="61">
        <v>0</v>
      </c>
      <c r="EN12" s="56">
        <v>80</v>
      </c>
      <c r="EO12" s="56">
        <v>209</v>
      </c>
      <c r="EP12" s="62">
        <v>0.72</v>
      </c>
      <c r="EQ12" s="54"/>
      <c r="ER12" s="54"/>
      <c r="ES12" s="54"/>
      <c r="ET12" s="54"/>
      <c r="EU12" s="54"/>
      <c r="EV12" s="54"/>
      <c r="EW12" s="58"/>
      <c r="EX12" s="58"/>
      <c r="EY12" s="58"/>
    </row>
    <row r="13" spans="1:155" s="15" customFormat="1" ht="14.5" x14ac:dyDescent="0.35">
      <c r="A13" s="53">
        <v>44995</v>
      </c>
      <c r="B13" s="54">
        <v>10140262</v>
      </c>
      <c r="C13" s="55">
        <v>25917</v>
      </c>
      <c r="D13" s="54">
        <v>8974988</v>
      </c>
      <c r="E13" s="55">
        <v>24976</v>
      </c>
      <c r="F13" s="54">
        <v>0.96369178531465838</v>
      </c>
      <c r="G13" s="54">
        <v>1338</v>
      </c>
      <c r="H13" s="54">
        <v>1324</v>
      </c>
      <c r="I13" s="54">
        <v>296394</v>
      </c>
      <c r="J13" s="55">
        <v>0</v>
      </c>
      <c r="K13" s="56">
        <v>823</v>
      </c>
      <c r="L13" s="55">
        <v>0</v>
      </c>
      <c r="M13" s="56">
        <v>652202</v>
      </c>
      <c r="N13" s="55">
        <v>0</v>
      </c>
      <c r="O13" s="56">
        <v>1052</v>
      </c>
      <c r="P13" s="55">
        <v>0</v>
      </c>
      <c r="Q13" s="56">
        <v>5974500</v>
      </c>
      <c r="R13" s="55">
        <v>13900</v>
      </c>
      <c r="S13" s="56">
        <v>5370100</v>
      </c>
      <c r="T13" s="55">
        <v>8200</v>
      </c>
      <c r="U13" s="56">
        <v>3192107</v>
      </c>
      <c r="V13" s="55">
        <v>1668</v>
      </c>
      <c r="W13" s="56">
        <v>2444655</v>
      </c>
      <c r="X13" s="55">
        <v>511</v>
      </c>
      <c r="Y13" s="56">
        <v>18876</v>
      </c>
      <c r="Z13" s="55">
        <v>372</v>
      </c>
      <c r="AA13" s="55"/>
      <c r="AB13" s="57">
        <v>0.83333333333333337</v>
      </c>
      <c r="AC13" s="64">
        <v>333.33333333333337</v>
      </c>
      <c r="AD13" s="28"/>
      <c r="AE13" s="56">
        <v>3556</v>
      </c>
      <c r="AF13" s="55">
        <v>0</v>
      </c>
      <c r="AG13" s="56">
        <v>647730</v>
      </c>
      <c r="AH13" s="59">
        <v>350</v>
      </c>
      <c r="AI13" s="56">
        <v>92</v>
      </c>
      <c r="AJ13" s="55">
        <v>0</v>
      </c>
      <c r="AK13" s="56">
        <v>7322</v>
      </c>
      <c r="AL13" s="55">
        <v>0</v>
      </c>
      <c r="AM13" s="54">
        <v>119709</v>
      </c>
      <c r="AN13" s="55">
        <v>226</v>
      </c>
      <c r="AO13" s="54"/>
      <c r="AP13" s="55">
        <v>0</v>
      </c>
      <c r="AQ13" s="56">
        <v>684500</v>
      </c>
      <c r="AR13" s="55">
        <v>120</v>
      </c>
      <c r="AS13" s="60">
        <v>12891</v>
      </c>
      <c r="AT13" s="55">
        <v>27</v>
      </c>
      <c r="AU13" s="56">
        <v>3322</v>
      </c>
      <c r="AV13" s="55">
        <v>45</v>
      </c>
      <c r="AW13" s="56">
        <v>9859</v>
      </c>
      <c r="AX13" s="55">
        <v>3</v>
      </c>
      <c r="AY13" s="56">
        <v>11736</v>
      </c>
      <c r="AZ13" s="55">
        <v>1</v>
      </c>
      <c r="BA13" s="56">
        <v>22021</v>
      </c>
      <c r="BB13" s="55">
        <v>6</v>
      </c>
      <c r="BC13" s="56">
        <v>22634</v>
      </c>
      <c r="BD13" s="55">
        <v>2</v>
      </c>
      <c r="BE13" s="56">
        <v>283</v>
      </c>
      <c r="BF13" s="59">
        <v>2</v>
      </c>
      <c r="BG13" s="56">
        <v>15603</v>
      </c>
      <c r="BH13" s="59">
        <v>5</v>
      </c>
      <c r="BI13" s="56">
        <v>7133</v>
      </c>
      <c r="BJ13" s="59">
        <v>1</v>
      </c>
      <c r="BK13" s="56">
        <v>29524</v>
      </c>
      <c r="BL13" s="59">
        <v>2</v>
      </c>
      <c r="BM13" s="56">
        <v>7053</v>
      </c>
      <c r="BN13" s="59">
        <v>4</v>
      </c>
      <c r="BO13" s="56">
        <v>46760</v>
      </c>
      <c r="BP13" s="59">
        <v>56</v>
      </c>
      <c r="BQ13" s="56">
        <v>3641</v>
      </c>
      <c r="BR13" s="59">
        <v>0</v>
      </c>
      <c r="BS13" s="59">
        <v>13</v>
      </c>
      <c r="BT13" s="59">
        <v>107</v>
      </c>
      <c r="BU13" s="56">
        <v>695790</v>
      </c>
      <c r="BV13" s="59">
        <v>140</v>
      </c>
      <c r="BW13" s="56"/>
      <c r="BX13" s="59"/>
      <c r="BY13" s="56">
        <v>902950</v>
      </c>
      <c r="BZ13" s="65">
        <v>350</v>
      </c>
      <c r="CA13" s="56"/>
      <c r="CB13" s="59"/>
      <c r="CC13" s="67">
        <v>230</v>
      </c>
      <c r="CD13" s="65">
        <v>490</v>
      </c>
      <c r="CE13" s="59">
        <v>69</v>
      </c>
      <c r="CF13" s="56">
        <v>160.5</v>
      </c>
      <c r="CG13" s="59">
        <v>20963.433095920635</v>
      </c>
      <c r="CH13" s="56"/>
      <c r="CI13" s="55">
        <v>0</v>
      </c>
      <c r="CJ13" s="54">
        <v>3197030</v>
      </c>
      <c r="CK13" s="59">
        <v>1746</v>
      </c>
      <c r="CL13" s="61">
        <v>9969.66</v>
      </c>
      <c r="CM13" s="54">
        <v>52</v>
      </c>
      <c r="CN13" s="59">
        <v>5603</v>
      </c>
      <c r="CO13" s="54">
        <v>69</v>
      </c>
      <c r="CP13" s="61">
        <v>7434.75</v>
      </c>
      <c r="CQ13" s="54">
        <v>69</v>
      </c>
      <c r="CR13" s="59">
        <v>7434.75</v>
      </c>
      <c r="CS13" s="61">
        <v>20472.5</v>
      </c>
      <c r="CT13" s="59">
        <v>1077.5</v>
      </c>
      <c r="CU13" s="56"/>
      <c r="CV13" s="54">
        <v>55596</v>
      </c>
      <c r="CW13" s="59">
        <v>34</v>
      </c>
      <c r="CX13" s="61">
        <v>194.14</v>
      </c>
      <c r="CY13" s="54">
        <v>36967</v>
      </c>
      <c r="CZ13" s="59">
        <v>3</v>
      </c>
      <c r="DA13" s="61">
        <v>17.13</v>
      </c>
      <c r="DB13" s="54">
        <v>18636</v>
      </c>
      <c r="DC13" s="59">
        <v>16</v>
      </c>
      <c r="DD13" s="61">
        <v>91.36</v>
      </c>
      <c r="DE13" s="54">
        <v>879764</v>
      </c>
      <c r="DF13" s="59">
        <v>77</v>
      </c>
      <c r="DG13" s="61">
        <v>439.67</v>
      </c>
      <c r="DH13" s="56">
        <v>14412</v>
      </c>
      <c r="DI13" s="59">
        <v>10</v>
      </c>
      <c r="DJ13" s="61">
        <v>57.1</v>
      </c>
      <c r="DK13" s="54">
        <v>13054</v>
      </c>
      <c r="DL13" s="59">
        <v>7</v>
      </c>
      <c r="DM13" s="61">
        <v>39.97</v>
      </c>
      <c r="DN13" s="54">
        <v>8197</v>
      </c>
      <c r="DO13" s="59">
        <v>6</v>
      </c>
      <c r="DP13" s="61">
        <v>34.26</v>
      </c>
      <c r="DQ13" s="54">
        <v>2669</v>
      </c>
      <c r="DR13" s="59">
        <v>2</v>
      </c>
      <c r="DS13" s="61">
        <v>11.42</v>
      </c>
      <c r="DT13" s="54">
        <v>10560</v>
      </c>
      <c r="DU13" s="59">
        <v>10</v>
      </c>
      <c r="DV13" s="61">
        <v>57.1</v>
      </c>
      <c r="DW13" s="54">
        <v>9188</v>
      </c>
      <c r="DX13" s="59">
        <v>7</v>
      </c>
      <c r="DY13" s="61">
        <v>39.97</v>
      </c>
      <c r="DZ13" s="54">
        <v>9924</v>
      </c>
      <c r="EA13" s="59">
        <v>8</v>
      </c>
      <c r="EB13" s="61">
        <v>45.68</v>
      </c>
      <c r="EC13" s="54">
        <v>10154</v>
      </c>
      <c r="ED13" s="59">
        <v>10</v>
      </c>
      <c r="EE13" s="61">
        <v>57.1</v>
      </c>
      <c r="EF13" s="56"/>
      <c r="EG13" s="61">
        <v>0</v>
      </c>
      <c r="EH13" s="56"/>
      <c r="EI13" s="61">
        <v>0</v>
      </c>
      <c r="EJ13" s="56"/>
      <c r="EK13" s="61">
        <v>0</v>
      </c>
      <c r="EL13" s="56"/>
      <c r="EM13" s="61">
        <v>0</v>
      </c>
      <c r="EN13" s="56">
        <v>68</v>
      </c>
      <c r="EO13" s="56">
        <v>172</v>
      </c>
      <c r="EP13" s="68">
        <v>0.63</v>
      </c>
      <c r="EQ13" s="54"/>
      <c r="ER13" s="54"/>
      <c r="ES13" s="54"/>
      <c r="ET13" s="54"/>
      <c r="EU13" s="54"/>
      <c r="EV13" s="54"/>
      <c r="EW13" s="58"/>
      <c r="EX13" s="58"/>
      <c r="EY13" s="58"/>
    </row>
    <row r="14" spans="1:155" s="15" customFormat="1" ht="14.5" x14ac:dyDescent="0.35">
      <c r="A14" s="53">
        <v>44996</v>
      </c>
      <c r="B14" s="54">
        <v>10168931</v>
      </c>
      <c r="C14" s="55">
        <v>28669</v>
      </c>
      <c r="D14" s="54">
        <v>9002572</v>
      </c>
      <c r="E14" s="55">
        <v>27584</v>
      </c>
      <c r="F14" s="54">
        <v>0.96215424325926957</v>
      </c>
      <c r="G14" s="54">
        <v>1338</v>
      </c>
      <c r="H14" s="54">
        <v>1324</v>
      </c>
      <c r="I14" s="54">
        <v>296394</v>
      </c>
      <c r="J14" s="55">
        <v>0</v>
      </c>
      <c r="K14" s="56">
        <v>823</v>
      </c>
      <c r="L14" s="55">
        <v>0</v>
      </c>
      <c r="M14" s="56">
        <v>652202</v>
      </c>
      <c r="N14" s="55">
        <v>0</v>
      </c>
      <c r="O14" s="56">
        <v>1052</v>
      </c>
      <c r="P14" s="55">
        <v>0</v>
      </c>
      <c r="Q14" s="56">
        <v>5990000</v>
      </c>
      <c r="R14" s="55">
        <v>15500</v>
      </c>
      <c r="S14" s="56">
        <v>5379000</v>
      </c>
      <c r="T14" s="55">
        <v>8900</v>
      </c>
      <c r="U14" s="56">
        <v>3193239</v>
      </c>
      <c r="V14" s="55">
        <v>1132</v>
      </c>
      <c r="W14" s="56">
        <v>2445210</v>
      </c>
      <c r="X14" s="55">
        <v>555</v>
      </c>
      <c r="Y14" s="56">
        <v>19135</v>
      </c>
      <c r="Z14" s="55">
        <v>259</v>
      </c>
      <c r="AA14" s="55"/>
      <c r="AB14" s="57">
        <v>0.55555555555555558</v>
      </c>
      <c r="AC14" s="64">
        <v>222.22222222222223</v>
      </c>
      <c r="AD14" s="28"/>
      <c r="AE14" s="56">
        <v>3556</v>
      </c>
      <c r="AF14" s="55">
        <v>0</v>
      </c>
      <c r="AG14" s="56">
        <v>648130</v>
      </c>
      <c r="AH14" s="59">
        <v>400</v>
      </c>
      <c r="AI14" s="56">
        <v>92</v>
      </c>
      <c r="AJ14" s="55">
        <v>0</v>
      </c>
      <c r="AK14" s="56">
        <v>7328</v>
      </c>
      <c r="AL14" s="55">
        <v>6</v>
      </c>
      <c r="AM14" s="54">
        <v>120042</v>
      </c>
      <c r="AN14" s="55">
        <v>333</v>
      </c>
      <c r="AO14" s="54"/>
      <c r="AP14" s="55">
        <v>0</v>
      </c>
      <c r="AQ14" s="56">
        <v>684660</v>
      </c>
      <c r="AR14" s="55">
        <v>160</v>
      </c>
      <c r="AS14" s="60">
        <v>12912</v>
      </c>
      <c r="AT14" s="55">
        <v>21</v>
      </c>
      <c r="AU14" s="56">
        <v>3365</v>
      </c>
      <c r="AV14" s="55">
        <v>43</v>
      </c>
      <c r="AW14" s="56">
        <v>9861</v>
      </c>
      <c r="AX14" s="55">
        <v>2</v>
      </c>
      <c r="AY14" s="56">
        <v>11738</v>
      </c>
      <c r="AZ14" s="55">
        <v>2</v>
      </c>
      <c r="BA14" s="56">
        <v>22030</v>
      </c>
      <c r="BB14" s="55">
        <v>9</v>
      </c>
      <c r="BC14" s="56">
        <v>22637</v>
      </c>
      <c r="BD14" s="55">
        <v>3</v>
      </c>
      <c r="BE14" s="56">
        <v>284</v>
      </c>
      <c r="BF14" s="59">
        <v>1</v>
      </c>
      <c r="BG14" s="56">
        <v>15608</v>
      </c>
      <c r="BH14" s="59">
        <v>5</v>
      </c>
      <c r="BI14" s="56">
        <v>7134</v>
      </c>
      <c r="BJ14" s="59">
        <v>1</v>
      </c>
      <c r="BK14" s="56">
        <v>29527</v>
      </c>
      <c r="BL14" s="59">
        <v>3</v>
      </c>
      <c r="BM14" s="56">
        <v>7055</v>
      </c>
      <c r="BN14" s="59">
        <v>2</v>
      </c>
      <c r="BO14" s="56">
        <v>46801</v>
      </c>
      <c r="BP14" s="59">
        <v>41</v>
      </c>
      <c r="BQ14" s="56">
        <v>3641</v>
      </c>
      <c r="BR14" s="59">
        <v>0</v>
      </c>
      <c r="BS14" s="59">
        <v>15</v>
      </c>
      <c r="BT14" s="59">
        <v>145</v>
      </c>
      <c r="BU14" s="56">
        <v>695940</v>
      </c>
      <c r="BV14" s="59">
        <v>150</v>
      </c>
      <c r="BW14" s="56"/>
      <c r="BX14" s="59"/>
      <c r="BY14" s="56">
        <v>903050</v>
      </c>
      <c r="BZ14" s="59">
        <v>100</v>
      </c>
      <c r="CA14" s="56"/>
      <c r="CB14" s="59"/>
      <c r="CC14" s="61">
        <v>-60</v>
      </c>
      <c r="CD14" s="59">
        <v>250</v>
      </c>
      <c r="CE14" s="59">
        <v>68</v>
      </c>
      <c r="CF14" s="56">
        <v>160.5</v>
      </c>
      <c r="CG14" s="59">
        <v>20963.433095920635</v>
      </c>
      <c r="CH14" s="56"/>
      <c r="CI14" s="55">
        <v>0</v>
      </c>
      <c r="CJ14" s="54">
        <v>3199890</v>
      </c>
      <c r="CK14" s="59">
        <v>2860</v>
      </c>
      <c r="CL14" s="61">
        <v>16330.6</v>
      </c>
      <c r="CM14" s="54">
        <v>44</v>
      </c>
      <c r="CN14" s="59">
        <v>4741</v>
      </c>
      <c r="CO14" s="54">
        <v>61</v>
      </c>
      <c r="CP14" s="61">
        <v>6572.75</v>
      </c>
      <c r="CQ14" s="54">
        <v>70</v>
      </c>
      <c r="CR14" s="59">
        <v>7542.5</v>
      </c>
      <c r="CS14" s="61">
        <v>18856.25</v>
      </c>
      <c r="CT14" s="59">
        <v>1616.25</v>
      </c>
      <c r="CU14" s="56"/>
      <c r="CV14" s="54">
        <v>55637</v>
      </c>
      <c r="CW14" s="59">
        <v>41</v>
      </c>
      <c r="CX14" s="61">
        <v>234.10999999999999</v>
      </c>
      <c r="CY14" s="54">
        <v>36969</v>
      </c>
      <c r="CZ14" s="59">
        <v>2</v>
      </c>
      <c r="DA14" s="61">
        <v>11.42</v>
      </c>
      <c r="DB14" s="54">
        <v>18650</v>
      </c>
      <c r="DC14" s="59">
        <v>14</v>
      </c>
      <c r="DD14" s="61">
        <v>79.94</v>
      </c>
      <c r="DE14" s="54">
        <v>879903</v>
      </c>
      <c r="DF14" s="59">
        <v>139</v>
      </c>
      <c r="DG14" s="61">
        <v>793.68999999999994</v>
      </c>
      <c r="DH14" s="56">
        <v>14426</v>
      </c>
      <c r="DI14" s="59">
        <v>14</v>
      </c>
      <c r="DJ14" s="61">
        <v>79.94</v>
      </c>
      <c r="DK14" s="54">
        <v>13060</v>
      </c>
      <c r="DL14" s="59">
        <v>6</v>
      </c>
      <c r="DM14" s="61">
        <v>34.26</v>
      </c>
      <c r="DN14" s="54">
        <v>8203</v>
      </c>
      <c r="DO14" s="59">
        <v>6</v>
      </c>
      <c r="DP14" s="61">
        <v>34.26</v>
      </c>
      <c r="DQ14" s="54">
        <v>2670</v>
      </c>
      <c r="DR14" s="59">
        <v>1</v>
      </c>
      <c r="DS14" s="61">
        <v>5.71</v>
      </c>
      <c r="DT14" s="54">
        <v>10567</v>
      </c>
      <c r="DU14" s="59">
        <v>7</v>
      </c>
      <c r="DV14" s="61">
        <v>39.97</v>
      </c>
      <c r="DW14" s="54">
        <v>9193</v>
      </c>
      <c r="DX14" s="59">
        <v>5</v>
      </c>
      <c r="DY14" s="61">
        <v>28.55</v>
      </c>
      <c r="DZ14" s="54">
        <v>9933</v>
      </c>
      <c r="EA14" s="59">
        <v>9</v>
      </c>
      <c r="EB14" s="61">
        <v>51.39</v>
      </c>
      <c r="EC14" s="54">
        <v>10164</v>
      </c>
      <c r="ED14" s="59">
        <v>10</v>
      </c>
      <c r="EE14" s="61">
        <v>57.1</v>
      </c>
      <c r="EF14" s="56"/>
      <c r="EG14" s="61">
        <v>0</v>
      </c>
      <c r="EH14" s="56"/>
      <c r="EI14" s="61">
        <v>0</v>
      </c>
      <c r="EJ14" s="56"/>
      <c r="EK14" s="61">
        <v>0</v>
      </c>
      <c r="EL14" s="56"/>
      <c r="EM14" s="61">
        <v>0</v>
      </c>
      <c r="EN14" s="56">
        <v>66</v>
      </c>
      <c r="EO14" s="56">
        <v>165</v>
      </c>
      <c r="EP14" s="68">
        <v>0.61</v>
      </c>
      <c r="EQ14" s="54"/>
      <c r="ER14" s="54"/>
      <c r="ES14" s="54"/>
      <c r="ET14" s="54"/>
      <c r="EU14" s="54"/>
      <c r="EV14" s="54"/>
      <c r="EW14" s="58"/>
      <c r="EX14" s="58"/>
      <c r="EY14" s="58"/>
    </row>
    <row r="15" spans="1:155" s="15" customFormat="1" ht="14.5" x14ac:dyDescent="0.35">
      <c r="A15" s="53">
        <v>44997</v>
      </c>
      <c r="B15" s="54">
        <v>10193004</v>
      </c>
      <c r="C15" s="55">
        <v>24073</v>
      </c>
      <c r="D15" s="54">
        <v>9030723</v>
      </c>
      <c r="E15" s="55">
        <v>28151</v>
      </c>
      <c r="F15" s="54">
        <v>1.1694014040626428</v>
      </c>
      <c r="G15" s="54">
        <v>1338</v>
      </c>
      <c r="H15" s="54">
        <v>1324</v>
      </c>
      <c r="I15" s="54">
        <v>296394</v>
      </c>
      <c r="J15" s="55">
        <v>0</v>
      </c>
      <c r="K15" s="56">
        <v>823</v>
      </c>
      <c r="L15" s="55">
        <v>0</v>
      </c>
      <c r="M15" s="56">
        <v>652202</v>
      </c>
      <c r="N15" s="55">
        <v>0</v>
      </c>
      <c r="O15" s="56">
        <v>1053</v>
      </c>
      <c r="P15" s="55">
        <v>1</v>
      </c>
      <c r="Q15" s="56">
        <v>6005700</v>
      </c>
      <c r="R15" s="55">
        <v>15700</v>
      </c>
      <c r="S15" s="56">
        <v>5388200</v>
      </c>
      <c r="T15" s="55">
        <v>9200</v>
      </c>
      <c r="U15" s="56">
        <v>3193939</v>
      </c>
      <c r="V15" s="55">
        <v>700</v>
      </c>
      <c r="W15" s="56">
        <v>2445775</v>
      </c>
      <c r="X15" s="55">
        <v>565</v>
      </c>
      <c r="Y15" s="69">
        <v>19444</v>
      </c>
      <c r="Z15" s="55">
        <v>309</v>
      </c>
      <c r="AA15" s="55"/>
      <c r="AB15" s="57">
        <v>0.83333333333333337</v>
      </c>
      <c r="AC15" s="64">
        <v>333.33333333333337</v>
      </c>
      <c r="AD15" s="28">
        <v>9</v>
      </c>
      <c r="AE15" s="56">
        <v>3828</v>
      </c>
      <c r="AF15" s="55">
        <v>272</v>
      </c>
      <c r="AG15" s="56">
        <v>648520</v>
      </c>
      <c r="AH15" s="59">
        <v>390</v>
      </c>
      <c r="AI15" s="56">
        <v>92</v>
      </c>
      <c r="AJ15" s="55">
        <v>0</v>
      </c>
      <c r="AK15" s="56">
        <v>7342</v>
      </c>
      <c r="AL15" s="55">
        <v>14</v>
      </c>
      <c r="AM15" s="54">
        <v>120380</v>
      </c>
      <c r="AN15" s="55">
        <v>338</v>
      </c>
      <c r="AO15" s="54"/>
      <c r="AP15" s="55">
        <v>0</v>
      </c>
      <c r="AQ15" s="56">
        <v>684850</v>
      </c>
      <c r="AR15" s="55">
        <v>190</v>
      </c>
      <c r="AS15" s="60">
        <v>12944</v>
      </c>
      <c r="AT15" s="55">
        <v>32</v>
      </c>
      <c r="AU15" s="56">
        <v>3409</v>
      </c>
      <c r="AV15" s="55">
        <v>44</v>
      </c>
      <c r="AW15" s="56">
        <v>9863</v>
      </c>
      <c r="AX15" s="55">
        <v>2</v>
      </c>
      <c r="AY15" s="56">
        <v>11740</v>
      </c>
      <c r="AZ15" s="55">
        <v>2</v>
      </c>
      <c r="BA15" s="56">
        <v>22036</v>
      </c>
      <c r="BB15" s="55">
        <v>6</v>
      </c>
      <c r="BC15" s="56">
        <v>22641</v>
      </c>
      <c r="BD15" s="55">
        <v>4</v>
      </c>
      <c r="BE15" s="56">
        <v>286</v>
      </c>
      <c r="BF15" s="59">
        <v>2</v>
      </c>
      <c r="BG15" s="56">
        <v>15613</v>
      </c>
      <c r="BH15" s="59">
        <v>5</v>
      </c>
      <c r="BI15" s="56">
        <v>7135</v>
      </c>
      <c r="BJ15" s="59">
        <v>1</v>
      </c>
      <c r="BK15" s="56">
        <v>29332</v>
      </c>
      <c r="BL15" s="59" t="s">
        <v>135</v>
      </c>
      <c r="BM15" s="56">
        <v>7060</v>
      </c>
      <c r="BN15" s="59">
        <v>5</v>
      </c>
      <c r="BO15" s="56">
        <v>46861</v>
      </c>
      <c r="BP15" s="59">
        <v>60</v>
      </c>
      <c r="BQ15" s="56">
        <v>3641</v>
      </c>
      <c r="BR15" s="59">
        <v>0</v>
      </c>
      <c r="BS15" s="59">
        <v>13</v>
      </c>
      <c r="BT15" s="59">
        <v>177</v>
      </c>
      <c r="BU15" s="56">
        <v>696090</v>
      </c>
      <c r="BV15" s="59">
        <v>150</v>
      </c>
      <c r="BW15" s="56"/>
      <c r="BX15" s="59"/>
      <c r="BY15" s="56">
        <v>903180</v>
      </c>
      <c r="BZ15" s="59">
        <v>130</v>
      </c>
      <c r="CA15" s="56"/>
      <c r="CB15" s="59"/>
      <c r="CC15" s="61">
        <v>-60</v>
      </c>
      <c r="CD15" s="59">
        <v>280</v>
      </c>
      <c r="CE15" s="59">
        <v>71</v>
      </c>
      <c r="CF15" s="56">
        <v>160.5</v>
      </c>
      <c r="CG15" s="59">
        <v>20963.433095920635</v>
      </c>
      <c r="CH15" s="56"/>
      <c r="CI15" s="55">
        <v>0</v>
      </c>
      <c r="CJ15" s="54">
        <v>3202137</v>
      </c>
      <c r="CK15" s="59">
        <v>2247</v>
      </c>
      <c r="CL15" s="61">
        <v>12830.37</v>
      </c>
      <c r="CM15" s="54">
        <v>39</v>
      </c>
      <c r="CN15" s="59">
        <v>4202.25</v>
      </c>
      <c r="CO15" s="54">
        <v>58</v>
      </c>
      <c r="CP15" s="61">
        <v>6249.5</v>
      </c>
      <c r="CQ15" s="54">
        <v>66</v>
      </c>
      <c r="CR15" s="59">
        <v>7111.5</v>
      </c>
      <c r="CS15" s="61">
        <v>17563.25</v>
      </c>
      <c r="CT15" s="59">
        <v>1293</v>
      </c>
      <c r="CU15" s="56"/>
      <c r="CV15" s="54">
        <v>55670</v>
      </c>
      <c r="CW15" s="59">
        <v>33</v>
      </c>
      <c r="CX15" s="61">
        <v>188.43</v>
      </c>
      <c r="CY15" s="54">
        <v>36969</v>
      </c>
      <c r="CZ15" s="59">
        <v>0</v>
      </c>
      <c r="DA15" s="61">
        <v>0</v>
      </c>
      <c r="DB15" s="54">
        <v>18666</v>
      </c>
      <c r="DC15" s="59">
        <v>16</v>
      </c>
      <c r="DD15" s="61">
        <v>91.36</v>
      </c>
      <c r="DE15" s="54">
        <v>879935</v>
      </c>
      <c r="DF15" s="59">
        <v>32</v>
      </c>
      <c r="DG15" s="61">
        <v>182.72</v>
      </c>
      <c r="DH15" s="56">
        <v>14440</v>
      </c>
      <c r="DI15" s="59">
        <v>14</v>
      </c>
      <c r="DJ15" s="61">
        <v>79.94</v>
      </c>
      <c r="DK15" s="54">
        <v>13067</v>
      </c>
      <c r="DL15" s="59">
        <v>7</v>
      </c>
      <c r="DM15" s="61">
        <v>39.97</v>
      </c>
      <c r="DN15" s="54">
        <v>8211</v>
      </c>
      <c r="DO15" s="59">
        <v>8</v>
      </c>
      <c r="DP15" s="61">
        <v>45.68</v>
      </c>
      <c r="DQ15" s="54">
        <v>2672</v>
      </c>
      <c r="DR15" s="59">
        <v>2</v>
      </c>
      <c r="DS15" s="61">
        <v>11.42</v>
      </c>
      <c r="DT15" s="54">
        <v>10578</v>
      </c>
      <c r="DU15" s="59">
        <v>11</v>
      </c>
      <c r="DV15" s="61">
        <v>62.81</v>
      </c>
      <c r="DW15" s="54">
        <v>9200</v>
      </c>
      <c r="DX15" s="59">
        <v>7</v>
      </c>
      <c r="DY15" s="61">
        <v>39.97</v>
      </c>
      <c r="DZ15" s="54">
        <v>9942</v>
      </c>
      <c r="EA15" s="59">
        <v>9</v>
      </c>
      <c r="EB15" s="61">
        <v>51.39</v>
      </c>
      <c r="EC15" s="54">
        <v>10175</v>
      </c>
      <c r="ED15" s="59">
        <v>11</v>
      </c>
      <c r="EE15" s="61">
        <v>62.81</v>
      </c>
      <c r="EF15" s="56"/>
      <c r="EG15" s="61">
        <v>0</v>
      </c>
      <c r="EH15" s="56"/>
      <c r="EI15" s="61">
        <v>0</v>
      </c>
      <c r="EJ15" s="56"/>
      <c r="EK15" s="61">
        <v>0</v>
      </c>
      <c r="EL15" s="56"/>
      <c r="EM15" s="61">
        <v>0</v>
      </c>
      <c r="EN15" s="56">
        <v>95</v>
      </c>
      <c r="EO15" s="56">
        <v>228</v>
      </c>
      <c r="EP15" s="68">
        <v>0.8</v>
      </c>
      <c r="EQ15" s="54"/>
      <c r="ER15" s="54"/>
      <c r="ES15" s="54"/>
      <c r="ET15" s="54"/>
      <c r="EU15" s="54"/>
      <c r="EV15" s="54"/>
      <c r="EW15" s="58"/>
      <c r="EX15" s="58"/>
      <c r="EY15" s="58"/>
    </row>
    <row r="16" spans="1:155" s="15" customFormat="1" ht="14.5" x14ac:dyDescent="0.35">
      <c r="A16" s="53">
        <v>44998</v>
      </c>
      <c r="B16" s="54">
        <v>10225353</v>
      </c>
      <c r="C16" s="55">
        <v>32349</v>
      </c>
      <c r="D16" s="54">
        <v>9056761</v>
      </c>
      <c r="E16" s="55">
        <v>26038</v>
      </c>
      <c r="F16" s="54">
        <v>0.80490896163714487</v>
      </c>
      <c r="G16" s="54">
        <v>1338</v>
      </c>
      <c r="H16" s="54">
        <v>1324</v>
      </c>
      <c r="I16" s="54">
        <v>296394</v>
      </c>
      <c r="J16" s="55">
        <v>0</v>
      </c>
      <c r="K16" s="56">
        <v>823</v>
      </c>
      <c r="L16" s="55">
        <v>0</v>
      </c>
      <c r="M16" s="56">
        <v>652202</v>
      </c>
      <c r="N16" s="55">
        <v>0</v>
      </c>
      <c r="O16" s="56">
        <v>1053</v>
      </c>
      <c r="P16" s="55">
        <v>0</v>
      </c>
      <c r="Q16" s="56">
        <v>6020200</v>
      </c>
      <c r="R16" s="55">
        <v>14500</v>
      </c>
      <c r="S16" s="56">
        <v>5396900</v>
      </c>
      <c r="T16" s="55">
        <v>8700</v>
      </c>
      <c r="U16" s="56">
        <v>3195506</v>
      </c>
      <c r="V16" s="55">
        <v>1567</v>
      </c>
      <c r="W16" s="56">
        <v>2446344</v>
      </c>
      <c r="X16" s="55">
        <v>569</v>
      </c>
      <c r="Y16" s="56">
        <v>19728</v>
      </c>
      <c r="Z16" s="55">
        <v>284</v>
      </c>
      <c r="AA16" s="55"/>
      <c r="AB16" s="57">
        <v>0.86111111111111116</v>
      </c>
      <c r="AC16" s="64">
        <v>344.44444444444446</v>
      </c>
      <c r="AD16" s="28"/>
      <c r="AE16" s="56">
        <v>3994</v>
      </c>
      <c r="AF16" s="55">
        <v>166</v>
      </c>
      <c r="AG16" s="56">
        <v>648970</v>
      </c>
      <c r="AH16" s="59">
        <v>450</v>
      </c>
      <c r="AI16" s="56">
        <v>92</v>
      </c>
      <c r="AJ16" s="55">
        <v>0</v>
      </c>
      <c r="AK16" s="56">
        <v>7349</v>
      </c>
      <c r="AL16" s="55">
        <v>7</v>
      </c>
      <c r="AM16" s="54">
        <v>120617</v>
      </c>
      <c r="AN16" s="55">
        <v>237</v>
      </c>
      <c r="AO16" s="54"/>
      <c r="AP16" s="55">
        <v>0</v>
      </c>
      <c r="AQ16" s="56">
        <v>684990</v>
      </c>
      <c r="AR16" s="55">
        <v>140</v>
      </c>
      <c r="AS16" s="60">
        <v>12971</v>
      </c>
      <c r="AT16" s="55">
        <v>27</v>
      </c>
      <c r="AU16" s="56">
        <v>3443</v>
      </c>
      <c r="AV16" s="55">
        <v>34</v>
      </c>
      <c r="AW16" s="56">
        <v>9865</v>
      </c>
      <c r="AX16" s="55">
        <v>2</v>
      </c>
      <c r="AY16" s="56">
        <v>11742</v>
      </c>
      <c r="AZ16" s="55">
        <v>2</v>
      </c>
      <c r="BA16" s="56">
        <v>22041</v>
      </c>
      <c r="BB16" s="55">
        <v>5</v>
      </c>
      <c r="BC16" s="56">
        <v>22645</v>
      </c>
      <c r="BD16" s="55">
        <v>4</v>
      </c>
      <c r="BE16" s="56">
        <v>289</v>
      </c>
      <c r="BF16" s="59">
        <v>3</v>
      </c>
      <c r="BG16" s="56">
        <v>15618</v>
      </c>
      <c r="BH16" s="59">
        <v>5</v>
      </c>
      <c r="BI16" s="56">
        <v>7136</v>
      </c>
      <c r="BJ16" s="59">
        <v>1</v>
      </c>
      <c r="BK16" s="56">
        <v>29536</v>
      </c>
      <c r="BL16" s="59">
        <v>204</v>
      </c>
      <c r="BM16" s="56">
        <v>7064</v>
      </c>
      <c r="BN16" s="59">
        <v>4</v>
      </c>
      <c r="BO16" s="56">
        <v>46905</v>
      </c>
      <c r="BP16" s="59">
        <v>44</v>
      </c>
      <c r="BQ16" s="56">
        <v>3641</v>
      </c>
      <c r="BR16" s="59">
        <v>0</v>
      </c>
      <c r="BS16" s="59">
        <v>13</v>
      </c>
      <c r="BT16" s="59">
        <v>127</v>
      </c>
      <c r="BU16" s="56">
        <v>696240</v>
      </c>
      <c r="BV16" s="59">
        <v>150</v>
      </c>
      <c r="BW16" s="56"/>
      <c r="BX16" s="59"/>
      <c r="BY16" s="56">
        <v>903370</v>
      </c>
      <c r="BZ16" s="59">
        <v>190</v>
      </c>
      <c r="CA16" s="56"/>
      <c r="CB16" s="59"/>
      <c r="CC16" s="61">
        <v>50</v>
      </c>
      <c r="CD16" s="59">
        <v>340</v>
      </c>
      <c r="CE16" s="59">
        <v>60</v>
      </c>
      <c r="CF16" s="56">
        <v>160.5</v>
      </c>
      <c r="CG16" s="59">
        <v>20963.433095920635</v>
      </c>
      <c r="CH16" s="56"/>
      <c r="CI16" s="55">
        <v>0</v>
      </c>
      <c r="CJ16" s="54">
        <v>3203883</v>
      </c>
      <c r="CK16" s="59">
        <v>1746</v>
      </c>
      <c r="CL16" s="61">
        <v>9969.66</v>
      </c>
      <c r="CM16" s="54">
        <v>35</v>
      </c>
      <c r="CN16" s="59">
        <v>3771.25</v>
      </c>
      <c r="CO16" s="54">
        <v>54</v>
      </c>
      <c r="CP16" s="61">
        <v>5818.5</v>
      </c>
      <c r="CQ16" s="54">
        <v>65</v>
      </c>
      <c r="CR16" s="59">
        <v>7003.75</v>
      </c>
      <c r="CS16" s="61">
        <v>16593.5</v>
      </c>
      <c r="CT16" s="59">
        <v>969.75</v>
      </c>
      <c r="CU16" s="56">
        <v>11609</v>
      </c>
      <c r="CV16" s="54">
        <v>55708</v>
      </c>
      <c r="CW16" s="59">
        <v>38</v>
      </c>
      <c r="CX16" s="61">
        <v>216.98</v>
      </c>
      <c r="CY16" s="54">
        <v>36969</v>
      </c>
      <c r="CZ16" s="59">
        <v>0</v>
      </c>
      <c r="DA16" s="61">
        <v>0</v>
      </c>
      <c r="DB16" s="54">
        <v>18678</v>
      </c>
      <c r="DC16" s="59">
        <v>12</v>
      </c>
      <c r="DD16" s="61">
        <v>68.52</v>
      </c>
      <c r="DE16" s="54">
        <v>880165</v>
      </c>
      <c r="DF16" s="59">
        <v>230</v>
      </c>
      <c r="DG16" s="61">
        <v>1313.3</v>
      </c>
      <c r="DH16" s="56">
        <v>14453</v>
      </c>
      <c r="DI16" s="59">
        <v>13</v>
      </c>
      <c r="DJ16" s="61">
        <v>74.23</v>
      </c>
      <c r="DK16" s="54">
        <v>13074</v>
      </c>
      <c r="DL16" s="59">
        <v>7</v>
      </c>
      <c r="DM16" s="61">
        <v>39.97</v>
      </c>
      <c r="DN16" s="54">
        <v>8217</v>
      </c>
      <c r="DO16" s="59">
        <v>6</v>
      </c>
      <c r="DP16" s="61">
        <v>34.26</v>
      </c>
      <c r="DQ16" s="54">
        <v>2673</v>
      </c>
      <c r="DR16" s="59">
        <v>1</v>
      </c>
      <c r="DS16" s="61">
        <v>5.71</v>
      </c>
      <c r="DT16" s="54">
        <v>10586</v>
      </c>
      <c r="DU16" s="59">
        <v>8</v>
      </c>
      <c r="DV16" s="61">
        <v>45.68</v>
      </c>
      <c r="DW16" s="54">
        <v>9206</v>
      </c>
      <c r="DX16" s="59">
        <v>6</v>
      </c>
      <c r="DY16" s="61">
        <v>34.26</v>
      </c>
      <c r="DZ16" s="54">
        <v>9950</v>
      </c>
      <c r="EA16" s="59">
        <v>8</v>
      </c>
      <c r="EB16" s="61">
        <v>45.68</v>
      </c>
      <c r="EC16" s="54">
        <v>10185</v>
      </c>
      <c r="ED16" s="59">
        <v>10</v>
      </c>
      <c r="EE16" s="61">
        <v>57.1</v>
      </c>
      <c r="EF16" s="56"/>
      <c r="EG16" s="61">
        <v>0</v>
      </c>
      <c r="EH16" s="56"/>
      <c r="EI16" s="61">
        <v>0</v>
      </c>
      <c r="EJ16" s="56"/>
      <c r="EK16" s="61">
        <v>0</v>
      </c>
      <c r="EL16" s="56"/>
      <c r="EM16" s="61">
        <v>0</v>
      </c>
      <c r="EN16" s="56">
        <v>103</v>
      </c>
      <c r="EO16" s="56">
        <v>234</v>
      </c>
      <c r="EP16" s="68">
        <v>0.82</v>
      </c>
      <c r="EQ16" s="54"/>
      <c r="ER16" s="54"/>
      <c r="ES16" s="54"/>
      <c r="ET16" s="54"/>
      <c r="EU16" s="54"/>
      <c r="EV16" s="54"/>
      <c r="EW16" s="58"/>
      <c r="EX16" s="58"/>
      <c r="EY16" s="58"/>
    </row>
    <row r="17" spans="1:155" s="18" customFormat="1" ht="14.5" x14ac:dyDescent="0.35">
      <c r="A17" s="53">
        <v>44999</v>
      </c>
      <c r="B17" s="54">
        <v>10252896</v>
      </c>
      <c r="C17" s="55">
        <v>27543</v>
      </c>
      <c r="D17" s="54">
        <v>9083276</v>
      </c>
      <c r="E17" s="55">
        <v>26515</v>
      </c>
      <c r="F17" s="54">
        <v>0.96267654213411757</v>
      </c>
      <c r="G17" s="54">
        <v>1338</v>
      </c>
      <c r="H17" s="54">
        <v>1324</v>
      </c>
      <c r="I17" s="54">
        <v>296394</v>
      </c>
      <c r="J17" s="55">
        <v>0</v>
      </c>
      <c r="K17" s="56">
        <v>823</v>
      </c>
      <c r="L17" s="55">
        <v>0</v>
      </c>
      <c r="M17" s="56">
        <v>652202</v>
      </c>
      <c r="N17" s="55">
        <v>0</v>
      </c>
      <c r="O17" s="56">
        <v>1053</v>
      </c>
      <c r="P17" s="55">
        <v>0</v>
      </c>
      <c r="Q17" s="56">
        <v>6034800</v>
      </c>
      <c r="R17" s="55">
        <v>14600</v>
      </c>
      <c r="S17" s="56">
        <v>5405900</v>
      </c>
      <c r="T17" s="55">
        <v>9000</v>
      </c>
      <c r="U17" s="56">
        <v>3196458</v>
      </c>
      <c r="V17" s="55">
        <v>952</v>
      </c>
      <c r="W17" s="56">
        <v>2446872</v>
      </c>
      <c r="X17" s="55">
        <v>528</v>
      </c>
      <c r="Y17" s="56">
        <v>19975</v>
      </c>
      <c r="Z17" s="55">
        <v>247</v>
      </c>
      <c r="AA17" s="55"/>
      <c r="AB17" s="57">
        <v>0.66666666666666663</v>
      </c>
      <c r="AC17" s="64">
        <v>266.66666666666663</v>
      </c>
      <c r="AD17" s="28"/>
      <c r="AE17" s="56">
        <v>3994</v>
      </c>
      <c r="AF17" s="55">
        <v>0</v>
      </c>
      <c r="AG17" s="56">
        <v>649370</v>
      </c>
      <c r="AH17" s="59">
        <v>400</v>
      </c>
      <c r="AI17" s="56">
        <v>92</v>
      </c>
      <c r="AJ17" s="55">
        <v>0</v>
      </c>
      <c r="AK17" s="56">
        <v>7359</v>
      </c>
      <c r="AL17" s="55">
        <v>10</v>
      </c>
      <c r="AM17" s="54">
        <v>120854</v>
      </c>
      <c r="AN17" s="55">
        <v>237</v>
      </c>
      <c r="AO17" s="54"/>
      <c r="AP17" s="55">
        <v>0</v>
      </c>
      <c r="AQ17" s="56">
        <v>685180</v>
      </c>
      <c r="AR17" s="55">
        <v>190</v>
      </c>
      <c r="AS17" s="60">
        <v>13003</v>
      </c>
      <c r="AT17" s="55">
        <v>32</v>
      </c>
      <c r="AU17" s="56">
        <v>3476</v>
      </c>
      <c r="AV17" s="55">
        <v>33</v>
      </c>
      <c r="AW17" s="56">
        <v>9868</v>
      </c>
      <c r="AX17" s="55">
        <v>3</v>
      </c>
      <c r="AY17" s="56">
        <v>11744</v>
      </c>
      <c r="AZ17" s="55">
        <v>2</v>
      </c>
      <c r="BA17" s="56">
        <v>22049</v>
      </c>
      <c r="BB17" s="55">
        <v>8</v>
      </c>
      <c r="BC17" s="56">
        <v>22648</v>
      </c>
      <c r="BD17" s="55">
        <v>3</v>
      </c>
      <c r="BE17" s="56">
        <v>292</v>
      </c>
      <c r="BF17" s="59">
        <v>3</v>
      </c>
      <c r="BG17" s="56">
        <v>15624</v>
      </c>
      <c r="BH17" s="59">
        <v>6</v>
      </c>
      <c r="BI17" s="56">
        <v>7137</v>
      </c>
      <c r="BJ17" s="59">
        <v>1</v>
      </c>
      <c r="BK17" s="56">
        <v>29541</v>
      </c>
      <c r="BL17" s="59">
        <v>5</v>
      </c>
      <c r="BM17" s="56">
        <v>7068</v>
      </c>
      <c r="BN17" s="59">
        <v>4</v>
      </c>
      <c r="BO17" s="56">
        <v>46954</v>
      </c>
      <c r="BP17" s="59">
        <v>49</v>
      </c>
      <c r="BQ17" s="56">
        <v>3641</v>
      </c>
      <c r="BR17" s="59">
        <v>0</v>
      </c>
      <c r="BS17" s="59">
        <v>17</v>
      </c>
      <c r="BT17" s="59">
        <v>173</v>
      </c>
      <c r="BU17" s="56">
        <v>696370</v>
      </c>
      <c r="BV17" s="59">
        <v>130</v>
      </c>
      <c r="BW17" s="56"/>
      <c r="BX17" s="59"/>
      <c r="BY17" s="56">
        <v>903620</v>
      </c>
      <c r="BZ17" s="59">
        <v>250</v>
      </c>
      <c r="CA17" s="56"/>
      <c r="CB17" s="59"/>
      <c r="CC17" s="61">
        <v>60</v>
      </c>
      <c r="CD17" s="59">
        <v>380</v>
      </c>
      <c r="CE17" s="59">
        <v>63</v>
      </c>
      <c r="CF17" s="56">
        <v>160.5</v>
      </c>
      <c r="CG17" s="59">
        <v>20963.433095920635</v>
      </c>
      <c r="CH17" s="56"/>
      <c r="CI17" s="55">
        <v>0</v>
      </c>
      <c r="CJ17" s="54">
        <v>3206560</v>
      </c>
      <c r="CK17" s="59">
        <v>2677</v>
      </c>
      <c r="CL17" s="61">
        <v>15285.67</v>
      </c>
      <c r="CM17" s="54">
        <v>80</v>
      </c>
      <c r="CN17" s="59">
        <v>8620</v>
      </c>
      <c r="CO17" s="54">
        <v>85</v>
      </c>
      <c r="CP17" s="61">
        <v>9158.75</v>
      </c>
      <c r="CQ17" s="54">
        <v>77</v>
      </c>
      <c r="CR17" s="59">
        <v>8296.75</v>
      </c>
      <c r="CS17" s="61">
        <v>26075.5</v>
      </c>
      <c r="CT17" s="59">
        <v>2127</v>
      </c>
      <c r="CU17" s="56"/>
      <c r="CV17" s="54">
        <v>55743</v>
      </c>
      <c r="CW17" s="59">
        <v>35</v>
      </c>
      <c r="CX17" s="61">
        <v>199.85</v>
      </c>
      <c r="CY17" s="54">
        <v>36972</v>
      </c>
      <c r="CZ17" s="59">
        <v>3</v>
      </c>
      <c r="DA17" s="61">
        <v>17.13</v>
      </c>
      <c r="DB17" s="54">
        <v>18690</v>
      </c>
      <c r="DC17" s="59">
        <v>12</v>
      </c>
      <c r="DD17" s="61">
        <v>68.52</v>
      </c>
      <c r="DE17" s="54">
        <v>880895</v>
      </c>
      <c r="DF17" s="59">
        <v>730</v>
      </c>
      <c r="DG17" s="61">
        <v>4168.3</v>
      </c>
      <c r="DH17" s="56">
        <v>14466</v>
      </c>
      <c r="DI17" s="59">
        <v>13</v>
      </c>
      <c r="DJ17" s="61">
        <v>74.23</v>
      </c>
      <c r="DK17" s="54">
        <v>13079</v>
      </c>
      <c r="DL17" s="59">
        <v>5</v>
      </c>
      <c r="DM17" s="61">
        <v>28.55</v>
      </c>
      <c r="DN17" s="54">
        <v>8222</v>
      </c>
      <c r="DO17" s="59">
        <v>5</v>
      </c>
      <c r="DP17" s="61">
        <v>28.55</v>
      </c>
      <c r="DQ17" s="54">
        <v>2675</v>
      </c>
      <c r="DR17" s="59">
        <v>2</v>
      </c>
      <c r="DS17" s="61">
        <v>11.42</v>
      </c>
      <c r="DT17" s="54">
        <v>10595</v>
      </c>
      <c r="DU17" s="59">
        <v>9</v>
      </c>
      <c r="DV17" s="61">
        <v>51.39</v>
      </c>
      <c r="DW17" s="54">
        <v>9959</v>
      </c>
      <c r="DX17" s="59">
        <v>753</v>
      </c>
      <c r="DY17" s="61">
        <v>4299.63</v>
      </c>
      <c r="DZ17" s="54">
        <v>9959</v>
      </c>
      <c r="EA17" s="59">
        <v>9</v>
      </c>
      <c r="EB17" s="61">
        <v>51.39</v>
      </c>
      <c r="EC17" s="54">
        <v>10194</v>
      </c>
      <c r="ED17" s="59">
        <v>9</v>
      </c>
      <c r="EE17" s="61">
        <v>51.39</v>
      </c>
      <c r="EF17" s="56"/>
      <c r="EG17" s="61">
        <v>0</v>
      </c>
      <c r="EH17" s="56"/>
      <c r="EI17" s="61">
        <v>0</v>
      </c>
      <c r="EJ17" s="56"/>
      <c r="EK17" s="61">
        <v>0</v>
      </c>
      <c r="EL17" s="56"/>
      <c r="EM17" s="61">
        <v>0</v>
      </c>
      <c r="EN17" s="56">
        <v>102</v>
      </c>
      <c r="EO17" s="56">
        <v>233</v>
      </c>
      <c r="EP17" s="68">
        <v>0.83</v>
      </c>
      <c r="EQ17" s="54"/>
      <c r="ER17" s="54"/>
      <c r="ES17" s="54"/>
      <c r="ET17" s="54"/>
      <c r="EU17" s="54"/>
      <c r="EV17" s="54"/>
      <c r="EW17" s="70"/>
      <c r="EX17" s="70"/>
      <c r="EY17" s="70"/>
    </row>
    <row r="18" spans="1:155" s="15" customFormat="1" ht="14.5" x14ac:dyDescent="0.35">
      <c r="A18" s="53">
        <v>45000</v>
      </c>
      <c r="B18" s="54">
        <v>10281827</v>
      </c>
      <c r="C18" s="55">
        <v>28931</v>
      </c>
      <c r="D18" s="54">
        <v>9111097</v>
      </c>
      <c r="E18" s="55">
        <v>27821</v>
      </c>
      <c r="F18" s="54">
        <v>0.96163285057550729</v>
      </c>
      <c r="G18" s="54">
        <v>1338</v>
      </c>
      <c r="H18" s="54">
        <v>1324</v>
      </c>
      <c r="I18" s="54">
        <v>296394</v>
      </c>
      <c r="J18" s="55">
        <v>0</v>
      </c>
      <c r="K18" s="56">
        <v>823</v>
      </c>
      <c r="L18" s="55">
        <v>0</v>
      </c>
      <c r="M18" s="56">
        <v>652202</v>
      </c>
      <c r="N18" s="55">
        <v>0</v>
      </c>
      <c r="O18" s="56">
        <v>1053</v>
      </c>
      <c r="P18" s="55">
        <v>0</v>
      </c>
      <c r="Q18" s="56">
        <v>6050300</v>
      </c>
      <c r="R18" s="55">
        <v>15500</v>
      </c>
      <c r="S18" s="56">
        <v>5415000</v>
      </c>
      <c r="T18" s="55">
        <v>9100</v>
      </c>
      <c r="U18" s="56">
        <v>3197363</v>
      </c>
      <c r="V18" s="55">
        <v>905</v>
      </c>
      <c r="W18" s="56">
        <v>2447440</v>
      </c>
      <c r="X18" s="55">
        <v>568</v>
      </c>
      <c r="Y18" s="56">
        <v>20317</v>
      </c>
      <c r="Z18" s="55">
        <v>342</v>
      </c>
      <c r="AA18" s="55"/>
      <c r="AB18" s="57">
        <v>0.80555555555555558</v>
      </c>
      <c r="AC18" s="64">
        <v>322.22222222222223</v>
      </c>
      <c r="AD18" s="28"/>
      <c r="AE18" s="56">
        <v>4178</v>
      </c>
      <c r="AF18" s="55">
        <v>184</v>
      </c>
      <c r="AG18" s="56">
        <v>649760</v>
      </c>
      <c r="AH18" s="59">
        <v>390</v>
      </c>
      <c r="AI18" s="56">
        <v>92</v>
      </c>
      <c r="AJ18" s="55">
        <v>0</v>
      </c>
      <c r="AK18" s="56">
        <v>7368</v>
      </c>
      <c r="AL18" s="55">
        <v>9</v>
      </c>
      <c r="AM18" s="54">
        <v>121207</v>
      </c>
      <c r="AN18" s="55">
        <v>353</v>
      </c>
      <c r="AO18" s="54"/>
      <c r="AP18" s="55">
        <v>0</v>
      </c>
      <c r="AQ18" s="56">
        <v>685350</v>
      </c>
      <c r="AR18" s="55">
        <v>170</v>
      </c>
      <c r="AS18" s="60">
        <v>13035</v>
      </c>
      <c r="AT18" s="55">
        <v>32</v>
      </c>
      <c r="AU18" s="56">
        <v>3513</v>
      </c>
      <c r="AV18" s="55">
        <v>37</v>
      </c>
      <c r="AW18" s="56">
        <v>9870</v>
      </c>
      <c r="AX18" s="55">
        <v>2</v>
      </c>
      <c r="AY18" s="56">
        <v>11746</v>
      </c>
      <c r="AZ18" s="55">
        <v>2</v>
      </c>
      <c r="BA18" s="56">
        <v>22058</v>
      </c>
      <c r="BB18" s="55">
        <v>9</v>
      </c>
      <c r="BC18" s="56">
        <v>22652</v>
      </c>
      <c r="BD18" s="55">
        <v>4</v>
      </c>
      <c r="BE18" s="56">
        <v>295</v>
      </c>
      <c r="BF18" s="59">
        <v>3</v>
      </c>
      <c r="BG18" s="56">
        <v>15630</v>
      </c>
      <c r="BH18" s="59">
        <v>6</v>
      </c>
      <c r="BI18" s="56">
        <v>7137</v>
      </c>
      <c r="BJ18" s="59">
        <v>0</v>
      </c>
      <c r="BK18" s="56">
        <v>29543</v>
      </c>
      <c r="BL18" s="59">
        <v>2</v>
      </c>
      <c r="BM18" s="56">
        <v>7071</v>
      </c>
      <c r="BN18" s="59">
        <v>3</v>
      </c>
      <c r="BO18" s="56">
        <v>47005</v>
      </c>
      <c r="BP18" s="59">
        <v>51</v>
      </c>
      <c r="BQ18" s="56">
        <v>3641</v>
      </c>
      <c r="BR18" s="59">
        <v>0</v>
      </c>
      <c r="BS18" s="59">
        <v>18</v>
      </c>
      <c r="BT18" s="59">
        <v>152</v>
      </c>
      <c r="BU18" s="56">
        <v>696530</v>
      </c>
      <c r="BV18" s="59">
        <v>160</v>
      </c>
      <c r="BW18" s="56"/>
      <c r="BX18" s="59"/>
      <c r="BY18" s="56">
        <v>903850</v>
      </c>
      <c r="BZ18" s="59">
        <v>230</v>
      </c>
      <c r="CA18" s="56"/>
      <c r="CB18" s="59"/>
      <c r="CC18" s="61">
        <v>60</v>
      </c>
      <c r="CD18" s="59">
        <v>390</v>
      </c>
      <c r="CE18" s="59">
        <v>66</v>
      </c>
      <c r="CF18" s="56">
        <v>160.5</v>
      </c>
      <c r="CG18" s="59">
        <v>20963.433095920635</v>
      </c>
      <c r="CH18" s="56"/>
      <c r="CI18" s="55">
        <v>0</v>
      </c>
      <c r="CJ18" s="54">
        <v>3208829</v>
      </c>
      <c r="CK18" s="59">
        <v>2269</v>
      </c>
      <c r="CL18" s="61">
        <v>12955.99</v>
      </c>
      <c r="CM18" s="54">
        <v>75</v>
      </c>
      <c r="CN18" s="59">
        <v>8081.25</v>
      </c>
      <c r="CO18" s="54">
        <v>80</v>
      </c>
      <c r="CP18" s="61">
        <v>8620</v>
      </c>
      <c r="CQ18" s="54">
        <v>76</v>
      </c>
      <c r="CR18" s="59">
        <v>8189</v>
      </c>
      <c r="CS18" s="61">
        <v>24890.25</v>
      </c>
      <c r="CT18" s="59">
        <v>1185.25</v>
      </c>
      <c r="CU18" s="56"/>
      <c r="CV18" s="54">
        <v>55779</v>
      </c>
      <c r="CW18" s="59">
        <v>36</v>
      </c>
      <c r="CX18" s="61">
        <v>205.56</v>
      </c>
      <c r="CY18" s="54">
        <v>36975</v>
      </c>
      <c r="CZ18" s="59">
        <v>3</v>
      </c>
      <c r="DA18" s="61">
        <v>17.13</v>
      </c>
      <c r="DB18" s="54">
        <v>18706</v>
      </c>
      <c r="DC18" s="59">
        <v>16</v>
      </c>
      <c r="DD18" s="61">
        <v>91.36</v>
      </c>
      <c r="DE18" s="54">
        <v>880432</v>
      </c>
      <c r="DF18" s="59" t="s">
        <v>135</v>
      </c>
      <c r="DG18" s="61">
        <v>0</v>
      </c>
      <c r="DH18" s="56">
        <v>14479</v>
      </c>
      <c r="DI18" s="59">
        <v>13</v>
      </c>
      <c r="DJ18" s="61">
        <v>74.23</v>
      </c>
      <c r="DK18" s="54">
        <v>13086</v>
      </c>
      <c r="DL18" s="59">
        <v>7</v>
      </c>
      <c r="DM18" s="61">
        <v>39.97</v>
      </c>
      <c r="DN18" s="54">
        <v>8229</v>
      </c>
      <c r="DO18" s="59">
        <v>7</v>
      </c>
      <c r="DP18" s="61">
        <v>39.97</v>
      </c>
      <c r="DQ18" s="54">
        <v>2676</v>
      </c>
      <c r="DR18" s="59">
        <v>1</v>
      </c>
      <c r="DS18" s="61">
        <v>5.71</v>
      </c>
      <c r="DT18" s="54">
        <v>10600</v>
      </c>
      <c r="DU18" s="59">
        <v>5</v>
      </c>
      <c r="DV18" s="61">
        <v>28.55</v>
      </c>
      <c r="DW18" s="54">
        <v>9219</v>
      </c>
      <c r="DX18" s="59" t="s">
        <v>135</v>
      </c>
      <c r="DY18" s="61">
        <v>0</v>
      </c>
      <c r="DZ18" s="54">
        <v>9967</v>
      </c>
      <c r="EA18" s="59">
        <v>8</v>
      </c>
      <c r="EB18" s="61">
        <v>45.68</v>
      </c>
      <c r="EC18" s="54">
        <v>10203</v>
      </c>
      <c r="ED18" s="59">
        <v>9</v>
      </c>
      <c r="EE18" s="61">
        <v>51.39</v>
      </c>
      <c r="EF18" s="56"/>
      <c r="EG18" s="61">
        <v>0</v>
      </c>
      <c r="EH18" s="56"/>
      <c r="EI18" s="61">
        <v>0</v>
      </c>
      <c r="EJ18" s="56"/>
      <c r="EK18" s="61">
        <v>0</v>
      </c>
      <c r="EL18" s="56"/>
      <c r="EM18" s="61">
        <v>0</v>
      </c>
      <c r="EN18" s="56">
        <v>93</v>
      </c>
      <c r="EO18" s="56">
        <v>200</v>
      </c>
      <c r="EP18" s="68">
        <v>0.8</v>
      </c>
      <c r="EQ18" s="54"/>
      <c r="ER18" s="54"/>
      <c r="ES18" s="54"/>
      <c r="ET18" s="54"/>
      <c r="EU18" s="54"/>
      <c r="EV18" s="54"/>
      <c r="EW18" s="58"/>
      <c r="EX18" s="58"/>
      <c r="EY18" s="58"/>
    </row>
    <row r="19" spans="1:155" s="15" customFormat="1" ht="14.5" x14ac:dyDescent="0.35">
      <c r="A19" s="53">
        <v>45001</v>
      </c>
      <c r="B19" s="54">
        <v>10307360</v>
      </c>
      <c r="C19" s="55">
        <v>25533</v>
      </c>
      <c r="D19" s="54">
        <v>9135856</v>
      </c>
      <c r="E19" s="55">
        <v>24759</v>
      </c>
      <c r="F19" s="54">
        <v>0.96968628833274584</v>
      </c>
      <c r="G19" s="54">
        <v>1338</v>
      </c>
      <c r="H19" s="54">
        <v>1324</v>
      </c>
      <c r="I19" s="54">
        <v>296394</v>
      </c>
      <c r="J19" s="55">
        <v>0</v>
      </c>
      <c r="K19" s="56">
        <v>823</v>
      </c>
      <c r="L19" s="55">
        <v>0</v>
      </c>
      <c r="M19" s="56">
        <v>652202</v>
      </c>
      <c r="N19" s="55">
        <v>0</v>
      </c>
      <c r="O19" s="56">
        <v>1053</v>
      </c>
      <c r="P19" s="55">
        <v>0</v>
      </c>
      <c r="Q19" s="56">
        <v>6063200</v>
      </c>
      <c r="R19" s="55">
        <v>12900</v>
      </c>
      <c r="S19" s="56">
        <v>5424100</v>
      </c>
      <c r="T19" s="55">
        <v>9100</v>
      </c>
      <c r="U19" s="56">
        <v>3198112</v>
      </c>
      <c r="V19" s="55">
        <v>749</v>
      </c>
      <c r="W19" s="56">
        <v>2447944</v>
      </c>
      <c r="X19" s="55">
        <v>504</v>
      </c>
      <c r="Y19" s="69">
        <v>20690</v>
      </c>
      <c r="Z19" s="55">
        <v>373</v>
      </c>
      <c r="AA19" s="55"/>
      <c r="AB19" s="57">
        <v>0.94444444444444442</v>
      </c>
      <c r="AC19" s="64">
        <v>377.77777777777777</v>
      </c>
      <c r="AD19" s="28"/>
      <c r="AE19" s="56">
        <v>4262</v>
      </c>
      <c r="AF19" s="55">
        <v>84</v>
      </c>
      <c r="AG19" s="56">
        <v>650120</v>
      </c>
      <c r="AH19" s="59">
        <v>360</v>
      </c>
      <c r="AI19" s="56">
        <v>93</v>
      </c>
      <c r="AJ19" s="55">
        <v>1</v>
      </c>
      <c r="AK19" s="56">
        <v>7376</v>
      </c>
      <c r="AL19" s="55">
        <v>8</v>
      </c>
      <c r="AM19" s="54">
        <v>121612</v>
      </c>
      <c r="AN19" s="55">
        <v>405</v>
      </c>
      <c r="AO19" s="54"/>
      <c r="AP19" s="55">
        <v>0</v>
      </c>
      <c r="AQ19" s="56">
        <v>685520</v>
      </c>
      <c r="AR19" s="55">
        <v>170</v>
      </c>
      <c r="AS19" s="60">
        <v>13068</v>
      </c>
      <c r="AT19" s="55">
        <v>33</v>
      </c>
      <c r="AU19" s="56">
        <v>3539</v>
      </c>
      <c r="AV19" s="55">
        <v>26</v>
      </c>
      <c r="AW19" s="56">
        <v>9873</v>
      </c>
      <c r="AX19" s="55">
        <v>3</v>
      </c>
      <c r="AY19" s="56">
        <v>11748</v>
      </c>
      <c r="AZ19" s="55">
        <v>2</v>
      </c>
      <c r="BA19" s="56">
        <v>22071</v>
      </c>
      <c r="BB19" s="55">
        <v>13</v>
      </c>
      <c r="BC19" s="56">
        <v>22658</v>
      </c>
      <c r="BD19" s="55">
        <v>6</v>
      </c>
      <c r="BE19" s="56">
        <v>298</v>
      </c>
      <c r="BF19" s="59">
        <v>3</v>
      </c>
      <c r="BG19" s="56">
        <v>15636</v>
      </c>
      <c r="BH19" s="59">
        <v>6</v>
      </c>
      <c r="BI19" s="56">
        <v>7138</v>
      </c>
      <c r="BJ19" s="59">
        <v>1</v>
      </c>
      <c r="BK19" s="56">
        <v>29548</v>
      </c>
      <c r="BL19" s="59">
        <v>5</v>
      </c>
      <c r="BM19" s="56">
        <v>7075</v>
      </c>
      <c r="BN19" s="59">
        <v>4</v>
      </c>
      <c r="BO19" s="56">
        <v>47062</v>
      </c>
      <c r="BP19" s="59">
        <v>57</v>
      </c>
      <c r="BQ19" s="56">
        <v>3641</v>
      </c>
      <c r="BR19" s="59">
        <v>0</v>
      </c>
      <c r="BS19" s="59">
        <v>22</v>
      </c>
      <c r="BT19" s="59">
        <v>148</v>
      </c>
      <c r="BU19" s="56">
        <v>696670</v>
      </c>
      <c r="BV19" s="59">
        <v>140</v>
      </c>
      <c r="BW19" s="56"/>
      <c r="BX19" s="59"/>
      <c r="BY19" s="56">
        <v>904070</v>
      </c>
      <c r="BZ19" s="59">
        <v>220</v>
      </c>
      <c r="CA19" s="56"/>
      <c r="CB19" s="59"/>
      <c r="CC19" s="61">
        <v>50</v>
      </c>
      <c r="CD19" s="59">
        <v>360</v>
      </c>
      <c r="CE19" s="59">
        <v>64</v>
      </c>
      <c r="CF19" s="56">
        <v>160.5</v>
      </c>
      <c r="CG19" s="59">
        <v>20963.433095920635</v>
      </c>
      <c r="CH19" s="56"/>
      <c r="CI19" s="55">
        <v>0</v>
      </c>
      <c r="CJ19" s="54">
        <v>3210375</v>
      </c>
      <c r="CK19" s="59">
        <v>1546</v>
      </c>
      <c r="CL19" s="61">
        <v>8827.66</v>
      </c>
      <c r="CM19" s="54">
        <v>70</v>
      </c>
      <c r="CN19" s="59">
        <v>7542.5</v>
      </c>
      <c r="CO19" s="54">
        <v>78</v>
      </c>
      <c r="CP19" s="61">
        <v>8404.5</v>
      </c>
      <c r="CQ19" s="54">
        <v>75</v>
      </c>
      <c r="CR19" s="59">
        <v>8081.25</v>
      </c>
      <c r="CS19" s="61">
        <v>24028.25</v>
      </c>
      <c r="CT19" s="59">
        <v>862</v>
      </c>
      <c r="CU19" s="56"/>
      <c r="CV19" s="54">
        <v>55808</v>
      </c>
      <c r="CW19" s="59">
        <v>29</v>
      </c>
      <c r="CX19" s="61">
        <v>165.59</v>
      </c>
      <c r="CY19" s="54">
        <v>36978</v>
      </c>
      <c r="CZ19" s="59">
        <v>3</v>
      </c>
      <c r="DA19" s="61">
        <v>17.13</v>
      </c>
      <c r="DB19" s="54">
        <v>18719</v>
      </c>
      <c r="DC19" s="59">
        <v>13</v>
      </c>
      <c r="DD19" s="61">
        <v>74.23</v>
      </c>
      <c r="DE19" s="54">
        <v>880549</v>
      </c>
      <c r="DF19" s="59">
        <v>117</v>
      </c>
      <c r="DG19" s="61">
        <v>668.07</v>
      </c>
      <c r="DH19" s="56">
        <v>14490</v>
      </c>
      <c r="DI19" s="59">
        <v>11</v>
      </c>
      <c r="DJ19" s="61">
        <v>62.81</v>
      </c>
      <c r="DK19" s="54">
        <v>13093</v>
      </c>
      <c r="DL19" s="59">
        <v>7</v>
      </c>
      <c r="DM19" s="61">
        <v>39.97</v>
      </c>
      <c r="DN19" s="54">
        <v>8235</v>
      </c>
      <c r="DO19" s="59">
        <v>6</v>
      </c>
      <c r="DP19" s="61">
        <v>34.26</v>
      </c>
      <c r="DQ19" s="54">
        <v>2678</v>
      </c>
      <c r="DR19" s="59">
        <v>2</v>
      </c>
      <c r="DS19" s="61">
        <v>11.42</v>
      </c>
      <c r="DT19" s="54">
        <v>10608</v>
      </c>
      <c r="DU19" s="59">
        <v>8</v>
      </c>
      <c r="DV19" s="61">
        <v>45.68</v>
      </c>
      <c r="DW19" s="54">
        <v>9227</v>
      </c>
      <c r="DX19" s="59">
        <v>8</v>
      </c>
      <c r="DY19" s="61">
        <v>45.68</v>
      </c>
      <c r="DZ19" s="54">
        <v>9976</v>
      </c>
      <c r="EA19" s="59">
        <v>9</v>
      </c>
      <c r="EB19" s="61">
        <v>51.39</v>
      </c>
      <c r="EC19" s="54">
        <v>10213</v>
      </c>
      <c r="ED19" s="59">
        <v>10</v>
      </c>
      <c r="EE19" s="61">
        <v>57.1</v>
      </c>
      <c r="EF19" s="56"/>
      <c r="EG19" s="61">
        <v>0</v>
      </c>
      <c r="EH19" s="56"/>
      <c r="EI19" s="61">
        <v>0</v>
      </c>
      <c r="EJ19" s="56"/>
      <c r="EK19" s="61">
        <v>0</v>
      </c>
      <c r="EL19" s="56"/>
      <c r="EM19" s="61">
        <v>0</v>
      </c>
      <c r="EN19" s="56">
        <v>100</v>
      </c>
      <c r="EO19" s="56">
        <v>200</v>
      </c>
      <c r="EP19" s="68">
        <v>0.8</v>
      </c>
      <c r="EQ19" s="54"/>
      <c r="ER19" s="54"/>
      <c r="ES19" s="54"/>
      <c r="ET19" s="54"/>
      <c r="EU19" s="54"/>
      <c r="EV19" s="54"/>
      <c r="EW19" s="58"/>
      <c r="EX19" s="58"/>
      <c r="EY19" s="58"/>
    </row>
    <row r="20" spans="1:155" s="15" customFormat="1" ht="14.5" x14ac:dyDescent="0.35">
      <c r="A20" s="53">
        <v>45002</v>
      </c>
      <c r="B20" s="54"/>
      <c r="C20" s="55">
        <v>0</v>
      </c>
      <c r="D20" s="54"/>
      <c r="E20" s="55">
        <v>0</v>
      </c>
      <c r="F20" s="54" t="e">
        <v>#DIV/0!</v>
      </c>
      <c r="G20" s="54"/>
      <c r="H20" s="54"/>
      <c r="I20" s="54"/>
      <c r="J20" s="55">
        <v>0</v>
      </c>
      <c r="K20" s="56"/>
      <c r="L20" s="55">
        <v>0</v>
      </c>
      <c r="M20" s="56"/>
      <c r="N20" s="55">
        <v>0</v>
      </c>
      <c r="O20" s="56"/>
      <c r="P20" s="55">
        <v>0</v>
      </c>
      <c r="Q20" s="56"/>
      <c r="R20" s="55">
        <v>0</v>
      </c>
      <c r="S20" s="56"/>
      <c r="T20" s="55">
        <v>0</v>
      </c>
      <c r="U20" s="56"/>
      <c r="V20" s="55">
        <v>0</v>
      </c>
      <c r="W20" s="56"/>
      <c r="X20" s="55">
        <v>0</v>
      </c>
      <c r="Y20" s="56"/>
      <c r="Z20" s="55">
        <v>0</v>
      </c>
      <c r="AA20" s="55"/>
      <c r="AB20" s="54"/>
      <c r="AC20" s="64">
        <v>0</v>
      </c>
      <c r="AD20" s="28"/>
      <c r="AE20" s="56"/>
      <c r="AF20" s="55">
        <v>0</v>
      </c>
      <c r="AG20" s="56"/>
      <c r="AH20" s="59">
        <v>0</v>
      </c>
      <c r="AI20" s="56"/>
      <c r="AJ20" s="55">
        <v>0</v>
      </c>
      <c r="AK20" s="56"/>
      <c r="AL20" s="55">
        <v>0</v>
      </c>
      <c r="AM20" s="54"/>
      <c r="AN20" s="55">
        <v>0</v>
      </c>
      <c r="AO20" s="54"/>
      <c r="AP20" s="55">
        <v>0</v>
      </c>
      <c r="AQ20" s="56"/>
      <c r="AR20" s="55">
        <v>0</v>
      </c>
      <c r="AS20" s="60"/>
      <c r="AT20" s="55">
        <v>0</v>
      </c>
      <c r="AU20" s="56"/>
      <c r="AV20" s="55">
        <v>0</v>
      </c>
      <c r="AW20" s="56"/>
      <c r="AX20" s="55">
        <v>0</v>
      </c>
      <c r="AY20" s="56"/>
      <c r="AZ20" s="55">
        <v>0</v>
      </c>
      <c r="BA20" s="56"/>
      <c r="BB20" s="55">
        <v>0</v>
      </c>
      <c r="BC20" s="56"/>
      <c r="BD20" s="55">
        <v>0</v>
      </c>
      <c r="BE20" s="56"/>
      <c r="BF20" s="59">
        <v>0</v>
      </c>
      <c r="BG20" s="56"/>
      <c r="BH20" s="59">
        <v>0</v>
      </c>
      <c r="BI20" s="56"/>
      <c r="BJ20" s="59">
        <v>0</v>
      </c>
      <c r="BK20" s="56"/>
      <c r="BL20" s="59">
        <v>0</v>
      </c>
      <c r="BM20" s="56"/>
      <c r="BN20" s="59">
        <v>0</v>
      </c>
      <c r="BO20" s="56"/>
      <c r="BP20" s="59">
        <v>0</v>
      </c>
      <c r="BQ20" s="56"/>
      <c r="BR20" s="59">
        <v>0</v>
      </c>
      <c r="BS20" s="59">
        <v>0</v>
      </c>
      <c r="BT20" s="59">
        <v>0</v>
      </c>
      <c r="BU20" s="56"/>
      <c r="BV20" s="59">
        <v>0</v>
      </c>
      <c r="BW20" s="56"/>
      <c r="BX20" s="59"/>
      <c r="BY20" s="56"/>
      <c r="BZ20" s="59">
        <v>0</v>
      </c>
      <c r="CA20" s="56"/>
      <c r="CB20" s="59"/>
      <c r="CC20" s="61">
        <v>0</v>
      </c>
      <c r="CD20" s="59">
        <v>0</v>
      </c>
      <c r="CE20" s="59">
        <v>0</v>
      </c>
      <c r="CF20" s="56"/>
      <c r="CG20" s="59">
        <v>0</v>
      </c>
      <c r="CH20" s="56"/>
      <c r="CI20" s="55">
        <v>0</v>
      </c>
      <c r="CJ20" s="54"/>
      <c r="CK20" s="59">
        <v>0</v>
      </c>
      <c r="CL20" s="61">
        <v>0</v>
      </c>
      <c r="CM20" s="54"/>
      <c r="CN20" s="59">
        <v>0</v>
      </c>
      <c r="CO20" s="54"/>
      <c r="CP20" s="61">
        <v>0</v>
      </c>
      <c r="CQ20" s="54"/>
      <c r="CR20" s="59">
        <v>0</v>
      </c>
      <c r="CS20" s="61">
        <v>0</v>
      </c>
      <c r="CT20" s="59">
        <v>0</v>
      </c>
      <c r="CU20" s="56"/>
      <c r="CV20" s="54"/>
      <c r="CW20" s="59">
        <v>0</v>
      </c>
      <c r="CX20" s="61">
        <v>0</v>
      </c>
      <c r="CY20" s="54"/>
      <c r="CZ20" s="59">
        <v>0</v>
      </c>
      <c r="DA20" s="61">
        <v>0</v>
      </c>
      <c r="DB20" s="54"/>
      <c r="DC20" s="59">
        <v>0</v>
      </c>
      <c r="DD20" s="61">
        <v>0</v>
      </c>
      <c r="DE20" s="54"/>
      <c r="DF20" s="59">
        <v>0</v>
      </c>
      <c r="DG20" s="61">
        <v>0</v>
      </c>
      <c r="DH20" s="56"/>
      <c r="DI20" s="59">
        <v>0</v>
      </c>
      <c r="DJ20" s="61">
        <v>0</v>
      </c>
      <c r="DK20" s="54"/>
      <c r="DL20" s="59">
        <v>0</v>
      </c>
      <c r="DM20" s="61">
        <v>0</v>
      </c>
      <c r="DN20" s="54"/>
      <c r="DO20" s="59">
        <v>0</v>
      </c>
      <c r="DP20" s="61">
        <v>0</v>
      </c>
      <c r="DQ20" s="54"/>
      <c r="DR20" s="59">
        <v>0</v>
      </c>
      <c r="DS20" s="61">
        <v>0</v>
      </c>
      <c r="DT20" s="54"/>
      <c r="DU20" s="59">
        <v>0</v>
      </c>
      <c r="DV20" s="61">
        <v>0</v>
      </c>
      <c r="DW20" s="54"/>
      <c r="DX20" s="59">
        <v>0</v>
      </c>
      <c r="DY20" s="61">
        <v>0</v>
      </c>
      <c r="DZ20" s="54"/>
      <c r="EA20" s="59">
        <v>0</v>
      </c>
      <c r="EB20" s="61">
        <v>0</v>
      </c>
      <c r="EC20" s="54"/>
      <c r="ED20" s="59">
        <v>0</v>
      </c>
      <c r="EE20" s="61">
        <v>0</v>
      </c>
      <c r="EF20" s="56"/>
      <c r="EG20" s="61">
        <v>0</v>
      </c>
      <c r="EH20" s="56"/>
      <c r="EI20" s="61">
        <v>0</v>
      </c>
      <c r="EJ20" s="56"/>
      <c r="EK20" s="61">
        <v>0</v>
      </c>
      <c r="EL20" s="56"/>
      <c r="EM20" s="61">
        <v>0</v>
      </c>
      <c r="EN20" s="56"/>
      <c r="EO20" s="56"/>
      <c r="EP20" s="68"/>
      <c r="EQ20" s="54"/>
      <c r="ER20" s="54"/>
      <c r="ES20" s="54"/>
      <c r="ET20" s="54"/>
      <c r="EU20" s="54"/>
      <c r="EV20" s="54"/>
      <c r="EW20" s="58"/>
      <c r="EX20" s="71"/>
      <c r="EY20" s="58"/>
    </row>
    <row r="21" spans="1:155" s="15" customFormat="1" ht="14.5" x14ac:dyDescent="0.35">
      <c r="A21" s="53">
        <v>45003</v>
      </c>
      <c r="B21" s="54"/>
      <c r="C21" s="55">
        <v>0</v>
      </c>
      <c r="D21" s="54"/>
      <c r="E21" s="55">
        <v>0</v>
      </c>
      <c r="F21" s="54" t="e">
        <v>#DIV/0!</v>
      </c>
      <c r="G21" s="54"/>
      <c r="H21" s="54"/>
      <c r="I21" s="54"/>
      <c r="J21" s="55">
        <v>0</v>
      </c>
      <c r="K21" s="56"/>
      <c r="L21" s="55">
        <v>0</v>
      </c>
      <c r="M21" s="56"/>
      <c r="N21" s="55">
        <v>0</v>
      </c>
      <c r="O21" s="56"/>
      <c r="P21" s="55">
        <v>0</v>
      </c>
      <c r="Q21" s="56"/>
      <c r="R21" s="55">
        <v>0</v>
      </c>
      <c r="S21" s="56"/>
      <c r="T21" s="55">
        <v>0</v>
      </c>
      <c r="U21" s="56"/>
      <c r="V21" s="55">
        <v>0</v>
      </c>
      <c r="W21" s="56"/>
      <c r="X21" s="55">
        <v>0</v>
      </c>
      <c r="Y21" s="56"/>
      <c r="Z21" s="55">
        <v>0</v>
      </c>
      <c r="AA21" s="55"/>
      <c r="AB21" s="54"/>
      <c r="AC21" s="64">
        <v>0</v>
      </c>
      <c r="AD21" s="28"/>
      <c r="AE21" s="56"/>
      <c r="AF21" s="55">
        <v>0</v>
      </c>
      <c r="AG21" s="56"/>
      <c r="AH21" s="59">
        <v>0</v>
      </c>
      <c r="AI21" s="56"/>
      <c r="AJ21" s="55">
        <v>0</v>
      </c>
      <c r="AK21" s="56"/>
      <c r="AL21" s="55">
        <v>0</v>
      </c>
      <c r="AM21" s="54"/>
      <c r="AN21" s="55">
        <v>0</v>
      </c>
      <c r="AO21" s="54"/>
      <c r="AP21" s="55">
        <v>0</v>
      </c>
      <c r="AQ21" s="56"/>
      <c r="AR21" s="55">
        <v>0</v>
      </c>
      <c r="AS21" s="60"/>
      <c r="AT21" s="55">
        <v>0</v>
      </c>
      <c r="AU21" s="56"/>
      <c r="AV21" s="55">
        <v>0</v>
      </c>
      <c r="AW21" s="56"/>
      <c r="AX21" s="55">
        <v>0</v>
      </c>
      <c r="AY21" s="56"/>
      <c r="AZ21" s="55">
        <v>0</v>
      </c>
      <c r="BA21" s="56"/>
      <c r="BB21" s="55">
        <v>0</v>
      </c>
      <c r="BC21" s="56"/>
      <c r="BD21" s="55">
        <v>0</v>
      </c>
      <c r="BE21" s="56"/>
      <c r="BF21" s="59">
        <v>0</v>
      </c>
      <c r="BG21" s="56"/>
      <c r="BH21" s="59">
        <v>0</v>
      </c>
      <c r="BI21" s="56"/>
      <c r="BJ21" s="59">
        <v>0</v>
      </c>
      <c r="BK21" s="56"/>
      <c r="BL21" s="59">
        <v>0</v>
      </c>
      <c r="BM21" s="56"/>
      <c r="BN21" s="59">
        <v>0</v>
      </c>
      <c r="BO21" s="56"/>
      <c r="BP21" s="59">
        <v>0</v>
      </c>
      <c r="BQ21" s="56"/>
      <c r="BR21" s="59">
        <v>0</v>
      </c>
      <c r="BS21" s="59">
        <v>0</v>
      </c>
      <c r="BT21" s="59">
        <v>0</v>
      </c>
      <c r="BU21" s="56"/>
      <c r="BV21" s="59">
        <v>0</v>
      </c>
      <c r="BW21" s="56"/>
      <c r="BX21" s="59"/>
      <c r="BY21" s="56"/>
      <c r="BZ21" s="59">
        <v>0</v>
      </c>
      <c r="CA21" s="56"/>
      <c r="CB21" s="59"/>
      <c r="CC21" s="61">
        <v>0</v>
      </c>
      <c r="CD21" s="59">
        <v>0</v>
      </c>
      <c r="CE21" s="59">
        <v>0</v>
      </c>
      <c r="CF21" s="56"/>
      <c r="CG21" s="59">
        <v>0</v>
      </c>
      <c r="CH21" s="56"/>
      <c r="CI21" s="55">
        <v>0</v>
      </c>
      <c r="CJ21" s="54"/>
      <c r="CK21" s="59">
        <v>0</v>
      </c>
      <c r="CL21" s="61">
        <v>0</v>
      </c>
      <c r="CM21" s="54"/>
      <c r="CN21" s="59">
        <v>0</v>
      </c>
      <c r="CO21" s="54"/>
      <c r="CP21" s="61">
        <v>0</v>
      </c>
      <c r="CQ21" s="54"/>
      <c r="CR21" s="59">
        <v>0</v>
      </c>
      <c r="CS21" s="61">
        <v>0</v>
      </c>
      <c r="CT21" s="59">
        <v>0</v>
      </c>
      <c r="CU21" s="56"/>
      <c r="CV21" s="54"/>
      <c r="CW21" s="59">
        <v>0</v>
      </c>
      <c r="CX21" s="61">
        <v>0</v>
      </c>
      <c r="CY21" s="54"/>
      <c r="CZ21" s="59">
        <v>0</v>
      </c>
      <c r="DA21" s="61">
        <v>0</v>
      </c>
      <c r="DB21" s="54"/>
      <c r="DC21" s="59">
        <v>0</v>
      </c>
      <c r="DD21" s="61">
        <v>0</v>
      </c>
      <c r="DE21" s="54"/>
      <c r="DF21" s="59">
        <v>0</v>
      </c>
      <c r="DG21" s="61">
        <v>0</v>
      </c>
      <c r="DH21" s="56"/>
      <c r="DI21" s="59">
        <v>0</v>
      </c>
      <c r="DJ21" s="61">
        <v>0</v>
      </c>
      <c r="DK21" s="54"/>
      <c r="DL21" s="59">
        <v>0</v>
      </c>
      <c r="DM21" s="61">
        <v>0</v>
      </c>
      <c r="DN21" s="54"/>
      <c r="DO21" s="59">
        <v>0</v>
      </c>
      <c r="DP21" s="61">
        <v>0</v>
      </c>
      <c r="DQ21" s="54"/>
      <c r="DR21" s="59">
        <v>0</v>
      </c>
      <c r="DS21" s="61">
        <v>0</v>
      </c>
      <c r="DT21" s="54"/>
      <c r="DU21" s="59">
        <v>0</v>
      </c>
      <c r="DV21" s="61">
        <v>0</v>
      </c>
      <c r="DW21" s="54"/>
      <c r="DX21" s="59">
        <v>0</v>
      </c>
      <c r="DY21" s="61">
        <v>0</v>
      </c>
      <c r="DZ21" s="54"/>
      <c r="EA21" s="59">
        <v>0</v>
      </c>
      <c r="EB21" s="61">
        <v>0</v>
      </c>
      <c r="EC21" s="54"/>
      <c r="ED21" s="59">
        <v>0</v>
      </c>
      <c r="EE21" s="61">
        <v>0</v>
      </c>
      <c r="EF21" s="56"/>
      <c r="EG21" s="61">
        <v>0</v>
      </c>
      <c r="EH21" s="56"/>
      <c r="EI21" s="61">
        <v>0</v>
      </c>
      <c r="EJ21" s="56"/>
      <c r="EK21" s="61">
        <v>0</v>
      </c>
      <c r="EL21" s="56"/>
      <c r="EM21" s="61">
        <v>0</v>
      </c>
      <c r="EN21" s="56"/>
      <c r="EO21" s="56"/>
      <c r="EP21" s="68"/>
      <c r="EQ21" s="54"/>
      <c r="ER21" s="54"/>
      <c r="ES21" s="54"/>
      <c r="ET21" s="54"/>
      <c r="EU21" s="54"/>
      <c r="EV21" s="54"/>
      <c r="EW21" s="58"/>
      <c r="EX21" s="58"/>
      <c r="EY21" s="58"/>
    </row>
    <row r="22" spans="1:155" s="15" customFormat="1" ht="14.5" x14ac:dyDescent="0.35">
      <c r="A22" s="53">
        <v>45004</v>
      </c>
      <c r="B22" s="54"/>
      <c r="C22" s="55">
        <v>0</v>
      </c>
      <c r="D22" s="54"/>
      <c r="E22" s="55">
        <v>0</v>
      </c>
      <c r="F22" s="54" t="e">
        <v>#DIV/0!</v>
      </c>
      <c r="G22" s="54"/>
      <c r="H22" s="54"/>
      <c r="I22" s="54"/>
      <c r="J22" s="55">
        <v>0</v>
      </c>
      <c r="K22" s="56"/>
      <c r="L22" s="55">
        <v>0</v>
      </c>
      <c r="M22" s="56"/>
      <c r="N22" s="55">
        <v>0</v>
      </c>
      <c r="O22" s="56"/>
      <c r="P22" s="55">
        <v>0</v>
      </c>
      <c r="Q22" s="56"/>
      <c r="R22" s="55">
        <v>0</v>
      </c>
      <c r="S22" s="56"/>
      <c r="T22" s="55">
        <v>0</v>
      </c>
      <c r="U22" s="56"/>
      <c r="V22" s="55">
        <v>0</v>
      </c>
      <c r="W22" s="56"/>
      <c r="X22" s="55">
        <v>0</v>
      </c>
      <c r="Y22" s="56"/>
      <c r="Z22" s="55">
        <v>0</v>
      </c>
      <c r="AA22" s="55"/>
      <c r="AB22" s="54"/>
      <c r="AC22" s="64">
        <v>0</v>
      </c>
      <c r="AD22" s="28"/>
      <c r="AE22" s="56"/>
      <c r="AF22" s="55">
        <v>0</v>
      </c>
      <c r="AG22" s="56"/>
      <c r="AH22" s="59">
        <v>0</v>
      </c>
      <c r="AI22" s="56"/>
      <c r="AJ22" s="55">
        <v>0</v>
      </c>
      <c r="AK22" s="56"/>
      <c r="AL22" s="55">
        <v>0</v>
      </c>
      <c r="AM22" s="54"/>
      <c r="AN22" s="55">
        <v>0</v>
      </c>
      <c r="AO22" s="54"/>
      <c r="AP22" s="55">
        <v>0</v>
      </c>
      <c r="AQ22" s="56"/>
      <c r="AR22" s="55">
        <v>0</v>
      </c>
      <c r="AS22" s="60"/>
      <c r="AT22" s="55">
        <v>0</v>
      </c>
      <c r="AU22" s="56"/>
      <c r="AV22" s="55">
        <v>0</v>
      </c>
      <c r="AW22" s="56"/>
      <c r="AX22" s="55">
        <v>0</v>
      </c>
      <c r="AY22" s="56"/>
      <c r="AZ22" s="55">
        <v>0</v>
      </c>
      <c r="BA22" s="56"/>
      <c r="BB22" s="55">
        <v>0</v>
      </c>
      <c r="BC22" s="56"/>
      <c r="BD22" s="55">
        <v>0</v>
      </c>
      <c r="BE22" s="56"/>
      <c r="BF22" s="59">
        <v>0</v>
      </c>
      <c r="BG22" s="56"/>
      <c r="BH22" s="59">
        <v>0</v>
      </c>
      <c r="BI22" s="56"/>
      <c r="BJ22" s="59">
        <v>0</v>
      </c>
      <c r="BK22" s="56"/>
      <c r="BL22" s="59">
        <v>0</v>
      </c>
      <c r="BM22" s="56"/>
      <c r="BN22" s="59">
        <v>0</v>
      </c>
      <c r="BO22" s="56"/>
      <c r="BP22" s="59">
        <v>0</v>
      </c>
      <c r="BQ22" s="56"/>
      <c r="BR22" s="59">
        <v>0</v>
      </c>
      <c r="BS22" s="59">
        <v>0</v>
      </c>
      <c r="BT22" s="59">
        <v>0</v>
      </c>
      <c r="BU22" s="56"/>
      <c r="BV22" s="59">
        <v>0</v>
      </c>
      <c r="BW22" s="56"/>
      <c r="BX22" s="59"/>
      <c r="BY22" s="56"/>
      <c r="BZ22" s="59">
        <v>0</v>
      </c>
      <c r="CA22" s="56"/>
      <c r="CB22" s="59"/>
      <c r="CC22" s="61">
        <v>0</v>
      </c>
      <c r="CD22" s="59">
        <v>0</v>
      </c>
      <c r="CE22" s="59">
        <v>0</v>
      </c>
      <c r="CF22" s="56"/>
      <c r="CG22" s="59">
        <v>0</v>
      </c>
      <c r="CH22" s="56"/>
      <c r="CI22" s="55">
        <v>0</v>
      </c>
      <c r="CJ22" s="54"/>
      <c r="CK22" s="59">
        <v>0</v>
      </c>
      <c r="CL22" s="61">
        <v>0</v>
      </c>
      <c r="CM22" s="54"/>
      <c r="CN22" s="59">
        <v>0</v>
      </c>
      <c r="CO22" s="54"/>
      <c r="CP22" s="61">
        <v>0</v>
      </c>
      <c r="CQ22" s="54"/>
      <c r="CR22" s="59">
        <v>0</v>
      </c>
      <c r="CS22" s="61">
        <v>0</v>
      </c>
      <c r="CT22" s="59">
        <v>0</v>
      </c>
      <c r="CU22" s="56"/>
      <c r="CV22" s="54"/>
      <c r="CW22" s="59">
        <v>0</v>
      </c>
      <c r="CX22" s="61">
        <v>0</v>
      </c>
      <c r="CY22" s="54"/>
      <c r="CZ22" s="59">
        <v>0</v>
      </c>
      <c r="DA22" s="61">
        <v>0</v>
      </c>
      <c r="DB22" s="54"/>
      <c r="DC22" s="59">
        <v>0</v>
      </c>
      <c r="DD22" s="61">
        <v>0</v>
      </c>
      <c r="DE22" s="54"/>
      <c r="DF22" s="59">
        <v>0</v>
      </c>
      <c r="DG22" s="61">
        <v>0</v>
      </c>
      <c r="DH22" s="56"/>
      <c r="DI22" s="59">
        <v>0</v>
      </c>
      <c r="DJ22" s="61">
        <v>0</v>
      </c>
      <c r="DK22" s="54"/>
      <c r="DL22" s="59">
        <v>0</v>
      </c>
      <c r="DM22" s="61">
        <v>0</v>
      </c>
      <c r="DN22" s="54"/>
      <c r="DO22" s="59">
        <v>0</v>
      </c>
      <c r="DP22" s="61">
        <v>0</v>
      </c>
      <c r="DQ22" s="54"/>
      <c r="DR22" s="59">
        <v>0</v>
      </c>
      <c r="DS22" s="61">
        <v>0</v>
      </c>
      <c r="DT22" s="54"/>
      <c r="DU22" s="59">
        <v>0</v>
      </c>
      <c r="DV22" s="61">
        <v>0</v>
      </c>
      <c r="DW22" s="54"/>
      <c r="DX22" s="59">
        <v>0</v>
      </c>
      <c r="DY22" s="61">
        <v>0</v>
      </c>
      <c r="DZ22" s="54"/>
      <c r="EA22" s="59">
        <v>0</v>
      </c>
      <c r="EB22" s="61">
        <v>0</v>
      </c>
      <c r="EC22" s="54"/>
      <c r="ED22" s="59">
        <v>0</v>
      </c>
      <c r="EE22" s="61">
        <v>0</v>
      </c>
      <c r="EF22" s="56"/>
      <c r="EG22" s="61">
        <v>0</v>
      </c>
      <c r="EH22" s="56"/>
      <c r="EI22" s="61">
        <v>0</v>
      </c>
      <c r="EJ22" s="56"/>
      <c r="EK22" s="61">
        <v>0</v>
      </c>
      <c r="EL22" s="56"/>
      <c r="EM22" s="61">
        <v>0</v>
      </c>
      <c r="EN22" s="56"/>
      <c r="EO22" s="56"/>
      <c r="EP22" s="68"/>
      <c r="EQ22" s="54"/>
      <c r="ER22" s="54"/>
      <c r="ES22" s="54"/>
      <c r="ET22" s="54"/>
      <c r="EU22" s="54"/>
      <c r="EV22" s="54"/>
      <c r="EW22" s="58"/>
      <c r="EX22" s="58"/>
      <c r="EY22" s="58"/>
    </row>
    <row r="23" spans="1:155" s="15" customFormat="1" ht="14.5" x14ac:dyDescent="0.35">
      <c r="A23" s="53">
        <v>45005</v>
      </c>
      <c r="B23" s="54"/>
      <c r="C23" s="55">
        <v>0</v>
      </c>
      <c r="D23" s="54"/>
      <c r="E23" s="55">
        <v>0</v>
      </c>
      <c r="F23" s="54" t="e">
        <v>#DIV/0!</v>
      </c>
      <c r="G23" s="54"/>
      <c r="H23" s="54"/>
      <c r="I23" s="54"/>
      <c r="J23" s="55">
        <v>0</v>
      </c>
      <c r="K23" s="56"/>
      <c r="L23" s="55">
        <v>0</v>
      </c>
      <c r="M23" s="56"/>
      <c r="N23" s="55">
        <v>0</v>
      </c>
      <c r="O23" s="56"/>
      <c r="P23" s="55">
        <v>0</v>
      </c>
      <c r="Q23" s="56"/>
      <c r="R23" s="55">
        <v>0</v>
      </c>
      <c r="S23" s="56"/>
      <c r="T23" s="55">
        <v>0</v>
      </c>
      <c r="U23" s="56"/>
      <c r="V23" s="55">
        <v>0</v>
      </c>
      <c r="W23" s="56"/>
      <c r="X23" s="55">
        <v>0</v>
      </c>
      <c r="Y23" s="56"/>
      <c r="Z23" s="55">
        <v>0</v>
      </c>
      <c r="AA23" s="55"/>
      <c r="AB23" s="54"/>
      <c r="AC23" s="64">
        <v>0</v>
      </c>
      <c r="AD23" s="28"/>
      <c r="AE23" s="56"/>
      <c r="AF23" s="55">
        <v>0</v>
      </c>
      <c r="AG23" s="56"/>
      <c r="AH23" s="59">
        <v>0</v>
      </c>
      <c r="AI23" s="56"/>
      <c r="AJ23" s="55">
        <v>0</v>
      </c>
      <c r="AK23" s="56"/>
      <c r="AL23" s="55">
        <v>0</v>
      </c>
      <c r="AM23" s="54"/>
      <c r="AN23" s="55">
        <v>0</v>
      </c>
      <c r="AO23" s="54"/>
      <c r="AP23" s="55">
        <v>0</v>
      </c>
      <c r="AQ23" s="56"/>
      <c r="AR23" s="55">
        <v>0</v>
      </c>
      <c r="AS23" s="60"/>
      <c r="AT23" s="55">
        <v>0</v>
      </c>
      <c r="AU23" s="56"/>
      <c r="AV23" s="55">
        <v>0</v>
      </c>
      <c r="AW23" s="56"/>
      <c r="AX23" s="55">
        <v>0</v>
      </c>
      <c r="AY23" s="56"/>
      <c r="AZ23" s="55">
        <v>0</v>
      </c>
      <c r="BA23" s="56"/>
      <c r="BB23" s="55">
        <v>0</v>
      </c>
      <c r="BC23" s="56"/>
      <c r="BD23" s="55">
        <v>0</v>
      </c>
      <c r="BE23" s="56"/>
      <c r="BF23" s="59">
        <v>0</v>
      </c>
      <c r="BG23" s="56"/>
      <c r="BH23" s="59">
        <v>0</v>
      </c>
      <c r="BI23" s="56"/>
      <c r="BJ23" s="59">
        <v>0</v>
      </c>
      <c r="BK23" s="56"/>
      <c r="BL23" s="59">
        <v>0</v>
      </c>
      <c r="BM23" s="56"/>
      <c r="BN23" s="59">
        <v>0</v>
      </c>
      <c r="BO23" s="56"/>
      <c r="BP23" s="59">
        <v>0</v>
      </c>
      <c r="BQ23" s="56"/>
      <c r="BR23" s="59">
        <v>0</v>
      </c>
      <c r="BS23" s="59">
        <v>0</v>
      </c>
      <c r="BT23" s="59">
        <v>0</v>
      </c>
      <c r="BU23" s="56"/>
      <c r="BV23" s="59">
        <v>0</v>
      </c>
      <c r="BW23" s="56"/>
      <c r="BX23" s="59"/>
      <c r="BY23" s="56"/>
      <c r="BZ23" s="59">
        <v>0</v>
      </c>
      <c r="CA23" s="56"/>
      <c r="CB23" s="59"/>
      <c r="CC23" s="61">
        <v>0</v>
      </c>
      <c r="CD23" s="59">
        <v>0</v>
      </c>
      <c r="CE23" s="59">
        <v>0</v>
      </c>
      <c r="CF23" s="56"/>
      <c r="CG23" s="59">
        <v>0</v>
      </c>
      <c r="CH23" s="56"/>
      <c r="CI23" s="55">
        <v>0</v>
      </c>
      <c r="CJ23" s="54"/>
      <c r="CK23" s="59">
        <v>0</v>
      </c>
      <c r="CL23" s="61">
        <v>0</v>
      </c>
      <c r="CM23" s="54"/>
      <c r="CN23" s="59">
        <v>0</v>
      </c>
      <c r="CO23" s="54"/>
      <c r="CP23" s="61">
        <v>0</v>
      </c>
      <c r="CQ23" s="54"/>
      <c r="CR23" s="59">
        <v>0</v>
      </c>
      <c r="CS23" s="61">
        <v>0</v>
      </c>
      <c r="CT23" s="59">
        <v>0</v>
      </c>
      <c r="CU23" s="56"/>
      <c r="CV23" s="54"/>
      <c r="CW23" s="59">
        <v>0</v>
      </c>
      <c r="CX23" s="61">
        <v>0</v>
      </c>
      <c r="CY23" s="54"/>
      <c r="CZ23" s="59">
        <v>0</v>
      </c>
      <c r="DA23" s="61">
        <v>0</v>
      </c>
      <c r="DB23" s="54"/>
      <c r="DC23" s="59">
        <v>0</v>
      </c>
      <c r="DD23" s="61">
        <v>0</v>
      </c>
      <c r="DE23" s="54"/>
      <c r="DF23" s="59">
        <v>0</v>
      </c>
      <c r="DG23" s="61">
        <v>0</v>
      </c>
      <c r="DH23" s="56"/>
      <c r="DI23" s="59">
        <v>0</v>
      </c>
      <c r="DJ23" s="61">
        <v>0</v>
      </c>
      <c r="DK23" s="54"/>
      <c r="DL23" s="59">
        <v>0</v>
      </c>
      <c r="DM23" s="61">
        <v>0</v>
      </c>
      <c r="DN23" s="54"/>
      <c r="DO23" s="59">
        <v>0</v>
      </c>
      <c r="DP23" s="61">
        <v>0</v>
      </c>
      <c r="DQ23" s="54"/>
      <c r="DR23" s="59">
        <v>0</v>
      </c>
      <c r="DS23" s="61">
        <v>0</v>
      </c>
      <c r="DT23" s="54"/>
      <c r="DU23" s="59">
        <v>0</v>
      </c>
      <c r="DV23" s="61">
        <v>0</v>
      </c>
      <c r="DW23" s="54"/>
      <c r="DX23" s="59">
        <v>0</v>
      </c>
      <c r="DY23" s="61">
        <v>0</v>
      </c>
      <c r="DZ23" s="54"/>
      <c r="EA23" s="59">
        <v>0</v>
      </c>
      <c r="EB23" s="61">
        <v>0</v>
      </c>
      <c r="EC23" s="54"/>
      <c r="ED23" s="59">
        <v>0</v>
      </c>
      <c r="EE23" s="61">
        <v>0</v>
      </c>
      <c r="EF23" s="56"/>
      <c r="EG23" s="61">
        <v>0</v>
      </c>
      <c r="EH23" s="56"/>
      <c r="EI23" s="61">
        <v>0</v>
      </c>
      <c r="EJ23" s="56"/>
      <c r="EK23" s="61">
        <v>0</v>
      </c>
      <c r="EL23" s="56"/>
      <c r="EM23" s="61">
        <v>0</v>
      </c>
      <c r="EN23" s="56"/>
      <c r="EO23" s="56"/>
      <c r="EP23" s="68"/>
      <c r="EQ23" s="54"/>
      <c r="ER23" s="54"/>
      <c r="ES23" s="54"/>
      <c r="ET23" s="54"/>
      <c r="EU23" s="54"/>
      <c r="EV23" s="54"/>
      <c r="EW23" s="58"/>
      <c r="EX23" s="58"/>
      <c r="EY23" s="58"/>
    </row>
    <row r="24" spans="1:155" s="15" customFormat="1" ht="14.5" x14ac:dyDescent="0.35">
      <c r="A24" s="53">
        <v>45006</v>
      </c>
      <c r="B24" s="54"/>
      <c r="C24" s="55">
        <v>0</v>
      </c>
      <c r="D24" s="54"/>
      <c r="E24" s="55">
        <v>0</v>
      </c>
      <c r="F24" s="54" t="e">
        <v>#DIV/0!</v>
      </c>
      <c r="G24" s="54"/>
      <c r="H24" s="54"/>
      <c r="I24" s="54"/>
      <c r="J24" s="55">
        <v>0</v>
      </c>
      <c r="K24" s="56"/>
      <c r="L24" s="55">
        <v>0</v>
      </c>
      <c r="M24" s="56"/>
      <c r="N24" s="55">
        <v>0</v>
      </c>
      <c r="O24" s="56"/>
      <c r="P24" s="55">
        <v>0</v>
      </c>
      <c r="Q24" s="56"/>
      <c r="R24" s="55">
        <v>0</v>
      </c>
      <c r="S24" s="56"/>
      <c r="T24" s="55">
        <v>0</v>
      </c>
      <c r="U24" s="56"/>
      <c r="V24" s="55">
        <v>0</v>
      </c>
      <c r="W24" s="56"/>
      <c r="X24" s="55">
        <v>0</v>
      </c>
      <c r="Y24" s="56"/>
      <c r="Z24" s="55">
        <v>0</v>
      </c>
      <c r="AA24" s="55"/>
      <c r="AB24" s="54"/>
      <c r="AC24" s="64">
        <v>0</v>
      </c>
      <c r="AD24" s="28"/>
      <c r="AE24" s="56"/>
      <c r="AF24" s="55">
        <v>0</v>
      </c>
      <c r="AG24" s="56"/>
      <c r="AH24" s="59">
        <v>0</v>
      </c>
      <c r="AI24" s="56"/>
      <c r="AJ24" s="55">
        <v>0</v>
      </c>
      <c r="AK24" s="56"/>
      <c r="AL24" s="55">
        <v>0</v>
      </c>
      <c r="AM24" s="54"/>
      <c r="AN24" s="55">
        <v>0</v>
      </c>
      <c r="AO24" s="54"/>
      <c r="AP24" s="55">
        <v>0</v>
      </c>
      <c r="AQ24" s="56"/>
      <c r="AR24" s="55">
        <v>0</v>
      </c>
      <c r="AS24" s="60"/>
      <c r="AT24" s="55">
        <v>0</v>
      </c>
      <c r="AU24" s="56"/>
      <c r="AV24" s="55">
        <v>0</v>
      </c>
      <c r="AW24" s="56"/>
      <c r="AX24" s="55">
        <v>0</v>
      </c>
      <c r="AY24" s="56"/>
      <c r="AZ24" s="55">
        <v>0</v>
      </c>
      <c r="BA24" s="56"/>
      <c r="BB24" s="55">
        <v>0</v>
      </c>
      <c r="BC24" s="56"/>
      <c r="BD24" s="55">
        <v>0</v>
      </c>
      <c r="BE24" s="56"/>
      <c r="BF24" s="59">
        <v>0</v>
      </c>
      <c r="BG24" s="56"/>
      <c r="BH24" s="59">
        <v>0</v>
      </c>
      <c r="BI24" s="56"/>
      <c r="BJ24" s="59">
        <v>0</v>
      </c>
      <c r="BK24" s="56"/>
      <c r="BL24" s="59">
        <v>0</v>
      </c>
      <c r="BM24" s="56"/>
      <c r="BN24" s="59">
        <v>0</v>
      </c>
      <c r="BO24" s="56"/>
      <c r="BP24" s="59">
        <v>0</v>
      </c>
      <c r="BQ24" s="56"/>
      <c r="BR24" s="59">
        <v>0</v>
      </c>
      <c r="BS24" s="59">
        <v>0</v>
      </c>
      <c r="BT24" s="59">
        <v>0</v>
      </c>
      <c r="BU24" s="56"/>
      <c r="BV24" s="59">
        <v>0</v>
      </c>
      <c r="BW24" s="56"/>
      <c r="BX24" s="59"/>
      <c r="BY24" s="56"/>
      <c r="BZ24" s="59">
        <v>0</v>
      </c>
      <c r="CA24" s="56"/>
      <c r="CB24" s="59"/>
      <c r="CC24" s="61">
        <v>0</v>
      </c>
      <c r="CD24" s="59">
        <v>0</v>
      </c>
      <c r="CE24" s="59">
        <v>0</v>
      </c>
      <c r="CF24" s="56"/>
      <c r="CG24" s="59">
        <v>0</v>
      </c>
      <c r="CH24" s="56"/>
      <c r="CI24" s="55">
        <v>0</v>
      </c>
      <c r="CJ24" s="54"/>
      <c r="CK24" s="59">
        <v>0</v>
      </c>
      <c r="CL24" s="61">
        <v>0</v>
      </c>
      <c r="CM24" s="54"/>
      <c r="CN24" s="59">
        <v>0</v>
      </c>
      <c r="CO24" s="54"/>
      <c r="CP24" s="61">
        <v>0</v>
      </c>
      <c r="CQ24" s="54"/>
      <c r="CR24" s="59">
        <v>0</v>
      </c>
      <c r="CS24" s="61">
        <v>0</v>
      </c>
      <c r="CT24" s="59">
        <v>0</v>
      </c>
      <c r="CU24" s="56"/>
      <c r="CV24" s="54"/>
      <c r="CW24" s="59">
        <v>0</v>
      </c>
      <c r="CX24" s="61">
        <v>0</v>
      </c>
      <c r="CY24" s="54"/>
      <c r="CZ24" s="59">
        <v>0</v>
      </c>
      <c r="DA24" s="61">
        <v>0</v>
      </c>
      <c r="DB24" s="54"/>
      <c r="DC24" s="59">
        <v>0</v>
      </c>
      <c r="DD24" s="61">
        <v>0</v>
      </c>
      <c r="DE24" s="54"/>
      <c r="DF24" s="59">
        <v>0</v>
      </c>
      <c r="DG24" s="61">
        <v>0</v>
      </c>
      <c r="DH24" s="56"/>
      <c r="DI24" s="59">
        <v>0</v>
      </c>
      <c r="DJ24" s="61">
        <v>0</v>
      </c>
      <c r="DK24" s="54"/>
      <c r="DL24" s="59">
        <v>0</v>
      </c>
      <c r="DM24" s="61">
        <v>0</v>
      </c>
      <c r="DN24" s="54"/>
      <c r="DO24" s="59">
        <v>0</v>
      </c>
      <c r="DP24" s="61">
        <v>0</v>
      </c>
      <c r="DQ24" s="54"/>
      <c r="DR24" s="59">
        <v>0</v>
      </c>
      <c r="DS24" s="61">
        <v>0</v>
      </c>
      <c r="DT24" s="54"/>
      <c r="DU24" s="59">
        <v>0</v>
      </c>
      <c r="DV24" s="61">
        <v>0</v>
      </c>
      <c r="DW24" s="54"/>
      <c r="DX24" s="59">
        <v>0</v>
      </c>
      <c r="DY24" s="61">
        <v>0</v>
      </c>
      <c r="DZ24" s="54"/>
      <c r="EA24" s="59">
        <v>0</v>
      </c>
      <c r="EB24" s="61">
        <v>0</v>
      </c>
      <c r="EC24" s="54"/>
      <c r="ED24" s="59">
        <v>0</v>
      </c>
      <c r="EE24" s="61">
        <v>0</v>
      </c>
      <c r="EF24" s="56"/>
      <c r="EG24" s="61">
        <v>0</v>
      </c>
      <c r="EH24" s="56"/>
      <c r="EI24" s="61">
        <v>0</v>
      </c>
      <c r="EJ24" s="56"/>
      <c r="EK24" s="61">
        <v>0</v>
      </c>
      <c r="EL24" s="56"/>
      <c r="EM24" s="61">
        <v>0</v>
      </c>
      <c r="EN24" s="56"/>
      <c r="EO24" s="56"/>
      <c r="EP24" s="68"/>
      <c r="EQ24" s="54"/>
      <c r="ER24" s="54"/>
      <c r="ES24" s="54"/>
      <c r="ET24" s="54"/>
      <c r="EU24" s="54"/>
      <c r="EV24" s="54"/>
      <c r="EW24" s="58"/>
      <c r="EX24" s="58"/>
      <c r="EY24" s="58"/>
    </row>
    <row r="25" spans="1:155" s="15" customFormat="1" ht="14.5" x14ac:dyDescent="0.35">
      <c r="A25" s="53">
        <v>45007</v>
      </c>
      <c r="B25" s="54"/>
      <c r="C25" s="55">
        <v>0</v>
      </c>
      <c r="D25" s="54"/>
      <c r="E25" s="55">
        <v>0</v>
      </c>
      <c r="F25" s="54" t="e">
        <v>#DIV/0!</v>
      </c>
      <c r="G25" s="54"/>
      <c r="H25" s="54"/>
      <c r="I25" s="54"/>
      <c r="J25" s="55">
        <v>0</v>
      </c>
      <c r="K25" s="56"/>
      <c r="L25" s="55">
        <v>0</v>
      </c>
      <c r="M25" s="56"/>
      <c r="N25" s="55">
        <v>0</v>
      </c>
      <c r="O25" s="56"/>
      <c r="P25" s="55">
        <v>0</v>
      </c>
      <c r="Q25" s="56"/>
      <c r="R25" s="55">
        <v>0</v>
      </c>
      <c r="S25" s="56"/>
      <c r="T25" s="55">
        <v>0</v>
      </c>
      <c r="U25" s="56"/>
      <c r="V25" s="55">
        <v>0</v>
      </c>
      <c r="W25" s="56"/>
      <c r="X25" s="55">
        <v>0</v>
      </c>
      <c r="Y25" s="56"/>
      <c r="Z25" s="55">
        <v>0</v>
      </c>
      <c r="AA25" s="55"/>
      <c r="AB25" s="54"/>
      <c r="AC25" s="64">
        <v>0</v>
      </c>
      <c r="AD25" s="28">
        <v>4</v>
      </c>
      <c r="AE25" s="56"/>
      <c r="AF25" s="55">
        <v>0</v>
      </c>
      <c r="AG25" s="56"/>
      <c r="AH25" s="59">
        <v>0</v>
      </c>
      <c r="AI25" s="56"/>
      <c r="AJ25" s="55">
        <v>0</v>
      </c>
      <c r="AK25" s="56"/>
      <c r="AL25" s="55">
        <v>0</v>
      </c>
      <c r="AM25" s="54"/>
      <c r="AN25" s="55">
        <v>0</v>
      </c>
      <c r="AO25" s="54"/>
      <c r="AP25" s="55">
        <v>0</v>
      </c>
      <c r="AQ25" s="56"/>
      <c r="AR25" s="55">
        <v>0</v>
      </c>
      <c r="AS25" s="60"/>
      <c r="AT25" s="55">
        <v>0</v>
      </c>
      <c r="AU25" s="56"/>
      <c r="AV25" s="55">
        <v>0</v>
      </c>
      <c r="AW25" s="56"/>
      <c r="AX25" s="55">
        <v>0</v>
      </c>
      <c r="AY25" s="56"/>
      <c r="AZ25" s="55">
        <v>0</v>
      </c>
      <c r="BA25" s="56"/>
      <c r="BB25" s="55">
        <v>0</v>
      </c>
      <c r="BC25" s="56"/>
      <c r="BD25" s="55">
        <v>0</v>
      </c>
      <c r="BE25" s="56"/>
      <c r="BF25" s="59">
        <v>0</v>
      </c>
      <c r="BG25" s="56"/>
      <c r="BH25" s="59">
        <v>0</v>
      </c>
      <c r="BI25" s="56"/>
      <c r="BJ25" s="59">
        <v>0</v>
      </c>
      <c r="BK25" s="56"/>
      <c r="BL25" s="59">
        <v>0</v>
      </c>
      <c r="BM25" s="56"/>
      <c r="BN25" s="59">
        <v>0</v>
      </c>
      <c r="BO25" s="56"/>
      <c r="BP25" s="59">
        <v>0</v>
      </c>
      <c r="BQ25" s="56"/>
      <c r="BR25" s="59">
        <v>0</v>
      </c>
      <c r="BS25" s="59">
        <v>0</v>
      </c>
      <c r="BT25" s="59">
        <v>0</v>
      </c>
      <c r="BU25" s="56"/>
      <c r="BV25" s="59">
        <v>0</v>
      </c>
      <c r="BW25" s="56"/>
      <c r="BX25" s="59"/>
      <c r="BY25" s="56"/>
      <c r="BZ25" s="59">
        <v>0</v>
      </c>
      <c r="CA25" s="56"/>
      <c r="CB25" s="59"/>
      <c r="CC25" s="61">
        <v>0</v>
      </c>
      <c r="CD25" s="59">
        <v>0</v>
      </c>
      <c r="CE25" s="59">
        <v>0</v>
      </c>
      <c r="CF25" s="56"/>
      <c r="CG25" s="59">
        <v>0</v>
      </c>
      <c r="CH25" s="56"/>
      <c r="CI25" s="55">
        <v>0</v>
      </c>
      <c r="CJ25" s="54"/>
      <c r="CK25" s="59">
        <v>0</v>
      </c>
      <c r="CL25" s="61">
        <v>0</v>
      </c>
      <c r="CM25" s="54"/>
      <c r="CN25" s="59">
        <v>0</v>
      </c>
      <c r="CO25" s="54"/>
      <c r="CP25" s="61">
        <v>0</v>
      </c>
      <c r="CQ25" s="54"/>
      <c r="CR25" s="59">
        <v>0</v>
      </c>
      <c r="CS25" s="61">
        <v>0</v>
      </c>
      <c r="CT25" s="59">
        <v>0</v>
      </c>
      <c r="CU25" s="56"/>
      <c r="CV25" s="54"/>
      <c r="CW25" s="59">
        <v>0</v>
      </c>
      <c r="CX25" s="61">
        <v>0</v>
      </c>
      <c r="CY25" s="54"/>
      <c r="CZ25" s="59">
        <v>0</v>
      </c>
      <c r="DA25" s="61">
        <v>0</v>
      </c>
      <c r="DB25" s="54"/>
      <c r="DC25" s="59">
        <v>0</v>
      </c>
      <c r="DD25" s="61">
        <v>0</v>
      </c>
      <c r="DE25" s="54"/>
      <c r="DF25" s="59">
        <v>0</v>
      </c>
      <c r="DG25" s="61">
        <v>0</v>
      </c>
      <c r="DH25" s="56"/>
      <c r="DI25" s="59">
        <v>0</v>
      </c>
      <c r="DJ25" s="61">
        <v>0</v>
      </c>
      <c r="DK25" s="54"/>
      <c r="DL25" s="59">
        <v>0</v>
      </c>
      <c r="DM25" s="61">
        <v>0</v>
      </c>
      <c r="DN25" s="54"/>
      <c r="DO25" s="59">
        <v>0</v>
      </c>
      <c r="DP25" s="61">
        <v>0</v>
      </c>
      <c r="DQ25" s="54"/>
      <c r="DR25" s="59">
        <v>0</v>
      </c>
      <c r="DS25" s="61">
        <v>0</v>
      </c>
      <c r="DT25" s="54"/>
      <c r="DU25" s="59">
        <v>0</v>
      </c>
      <c r="DV25" s="61">
        <v>0</v>
      </c>
      <c r="DW25" s="54"/>
      <c r="DX25" s="59">
        <v>0</v>
      </c>
      <c r="DY25" s="61">
        <v>0</v>
      </c>
      <c r="DZ25" s="54"/>
      <c r="EA25" s="59">
        <v>0</v>
      </c>
      <c r="EB25" s="61">
        <v>0</v>
      </c>
      <c r="EC25" s="54"/>
      <c r="ED25" s="59">
        <v>0</v>
      </c>
      <c r="EE25" s="61">
        <v>0</v>
      </c>
      <c r="EF25" s="56"/>
      <c r="EG25" s="61">
        <v>0</v>
      </c>
      <c r="EH25" s="56"/>
      <c r="EI25" s="61">
        <v>0</v>
      </c>
      <c r="EJ25" s="56"/>
      <c r="EK25" s="61">
        <v>0</v>
      </c>
      <c r="EL25" s="56"/>
      <c r="EM25" s="61">
        <v>0</v>
      </c>
      <c r="EN25" s="56"/>
      <c r="EO25" s="56"/>
      <c r="EP25" s="68"/>
      <c r="EQ25" s="54"/>
      <c r="ER25" s="54"/>
      <c r="ES25" s="54"/>
      <c r="ET25" s="54"/>
      <c r="EU25" s="54"/>
      <c r="EV25" s="54"/>
      <c r="EW25" s="58"/>
      <c r="EX25" s="58"/>
      <c r="EY25" s="58"/>
    </row>
    <row r="26" spans="1:155" s="15" customFormat="1" ht="14.5" x14ac:dyDescent="0.35">
      <c r="A26" s="53">
        <v>45008</v>
      </c>
      <c r="B26" s="54"/>
      <c r="C26" s="55">
        <v>0</v>
      </c>
      <c r="D26" s="54"/>
      <c r="E26" s="55">
        <v>0</v>
      </c>
      <c r="F26" s="54" t="e">
        <v>#DIV/0!</v>
      </c>
      <c r="G26" s="54"/>
      <c r="H26" s="54"/>
      <c r="I26" s="54"/>
      <c r="J26" s="55">
        <v>0</v>
      </c>
      <c r="K26" s="56"/>
      <c r="L26" s="55">
        <v>0</v>
      </c>
      <c r="M26" s="56"/>
      <c r="N26" s="55">
        <v>0</v>
      </c>
      <c r="O26" s="56"/>
      <c r="P26" s="55">
        <v>0</v>
      </c>
      <c r="Q26" s="56"/>
      <c r="R26" s="55">
        <v>0</v>
      </c>
      <c r="S26" s="56"/>
      <c r="T26" s="55">
        <v>0</v>
      </c>
      <c r="U26" s="56"/>
      <c r="V26" s="55">
        <v>0</v>
      </c>
      <c r="W26" s="56"/>
      <c r="X26" s="55">
        <v>0</v>
      </c>
      <c r="Y26" s="56"/>
      <c r="Z26" s="55">
        <v>0</v>
      </c>
      <c r="AA26" s="55"/>
      <c r="AB26" s="54"/>
      <c r="AC26" s="64">
        <v>0</v>
      </c>
      <c r="AD26" s="28">
        <v>8</v>
      </c>
      <c r="AE26" s="56"/>
      <c r="AF26" s="55">
        <v>0</v>
      </c>
      <c r="AG26" s="56"/>
      <c r="AH26" s="59">
        <v>0</v>
      </c>
      <c r="AI26" s="56"/>
      <c r="AJ26" s="55">
        <v>0</v>
      </c>
      <c r="AK26" s="56"/>
      <c r="AL26" s="55">
        <v>0</v>
      </c>
      <c r="AM26" s="54"/>
      <c r="AN26" s="55">
        <v>0</v>
      </c>
      <c r="AO26" s="54"/>
      <c r="AP26" s="55">
        <v>0</v>
      </c>
      <c r="AQ26" s="56"/>
      <c r="AR26" s="55">
        <v>0</v>
      </c>
      <c r="AS26" s="60"/>
      <c r="AT26" s="55">
        <v>0</v>
      </c>
      <c r="AU26" s="56"/>
      <c r="AV26" s="55">
        <v>0</v>
      </c>
      <c r="AW26" s="56"/>
      <c r="AX26" s="55">
        <v>0</v>
      </c>
      <c r="AY26" s="56"/>
      <c r="AZ26" s="55">
        <v>0</v>
      </c>
      <c r="BA26" s="56"/>
      <c r="BB26" s="55">
        <v>0</v>
      </c>
      <c r="BC26" s="56"/>
      <c r="BD26" s="55">
        <v>0</v>
      </c>
      <c r="BE26" s="56"/>
      <c r="BF26" s="59">
        <v>0</v>
      </c>
      <c r="BG26" s="56"/>
      <c r="BH26" s="59">
        <v>0</v>
      </c>
      <c r="BI26" s="56"/>
      <c r="BJ26" s="59">
        <v>0</v>
      </c>
      <c r="BK26" s="56"/>
      <c r="BL26" s="59">
        <v>0</v>
      </c>
      <c r="BM26" s="56"/>
      <c r="BN26" s="59">
        <v>0</v>
      </c>
      <c r="BO26" s="56"/>
      <c r="BP26" s="59">
        <v>0</v>
      </c>
      <c r="BQ26" s="56"/>
      <c r="BR26" s="59">
        <v>0</v>
      </c>
      <c r="BS26" s="59">
        <v>0</v>
      </c>
      <c r="BT26" s="59">
        <v>0</v>
      </c>
      <c r="BU26" s="56"/>
      <c r="BV26" s="59">
        <v>0</v>
      </c>
      <c r="BW26" s="56"/>
      <c r="BX26" s="59"/>
      <c r="BY26" s="56"/>
      <c r="BZ26" s="59">
        <v>0</v>
      </c>
      <c r="CA26" s="56"/>
      <c r="CB26" s="59"/>
      <c r="CC26" s="61">
        <v>0</v>
      </c>
      <c r="CD26" s="59">
        <v>0</v>
      </c>
      <c r="CE26" s="59">
        <v>0</v>
      </c>
      <c r="CF26" s="56"/>
      <c r="CG26" s="59">
        <v>0</v>
      </c>
      <c r="CH26" s="56"/>
      <c r="CI26" s="55">
        <v>0</v>
      </c>
      <c r="CJ26" s="54"/>
      <c r="CK26" s="59">
        <v>0</v>
      </c>
      <c r="CL26" s="61">
        <v>0</v>
      </c>
      <c r="CM26" s="54"/>
      <c r="CN26" s="59">
        <v>0</v>
      </c>
      <c r="CO26" s="54"/>
      <c r="CP26" s="61">
        <v>0</v>
      </c>
      <c r="CQ26" s="54"/>
      <c r="CR26" s="59">
        <v>0</v>
      </c>
      <c r="CS26" s="61">
        <v>0</v>
      </c>
      <c r="CT26" s="59">
        <v>0</v>
      </c>
      <c r="CU26" s="56"/>
      <c r="CV26" s="54"/>
      <c r="CW26" s="59">
        <v>0</v>
      </c>
      <c r="CX26" s="61">
        <v>0</v>
      </c>
      <c r="CY26" s="54"/>
      <c r="CZ26" s="59">
        <v>0</v>
      </c>
      <c r="DA26" s="61">
        <v>0</v>
      </c>
      <c r="DB26" s="54"/>
      <c r="DC26" s="59">
        <v>0</v>
      </c>
      <c r="DD26" s="61">
        <v>0</v>
      </c>
      <c r="DE26" s="54"/>
      <c r="DF26" s="59">
        <v>0</v>
      </c>
      <c r="DG26" s="61">
        <v>0</v>
      </c>
      <c r="DH26" s="56"/>
      <c r="DI26" s="59">
        <v>0</v>
      </c>
      <c r="DJ26" s="61">
        <v>0</v>
      </c>
      <c r="DK26" s="54"/>
      <c r="DL26" s="59">
        <v>0</v>
      </c>
      <c r="DM26" s="61">
        <v>0</v>
      </c>
      <c r="DN26" s="54"/>
      <c r="DO26" s="59">
        <v>0</v>
      </c>
      <c r="DP26" s="61">
        <v>0</v>
      </c>
      <c r="DQ26" s="54"/>
      <c r="DR26" s="59">
        <v>0</v>
      </c>
      <c r="DS26" s="61">
        <v>0</v>
      </c>
      <c r="DT26" s="54"/>
      <c r="DU26" s="59">
        <v>0</v>
      </c>
      <c r="DV26" s="61">
        <v>0</v>
      </c>
      <c r="DW26" s="54"/>
      <c r="DX26" s="59">
        <v>0</v>
      </c>
      <c r="DY26" s="61">
        <v>0</v>
      </c>
      <c r="DZ26" s="54"/>
      <c r="EA26" s="59">
        <v>0</v>
      </c>
      <c r="EB26" s="61">
        <v>0</v>
      </c>
      <c r="EC26" s="54"/>
      <c r="ED26" s="59">
        <v>0</v>
      </c>
      <c r="EE26" s="61">
        <v>0</v>
      </c>
      <c r="EF26" s="56"/>
      <c r="EG26" s="61">
        <v>0</v>
      </c>
      <c r="EH26" s="56"/>
      <c r="EI26" s="61">
        <v>0</v>
      </c>
      <c r="EJ26" s="56"/>
      <c r="EK26" s="61">
        <v>0</v>
      </c>
      <c r="EL26" s="56"/>
      <c r="EM26" s="61">
        <v>0</v>
      </c>
      <c r="EN26" s="56"/>
      <c r="EO26" s="56"/>
      <c r="EP26" s="68"/>
      <c r="EQ26" s="54"/>
      <c r="ER26" s="54"/>
      <c r="ES26" s="54"/>
      <c r="ET26" s="54"/>
      <c r="EU26" s="54"/>
      <c r="EV26" s="54"/>
      <c r="EW26" s="58"/>
      <c r="EX26" s="58"/>
      <c r="EY26" s="58"/>
    </row>
    <row r="27" spans="1:155" s="15" customFormat="1" ht="14.5" x14ac:dyDescent="0.35">
      <c r="A27" s="53">
        <v>45009</v>
      </c>
      <c r="B27" s="54"/>
      <c r="C27" s="55">
        <v>0</v>
      </c>
      <c r="D27" s="54"/>
      <c r="E27" s="55">
        <v>0</v>
      </c>
      <c r="F27" s="54" t="e">
        <v>#DIV/0!</v>
      </c>
      <c r="G27" s="54"/>
      <c r="H27" s="54"/>
      <c r="I27" s="54"/>
      <c r="J27" s="55">
        <v>0</v>
      </c>
      <c r="K27" s="56"/>
      <c r="L27" s="55">
        <v>0</v>
      </c>
      <c r="M27" s="56"/>
      <c r="N27" s="55">
        <v>0</v>
      </c>
      <c r="O27" s="56"/>
      <c r="P27" s="55">
        <v>0</v>
      </c>
      <c r="Q27" s="56"/>
      <c r="R27" s="55">
        <v>0</v>
      </c>
      <c r="S27" s="56"/>
      <c r="T27" s="55">
        <v>0</v>
      </c>
      <c r="U27" s="56"/>
      <c r="V27" s="55">
        <v>0</v>
      </c>
      <c r="W27" s="56"/>
      <c r="X27" s="55">
        <v>0</v>
      </c>
      <c r="Y27" s="56"/>
      <c r="Z27" s="55">
        <v>0</v>
      </c>
      <c r="AA27" s="55"/>
      <c r="AB27" s="54"/>
      <c r="AC27" s="64">
        <v>0</v>
      </c>
      <c r="AD27" s="28"/>
      <c r="AE27" s="56"/>
      <c r="AF27" s="55">
        <v>0</v>
      </c>
      <c r="AG27" s="56"/>
      <c r="AH27" s="59">
        <v>0</v>
      </c>
      <c r="AI27" s="56"/>
      <c r="AJ27" s="55">
        <v>0</v>
      </c>
      <c r="AK27" s="56"/>
      <c r="AL27" s="55">
        <v>0</v>
      </c>
      <c r="AM27" s="54"/>
      <c r="AN27" s="55">
        <v>0</v>
      </c>
      <c r="AO27" s="54"/>
      <c r="AP27" s="55">
        <v>0</v>
      </c>
      <c r="AQ27" s="56"/>
      <c r="AR27" s="55">
        <v>0</v>
      </c>
      <c r="AS27" s="60"/>
      <c r="AT27" s="55">
        <v>0</v>
      </c>
      <c r="AU27" s="56"/>
      <c r="AV27" s="55">
        <v>0</v>
      </c>
      <c r="AW27" s="56"/>
      <c r="AX27" s="55">
        <v>0</v>
      </c>
      <c r="AY27" s="56"/>
      <c r="AZ27" s="55">
        <v>0</v>
      </c>
      <c r="BA27" s="56"/>
      <c r="BB27" s="55">
        <v>0</v>
      </c>
      <c r="BC27" s="56"/>
      <c r="BD27" s="55">
        <v>0</v>
      </c>
      <c r="BE27" s="56"/>
      <c r="BF27" s="59">
        <v>0</v>
      </c>
      <c r="BG27" s="56"/>
      <c r="BH27" s="59">
        <v>0</v>
      </c>
      <c r="BI27" s="56"/>
      <c r="BJ27" s="59">
        <v>0</v>
      </c>
      <c r="BK27" s="56"/>
      <c r="BL27" s="59">
        <v>0</v>
      </c>
      <c r="BM27" s="56"/>
      <c r="BN27" s="59">
        <v>0</v>
      </c>
      <c r="BO27" s="56"/>
      <c r="BP27" s="59">
        <v>0</v>
      </c>
      <c r="BQ27" s="56"/>
      <c r="BR27" s="59">
        <v>0</v>
      </c>
      <c r="BS27" s="59">
        <v>0</v>
      </c>
      <c r="BT27" s="59">
        <v>0</v>
      </c>
      <c r="BU27" s="56"/>
      <c r="BV27" s="59">
        <v>0</v>
      </c>
      <c r="BW27" s="56"/>
      <c r="BX27" s="59"/>
      <c r="BY27" s="56"/>
      <c r="BZ27" s="59">
        <v>0</v>
      </c>
      <c r="CA27" s="56"/>
      <c r="CB27" s="59"/>
      <c r="CC27" s="61">
        <v>0</v>
      </c>
      <c r="CD27" s="59">
        <v>0</v>
      </c>
      <c r="CE27" s="59">
        <v>0</v>
      </c>
      <c r="CF27" s="56"/>
      <c r="CG27" s="59">
        <v>0</v>
      </c>
      <c r="CH27" s="56"/>
      <c r="CI27" s="55">
        <v>0</v>
      </c>
      <c r="CJ27" s="54"/>
      <c r="CK27" s="59">
        <v>0</v>
      </c>
      <c r="CL27" s="61">
        <v>0</v>
      </c>
      <c r="CM27" s="54"/>
      <c r="CN27" s="59">
        <v>0</v>
      </c>
      <c r="CO27" s="54"/>
      <c r="CP27" s="61">
        <v>0</v>
      </c>
      <c r="CQ27" s="54"/>
      <c r="CR27" s="59">
        <v>0</v>
      </c>
      <c r="CS27" s="61">
        <v>0</v>
      </c>
      <c r="CT27" s="59">
        <v>0</v>
      </c>
      <c r="CU27" s="56"/>
      <c r="CV27" s="54"/>
      <c r="CW27" s="59">
        <v>0</v>
      </c>
      <c r="CX27" s="61">
        <v>0</v>
      </c>
      <c r="CY27" s="54"/>
      <c r="CZ27" s="59">
        <v>0</v>
      </c>
      <c r="DA27" s="61">
        <v>0</v>
      </c>
      <c r="DB27" s="54"/>
      <c r="DC27" s="59">
        <v>0</v>
      </c>
      <c r="DD27" s="61">
        <v>0</v>
      </c>
      <c r="DE27" s="54"/>
      <c r="DF27" s="59">
        <v>0</v>
      </c>
      <c r="DG27" s="61">
        <v>0</v>
      </c>
      <c r="DH27" s="56"/>
      <c r="DI27" s="59">
        <v>0</v>
      </c>
      <c r="DJ27" s="61">
        <v>0</v>
      </c>
      <c r="DK27" s="54"/>
      <c r="DL27" s="59">
        <v>0</v>
      </c>
      <c r="DM27" s="61">
        <v>0</v>
      </c>
      <c r="DN27" s="54"/>
      <c r="DO27" s="59">
        <v>0</v>
      </c>
      <c r="DP27" s="61">
        <v>0</v>
      </c>
      <c r="DQ27" s="54"/>
      <c r="DR27" s="59">
        <v>0</v>
      </c>
      <c r="DS27" s="61">
        <v>0</v>
      </c>
      <c r="DT27" s="54"/>
      <c r="DU27" s="59">
        <v>0</v>
      </c>
      <c r="DV27" s="61">
        <v>0</v>
      </c>
      <c r="DW27" s="54"/>
      <c r="DX27" s="59">
        <v>0</v>
      </c>
      <c r="DY27" s="61">
        <v>0</v>
      </c>
      <c r="DZ27" s="54"/>
      <c r="EA27" s="59">
        <v>0</v>
      </c>
      <c r="EB27" s="61">
        <v>0</v>
      </c>
      <c r="EC27" s="54"/>
      <c r="ED27" s="59">
        <v>0</v>
      </c>
      <c r="EE27" s="61">
        <v>0</v>
      </c>
      <c r="EF27" s="56"/>
      <c r="EG27" s="61">
        <v>0</v>
      </c>
      <c r="EH27" s="56"/>
      <c r="EI27" s="61">
        <v>0</v>
      </c>
      <c r="EJ27" s="56"/>
      <c r="EK27" s="61">
        <v>0</v>
      </c>
      <c r="EL27" s="56"/>
      <c r="EM27" s="61">
        <v>0</v>
      </c>
      <c r="EN27" s="56"/>
      <c r="EO27" s="56"/>
      <c r="EP27" s="68"/>
      <c r="EQ27" s="54"/>
      <c r="ER27" s="54"/>
      <c r="ES27" s="54"/>
      <c r="ET27" s="54"/>
      <c r="EU27" s="54"/>
      <c r="EV27" s="54"/>
      <c r="EW27" s="58"/>
      <c r="EX27" s="58"/>
      <c r="EY27" s="58"/>
    </row>
    <row r="28" spans="1:155" s="15" customFormat="1" ht="14.5" x14ac:dyDescent="0.35">
      <c r="A28" s="53">
        <v>45010</v>
      </c>
      <c r="B28" s="54"/>
      <c r="C28" s="55">
        <v>0</v>
      </c>
      <c r="D28" s="54"/>
      <c r="E28" s="55">
        <v>0</v>
      </c>
      <c r="F28" s="54" t="e">
        <v>#DIV/0!</v>
      </c>
      <c r="G28" s="54"/>
      <c r="H28" s="54"/>
      <c r="I28" s="54"/>
      <c r="J28" s="55">
        <v>0</v>
      </c>
      <c r="K28" s="56"/>
      <c r="L28" s="55">
        <v>0</v>
      </c>
      <c r="M28" s="56"/>
      <c r="N28" s="55">
        <v>0</v>
      </c>
      <c r="O28" s="56"/>
      <c r="P28" s="55">
        <v>0</v>
      </c>
      <c r="Q28" s="56"/>
      <c r="R28" s="55">
        <v>0</v>
      </c>
      <c r="S28" s="56"/>
      <c r="T28" s="55">
        <v>0</v>
      </c>
      <c r="U28" s="56"/>
      <c r="V28" s="55">
        <v>0</v>
      </c>
      <c r="W28" s="56"/>
      <c r="X28" s="55">
        <v>0</v>
      </c>
      <c r="Y28" s="56"/>
      <c r="Z28" s="55">
        <v>0</v>
      </c>
      <c r="AA28" s="55"/>
      <c r="AB28" s="54"/>
      <c r="AC28" s="64">
        <v>0</v>
      </c>
      <c r="AD28" s="28"/>
      <c r="AE28" s="56"/>
      <c r="AF28" s="55">
        <v>0</v>
      </c>
      <c r="AG28" s="56"/>
      <c r="AH28" s="59">
        <v>0</v>
      </c>
      <c r="AI28" s="56"/>
      <c r="AJ28" s="55">
        <v>0</v>
      </c>
      <c r="AK28" s="56"/>
      <c r="AL28" s="55">
        <v>0</v>
      </c>
      <c r="AM28" s="54"/>
      <c r="AN28" s="55">
        <v>0</v>
      </c>
      <c r="AO28" s="54"/>
      <c r="AP28" s="55">
        <v>0</v>
      </c>
      <c r="AQ28" s="56"/>
      <c r="AR28" s="55">
        <v>0</v>
      </c>
      <c r="AS28" s="60"/>
      <c r="AT28" s="55">
        <v>0</v>
      </c>
      <c r="AU28" s="56"/>
      <c r="AV28" s="55">
        <v>0</v>
      </c>
      <c r="AW28" s="56"/>
      <c r="AX28" s="55">
        <v>0</v>
      </c>
      <c r="AY28" s="56"/>
      <c r="AZ28" s="55">
        <v>0</v>
      </c>
      <c r="BA28" s="56"/>
      <c r="BB28" s="55">
        <v>0</v>
      </c>
      <c r="BC28" s="56"/>
      <c r="BD28" s="55">
        <v>0</v>
      </c>
      <c r="BE28" s="56"/>
      <c r="BF28" s="59">
        <v>0</v>
      </c>
      <c r="BG28" s="56"/>
      <c r="BH28" s="59">
        <v>0</v>
      </c>
      <c r="BI28" s="56"/>
      <c r="BJ28" s="59">
        <v>0</v>
      </c>
      <c r="BK28" s="56"/>
      <c r="BL28" s="59">
        <v>0</v>
      </c>
      <c r="BM28" s="56"/>
      <c r="BN28" s="59">
        <v>0</v>
      </c>
      <c r="BO28" s="56"/>
      <c r="BP28" s="59">
        <v>0</v>
      </c>
      <c r="BQ28" s="56"/>
      <c r="BR28" s="59">
        <v>0</v>
      </c>
      <c r="BS28" s="59">
        <v>0</v>
      </c>
      <c r="BT28" s="59">
        <v>0</v>
      </c>
      <c r="BU28" s="56"/>
      <c r="BV28" s="59">
        <v>0</v>
      </c>
      <c r="BW28" s="56"/>
      <c r="BX28" s="59"/>
      <c r="BY28" s="56"/>
      <c r="BZ28" s="59">
        <v>0</v>
      </c>
      <c r="CA28" s="56"/>
      <c r="CB28" s="59"/>
      <c r="CC28" s="61">
        <v>0</v>
      </c>
      <c r="CD28" s="59">
        <v>0</v>
      </c>
      <c r="CE28" s="59">
        <v>0</v>
      </c>
      <c r="CF28" s="56"/>
      <c r="CG28" s="59">
        <v>0</v>
      </c>
      <c r="CH28" s="56"/>
      <c r="CI28" s="55">
        <v>0</v>
      </c>
      <c r="CJ28" s="54"/>
      <c r="CK28" s="59">
        <v>0</v>
      </c>
      <c r="CL28" s="61">
        <v>0</v>
      </c>
      <c r="CM28" s="54"/>
      <c r="CN28" s="59">
        <v>0</v>
      </c>
      <c r="CO28" s="54"/>
      <c r="CP28" s="61">
        <v>0</v>
      </c>
      <c r="CQ28" s="54"/>
      <c r="CR28" s="59">
        <v>0</v>
      </c>
      <c r="CS28" s="61">
        <v>0</v>
      </c>
      <c r="CT28" s="59">
        <v>0</v>
      </c>
      <c r="CU28" s="56"/>
      <c r="CV28" s="54"/>
      <c r="CW28" s="59">
        <v>0</v>
      </c>
      <c r="CX28" s="61">
        <v>0</v>
      </c>
      <c r="CY28" s="54"/>
      <c r="CZ28" s="59">
        <v>0</v>
      </c>
      <c r="DA28" s="61">
        <v>0</v>
      </c>
      <c r="DB28" s="54"/>
      <c r="DC28" s="59">
        <v>0</v>
      </c>
      <c r="DD28" s="61">
        <v>0</v>
      </c>
      <c r="DE28" s="54"/>
      <c r="DF28" s="59">
        <v>0</v>
      </c>
      <c r="DG28" s="61">
        <v>0</v>
      </c>
      <c r="DH28" s="56"/>
      <c r="DI28" s="59">
        <v>0</v>
      </c>
      <c r="DJ28" s="61">
        <v>0</v>
      </c>
      <c r="DK28" s="54"/>
      <c r="DL28" s="59">
        <v>0</v>
      </c>
      <c r="DM28" s="61">
        <v>0</v>
      </c>
      <c r="DN28" s="54"/>
      <c r="DO28" s="59">
        <v>0</v>
      </c>
      <c r="DP28" s="61">
        <v>0</v>
      </c>
      <c r="DQ28" s="54"/>
      <c r="DR28" s="59">
        <v>0</v>
      </c>
      <c r="DS28" s="61">
        <v>0</v>
      </c>
      <c r="DT28" s="54"/>
      <c r="DU28" s="59">
        <v>0</v>
      </c>
      <c r="DV28" s="61">
        <v>0</v>
      </c>
      <c r="DW28" s="54"/>
      <c r="DX28" s="59">
        <v>0</v>
      </c>
      <c r="DY28" s="61">
        <v>0</v>
      </c>
      <c r="DZ28" s="54"/>
      <c r="EA28" s="59">
        <v>0</v>
      </c>
      <c r="EB28" s="61">
        <v>0</v>
      </c>
      <c r="EC28" s="54"/>
      <c r="ED28" s="59">
        <v>0</v>
      </c>
      <c r="EE28" s="61">
        <v>0</v>
      </c>
      <c r="EF28" s="56"/>
      <c r="EG28" s="61">
        <v>0</v>
      </c>
      <c r="EH28" s="56"/>
      <c r="EI28" s="61">
        <v>0</v>
      </c>
      <c r="EJ28" s="56"/>
      <c r="EK28" s="61">
        <v>0</v>
      </c>
      <c r="EL28" s="56"/>
      <c r="EM28" s="61">
        <v>0</v>
      </c>
      <c r="EN28" s="56"/>
      <c r="EO28" s="56"/>
      <c r="EP28" s="68"/>
      <c r="EQ28" s="54"/>
      <c r="ER28" s="54"/>
      <c r="ES28" s="54"/>
      <c r="ET28" s="54"/>
      <c r="EU28" s="54"/>
      <c r="EV28" s="54"/>
      <c r="EW28" s="58"/>
      <c r="EX28" s="58"/>
      <c r="EY28" s="58"/>
    </row>
    <row r="29" spans="1:155" s="15" customFormat="1" ht="14.5" x14ac:dyDescent="0.35">
      <c r="A29" s="53">
        <v>45011</v>
      </c>
      <c r="B29" s="54"/>
      <c r="C29" s="55">
        <v>0</v>
      </c>
      <c r="D29" s="54"/>
      <c r="E29" s="55"/>
      <c r="F29" s="54"/>
      <c r="G29" s="54"/>
      <c r="H29" s="54"/>
      <c r="I29" s="54"/>
      <c r="J29" s="55"/>
      <c r="K29" s="56"/>
      <c r="L29" s="55"/>
      <c r="M29" s="56"/>
      <c r="N29" s="55"/>
      <c r="O29" s="56"/>
      <c r="P29" s="55"/>
      <c r="Q29" s="56"/>
      <c r="R29" s="55"/>
      <c r="S29" s="56"/>
      <c r="T29" s="55"/>
      <c r="U29" s="56"/>
      <c r="V29" s="55"/>
      <c r="W29" s="56"/>
      <c r="X29" s="55"/>
      <c r="Y29" s="56"/>
      <c r="Z29" s="55"/>
      <c r="AA29" s="55"/>
      <c r="AB29" s="54"/>
      <c r="AC29" s="64">
        <v>0</v>
      </c>
      <c r="AD29" s="28"/>
      <c r="AE29" s="56"/>
      <c r="AF29" s="55"/>
      <c r="AG29" s="56"/>
      <c r="AH29" s="59"/>
      <c r="AI29" s="56"/>
      <c r="AJ29" s="55"/>
      <c r="AK29" s="56"/>
      <c r="AL29" s="55"/>
      <c r="AM29" s="54"/>
      <c r="AN29" s="55"/>
      <c r="AO29" s="54"/>
      <c r="AP29" s="55"/>
      <c r="AQ29" s="56"/>
      <c r="AR29" s="55"/>
      <c r="AS29" s="60"/>
      <c r="AT29" s="55"/>
      <c r="AU29" s="56"/>
      <c r="AV29" s="55"/>
      <c r="AW29" s="56"/>
      <c r="AX29" s="55"/>
      <c r="AY29" s="56"/>
      <c r="AZ29" s="55"/>
      <c r="BA29" s="56"/>
      <c r="BB29" s="55"/>
      <c r="BC29" s="56"/>
      <c r="BD29" s="55"/>
      <c r="BE29" s="56"/>
      <c r="BF29" s="59"/>
      <c r="BG29" s="56"/>
      <c r="BH29" s="59"/>
      <c r="BI29" s="56"/>
      <c r="BJ29" s="59"/>
      <c r="BK29" s="56"/>
      <c r="BL29" s="59"/>
      <c r="BM29" s="56"/>
      <c r="BN29" s="59"/>
      <c r="BO29" s="56"/>
      <c r="BP29" s="59"/>
      <c r="BQ29" s="56"/>
      <c r="BR29" s="59"/>
      <c r="BS29" s="59"/>
      <c r="BT29" s="59"/>
      <c r="BU29" s="56"/>
      <c r="BV29" s="59"/>
      <c r="BW29" s="56"/>
      <c r="BX29" s="59"/>
      <c r="BY29" s="56"/>
      <c r="BZ29" s="59"/>
      <c r="CA29" s="56"/>
      <c r="CB29" s="59"/>
      <c r="CC29" s="61"/>
      <c r="CD29" s="59"/>
      <c r="CE29" s="59"/>
      <c r="CF29" s="56"/>
      <c r="CG29" s="59"/>
      <c r="CH29" s="56"/>
      <c r="CI29" s="55"/>
      <c r="CJ29" s="54"/>
      <c r="CK29" s="59"/>
      <c r="CL29" s="61"/>
      <c r="CM29" s="54"/>
      <c r="CN29" s="59"/>
      <c r="CO29" s="54"/>
      <c r="CP29" s="61"/>
      <c r="CQ29" s="54"/>
      <c r="CR29" s="59"/>
      <c r="CS29" s="61"/>
      <c r="CT29" s="59"/>
      <c r="CU29" s="56"/>
      <c r="CV29" s="54"/>
      <c r="CW29" s="59"/>
      <c r="CX29" s="61"/>
      <c r="CY29" s="54"/>
      <c r="CZ29" s="59"/>
      <c r="DA29" s="61"/>
      <c r="DB29" s="54"/>
      <c r="DC29" s="59"/>
      <c r="DD29" s="61"/>
      <c r="DE29" s="54"/>
      <c r="DF29" s="59"/>
      <c r="DG29" s="61"/>
      <c r="DH29" s="56"/>
      <c r="DI29" s="59"/>
      <c r="DJ29" s="61"/>
      <c r="DK29" s="54"/>
      <c r="DL29" s="59"/>
      <c r="DM29" s="61"/>
      <c r="DN29" s="54"/>
      <c r="DO29" s="59"/>
      <c r="DP29" s="61"/>
      <c r="DQ29" s="54"/>
      <c r="DR29" s="59"/>
      <c r="DS29" s="61"/>
      <c r="DT29" s="54"/>
      <c r="DU29" s="59"/>
      <c r="DV29" s="61"/>
      <c r="DW29" s="54"/>
      <c r="DX29" s="59"/>
      <c r="DY29" s="61"/>
      <c r="DZ29" s="54"/>
      <c r="EA29" s="59"/>
      <c r="EB29" s="61"/>
      <c r="EC29" s="54"/>
      <c r="ED29" s="59"/>
      <c r="EE29" s="61"/>
      <c r="EF29" s="56"/>
      <c r="EG29" s="61"/>
      <c r="EH29" s="56"/>
      <c r="EI29" s="61"/>
      <c r="EJ29" s="56"/>
      <c r="EK29" s="61"/>
      <c r="EL29" s="56"/>
      <c r="EM29" s="61"/>
      <c r="EN29" s="56"/>
      <c r="EO29" s="56"/>
      <c r="EP29" s="68"/>
      <c r="EQ29" s="54"/>
      <c r="ER29" s="54"/>
      <c r="ES29" s="54"/>
      <c r="ET29" s="54"/>
      <c r="EU29" s="54"/>
      <c r="EV29" s="54"/>
      <c r="EW29" s="58"/>
      <c r="EX29" s="58"/>
      <c r="EY29" s="58"/>
    </row>
    <row r="30" spans="1:155" s="15" customFormat="1" ht="14.5" x14ac:dyDescent="0.35">
      <c r="A30" s="53">
        <v>45012</v>
      </c>
      <c r="B30" s="54"/>
      <c r="C30" s="55">
        <v>0</v>
      </c>
      <c r="D30" s="54"/>
      <c r="E30" s="55"/>
      <c r="F30" s="54"/>
      <c r="G30" s="54"/>
      <c r="H30" s="54"/>
      <c r="I30" s="54"/>
      <c r="J30" s="55"/>
      <c r="K30" s="56"/>
      <c r="L30" s="55"/>
      <c r="M30" s="56"/>
      <c r="N30" s="55"/>
      <c r="O30" s="56"/>
      <c r="P30" s="55"/>
      <c r="Q30" s="56"/>
      <c r="R30" s="55"/>
      <c r="S30" s="56"/>
      <c r="T30" s="55"/>
      <c r="U30" s="56"/>
      <c r="V30" s="55"/>
      <c r="W30" s="56"/>
      <c r="X30" s="55"/>
      <c r="Y30" s="56"/>
      <c r="Z30" s="55"/>
      <c r="AA30" s="55"/>
      <c r="AB30" s="54"/>
      <c r="AC30" s="64">
        <v>0</v>
      </c>
      <c r="AD30" s="28"/>
      <c r="AE30" s="56"/>
      <c r="AF30" s="55"/>
      <c r="AG30" s="56"/>
      <c r="AH30" s="59"/>
      <c r="AI30" s="56"/>
      <c r="AJ30" s="55"/>
      <c r="AK30" s="56"/>
      <c r="AL30" s="55"/>
      <c r="AM30" s="54"/>
      <c r="AN30" s="55"/>
      <c r="AO30" s="54"/>
      <c r="AP30" s="55"/>
      <c r="AQ30" s="56"/>
      <c r="AR30" s="55"/>
      <c r="AS30" s="60"/>
      <c r="AT30" s="55"/>
      <c r="AU30" s="56"/>
      <c r="AV30" s="55"/>
      <c r="AW30" s="56"/>
      <c r="AX30" s="55"/>
      <c r="AY30" s="56"/>
      <c r="AZ30" s="55"/>
      <c r="BA30" s="56"/>
      <c r="BB30" s="55"/>
      <c r="BC30" s="56"/>
      <c r="BD30" s="55"/>
      <c r="BE30" s="56"/>
      <c r="BF30" s="59"/>
      <c r="BG30" s="56"/>
      <c r="BH30" s="59"/>
      <c r="BI30" s="56"/>
      <c r="BJ30" s="59"/>
      <c r="BK30" s="56"/>
      <c r="BL30" s="59"/>
      <c r="BM30" s="56"/>
      <c r="BN30" s="59"/>
      <c r="BO30" s="56"/>
      <c r="BP30" s="59"/>
      <c r="BQ30" s="56"/>
      <c r="BR30" s="59"/>
      <c r="BS30" s="59"/>
      <c r="BT30" s="59"/>
      <c r="BU30" s="56"/>
      <c r="BV30" s="59"/>
      <c r="BW30" s="56"/>
      <c r="BX30" s="59"/>
      <c r="BY30" s="56"/>
      <c r="BZ30" s="59"/>
      <c r="CA30" s="56"/>
      <c r="CB30" s="59"/>
      <c r="CC30" s="61"/>
      <c r="CD30" s="59"/>
      <c r="CE30" s="59"/>
      <c r="CF30" s="56"/>
      <c r="CG30" s="59"/>
      <c r="CH30" s="56"/>
      <c r="CI30" s="55"/>
      <c r="CJ30" s="54"/>
      <c r="CK30" s="59"/>
      <c r="CL30" s="61"/>
      <c r="CM30" s="54"/>
      <c r="CN30" s="59"/>
      <c r="CO30" s="54"/>
      <c r="CP30" s="61"/>
      <c r="CQ30" s="54"/>
      <c r="CR30" s="59"/>
      <c r="CS30" s="61"/>
      <c r="CT30" s="59"/>
      <c r="CU30" s="56"/>
      <c r="CV30" s="54"/>
      <c r="CW30" s="59"/>
      <c r="CX30" s="61"/>
      <c r="CY30" s="54"/>
      <c r="CZ30" s="59"/>
      <c r="DA30" s="61"/>
      <c r="DB30" s="54"/>
      <c r="DC30" s="59"/>
      <c r="DD30" s="61"/>
      <c r="DE30" s="54"/>
      <c r="DF30" s="59"/>
      <c r="DG30" s="61"/>
      <c r="DH30" s="56"/>
      <c r="DI30" s="59"/>
      <c r="DJ30" s="61"/>
      <c r="DK30" s="54"/>
      <c r="DL30" s="59"/>
      <c r="DM30" s="61"/>
      <c r="DN30" s="54"/>
      <c r="DO30" s="59"/>
      <c r="DP30" s="61"/>
      <c r="DQ30" s="54"/>
      <c r="DR30" s="59"/>
      <c r="DS30" s="61"/>
      <c r="DT30" s="54"/>
      <c r="DU30" s="59"/>
      <c r="DV30" s="61"/>
      <c r="DW30" s="54"/>
      <c r="DX30" s="59"/>
      <c r="DY30" s="61"/>
      <c r="DZ30" s="54"/>
      <c r="EA30" s="59"/>
      <c r="EB30" s="61"/>
      <c r="EC30" s="54"/>
      <c r="ED30" s="59"/>
      <c r="EE30" s="61"/>
      <c r="EF30" s="56"/>
      <c r="EG30" s="61"/>
      <c r="EH30" s="56"/>
      <c r="EI30" s="61"/>
      <c r="EJ30" s="56"/>
      <c r="EK30" s="61"/>
      <c r="EL30" s="56"/>
      <c r="EM30" s="61"/>
      <c r="EN30" s="56"/>
      <c r="EO30" s="56"/>
      <c r="EP30" s="68"/>
      <c r="EQ30" s="54"/>
      <c r="ER30" s="54"/>
      <c r="ES30" s="54"/>
      <c r="ET30" s="54"/>
      <c r="EU30" s="54"/>
      <c r="EV30" s="54"/>
      <c r="EW30" s="58"/>
      <c r="EX30" s="58"/>
      <c r="EY30" s="58"/>
    </row>
    <row r="31" spans="1:155" s="15" customFormat="1" ht="14.5" x14ac:dyDescent="0.35">
      <c r="A31" s="53">
        <v>45013</v>
      </c>
      <c r="B31" s="54"/>
      <c r="C31" s="55">
        <v>0</v>
      </c>
      <c r="D31" s="54"/>
      <c r="E31" s="55"/>
      <c r="F31" s="54"/>
      <c r="G31" s="54"/>
      <c r="H31" s="54"/>
      <c r="I31" s="54"/>
      <c r="J31" s="55"/>
      <c r="K31" s="56"/>
      <c r="L31" s="55"/>
      <c r="M31" s="56"/>
      <c r="N31" s="55"/>
      <c r="O31" s="56"/>
      <c r="P31" s="55"/>
      <c r="Q31" s="56"/>
      <c r="R31" s="55"/>
      <c r="S31" s="56"/>
      <c r="T31" s="55"/>
      <c r="U31" s="56"/>
      <c r="V31" s="55"/>
      <c r="W31" s="56"/>
      <c r="X31" s="55"/>
      <c r="Y31" s="56"/>
      <c r="Z31" s="55"/>
      <c r="AA31" s="55"/>
      <c r="AB31" s="54"/>
      <c r="AC31" s="64">
        <v>0</v>
      </c>
      <c r="AD31" s="28"/>
      <c r="AE31" s="56"/>
      <c r="AF31" s="55"/>
      <c r="AG31" s="56"/>
      <c r="AH31" s="59"/>
      <c r="AI31" s="56"/>
      <c r="AJ31" s="55"/>
      <c r="AK31" s="56"/>
      <c r="AL31" s="55"/>
      <c r="AM31" s="54"/>
      <c r="AN31" s="55"/>
      <c r="AO31" s="54"/>
      <c r="AP31" s="55"/>
      <c r="AQ31" s="56"/>
      <c r="AR31" s="55"/>
      <c r="AS31" s="60"/>
      <c r="AT31" s="55"/>
      <c r="AU31" s="56"/>
      <c r="AV31" s="55"/>
      <c r="AW31" s="56"/>
      <c r="AX31" s="55"/>
      <c r="AY31" s="56"/>
      <c r="AZ31" s="55"/>
      <c r="BA31" s="56"/>
      <c r="BB31" s="55"/>
      <c r="BC31" s="56"/>
      <c r="BD31" s="55"/>
      <c r="BE31" s="56"/>
      <c r="BF31" s="59"/>
      <c r="BG31" s="56"/>
      <c r="BH31" s="59"/>
      <c r="BI31" s="56"/>
      <c r="BJ31" s="59"/>
      <c r="BK31" s="56"/>
      <c r="BL31" s="59"/>
      <c r="BM31" s="56"/>
      <c r="BN31" s="59"/>
      <c r="BO31" s="56"/>
      <c r="BP31" s="59"/>
      <c r="BQ31" s="56"/>
      <c r="BR31" s="59"/>
      <c r="BS31" s="59"/>
      <c r="BT31" s="59"/>
      <c r="BU31" s="56"/>
      <c r="BV31" s="59"/>
      <c r="BW31" s="56"/>
      <c r="BX31" s="59"/>
      <c r="BY31" s="56"/>
      <c r="BZ31" s="59"/>
      <c r="CA31" s="56"/>
      <c r="CB31" s="59"/>
      <c r="CC31" s="61"/>
      <c r="CD31" s="59"/>
      <c r="CE31" s="59"/>
      <c r="CF31" s="56"/>
      <c r="CG31" s="59"/>
      <c r="CH31" s="56"/>
      <c r="CI31" s="55"/>
      <c r="CJ31" s="54"/>
      <c r="CK31" s="59"/>
      <c r="CL31" s="61"/>
      <c r="CM31" s="54"/>
      <c r="CN31" s="59"/>
      <c r="CO31" s="54"/>
      <c r="CP31" s="61"/>
      <c r="CQ31" s="54"/>
      <c r="CR31" s="59"/>
      <c r="CS31" s="61"/>
      <c r="CT31" s="59"/>
      <c r="CU31" s="56"/>
      <c r="CV31" s="54"/>
      <c r="CW31" s="59"/>
      <c r="CX31" s="61"/>
      <c r="CY31" s="54"/>
      <c r="CZ31" s="59"/>
      <c r="DA31" s="61"/>
      <c r="DB31" s="54"/>
      <c r="DC31" s="59"/>
      <c r="DD31" s="61"/>
      <c r="DE31" s="54"/>
      <c r="DF31" s="59"/>
      <c r="DG31" s="61"/>
      <c r="DH31" s="56"/>
      <c r="DI31" s="59"/>
      <c r="DJ31" s="61"/>
      <c r="DK31" s="54"/>
      <c r="DL31" s="59"/>
      <c r="DM31" s="61"/>
      <c r="DN31" s="54"/>
      <c r="DO31" s="59"/>
      <c r="DP31" s="61"/>
      <c r="DQ31" s="54"/>
      <c r="DR31" s="59"/>
      <c r="DS31" s="61"/>
      <c r="DT31" s="54"/>
      <c r="DU31" s="59"/>
      <c r="DV31" s="61"/>
      <c r="DW31" s="54"/>
      <c r="DX31" s="59"/>
      <c r="DY31" s="61"/>
      <c r="DZ31" s="54"/>
      <c r="EA31" s="59"/>
      <c r="EB31" s="61"/>
      <c r="EC31" s="54"/>
      <c r="ED31" s="59"/>
      <c r="EE31" s="61"/>
      <c r="EF31" s="56"/>
      <c r="EG31" s="61"/>
      <c r="EH31" s="56"/>
      <c r="EI31" s="61"/>
      <c r="EJ31" s="56"/>
      <c r="EK31" s="61"/>
      <c r="EL31" s="56"/>
      <c r="EM31" s="61"/>
      <c r="EN31" s="56"/>
      <c r="EO31" s="56"/>
      <c r="EP31" s="68"/>
      <c r="EQ31" s="54"/>
      <c r="ER31" s="54"/>
      <c r="ES31" s="54"/>
      <c r="ET31" s="54"/>
      <c r="EU31" s="54"/>
      <c r="EV31" s="54"/>
      <c r="EW31" s="58"/>
      <c r="EX31" s="58"/>
      <c r="EY31" s="58"/>
    </row>
    <row r="32" spans="1:155" ht="14.5" x14ac:dyDescent="0.35">
      <c r="A32" s="53">
        <v>45014</v>
      </c>
      <c r="B32" s="54"/>
      <c r="C32" s="55">
        <v>0</v>
      </c>
      <c r="D32" s="54"/>
      <c r="E32" s="55">
        <v>0</v>
      </c>
      <c r="F32" s="54" t="e">
        <v>#DIV/0!</v>
      </c>
      <c r="G32" s="54"/>
      <c r="H32" s="54"/>
      <c r="I32" s="54"/>
      <c r="J32" s="55">
        <v>0</v>
      </c>
      <c r="K32" s="56">
        <v>822</v>
      </c>
      <c r="L32" s="55">
        <v>822</v>
      </c>
      <c r="M32" s="56"/>
      <c r="N32" s="55">
        <v>0</v>
      </c>
      <c r="O32" s="56"/>
      <c r="P32" s="55">
        <v>0</v>
      </c>
      <c r="Q32" s="56"/>
      <c r="R32" s="55">
        <v>0</v>
      </c>
      <c r="S32" s="56"/>
      <c r="T32" s="55">
        <v>0</v>
      </c>
      <c r="U32" s="56"/>
      <c r="V32" s="55">
        <v>0</v>
      </c>
      <c r="W32" s="56"/>
      <c r="X32" s="55">
        <v>0</v>
      </c>
      <c r="Y32" s="56"/>
      <c r="Z32" s="55">
        <v>0</v>
      </c>
      <c r="AA32" s="55"/>
      <c r="AB32" s="54"/>
      <c r="AC32" s="64">
        <v>0</v>
      </c>
      <c r="AD32" s="28"/>
      <c r="AE32" s="56">
        <v>3220</v>
      </c>
      <c r="AF32" s="55">
        <v>3220</v>
      </c>
      <c r="AG32" s="56"/>
      <c r="AH32" s="59">
        <v>0</v>
      </c>
      <c r="AI32" s="56"/>
      <c r="AJ32" s="55">
        <v>0</v>
      </c>
      <c r="AK32" s="56"/>
      <c r="AL32" s="55">
        <v>0</v>
      </c>
      <c r="AM32" s="54"/>
      <c r="AN32" s="55">
        <v>0</v>
      </c>
      <c r="AO32" s="54"/>
      <c r="AP32" s="55">
        <v>0</v>
      </c>
      <c r="AQ32" s="56"/>
      <c r="AR32" s="55">
        <v>0</v>
      </c>
      <c r="AS32" s="60"/>
      <c r="AT32" s="55">
        <v>0</v>
      </c>
      <c r="AU32" s="56"/>
      <c r="AV32" s="55">
        <v>0</v>
      </c>
      <c r="AW32" s="56"/>
      <c r="AX32" s="55">
        <v>0</v>
      </c>
      <c r="AY32" s="56"/>
      <c r="AZ32" s="55">
        <v>0</v>
      </c>
      <c r="BA32" s="56"/>
      <c r="BB32" s="55">
        <v>0</v>
      </c>
      <c r="BC32" s="56"/>
      <c r="BD32" s="55">
        <v>0</v>
      </c>
      <c r="BE32" s="56"/>
      <c r="BF32" s="59">
        <v>0</v>
      </c>
      <c r="BG32" s="56"/>
      <c r="BH32" s="59">
        <v>0</v>
      </c>
      <c r="BI32" s="56"/>
      <c r="BJ32" s="59">
        <v>0</v>
      </c>
      <c r="BK32" s="56"/>
      <c r="BL32" s="59">
        <v>0</v>
      </c>
      <c r="BM32" s="56"/>
      <c r="BN32" s="59">
        <v>0</v>
      </c>
      <c r="BO32" s="56"/>
      <c r="BP32" s="59">
        <v>0</v>
      </c>
      <c r="BQ32" s="56"/>
      <c r="BR32" s="59">
        <v>0</v>
      </c>
      <c r="BS32" s="59">
        <v>0</v>
      </c>
      <c r="BT32" s="59">
        <v>0</v>
      </c>
      <c r="BU32" s="56"/>
      <c r="BV32" s="59">
        <v>0</v>
      </c>
      <c r="BW32" s="56"/>
      <c r="BX32" s="59"/>
      <c r="BY32" s="56"/>
      <c r="BZ32" s="59">
        <v>0</v>
      </c>
      <c r="CA32" s="56"/>
      <c r="CB32" s="59"/>
      <c r="CC32" s="61">
        <v>0</v>
      </c>
      <c r="CD32" s="59">
        <v>0</v>
      </c>
      <c r="CE32" s="59">
        <v>0</v>
      </c>
      <c r="CF32" s="56"/>
      <c r="CG32" s="59">
        <v>0</v>
      </c>
      <c r="CH32" s="56"/>
      <c r="CI32" s="55">
        <v>0</v>
      </c>
      <c r="CJ32" s="54"/>
      <c r="CK32" s="59">
        <v>0</v>
      </c>
      <c r="CL32" s="61">
        <v>0</v>
      </c>
      <c r="CM32" s="54"/>
      <c r="CN32" s="59">
        <v>0</v>
      </c>
      <c r="CO32" s="54"/>
      <c r="CP32" s="61">
        <v>0</v>
      </c>
      <c r="CQ32" s="54"/>
      <c r="CR32" s="59">
        <v>0</v>
      </c>
      <c r="CS32" s="61">
        <v>0</v>
      </c>
      <c r="CT32" s="59">
        <v>0</v>
      </c>
      <c r="CU32" s="56"/>
      <c r="CV32" s="54"/>
      <c r="CW32" s="59">
        <v>0</v>
      </c>
      <c r="CX32" s="61">
        <v>0</v>
      </c>
      <c r="CY32" s="54"/>
      <c r="CZ32" s="59">
        <v>0</v>
      </c>
      <c r="DA32" s="61">
        <v>0</v>
      </c>
      <c r="DB32" s="54"/>
      <c r="DC32" s="59">
        <v>0</v>
      </c>
      <c r="DD32" s="61">
        <v>0</v>
      </c>
      <c r="DE32" s="54"/>
      <c r="DF32" s="59">
        <v>0</v>
      </c>
      <c r="DG32" s="61">
        <v>0</v>
      </c>
      <c r="DH32" s="56"/>
      <c r="DI32" s="59">
        <v>0</v>
      </c>
      <c r="DJ32" s="61">
        <v>0</v>
      </c>
      <c r="DK32" s="54"/>
      <c r="DL32" s="59">
        <v>0</v>
      </c>
      <c r="DM32" s="61">
        <v>0</v>
      </c>
      <c r="DN32" s="54"/>
      <c r="DO32" s="59">
        <v>0</v>
      </c>
      <c r="DP32" s="61">
        <v>0</v>
      </c>
      <c r="DQ32" s="54"/>
      <c r="DR32" s="59">
        <v>0</v>
      </c>
      <c r="DS32" s="61">
        <v>0</v>
      </c>
      <c r="DT32" s="54"/>
      <c r="DU32" s="59">
        <v>0</v>
      </c>
      <c r="DV32" s="61">
        <v>0</v>
      </c>
      <c r="DW32" s="54"/>
      <c r="DX32" s="59">
        <v>0</v>
      </c>
      <c r="DY32" s="61">
        <v>0</v>
      </c>
      <c r="DZ32" s="54"/>
      <c r="EA32" s="59">
        <v>0</v>
      </c>
      <c r="EB32" s="61">
        <v>0</v>
      </c>
      <c r="EC32" s="54"/>
      <c r="ED32" s="59">
        <v>0</v>
      </c>
      <c r="EE32" s="61">
        <v>0</v>
      </c>
      <c r="EF32" s="56"/>
      <c r="EG32" s="61">
        <v>0</v>
      </c>
      <c r="EH32" s="56"/>
      <c r="EI32" s="61">
        <v>0</v>
      </c>
      <c r="EJ32" s="56"/>
      <c r="EK32" s="61">
        <v>0</v>
      </c>
      <c r="EL32" s="56"/>
      <c r="EM32" s="61">
        <v>0</v>
      </c>
      <c r="EN32" s="56">
        <v>76</v>
      </c>
      <c r="EO32" s="56">
        <v>191</v>
      </c>
      <c r="EP32" s="62">
        <v>0.72</v>
      </c>
      <c r="EQ32" s="54"/>
      <c r="ER32" s="54"/>
      <c r="ES32" s="54"/>
      <c r="ET32" s="54"/>
      <c r="EU32" s="54"/>
      <c r="EV32" s="54"/>
      <c r="EW32" s="58"/>
      <c r="EX32" s="58"/>
      <c r="EY32" s="58"/>
    </row>
    <row r="33" spans="1:155" ht="14.5" x14ac:dyDescent="0.35">
      <c r="A33" s="53">
        <v>45015</v>
      </c>
      <c r="B33" s="54"/>
      <c r="C33" s="55">
        <v>0</v>
      </c>
      <c r="D33" s="54"/>
      <c r="E33" s="55">
        <v>0</v>
      </c>
      <c r="F33" s="54" t="e">
        <v>#DIV/0!</v>
      </c>
      <c r="G33" s="54"/>
      <c r="H33" s="54"/>
      <c r="I33" s="54"/>
      <c r="J33" s="55">
        <v>0</v>
      </c>
      <c r="K33" s="56">
        <v>822</v>
      </c>
      <c r="L33" s="55">
        <v>0</v>
      </c>
      <c r="M33" s="56"/>
      <c r="N33" s="55">
        <v>0</v>
      </c>
      <c r="O33" s="56"/>
      <c r="P33" s="55">
        <v>0</v>
      </c>
      <c r="Q33" s="56"/>
      <c r="R33" s="55">
        <v>0</v>
      </c>
      <c r="S33" s="56"/>
      <c r="T33" s="55">
        <v>0</v>
      </c>
      <c r="U33" s="56"/>
      <c r="V33" s="55">
        <v>0</v>
      </c>
      <c r="W33" s="56"/>
      <c r="X33" s="55">
        <v>0</v>
      </c>
      <c r="Y33" s="56"/>
      <c r="Z33" s="55">
        <v>0</v>
      </c>
      <c r="AA33" s="55"/>
      <c r="AB33" s="54"/>
      <c r="AC33" s="64">
        <v>0</v>
      </c>
      <c r="AD33" s="28">
        <v>8</v>
      </c>
      <c r="AE33" s="56">
        <v>3489</v>
      </c>
      <c r="AF33" s="55">
        <v>269</v>
      </c>
      <c r="AG33" s="56"/>
      <c r="AH33" s="59">
        <v>0</v>
      </c>
      <c r="AI33" s="56"/>
      <c r="AJ33" s="55">
        <v>0</v>
      </c>
      <c r="AK33" s="56"/>
      <c r="AL33" s="55">
        <v>0</v>
      </c>
      <c r="AM33" s="54"/>
      <c r="AN33" s="55">
        <v>0</v>
      </c>
      <c r="AO33" s="54"/>
      <c r="AP33" s="55">
        <v>0</v>
      </c>
      <c r="AQ33" s="56"/>
      <c r="AR33" s="55">
        <v>0</v>
      </c>
      <c r="AS33" s="60"/>
      <c r="AT33" s="55">
        <v>0</v>
      </c>
      <c r="AU33" s="56"/>
      <c r="AV33" s="55">
        <v>0</v>
      </c>
      <c r="AW33" s="56"/>
      <c r="AX33" s="55">
        <v>0</v>
      </c>
      <c r="AY33" s="56"/>
      <c r="AZ33" s="55">
        <v>0</v>
      </c>
      <c r="BA33" s="56"/>
      <c r="BB33" s="55">
        <v>0</v>
      </c>
      <c r="BC33" s="56"/>
      <c r="BD33" s="55">
        <v>0</v>
      </c>
      <c r="BE33" s="56"/>
      <c r="BF33" s="59">
        <v>0</v>
      </c>
      <c r="BG33" s="56"/>
      <c r="BH33" s="59">
        <v>0</v>
      </c>
      <c r="BI33" s="56"/>
      <c r="BJ33" s="59">
        <v>0</v>
      </c>
      <c r="BK33" s="56"/>
      <c r="BL33" s="59">
        <v>0</v>
      </c>
      <c r="BM33" s="56"/>
      <c r="BN33" s="59">
        <v>0</v>
      </c>
      <c r="BO33" s="56"/>
      <c r="BP33" s="59">
        <v>0</v>
      </c>
      <c r="BQ33" s="56"/>
      <c r="BR33" s="59">
        <v>0</v>
      </c>
      <c r="BS33" s="59">
        <v>0</v>
      </c>
      <c r="BT33" s="59">
        <v>0</v>
      </c>
      <c r="BU33" s="56"/>
      <c r="BV33" s="59">
        <v>0</v>
      </c>
      <c r="BW33" s="56"/>
      <c r="BX33" s="59"/>
      <c r="BY33" s="56"/>
      <c r="BZ33" s="59">
        <v>0</v>
      </c>
      <c r="CA33" s="56"/>
      <c r="CB33" s="59"/>
      <c r="CC33" s="61">
        <v>0</v>
      </c>
      <c r="CD33" s="59">
        <v>0</v>
      </c>
      <c r="CE33" s="59">
        <v>0</v>
      </c>
      <c r="CF33" s="56"/>
      <c r="CG33" s="59">
        <v>0</v>
      </c>
      <c r="CH33" s="56"/>
      <c r="CI33" s="55">
        <v>0</v>
      </c>
      <c r="CJ33" s="54"/>
      <c r="CK33" s="59">
        <v>0</v>
      </c>
      <c r="CL33" s="61">
        <v>0</v>
      </c>
      <c r="CM33" s="54"/>
      <c r="CN33" s="59">
        <v>0</v>
      </c>
      <c r="CO33" s="54"/>
      <c r="CP33" s="61">
        <v>0</v>
      </c>
      <c r="CQ33" s="54"/>
      <c r="CR33" s="59">
        <v>0</v>
      </c>
      <c r="CS33" s="61">
        <v>0</v>
      </c>
      <c r="CT33" s="59">
        <v>0</v>
      </c>
      <c r="CU33" s="56"/>
      <c r="CV33" s="54"/>
      <c r="CW33" s="59">
        <v>0</v>
      </c>
      <c r="CX33" s="61">
        <v>0</v>
      </c>
      <c r="CY33" s="54"/>
      <c r="CZ33" s="59">
        <v>0</v>
      </c>
      <c r="DA33" s="61">
        <v>0</v>
      </c>
      <c r="DB33" s="54"/>
      <c r="DC33" s="59">
        <v>0</v>
      </c>
      <c r="DD33" s="61">
        <v>0</v>
      </c>
      <c r="DE33" s="54"/>
      <c r="DF33" s="59">
        <v>0</v>
      </c>
      <c r="DG33" s="61">
        <v>0</v>
      </c>
      <c r="DH33" s="56"/>
      <c r="DI33" s="59">
        <v>0</v>
      </c>
      <c r="DJ33" s="61">
        <v>0</v>
      </c>
      <c r="DK33" s="54"/>
      <c r="DL33" s="59">
        <v>0</v>
      </c>
      <c r="DM33" s="61">
        <v>0</v>
      </c>
      <c r="DN33" s="54"/>
      <c r="DO33" s="59">
        <v>0</v>
      </c>
      <c r="DP33" s="61">
        <v>0</v>
      </c>
      <c r="DQ33" s="54"/>
      <c r="DR33" s="59">
        <v>0</v>
      </c>
      <c r="DS33" s="61">
        <v>0</v>
      </c>
      <c r="DT33" s="54"/>
      <c r="DU33" s="59">
        <v>0</v>
      </c>
      <c r="DV33" s="61">
        <v>0</v>
      </c>
      <c r="DW33" s="54"/>
      <c r="DX33" s="59">
        <v>0</v>
      </c>
      <c r="DY33" s="61">
        <v>0</v>
      </c>
      <c r="DZ33" s="54"/>
      <c r="EA33" s="59">
        <v>0</v>
      </c>
      <c r="EB33" s="61">
        <v>0</v>
      </c>
      <c r="EC33" s="54"/>
      <c r="ED33" s="59">
        <v>0</v>
      </c>
      <c r="EE33" s="61">
        <v>0</v>
      </c>
      <c r="EF33" s="56"/>
      <c r="EG33" s="61">
        <v>0</v>
      </c>
      <c r="EH33" s="56"/>
      <c r="EI33" s="61">
        <v>0</v>
      </c>
      <c r="EJ33" s="56"/>
      <c r="EK33" s="61">
        <v>0</v>
      </c>
      <c r="EL33" s="56"/>
      <c r="EM33" s="61">
        <v>0</v>
      </c>
      <c r="EN33" s="56">
        <v>73</v>
      </c>
      <c r="EO33" s="56">
        <v>180</v>
      </c>
      <c r="EP33" s="62">
        <v>0.73799999999999999</v>
      </c>
      <c r="EQ33" s="54"/>
      <c r="ER33" s="54"/>
      <c r="ES33" s="54"/>
      <c r="ET33" s="54"/>
      <c r="EU33" s="54"/>
      <c r="EV33" s="54"/>
      <c r="EW33" s="58"/>
      <c r="EX33" s="58"/>
      <c r="EY33" s="58"/>
    </row>
    <row r="34" spans="1:155" ht="14.5" x14ac:dyDescent="0.35">
      <c r="A34" s="53">
        <v>45016</v>
      </c>
      <c r="B34" s="54"/>
      <c r="C34" s="55">
        <v>0</v>
      </c>
      <c r="D34" s="54"/>
      <c r="E34" s="55">
        <v>0</v>
      </c>
      <c r="F34" s="54" t="e">
        <v>#DIV/0!</v>
      </c>
      <c r="G34" s="54"/>
      <c r="H34" s="54"/>
      <c r="I34" s="54"/>
      <c r="J34" s="55">
        <v>0</v>
      </c>
      <c r="K34" s="56">
        <v>822</v>
      </c>
      <c r="L34" s="55">
        <v>0</v>
      </c>
      <c r="M34" s="56"/>
      <c r="N34" s="55">
        <v>0</v>
      </c>
      <c r="O34" s="56"/>
      <c r="P34" s="55">
        <v>0</v>
      </c>
      <c r="Q34" s="56"/>
      <c r="R34" s="55">
        <v>0</v>
      </c>
      <c r="S34" s="56"/>
      <c r="T34" s="55">
        <v>0</v>
      </c>
      <c r="U34" s="56"/>
      <c r="V34" s="55">
        <v>0</v>
      </c>
      <c r="W34" s="56"/>
      <c r="X34" s="55">
        <v>0</v>
      </c>
      <c r="Y34" s="56"/>
      <c r="Z34" s="55">
        <v>0</v>
      </c>
      <c r="AA34" s="55"/>
      <c r="AB34" s="54"/>
      <c r="AC34" s="64">
        <v>0</v>
      </c>
      <c r="AD34" s="28">
        <v>2</v>
      </c>
      <c r="AE34" s="56">
        <v>3556</v>
      </c>
      <c r="AF34" s="55">
        <v>67</v>
      </c>
      <c r="AG34" s="56"/>
      <c r="AH34" s="59">
        <v>0</v>
      </c>
      <c r="AI34" s="56"/>
      <c r="AJ34" s="55">
        <v>0</v>
      </c>
      <c r="AK34" s="56"/>
      <c r="AL34" s="55">
        <v>0</v>
      </c>
      <c r="AM34" s="54"/>
      <c r="AN34" s="55">
        <v>0</v>
      </c>
      <c r="AO34" s="54"/>
      <c r="AP34" s="55">
        <v>0</v>
      </c>
      <c r="AQ34" s="56"/>
      <c r="AR34" s="55">
        <v>0</v>
      </c>
      <c r="AS34" s="60"/>
      <c r="AT34" s="55">
        <v>0</v>
      </c>
      <c r="AU34" s="56"/>
      <c r="AV34" s="55">
        <v>0</v>
      </c>
      <c r="AW34" s="56"/>
      <c r="AX34" s="55">
        <v>0</v>
      </c>
      <c r="AY34" s="56"/>
      <c r="AZ34" s="55">
        <v>0</v>
      </c>
      <c r="BA34" s="56"/>
      <c r="BB34" s="55">
        <v>0</v>
      </c>
      <c r="BC34" s="56"/>
      <c r="BD34" s="55">
        <v>0</v>
      </c>
      <c r="BE34" s="56"/>
      <c r="BF34" s="59">
        <v>0</v>
      </c>
      <c r="BG34" s="56"/>
      <c r="BH34" s="59">
        <v>0</v>
      </c>
      <c r="BI34" s="56"/>
      <c r="BJ34" s="59">
        <v>0</v>
      </c>
      <c r="BK34" s="56"/>
      <c r="BL34" s="59">
        <v>0</v>
      </c>
      <c r="BM34" s="56"/>
      <c r="BN34" s="59">
        <v>0</v>
      </c>
      <c r="BO34" s="56"/>
      <c r="BP34" s="59">
        <v>0</v>
      </c>
      <c r="BQ34" s="56"/>
      <c r="BR34" s="59">
        <v>0</v>
      </c>
      <c r="BS34" s="59">
        <v>0</v>
      </c>
      <c r="BT34" s="59">
        <v>0</v>
      </c>
      <c r="BU34" s="56"/>
      <c r="BV34" s="59">
        <v>0</v>
      </c>
      <c r="BW34" s="56"/>
      <c r="BX34" s="59"/>
      <c r="BY34" s="56"/>
      <c r="BZ34" s="59">
        <v>0</v>
      </c>
      <c r="CA34" s="56"/>
      <c r="CB34" s="59"/>
      <c r="CC34" s="61">
        <v>0</v>
      </c>
      <c r="CD34" s="59">
        <v>0</v>
      </c>
      <c r="CE34" s="59">
        <v>0</v>
      </c>
      <c r="CF34" s="56"/>
      <c r="CG34" s="59">
        <v>0</v>
      </c>
      <c r="CH34" s="56"/>
      <c r="CI34" s="55">
        <v>0</v>
      </c>
      <c r="CJ34" s="54"/>
      <c r="CK34" s="59">
        <v>0</v>
      </c>
      <c r="CL34" s="61">
        <v>0</v>
      </c>
      <c r="CM34" s="54"/>
      <c r="CN34" s="59">
        <v>0</v>
      </c>
      <c r="CO34" s="54"/>
      <c r="CP34" s="61">
        <v>0</v>
      </c>
      <c r="CQ34" s="54"/>
      <c r="CR34" s="59">
        <v>0</v>
      </c>
      <c r="CS34" s="61">
        <v>0</v>
      </c>
      <c r="CT34" s="59">
        <v>0</v>
      </c>
      <c r="CU34" s="56"/>
      <c r="CV34" s="54"/>
      <c r="CW34" s="59">
        <v>0</v>
      </c>
      <c r="CX34" s="61">
        <v>0</v>
      </c>
      <c r="CY34" s="54"/>
      <c r="CZ34" s="59">
        <v>0</v>
      </c>
      <c r="DA34" s="61">
        <v>0</v>
      </c>
      <c r="DB34" s="54"/>
      <c r="DC34" s="59">
        <v>0</v>
      </c>
      <c r="DD34" s="61">
        <v>0</v>
      </c>
      <c r="DE34" s="54"/>
      <c r="DF34" s="59">
        <v>0</v>
      </c>
      <c r="DG34" s="61">
        <v>0</v>
      </c>
      <c r="DH34" s="56"/>
      <c r="DI34" s="59">
        <v>0</v>
      </c>
      <c r="DJ34" s="61">
        <v>0</v>
      </c>
      <c r="DK34" s="54"/>
      <c r="DL34" s="59">
        <v>0</v>
      </c>
      <c r="DM34" s="61">
        <v>0</v>
      </c>
      <c r="DN34" s="54"/>
      <c r="DO34" s="59">
        <v>0</v>
      </c>
      <c r="DP34" s="61">
        <v>0</v>
      </c>
      <c r="DQ34" s="54"/>
      <c r="DR34" s="59">
        <v>0</v>
      </c>
      <c r="DS34" s="61">
        <v>0</v>
      </c>
      <c r="DT34" s="54"/>
      <c r="DU34" s="59">
        <v>0</v>
      </c>
      <c r="DV34" s="61">
        <v>0</v>
      </c>
      <c r="DW34" s="54"/>
      <c r="DX34" s="59">
        <v>0</v>
      </c>
      <c r="DY34" s="61">
        <v>0</v>
      </c>
      <c r="DZ34" s="54"/>
      <c r="EA34" s="59">
        <v>0</v>
      </c>
      <c r="EB34" s="61">
        <v>0</v>
      </c>
      <c r="EC34" s="54"/>
      <c r="ED34" s="59">
        <v>0</v>
      </c>
      <c r="EE34" s="61">
        <v>0</v>
      </c>
      <c r="EF34" s="56"/>
      <c r="EG34" s="61">
        <v>0</v>
      </c>
      <c r="EH34" s="56"/>
      <c r="EI34" s="61">
        <v>0</v>
      </c>
      <c r="EJ34" s="56"/>
      <c r="EK34" s="61">
        <v>0</v>
      </c>
      <c r="EL34" s="56"/>
      <c r="EM34" s="61">
        <v>0</v>
      </c>
      <c r="EN34" s="56">
        <v>70</v>
      </c>
      <c r="EO34" s="56">
        <v>163</v>
      </c>
      <c r="EP34" s="62">
        <v>0.77</v>
      </c>
      <c r="EQ34" s="54"/>
      <c r="ER34" s="54"/>
      <c r="ES34" s="54"/>
      <c r="ET34" s="54"/>
      <c r="EU34" s="54"/>
      <c r="EV34" s="54"/>
      <c r="EW34" s="58"/>
      <c r="EX34" s="58"/>
      <c r="EY34" s="58"/>
    </row>
    <row r="35" spans="1:155" ht="14.5" x14ac:dyDescent="0.35">
      <c r="A35" s="28"/>
      <c r="S35" s="22"/>
      <c r="W35" s="22"/>
      <c r="X35" s="22"/>
      <c r="CF35" s="22"/>
      <c r="CG35" s="22"/>
      <c r="CH35" s="22"/>
      <c r="CI35" s="22"/>
      <c r="EF35" s="22"/>
      <c r="EG35" s="22"/>
      <c r="EH35" s="22"/>
      <c r="EI35" s="22"/>
    </row>
    <row r="36" spans="1:155" ht="14.5" x14ac:dyDescent="0.35">
      <c r="S36" s="22"/>
      <c r="W36" s="22"/>
      <c r="X36" s="22"/>
      <c r="CF36" s="22"/>
      <c r="CG36" s="22"/>
      <c r="CH36" s="22"/>
      <c r="CI36" s="22"/>
      <c r="EF36" s="22"/>
      <c r="EG36" s="22"/>
      <c r="EH36" s="22"/>
      <c r="EI36" s="22"/>
    </row>
    <row r="37" spans="1:155" ht="14.5" x14ac:dyDescent="0.35">
      <c r="S37" s="22"/>
      <c r="W37" s="22"/>
      <c r="X37" s="22"/>
      <c r="CF37" s="22"/>
      <c r="CG37" s="22"/>
      <c r="CH37" s="22"/>
      <c r="CI37" s="22"/>
      <c r="EF37" s="22"/>
      <c r="EG37" s="22"/>
      <c r="EH37" s="22"/>
      <c r="EI37" s="22"/>
    </row>
    <row r="38" spans="1:155" ht="14.5" x14ac:dyDescent="0.35">
      <c r="S38" s="22"/>
      <c r="W38" s="22"/>
      <c r="X38" s="22"/>
      <c r="CF38" s="22"/>
      <c r="CG38" s="22"/>
      <c r="CH38" s="22"/>
      <c r="CI38" s="22"/>
      <c r="EF38" s="22"/>
      <c r="EG38" s="22"/>
      <c r="EH38" s="22"/>
      <c r="EI38" s="22"/>
    </row>
    <row r="39" spans="1:155" ht="14.5" x14ac:dyDescent="0.35">
      <c r="S39" s="22"/>
      <c r="W39" s="22"/>
      <c r="X39" s="22"/>
      <c r="CF39" s="22"/>
      <c r="CG39" s="22"/>
      <c r="CH39" s="22"/>
      <c r="CI39" s="22"/>
      <c r="EF39" s="22"/>
      <c r="EG39" s="22"/>
      <c r="EH39" s="22"/>
      <c r="EI39" s="22"/>
    </row>
    <row r="43" spans="1:155" x14ac:dyDescent="0.25">
      <c r="CK43" s="26"/>
    </row>
    <row r="44" spans="1:155" x14ac:dyDescent="0.25">
      <c r="CK44" s="26"/>
    </row>
    <row r="45" spans="1:155" x14ac:dyDescent="0.25">
      <c r="CK45" s="26"/>
    </row>
    <row r="46" spans="1:155" x14ac:dyDescent="0.25">
      <c r="CK46" s="26"/>
    </row>
    <row r="47" spans="1:155" x14ac:dyDescent="0.25">
      <c r="CK47" s="26"/>
    </row>
    <row r="48" spans="1:155" x14ac:dyDescent="0.25">
      <c r="CK48" s="26"/>
    </row>
    <row r="49" spans="89:89" x14ac:dyDescent="0.25">
      <c r="CK49" s="26"/>
    </row>
    <row r="50" spans="89:89" x14ac:dyDescent="0.25">
      <c r="CK50" s="26"/>
    </row>
    <row r="51" spans="89:89" x14ac:dyDescent="0.25">
      <c r="CK51" s="26"/>
    </row>
    <row r="52" spans="89:89" x14ac:dyDescent="0.25">
      <c r="CK52" s="26"/>
    </row>
  </sheetData>
  <sheetProtection selectLockedCells="1" selectUnlockedCells="1"/>
  <mergeCells count="30">
    <mergeCell ref="EQ1:ES1"/>
    <mergeCell ref="ET1:EV1"/>
    <mergeCell ref="B1:H1"/>
    <mergeCell ref="I1:L1"/>
    <mergeCell ref="M1:P1"/>
    <mergeCell ref="Y1:Z1"/>
    <mergeCell ref="AI1:AJ1"/>
    <mergeCell ref="AS1:AT1"/>
    <mergeCell ref="AW1:AX1"/>
    <mergeCell ref="AU1:AV1"/>
    <mergeCell ref="DN1:DP1"/>
    <mergeCell ref="DQ1:DS1"/>
    <mergeCell ref="DT1:DV1"/>
    <mergeCell ref="DW1:DY1"/>
    <mergeCell ref="DZ1:EB1"/>
    <mergeCell ref="EC1:EE1"/>
    <mergeCell ref="DE1:DG1"/>
    <mergeCell ref="DH1:DJ1"/>
    <mergeCell ref="DK1:DM1"/>
    <mergeCell ref="BW1:BX1"/>
    <mergeCell ref="CA1:CB1"/>
    <mergeCell ref="BE1:BF1"/>
    <mergeCell ref="BG1:BH1"/>
    <mergeCell ref="BI1:BJ1"/>
    <mergeCell ref="BY1:BZ1"/>
    <mergeCell ref="AQ1:AR1"/>
    <mergeCell ref="BU1:BV1"/>
    <mergeCell ref="AY1:AZ1"/>
    <mergeCell ref="BA1:BB1"/>
    <mergeCell ref="BC1:BD1"/>
  </mergeCells>
  <conditionalFormatting sqref="BQ39:BX1048576 L1:L2 P1 AU1:BW1 BY1:BZ1 BQ35:BX37 AI35:AN1048576 BY35:XFD41 BY42:CI42 BY54:XFD1048576 CL53:XFD53 BY43:CH53 CJ42:XFD52 EW1:XFD2 CC1:ES1 AI1:AN2 I2:K2 M2:P2 BI2:ES2 AQ2:BG2 AQ1:AS1 AQ35:BP1048576 U35:AF1048576 U1:AF2 EZ32:XFD34 A36:P1048576 EZ5:XFD24 A1:H2 EZ3:XFD3 B35:P35">
    <cfRule type="cellIs" dxfId="82" priority="26" operator="lessThan">
      <formula>0</formula>
    </cfRule>
  </conditionalFormatting>
  <conditionalFormatting sqref="CA1">
    <cfRule type="cellIs" dxfId="81" priority="25" operator="lessThan">
      <formula>0</formula>
    </cfRule>
  </conditionalFormatting>
  <conditionalFormatting sqref="AG1:AH2 AG35:AH1048576">
    <cfRule type="cellIs" dxfId="80" priority="24" operator="lessThan">
      <formula>0</formula>
    </cfRule>
  </conditionalFormatting>
  <conditionalFormatting sqref="ET2:EV2 ET1">
    <cfRule type="cellIs" dxfId="79" priority="23" operator="lessThan">
      <formula>0</formula>
    </cfRule>
  </conditionalFormatting>
  <conditionalFormatting sqref="BH2">
    <cfRule type="cellIs" dxfId="78" priority="21" operator="lessThan">
      <formula>0</formula>
    </cfRule>
  </conditionalFormatting>
  <conditionalFormatting sqref="AO1:AP2 AO35:AP1048576">
    <cfRule type="cellIs" dxfId="77" priority="18" operator="lessThan">
      <formula>0</formula>
    </cfRule>
  </conditionalFormatting>
  <conditionalFormatting sqref="Q1:S2 Q35:S1048576">
    <cfRule type="cellIs" dxfId="76" priority="17" operator="lessThan">
      <formula>0</formula>
    </cfRule>
  </conditionalFormatting>
  <conditionalFormatting sqref="T1:T2 T35:T1048576">
    <cfRule type="cellIs" dxfId="75" priority="16" operator="lessThan">
      <formula>0</formula>
    </cfRule>
  </conditionalFormatting>
  <conditionalFormatting sqref="EZ4:XFD4">
    <cfRule type="cellIs" dxfId="74" priority="13" operator="lessThan">
      <formula>0</formula>
    </cfRule>
  </conditionalFormatting>
  <conditionalFormatting sqref="EZ31:PI31 PK31:XFD31">
    <cfRule type="cellIs" dxfId="73" priority="4" operator="lessThan">
      <formula>0</formula>
    </cfRule>
  </conditionalFormatting>
  <conditionalFormatting sqref="EZ25:XFD30">
    <cfRule type="cellIs" dxfId="72" priority="3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5" x14ac:dyDescent="0.25"/>
  <sheetData>
    <row r="2" spans="14:14" ht="13" thickBot="1" x14ac:dyDescent="0.3"/>
    <row r="3" spans="14:14" ht="13" thickBot="1" x14ac:dyDescent="0.3">
      <c r="N3" s="16">
        <f>'[1]Sep 2019'!R3</f>
        <v>2054945</v>
      </c>
    </row>
    <row r="4" spans="14:14" ht="13" thickBot="1" x14ac:dyDescent="0.3">
      <c r="N4" s="16">
        <f>'[1]Sep 2019'!R4</f>
        <v>2055440</v>
      </c>
    </row>
    <row r="5" spans="14:14" ht="13" thickBot="1" x14ac:dyDescent="0.3">
      <c r="N5" s="16">
        <f>'[1]Sep 2019'!R5</f>
        <v>2056149</v>
      </c>
    </row>
    <row r="6" spans="14:14" ht="13" thickBot="1" x14ac:dyDescent="0.3">
      <c r="N6" s="16">
        <f>'[1]Sep 2019'!R6</f>
        <v>2056651</v>
      </c>
    </row>
    <row r="7" spans="14:14" ht="13" thickBot="1" x14ac:dyDescent="0.3">
      <c r="N7" s="16">
        <f>'[1]Sep 2019'!R7</f>
        <v>2057174</v>
      </c>
    </row>
    <row r="8" spans="14:14" ht="13" thickBot="1" x14ac:dyDescent="0.3">
      <c r="N8" s="16">
        <f>'[1]Sep 2019'!R8</f>
        <v>2057715</v>
      </c>
    </row>
    <row r="9" spans="14:14" ht="13" thickBot="1" x14ac:dyDescent="0.3">
      <c r="N9" s="16">
        <f>'[1]Sep 2019'!R9</f>
        <v>2058246</v>
      </c>
    </row>
    <row r="10" spans="14:14" ht="13" thickBot="1" x14ac:dyDescent="0.3">
      <c r="N10" s="16">
        <f>'[1]Sep 2019'!R10</f>
        <v>2058780</v>
      </c>
    </row>
    <row r="11" spans="14:14" ht="13" thickBot="1" x14ac:dyDescent="0.3">
      <c r="N11" s="16">
        <f>'[1]Sep 2019'!R11</f>
        <v>2059332</v>
      </c>
    </row>
    <row r="12" spans="14:14" ht="13" thickBot="1" x14ac:dyDescent="0.3">
      <c r="N12" s="16">
        <f>'[1]Sep 2019'!R12</f>
        <v>2059908</v>
      </c>
    </row>
    <row r="13" spans="14:14" ht="13" thickBot="1" x14ac:dyDescent="0.3">
      <c r="N13" s="16">
        <f>'[1]Sep 2019'!R13</f>
        <v>2060432</v>
      </c>
    </row>
    <row r="14" spans="14:14" ht="13" thickBot="1" x14ac:dyDescent="0.3">
      <c r="N14" s="16">
        <f>'[1]Sep 2019'!R14</f>
        <v>2061086</v>
      </c>
    </row>
    <row r="15" spans="14:14" ht="13" thickBot="1" x14ac:dyDescent="0.3">
      <c r="N15" s="16">
        <f>'[1]Sep 2019'!R15</f>
        <v>2061615</v>
      </c>
    </row>
    <row r="16" spans="14:14" ht="13" thickBot="1" x14ac:dyDescent="0.3">
      <c r="N16" s="16">
        <f>'[1]Sep 2019'!R16</f>
        <v>2062113</v>
      </c>
    </row>
    <row r="17" spans="2:125" ht="13" thickBot="1" x14ac:dyDescent="0.3">
      <c r="N17" s="16">
        <f>'[1]Sep 2019'!R17</f>
        <v>2062731</v>
      </c>
    </row>
    <row r="18" spans="2:125" ht="13" thickBot="1" x14ac:dyDescent="0.3">
      <c r="N18" s="16">
        <f>'[1]Sep 2019'!R18</f>
        <v>2063291</v>
      </c>
      <c r="S18">
        <f>'[1]Sep 2019'!W18</f>
        <v>7</v>
      </c>
      <c r="DU18" s="17">
        <f>'[1]Sep 2019'!EA18</f>
        <v>0.67</v>
      </c>
    </row>
    <row r="19" spans="2:125" ht="13" thickBot="1" x14ac:dyDescent="0.3">
      <c r="N19" s="16">
        <f>'[1]Sep 2019'!R19</f>
        <v>2063914</v>
      </c>
      <c r="S19">
        <f>'[1]Sep 2019'!W19</f>
        <v>7</v>
      </c>
      <c r="DU19" s="17">
        <f>'[1]Sep 2019'!EA19</f>
        <v>0.63</v>
      </c>
    </row>
    <row r="20" spans="2:125" ht="13" thickBot="1" x14ac:dyDescent="0.3">
      <c r="N20" s="16">
        <f>'[1]Sep 2019'!R20</f>
        <v>2064501</v>
      </c>
      <c r="S20">
        <f>'[1]Sep 2019'!W20</f>
        <v>8</v>
      </c>
      <c r="DU20" s="17">
        <f>'[1]Sep 2019'!EA20</f>
        <v>0.69</v>
      </c>
    </row>
    <row r="21" spans="2:125" ht="13" thickBot="1" x14ac:dyDescent="0.3">
      <c r="N21" s="16">
        <f>'[1]Sep 2019'!R21</f>
        <v>2065035</v>
      </c>
      <c r="P21">
        <f>'[1]Sep 2019'!T21</f>
        <v>426545</v>
      </c>
      <c r="S21">
        <f>'[1]Sep 2019'!W21</f>
        <v>8</v>
      </c>
      <c r="DU21" s="17">
        <f>'[1]Sep 2019'!EA21</f>
        <v>0.7</v>
      </c>
    </row>
    <row r="22" spans="2:125" ht="13" thickBot="1" x14ac:dyDescent="0.3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16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17">
        <f>'[1]Sep 2019'!EA22</f>
        <v>0.79</v>
      </c>
    </row>
    <row r="23" spans="2:125" ht="13" thickBot="1" x14ac:dyDescent="0.3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16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17">
        <f>'[1]Sep 2019'!EA23</f>
        <v>0.83</v>
      </c>
    </row>
    <row r="24" spans="2:125" ht="13" thickBot="1" x14ac:dyDescent="0.3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16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17">
        <f>'[1]Sep 2019'!EA24</f>
        <v>0.85</v>
      </c>
    </row>
    <row r="25" spans="2:125" ht="13" thickBot="1" x14ac:dyDescent="0.3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16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17">
        <f>'[1]Sep 2019'!EA25</f>
        <v>0.85</v>
      </c>
    </row>
    <row r="26" spans="2:125" ht="13" thickBot="1" x14ac:dyDescent="0.3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16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17">
        <f>'[1]Sep 2019'!EA26</f>
        <v>0.82</v>
      </c>
    </row>
    <row r="27" spans="2:125" ht="13" thickBot="1" x14ac:dyDescent="0.3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16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17">
        <f>'[1]Sep 2019'!EA27</f>
        <v>0.69</v>
      </c>
    </row>
    <row r="28" spans="2:125" ht="13" thickBot="1" x14ac:dyDescent="0.3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16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17">
        <f>'[1]Sep 2019'!EA28</f>
        <v>0.85</v>
      </c>
    </row>
    <row r="29" spans="2:125" ht="13" thickBot="1" x14ac:dyDescent="0.3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16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17">
        <f>'[1]Sep 2019'!EA29</f>
        <v>0.85</v>
      </c>
    </row>
    <row r="30" spans="2:125" ht="13" thickBot="1" x14ac:dyDescent="0.3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16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17">
        <f>'[1]Sep 2019'!EA30</f>
        <v>0.82</v>
      </c>
    </row>
    <row r="31" spans="2:125" ht="13" thickBot="1" x14ac:dyDescent="0.3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16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17">
        <f>'[1]Sep 2019'!EA31</f>
        <v>0.88</v>
      </c>
    </row>
    <row r="32" spans="2:125" ht="13" thickBot="1" x14ac:dyDescent="0.3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16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17">
        <f>'[1]Sep 2019'!EA32</f>
        <v>0.77</v>
      </c>
    </row>
    <row r="33" spans="2:125" ht="13" thickBot="1" x14ac:dyDescent="0.3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16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17">
        <f>'[1]Sep 2019'!EA33</f>
        <v>0.76</v>
      </c>
    </row>
    <row r="34" spans="2:125" ht="13" thickBot="1" x14ac:dyDescent="0.3">
      <c r="B34" s="14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16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17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5" ma:contentTypeDescription="Create a new document." ma:contentTypeScope="" ma:versionID="8c10d040741bc0b0c9888aefb3100f53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92e8f6ae3875774ec5a0473c45bf530d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64000-508B-48B5-B8F2-8C5E7D7876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152DA-916E-49CE-8A81-031A8CE78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Prithivirajsingh Daumoo</cp:lastModifiedBy>
  <cp:revision/>
  <dcterms:created xsi:type="dcterms:W3CDTF">2016-09-19T10:41:46Z</dcterms:created>
  <dcterms:modified xsi:type="dcterms:W3CDTF">2023-03-17T13:32:26Z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  <property fmtid="{D5CDD505-2E9C-101B-9397-08002B2CF9AE}" pid="3" name="_activity">
    <vt:lpwstr/>
  </property>
</Properties>
</file>