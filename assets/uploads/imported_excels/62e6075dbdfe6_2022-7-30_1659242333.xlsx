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59B521F2-8851-4AEA-B447-8B92EBFC1E4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D25" i="8" s="1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H21" i="8" s="1"/>
  <c r="G22" i="8"/>
  <c r="H22" i="8" s="1"/>
  <c r="G5" i="8"/>
  <c r="H5" i="8" s="1"/>
  <c r="S4" i="8"/>
  <c r="S5" i="8"/>
  <c r="S6" i="8"/>
  <c r="Q5" i="8"/>
  <c r="Q6" i="8"/>
  <c r="Q7" i="8"/>
  <c r="Q8" i="8"/>
  <c r="Q9" i="8"/>
  <c r="R9" i="8" s="1"/>
  <c r="Q10" i="8"/>
  <c r="Q11" i="8"/>
  <c r="Q12" i="8"/>
  <c r="Q13" i="8"/>
  <c r="R13" i="8" s="1"/>
  <c r="Q14" i="8"/>
  <c r="Q15" i="8"/>
  <c r="R15" i="8" s="1"/>
  <c r="Q16" i="8"/>
  <c r="Q17" i="8"/>
  <c r="Q18" i="8"/>
  <c r="Q19" i="8"/>
  <c r="Q20" i="8"/>
  <c r="Q21" i="8"/>
  <c r="Q22" i="8"/>
  <c r="Q23" i="8"/>
  <c r="Q24" i="8"/>
  <c r="Q25" i="8"/>
  <c r="R25" i="8" s="1"/>
  <c r="Q26" i="8"/>
  <c r="Q27" i="8"/>
  <c r="Q28" i="8"/>
  <c r="Q29" i="8"/>
  <c r="Q30" i="8"/>
  <c r="Q31" i="8"/>
  <c r="Q32" i="8"/>
  <c r="R32" i="8" s="1"/>
  <c r="Q33" i="8"/>
  <c r="R33" i="8" s="1"/>
  <c r="Q34" i="8"/>
  <c r="Q4" i="8"/>
  <c r="S7" i="8"/>
  <c r="S8" i="8"/>
  <c r="S9" i="8"/>
  <c r="S10" i="8"/>
  <c r="S35" i="8" s="1"/>
  <c r="S11" i="8"/>
  <c r="T11" i="8" s="1"/>
  <c r="S12" i="8"/>
  <c r="S13" i="8"/>
  <c r="S14" i="8"/>
  <c r="S15" i="8"/>
  <c r="S16" i="8"/>
  <c r="S17" i="8"/>
  <c r="S18" i="8"/>
  <c r="S19" i="8"/>
  <c r="T19" i="8" s="1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V5" i="8" s="1"/>
  <c r="U6" i="8"/>
  <c r="U7" i="8"/>
  <c r="U8" i="8"/>
  <c r="U9" i="8"/>
  <c r="U10" i="8"/>
  <c r="U11" i="8"/>
  <c r="U12" i="8"/>
  <c r="V12" i="8" s="1"/>
  <c r="U13" i="8"/>
  <c r="V13" i="8" s="1"/>
  <c r="U14" i="8"/>
  <c r="U15" i="8"/>
  <c r="U16" i="8"/>
  <c r="U17" i="8"/>
  <c r="U18" i="8"/>
  <c r="U19" i="8"/>
  <c r="U20" i="8"/>
  <c r="U21" i="8"/>
  <c r="V21" i="8" s="1"/>
  <c r="U22" i="8"/>
  <c r="V22" i="8" s="1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H6" i="8" s="1"/>
  <c r="G7" i="8"/>
  <c r="G8" i="8"/>
  <c r="G9" i="8"/>
  <c r="G10" i="8"/>
  <c r="G12" i="8"/>
  <c r="G13" i="8"/>
  <c r="G14" i="8"/>
  <c r="G15" i="8"/>
  <c r="H15" i="8" s="1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X9" i="8" s="1"/>
  <c r="W10" i="8"/>
  <c r="X10" i="8" s="1"/>
  <c r="W11" i="8"/>
  <c r="W12" i="8"/>
  <c r="W13" i="8"/>
  <c r="X13" i="8" s="1"/>
  <c r="W14" i="8"/>
  <c r="W15" i="8"/>
  <c r="W16" i="8"/>
  <c r="X16" i="8" s="1"/>
  <c r="W17" i="8"/>
  <c r="X17" i="8" s="1"/>
  <c r="W18" i="8"/>
  <c r="X18" i="8" s="1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X32" i="8" s="1"/>
  <c r="W33" i="8"/>
  <c r="X33" i="8" s="1"/>
  <c r="W34" i="8"/>
  <c r="W5" i="8"/>
  <c r="W4" i="8"/>
  <c r="Q24" i="2"/>
  <c r="Q25" i="2"/>
  <c r="O17" i="2"/>
  <c r="O16" i="2"/>
  <c r="N16" i="2"/>
  <c r="M16" i="2"/>
  <c r="I15" i="4" s="1"/>
  <c r="L16" i="2"/>
  <c r="Q16" i="2"/>
  <c r="R16" i="2"/>
  <c r="S16" i="2"/>
  <c r="T16" i="2"/>
  <c r="U16" i="2"/>
  <c r="K15" i="4" s="1"/>
  <c r="K33" i="6"/>
  <c r="B5" i="8"/>
  <c r="D5" i="8" s="1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D21" i="8" s="1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V6" i="2" s="1"/>
  <c r="M5" i="3" s="1"/>
  <c r="B7" i="2"/>
  <c r="B8" i="2"/>
  <c r="B9" i="2"/>
  <c r="B10" i="2"/>
  <c r="B11" i="2"/>
  <c r="B12" i="2"/>
  <c r="B13" i="2"/>
  <c r="C12" i="3" s="1"/>
  <c r="B14" i="2"/>
  <c r="B15" i="2"/>
  <c r="B16" i="2"/>
  <c r="B17" i="2"/>
  <c r="B18" i="2"/>
  <c r="B19" i="2"/>
  <c r="B20" i="2"/>
  <c r="B21" i="2"/>
  <c r="B22" i="2"/>
  <c r="B23" i="2"/>
  <c r="C22" i="3" s="1"/>
  <c r="B24" i="2"/>
  <c r="B25" i="2"/>
  <c r="B26" i="2"/>
  <c r="B28" i="2"/>
  <c r="B29" i="2"/>
  <c r="B30" i="2"/>
  <c r="C29" i="3" s="1"/>
  <c r="B31" i="2"/>
  <c r="B32" i="2"/>
  <c r="C31" i="3" s="1"/>
  <c r="B33" i="2"/>
  <c r="B34" i="2"/>
  <c r="B4" i="2"/>
  <c r="B9" i="4"/>
  <c r="B10" i="4"/>
  <c r="B11" i="4"/>
  <c r="B12" i="4"/>
  <c r="O5" i="8"/>
  <c r="P5" i="8" s="1"/>
  <c r="O6" i="8"/>
  <c r="O7" i="8"/>
  <c r="O8" i="8"/>
  <c r="O9" i="8"/>
  <c r="O10" i="8"/>
  <c r="O11" i="8"/>
  <c r="O12" i="8"/>
  <c r="P12" i="8" s="1"/>
  <c r="O13" i="8"/>
  <c r="P13" i="8" s="1"/>
  <c r="O14" i="8"/>
  <c r="O15" i="8"/>
  <c r="O16" i="8"/>
  <c r="O17" i="8"/>
  <c r="O18" i="8"/>
  <c r="O19" i="8"/>
  <c r="O20" i="8"/>
  <c r="Y20" i="8" s="1"/>
  <c r="Z20" i="8" s="1"/>
  <c r="O21" i="8"/>
  <c r="P21" i="8" s="1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N6" i="8" s="1"/>
  <c r="M7" i="8"/>
  <c r="M8" i="8"/>
  <c r="M9" i="8"/>
  <c r="M10" i="8"/>
  <c r="M11" i="8"/>
  <c r="M12" i="8"/>
  <c r="M13" i="8"/>
  <c r="Y13" i="8" s="1"/>
  <c r="M14" i="8"/>
  <c r="M15" i="8"/>
  <c r="M16" i="8"/>
  <c r="M17" i="8"/>
  <c r="M18" i="8"/>
  <c r="M21" i="8"/>
  <c r="M22" i="8"/>
  <c r="Y22" i="8" s="1"/>
  <c r="Z22" i="8" s="1"/>
  <c r="M23" i="8"/>
  <c r="N23" i="8" s="1"/>
  <c r="M24" i="8"/>
  <c r="N24" i="8" s="1"/>
  <c r="M25" i="8"/>
  <c r="M26" i="8"/>
  <c r="M27" i="8"/>
  <c r="M28" i="8"/>
  <c r="M29" i="8"/>
  <c r="M30" i="8"/>
  <c r="M31" i="8"/>
  <c r="M32" i="8"/>
  <c r="N32" i="8" s="1"/>
  <c r="M33" i="8"/>
  <c r="M34" i="8"/>
  <c r="M4" i="8"/>
  <c r="K5" i="8"/>
  <c r="K6" i="8"/>
  <c r="K7" i="8"/>
  <c r="K8" i="8"/>
  <c r="Y8" i="8" s="1"/>
  <c r="Z8" i="8" s="1"/>
  <c r="K9" i="8"/>
  <c r="L9" i="8" s="1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L24" i="8" s="1"/>
  <c r="K25" i="8"/>
  <c r="L25" i="8" s="1"/>
  <c r="K26" i="8"/>
  <c r="K27" i="8"/>
  <c r="K28" i="8"/>
  <c r="K29" i="8"/>
  <c r="K30" i="8"/>
  <c r="K31" i="8"/>
  <c r="K32" i="8"/>
  <c r="L32" i="8" s="1"/>
  <c r="K33" i="8"/>
  <c r="L33" i="8" s="1"/>
  <c r="K34" i="8"/>
  <c r="K4" i="8"/>
  <c r="I5" i="8"/>
  <c r="I6" i="8"/>
  <c r="I7" i="8"/>
  <c r="I8" i="8"/>
  <c r="I9" i="8"/>
  <c r="J9" i="8" s="1"/>
  <c r="I10" i="8"/>
  <c r="J10" i="8" s="1"/>
  <c r="I11" i="8"/>
  <c r="J11" i="8" s="1"/>
  <c r="I12" i="8"/>
  <c r="I13" i="8"/>
  <c r="I14" i="8"/>
  <c r="I15" i="8"/>
  <c r="J15" i="8" s="1"/>
  <c r="I16" i="8"/>
  <c r="I17" i="8"/>
  <c r="J17" i="8" s="1"/>
  <c r="I18" i="8"/>
  <c r="J18" i="8" s="1"/>
  <c r="I19" i="8"/>
  <c r="J19" i="8" s="1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J33" i="8" s="1"/>
  <c r="I34" i="8"/>
  <c r="I4" i="8"/>
  <c r="G4" i="8"/>
  <c r="E5" i="8"/>
  <c r="E6" i="8"/>
  <c r="E7" i="8"/>
  <c r="E8" i="8"/>
  <c r="E9" i="8"/>
  <c r="F9" i="8" s="1"/>
  <c r="E10" i="8"/>
  <c r="F10" i="8" s="1"/>
  <c r="E11" i="8"/>
  <c r="Y11" i="8" s="1"/>
  <c r="Z11" i="8" s="1"/>
  <c r="E12" i="8"/>
  <c r="E13" i="8"/>
  <c r="E14" i="8"/>
  <c r="E15" i="8"/>
  <c r="F15" i="8" s="1"/>
  <c r="E16" i="8"/>
  <c r="E17" i="8"/>
  <c r="E18" i="8"/>
  <c r="F18" i="8" s="1"/>
  <c r="E19" i="8"/>
  <c r="F19" i="8" s="1"/>
  <c r="E20" i="8"/>
  <c r="E21" i="8"/>
  <c r="E22" i="8"/>
  <c r="E23" i="8"/>
  <c r="E24" i="8"/>
  <c r="E25" i="8"/>
  <c r="F25" i="8" s="1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D10" i="8" s="1"/>
  <c r="C11" i="8"/>
  <c r="V11" i="8" s="1"/>
  <c r="C12" i="8"/>
  <c r="X12" i="8" s="1"/>
  <c r="C14" i="8"/>
  <c r="C15" i="8"/>
  <c r="C16" i="8"/>
  <c r="C17" i="8"/>
  <c r="C18" i="8"/>
  <c r="R18" i="8" s="1"/>
  <c r="C19" i="8"/>
  <c r="X19" i="8" s="1"/>
  <c r="C20" i="8"/>
  <c r="C21" i="8"/>
  <c r="C22" i="8"/>
  <c r="C23" i="8"/>
  <c r="C24" i="8"/>
  <c r="C25" i="8"/>
  <c r="C26" i="8"/>
  <c r="C27" i="8"/>
  <c r="C28" i="8"/>
  <c r="C29" i="8"/>
  <c r="C30" i="8"/>
  <c r="D30" i="8" s="1"/>
  <c r="C31" i="8"/>
  <c r="V31" i="8" s="1"/>
  <c r="C32" i="8"/>
  <c r="C33" i="8"/>
  <c r="C34" i="8"/>
  <c r="V34" i="8" s="1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/>
  <c r="C34" i="2"/>
  <c r="C33" i="4" s="1"/>
  <c r="J30" i="2"/>
  <c r="J31" i="2"/>
  <c r="J32" i="2"/>
  <c r="J33" i="2"/>
  <c r="H32" i="3" s="1"/>
  <c r="J34" i="2"/>
  <c r="T28" i="2"/>
  <c r="J27" i="4" s="1"/>
  <c r="L5" i="2"/>
  <c r="L6" i="2"/>
  <c r="L7" i="2"/>
  <c r="L8" i="2"/>
  <c r="H7" i="4" s="1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I13" i="4" s="1"/>
  <c r="G24" i="2"/>
  <c r="U23" i="2"/>
  <c r="K22" i="4" s="1"/>
  <c r="T23" i="2"/>
  <c r="S23" i="2"/>
  <c r="R23" i="2"/>
  <c r="Q23" i="2"/>
  <c r="O23" i="2"/>
  <c r="N23" i="2"/>
  <c r="M23" i="2"/>
  <c r="J22" i="3" s="1"/>
  <c r="K23" i="2"/>
  <c r="J23" i="2"/>
  <c r="I23" i="2"/>
  <c r="H23" i="2"/>
  <c r="G23" i="2"/>
  <c r="F23" i="2"/>
  <c r="F22" i="4" s="1"/>
  <c r="E23" i="2"/>
  <c r="E22" i="4" s="1"/>
  <c r="D23" i="2"/>
  <c r="D22" i="4" s="1"/>
  <c r="C23" i="2"/>
  <c r="C22" i="4" s="1"/>
  <c r="J12" i="2"/>
  <c r="J8" i="2"/>
  <c r="J9" i="2"/>
  <c r="I8" i="2"/>
  <c r="I9" i="2"/>
  <c r="H8" i="2"/>
  <c r="G7" i="3" s="1"/>
  <c r="H9" i="2"/>
  <c r="G8" i="2"/>
  <c r="G9" i="2"/>
  <c r="F9" i="2"/>
  <c r="F8" i="2"/>
  <c r="E8" i="2"/>
  <c r="E7" i="4"/>
  <c r="E9" i="2"/>
  <c r="F8" i="3" s="1"/>
  <c r="E8" i="4"/>
  <c r="D8" i="2"/>
  <c r="D7" i="4" s="1"/>
  <c r="D9" i="2"/>
  <c r="D8" i="4"/>
  <c r="C8" i="2"/>
  <c r="C7" i="4"/>
  <c r="C9" i="2"/>
  <c r="C8" i="4"/>
  <c r="U8" i="2"/>
  <c r="K7" i="4" s="1"/>
  <c r="U9" i="2"/>
  <c r="K8" i="4"/>
  <c r="T8" i="2"/>
  <c r="T9" i="2"/>
  <c r="S8" i="2"/>
  <c r="S9" i="2"/>
  <c r="R8" i="2"/>
  <c r="R9" i="2"/>
  <c r="Q8" i="2"/>
  <c r="Q9" i="2"/>
  <c r="O8" i="2"/>
  <c r="O9" i="2"/>
  <c r="N8" i="2"/>
  <c r="J7" i="3" s="1"/>
  <c r="N9" i="2"/>
  <c r="I8" i="4" s="1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I33" i="3" s="1"/>
  <c r="M34" i="2"/>
  <c r="J33" i="3" s="1"/>
  <c r="N34" i="2"/>
  <c r="O34" i="2"/>
  <c r="Q34" i="2"/>
  <c r="R34" i="2"/>
  <c r="S34" i="2"/>
  <c r="T34" i="2"/>
  <c r="J33" i="4" s="1"/>
  <c r="U34" i="2"/>
  <c r="K3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/>
  <c r="D11" i="2"/>
  <c r="D10" i="4" s="1"/>
  <c r="D12" i="2"/>
  <c r="D11" i="4" s="1"/>
  <c r="D13" i="2"/>
  <c r="D12" i="4" s="1"/>
  <c r="D14" i="2"/>
  <c r="D13" i="4"/>
  <c r="D15" i="2"/>
  <c r="D14" i="4" s="1"/>
  <c r="D16" i="2"/>
  <c r="D17" i="2"/>
  <c r="D16" i="4" s="1"/>
  <c r="D18" i="2"/>
  <c r="D17" i="4" s="1"/>
  <c r="D19" i="2"/>
  <c r="E18" i="3" s="1"/>
  <c r="D20" i="2"/>
  <c r="D19" i="4" s="1"/>
  <c r="D21" i="2"/>
  <c r="D20" i="4" s="1"/>
  <c r="D22" i="2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K9" i="3" s="1"/>
  <c r="B10" i="3"/>
  <c r="C10" i="3" s="1"/>
  <c r="B11" i="3"/>
  <c r="L11" i="3" s="1"/>
  <c r="B12" i="3"/>
  <c r="B13" i="3"/>
  <c r="B14" i="3"/>
  <c r="B15" i="3"/>
  <c r="B16" i="3"/>
  <c r="B17" i="3"/>
  <c r="F17" i="3" s="1"/>
  <c r="B18" i="3"/>
  <c r="G18" i="3" s="1"/>
  <c r="B19" i="3"/>
  <c r="E19" i="3" s="1"/>
  <c r="B20" i="3"/>
  <c r="B21" i="3"/>
  <c r="B22" i="3"/>
  <c r="B23" i="3"/>
  <c r="B24" i="3"/>
  <c r="B25" i="3"/>
  <c r="B26" i="3"/>
  <c r="C26" i="3" s="1"/>
  <c r="B27" i="3"/>
  <c r="F27" i="3" s="1"/>
  <c r="B28" i="3"/>
  <c r="B29" i="3"/>
  <c r="B30" i="3"/>
  <c r="B31" i="3"/>
  <c r="B32" i="3"/>
  <c r="B33" i="3"/>
  <c r="G33" i="3" s="1"/>
  <c r="B3" i="3"/>
  <c r="D3" i="3" s="1"/>
  <c r="I34" i="2"/>
  <c r="H33" i="3" s="1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I32" i="4" s="1"/>
  <c r="S33" i="2"/>
  <c r="K32" i="3" s="1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F31" i="4" s="1"/>
  <c r="H32" i="2"/>
  <c r="I32" i="2"/>
  <c r="H31" i="3" s="1"/>
  <c r="K32" i="2"/>
  <c r="M32" i="2"/>
  <c r="N32" i="2"/>
  <c r="O32" i="2"/>
  <c r="Q32" i="2"/>
  <c r="R32" i="2"/>
  <c r="S32" i="2"/>
  <c r="K31" i="3" s="1"/>
  <c r="T32" i="2"/>
  <c r="U32" i="2"/>
  <c r="K31" i="4"/>
  <c r="C5" i="2"/>
  <c r="C4" i="4"/>
  <c r="C4" i="2"/>
  <c r="C3" i="4"/>
  <c r="T20" i="2"/>
  <c r="J7" i="2"/>
  <c r="U7" i="2"/>
  <c r="K6" i="4"/>
  <c r="N17" i="2"/>
  <c r="H15" i="2"/>
  <c r="I12" i="2"/>
  <c r="G11" i="2"/>
  <c r="F11" i="2"/>
  <c r="G10" i="3" s="1"/>
  <c r="C11" i="2"/>
  <c r="D10" i="3" s="1"/>
  <c r="U10" i="2"/>
  <c r="K9" i="4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G9" i="3" s="1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J20" i="3" s="1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G5" i="4" s="1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/>
  <c r="C12" i="2"/>
  <c r="C13" i="2"/>
  <c r="C14" i="2"/>
  <c r="C13" i="4" s="1"/>
  <c r="C15" i="2"/>
  <c r="C14" i="4" s="1"/>
  <c r="C16" i="2"/>
  <c r="D15" i="3" s="1"/>
  <c r="C20" i="2"/>
  <c r="C25" i="2"/>
  <c r="C24" i="4" s="1"/>
  <c r="C26" i="2"/>
  <c r="C25" i="4" s="1"/>
  <c r="U6" i="2"/>
  <c r="K5" i="4" s="1"/>
  <c r="U11" i="2"/>
  <c r="U12" i="2"/>
  <c r="K11" i="4"/>
  <c r="U13" i="2"/>
  <c r="L12" i="3" s="1"/>
  <c r="K12" i="4"/>
  <c r="U14" i="2"/>
  <c r="K13" i="4"/>
  <c r="U15" i="2"/>
  <c r="K14" i="4"/>
  <c r="U17" i="2"/>
  <c r="K16" i="4" s="1"/>
  <c r="U18" i="2"/>
  <c r="L17" i="3" s="1"/>
  <c r="U19" i="2"/>
  <c r="L18" i="3" s="1"/>
  <c r="U20" i="2"/>
  <c r="K19" i="4" s="1"/>
  <c r="U21" i="2"/>
  <c r="U22" i="2"/>
  <c r="U24" i="2"/>
  <c r="K23" i="4" s="1"/>
  <c r="U25" i="2"/>
  <c r="K24" i="4" s="1"/>
  <c r="U26" i="2"/>
  <c r="L25" i="3" s="1"/>
  <c r="U27" i="2"/>
  <c r="K26" i="4" s="1"/>
  <c r="U28" i="2"/>
  <c r="K27" i="4" s="1"/>
  <c r="U29" i="2"/>
  <c r="K28" i="4" s="1"/>
  <c r="U30" i="2"/>
  <c r="L29" i="3" s="1"/>
  <c r="U31" i="2"/>
  <c r="K30" i="4" s="1"/>
  <c r="U4" i="2"/>
  <c r="K3" i="4"/>
  <c r="M5" i="2"/>
  <c r="M6" i="2"/>
  <c r="M7" i="2"/>
  <c r="M11" i="2"/>
  <c r="M12" i="2"/>
  <c r="M13" i="2"/>
  <c r="M15" i="2"/>
  <c r="M17" i="2"/>
  <c r="J16" i="3" s="1"/>
  <c r="M18" i="2"/>
  <c r="M19" i="2"/>
  <c r="M20" i="2"/>
  <c r="M21" i="2"/>
  <c r="M22" i="2"/>
  <c r="M24" i="2"/>
  <c r="M25" i="2"/>
  <c r="M26" i="2"/>
  <c r="I25" i="4" s="1"/>
  <c r="M27" i="2"/>
  <c r="M28" i="2"/>
  <c r="M29" i="2"/>
  <c r="M30" i="2"/>
  <c r="M31" i="2"/>
  <c r="M4" i="2"/>
  <c r="F5" i="2"/>
  <c r="G5" i="2"/>
  <c r="F4" i="4" s="1"/>
  <c r="H5" i="2"/>
  <c r="F6" i="2"/>
  <c r="G6" i="2"/>
  <c r="H6" i="2"/>
  <c r="F7" i="2"/>
  <c r="G7" i="2"/>
  <c r="H7" i="2"/>
  <c r="H11" i="2"/>
  <c r="F12" i="2"/>
  <c r="F11" i="4" s="1"/>
  <c r="G12" i="2"/>
  <c r="H12" i="2"/>
  <c r="F13" i="2"/>
  <c r="G13" i="2"/>
  <c r="H13" i="2"/>
  <c r="F14" i="2"/>
  <c r="G14" i="2"/>
  <c r="H14" i="2"/>
  <c r="F15" i="2"/>
  <c r="G14" i="3" s="1"/>
  <c r="G15" i="2"/>
  <c r="F16" i="2"/>
  <c r="G16" i="2"/>
  <c r="H16" i="2"/>
  <c r="F17" i="2"/>
  <c r="G17" i="2"/>
  <c r="F16" i="4" s="1"/>
  <c r="H17" i="2"/>
  <c r="F18" i="2"/>
  <c r="G18" i="2"/>
  <c r="H18" i="2"/>
  <c r="G19" i="2"/>
  <c r="H19" i="2"/>
  <c r="G20" i="2"/>
  <c r="H20" i="2"/>
  <c r="F21" i="2"/>
  <c r="G21" i="2"/>
  <c r="F20" i="4" s="1"/>
  <c r="F22" i="2"/>
  <c r="G22" i="2"/>
  <c r="H22" i="2"/>
  <c r="F24" i="2"/>
  <c r="H24" i="2"/>
  <c r="F25" i="2"/>
  <c r="G25" i="2"/>
  <c r="H25" i="2"/>
  <c r="F24" i="4" s="1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F5" i="3" s="1"/>
  <c r="E5" i="4"/>
  <c r="E7" i="2"/>
  <c r="E6" i="4" s="1"/>
  <c r="E11" i="2"/>
  <c r="E12" i="2"/>
  <c r="E11" i="4"/>
  <c r="E13" i="2"/>
  <c r="E12" i="4"/>
  <c r="E14" i="2"/>
  <c r="F13" i="3" s="1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F23" i="3" s="1"/>
  <c r="E25" i="2"/>
  <c r="E24" i="4" s="1"/>
  <c r="E26" i="2"/>
  <c r="E25" i="4" s="1"/>
  <c r="E27" i="2"/>
  <c r="E28" i="2"/>
  <c r="E27" i="4" s="1"/>
  <c r="E29" i="2"/>
  <c r="E30" i="2"/>
  <c r="E29" i="4" s="1"/>
  <c r="E31" i="2"/>
  <c r="E30" i="4" s="1"/>
  <c r="E32" i="2"/>
  <c r="E31" i="4"/>
  <c r="E4" i="2"/>
  <c r="K5" i="2"/>
  <c r="K6" i="2"/>
  <c r="K7" i="2"/>
  <c r="K11" i="2"/>
  <c r="H10" i="4" s="1"/>
  <c r="K12" i="2"/>
  <c r="H11" i="4" s="1"/>
  <c r="K13" i="2"/>
  <c r="K14" i="2"/>
  <c r="K15" i="2"/>
  <c r="K16" i="2"/>
  <c r="I15" i="3" s="1"/>
  <c r="K17" i="2"/>
  <c r="K18" i="2"/>
  <c r="I17" i="3" s="1"/>
  <c r="K19" i="2"/>
  <c r="K20" i="2"/>
  <c r="K21" i="2"/>
  <c r="K22" i="2"/>
  <c r="K24" i="2"/>
  <c r="K25" i="2"/>
  <c r="K26" i="2"/>
  <c r="K27" i="2"/>
  <c r="K28" i="2"/>
  <c r="I27" i="3" s="1"/>
  <c r="K29" i="2"/>
  <c r="I28" i="3" s="1"/>
  <c r="K30" i="2"/>
  <c r="H29" i="4" s="1"/>
  <c r="K31" i="2"/>
  <c r="I30" i="3" s="1"/>
  <c r="K4" i="2"/>
  <c r="R12" i="2"/>
  <c r="R13" i="2"/>
  <c r="R14" i="2"/>
  <c r="R15" i="2"/>
  <c r="R17" i="2"/>
  <c r="I16" i="4" s="1"/>
  <c r="R18" i="2"/>
  <c r="R19" i="2"/>
  <c r="R20" i="2"/>
  <c r="R21" i="2"/>
  <c r="R22" i="2"/>
  <c r="R24" i="2"/>
  <c r="I23" i="4" s="1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K4" i="3" s="1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D29" i="3"/>
  <c r="E7" i="3"/>
  <c r="C32" i="3"/>
  <c r="K33" i="3"/>
  <c r="E15" i="3"/>
  <c r="D15" i="4"/>
  <c r="E15" i="4"/>
  <c r="F15" i="3"/>
  <c r="H15" i="4"/>
  <c r="E25" i="3"/>
  <c r="G32" i="4"/>
  <c r="H16" i="8"/>
  <c r="C24" i="3"/>
  <c r="C8" i="3"/>
  <c r="J24" i="8"/>
  <c r="P26" i="8"/>
  <c r="D6" i="8"/>
  <c r="V32" i="8"/>
  <c r="V24" i="8"/>
  <c r="P25" i="8"/>
  <c r="J25" i="8"/>
  <c r="R16" i="8"/>
  <c r="J32" i="8"/>
  <c r="V33" i="8"/>
  <c r="X7" i="8"/>
  <c r="N11" i="8"/>
  <c r="D9" i="3"/>
  <c r="J5" i="8"/>
  <c r="F32" i="8"/>
  <c r="V7" i="8"/>
  <c r="C4" i="3"/>
  <c r="H17" i="4"/>
  <c r="H17" i="8"/>
  <c r="F16" i="8"/>
  <c r="J22" i="8"/>
  <c r="X25" i="8"/>
  <c r="G8" i="4"/>
  <c r="V23" i="8"/>
  <c r="L21" i="3"/>
  <c r="X24" i="8"/>
  <c r="F10" i="3"/>
  <c r="E30" i="3"/>
  <c r="T21" i="8"/>
  <c r="G11" i="4"/>
  <c r="D4" i="3"/>
  <c r="L21" i="8"/>
  <c r="H3" i="3"/>
  <c r="T17" i="8"/>
  <c r="F24" i="8"/>
  <c r="L17" i="8"/>
  <c r="N8" i="8"/>
  <c r="N16" i="8"/>
  <c r="L16" i="8"/>
  <c r="N15" i="8"/>
  <c r="J21" i="8"/>
  <c r="F17" i="8"/>
  <c r="D18" i="3"/>
  <c r="I8" i="3"/>
  <c r="F21" i="8"/>
  <c r="F5" i="8"/>
  <c r="N33" i="8"/>
  <c r="N25" i="8"/>
  <c r="N17" i="8"/>
  <c r="T5" i="8"/>
  <c r="F24" i="3"/>
  <c r="R29" i="8"/>
  <c r="H25" i="3"/>
  <c r="G20" i="4"/>
  <c r="N21" i="8"/>
  <c r="T33" i="8"/>
  <c r="L13" i="3"/>
  <c r="D12" i="3"/>
  <c r="H33" i="8"/>
  <c r="J16" i="8"/>
  <c r="L23" i="8"/>
  <c r="C33" i="3"/>
  <c r="C25" i="3"/>
  <c r="C17" i="3"/>
  <c r="G16" i="4"/>
  <c r="H25" i="4"/>
  <c r="F31" i="3"/>
  <c r="F13" i="8"/>
  <c r="D7" i="3"/>
  <c r="N13" i="8"/>
  <c r="T13" i="8"/>
  <c r="T25" i="8"/>
  <c r="F33" i="8"/>
  <c r="H27" i="4"/>
  <c r="H31" i="4"/>
  <c r="J13" i="8"/>
  <c r="F6" i="3"/>
  <c r="D15" i="8"/>
  <c r="T7" i="8"/>
  <c r="G12" i="4"/>
  <c r="I12" i="3"/>
  <c r="H12" i="4"/>
  <c r="T12" i="8"/>
  <c r="E10" i="4"/>
  <c r="I9" i="3"/>
  <c r="L11" i="8"/>
  <c r="H19" i="8"/>
  <c r="F18" i="4"/>
  <c r="D14" i="8"/>
  <c r="P11" i="8"/>
  <c r="R22" i="8"/>
  <c r="H5" i="4"/>
  <c r="G12" i="3"/>
  <c r="C12" i="4"/>
  <c r="D32" i="3"/>
  <c r="H8" i="3"/>
  <c r="V8" i="8"/>
  <c r="H11" i="8"/>
  <c r="H16" i="3"/>
  <c r="C28" i="4"/>
  <c r="L7" i="3"/>
  <c r="J32" i="3"/>
  <c r="T14" i="8"/>
  <c r="L32" i="3"/>
  <c r="L28" i="3"/>
  <c r="G16" i="3"/>
  <c r="L22" i="3"/>
  <c r="G3" i="4"/>
  <c r="G26" i="4"/>
  <c r="G17" i="4"/>
  <c r="X23" i="8"/>
  <c r="H13" i="8"/>
  <c r="R19" i="8"/>
  <c r="G9" i="4"/>
  <c r="H8" i="4"/>
  <c r="R10" i="8"/>
  <c r="F7" i="3"/>
  <c r="I7" i="3"/>
  <c r="F16" i="3"/>
  <c r="P15" i="8"/>
  <c r="T23" i="8"/>
  <c r="L33" i="3"/>
  <c r="X31" i="8"/>
  <c r="T6" i="8"/>
  <c r="E31" i="3"/>
  <c r="J6" i="4"/>
  <c r="F19" i="4"/>
  <c r="H9" i="3"/>
  <c r="L30" i="3"/>
  <c r="F9" i="3"/>
  <c r="E8" i="3"/>
  <c r="D16" i="3"/>
  <c r="P23" i="8"/>
  <c r="P22" i="8"/>
  <c r="G13" i="4"/>
  <c r="E9" i="3"/>
  <c r="L15" i="3"/>
  <c r="P31" i="8"/>
  <c r="F32" i="3"/>
  <c r="E12" i="3"/>
  <c r="X22" i="8"/>
  <c r="L8" i="3"/>
  <c r="D23" i="8"/>
  <c r="F12" i="3"/>
  <c r="F23" i="8"/>
  <c r="H23" i="8"/>
  <c r="H12" i="3"/>
  <c r="K21" i="4"/>
  <c r="D21" i="4"/>
  <c r="D22" i="8"/>
  <c r="D11" i="8"/>
  <c r="C9" i="3"/>
  <c r="H32" i="8"/>
  <c r="L6" i="8"/>
  <c r="V16" i="8"/>
  <c r="D32" i="8"/>
  <c r="I11" i="3"/>
  <c r="L15" i="8"/>
  <c r="X15" i="8"/>
  <c r="T22" i="8"/>
  <c r="R23" i="8"/>
  <c r="J9" i="4"/>
  <c r="D25" i="3"/>
  <c r="H29" i="3"/>
  <c r="D22" i="3"/>
  <c r="K12" i="3"/>
  <c r="G21" i="4"/>
  <c r="G4" i="4"/>
  <c r="C7" i="3"/>
  <c r="V15" i="8"/>
  <c r="L31" i="8"/>
  <c r="R6" i="8"/>
  <c r="P6" i="8"/>
  <c r="F6" i="4"/>
  <c r="H4" i="3"/>
  <c r="I5" i="3"/>
  <c r="J5" i="4"/>
  <c r="H4" i="4"/>
  <c r="X5" i="8"/>
  <c r="I4" i="3"/>
  <c r="L3" i="3"/>
  <c r="F3" i="4"/>
  <c r="P10" i="8"/>
  <c r="X6" i="8"/>
  <c r="P9" i="8"/>
  <c r="T30" i="8"/>
  <c r="D9" i="8"/>
  <c r="N5" i="8"/>
  <c r="N9" i="8"/>
  <c r="T29" i="8"/>
  <c r="F29" i="8"/>
  <c r="T9" i="8"/>
  <c r="P16" i="8"/>
  <c r="H9" i="8"/>
  <c r="T10" i="8"/>
  <c r="F33" i="4"/>
  <c r="I12" i="4"/>
  <c r="L5" i="3"/>
  <c r="J12" i="3"/>
  <c r="H21" i="3"/>
  <c r="E26" i="4"/>
  <c r="E23" i="3"/>
  <c r="G7" i="4"/>
  <c r="H7" i="3"/>
  <c r="D6" i="3"/>
  <c r="J10" i="4"/>
  <c r="V12" i="2"/>
  <c r="M11" i="3" s="1"/>
  <c r="J12" i="4"/>
  <c r="K3" i="3"/>
  <c r="F13" i="4"/>
  <c r="C16" i="3"/>
  <c r="C30" i="3"/>
  <c r="C15" i="3"/>
  <c r="C23" i="3"/>
  <c r="Y31" i="8" l="1"/>
  <c r="Z31" i="8" s="1"/>
  <c r="X30" i="8"/>
  <c r="H31" i="8"/>
  <c r="N31" i="8"/>
  <c r="J30" i="8"/>
  <c r="R31" i="8"/>
  <c r="R30" i="8"/>
  <c r="D31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D29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D18" i="8"/>
  <c r="K27" i="3"/>
  <c r="I25" i="3"/>
  <c r="V5" i="2"/>
  <c r="M4" i="3" s="1"/>
  <c r="V6" i="8"/>
  <c r="L19" i="3"/>
  <c r="H33" i="4"/>
  <c r="G33" i="4"/>
  <c r="L33" i="4" s="1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19" i="8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C3" i="3"/>
  <c r="D33" i="8"/>
  <c r="D16" i="8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D12" i="8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Z13" i="8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L12" i="4" s="1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L15" i="4" s="1"/>
  <c r="I16" i="3"/>
  <c r="H16" i="4"/>
  <c r="L16" i="4" s="1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L34" i="3" s="1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L13" i="4"/>
  <c r="C14" i="3"/>
  <c r="B35" i="2"/>
  <c r="Z5" i="8"/>
  <c r="K19" i="3"/>
  <c r="V7" i="2"/>
  <c r="V15" i="2"/>
  <c r="M14" i="3" s="1"/>
  <c r="C6" i="3"/>
  <c r="L30" i="4" l="1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<sst xmlns="http://schemas.openxmlformats.org/spreadsheetml/2006/main" count="205" uniqueCount="131">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</sst>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5" fillId="3" borderId="9" xfId="0" applyFont="1" applyFill="1" applyBorder="1"/>
    <xf numFmtId="16" fontId="0" fillId="5" borderId="1" xfId="0" applyNumberFormat="1" applyFill="1" applyBorder="1" applyAlignment="1">
      <alignment horizont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-599330</c:v>
                </c:pt>
                <c:pt idx="1">
                  <c:v>-3335100</c:v>
                </c:pt>
                <c:pt idx="2">
                  <c:v>-320480</c:v>
                </c:pt>
                <c:pt idx="3">
                  <c:v>-1264590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9.1915334517465954</c:v>
                </c:pt>
                <c:pt idx="2" formatCode="_(* #,##0.00_);_(* \(#,##0.00\);_(* &quot;-&quot;??_);_(@_)">
                  <c:v>-270266</c:v>
                </c:pt>
                <c:pt idx="3">
                  <c:v>40.003848431024274</c:v>
                </c:pt>
                <c:pt idx="4" formatCode="0.00">
                  <c:v>-31438</c:v>
                </c:pt>
                <c:pt idx="5">
                  <c:v>4.6533451746595622</c:v>
                </c:pt>
                <c:pt idx="6" formatCode="0.00">
                  <c:v>-44837</c:v>
                </c:pt>
                <c:pt idx="7">
                  <c:v>6.6366193013617529</c:v>
                </c:pt>
                <c:pt idx="8" formatCode="0.00">
                  <c:v>-307</c:v>
                </c:pt>
                <c:pt idx="9">
                  <c:v>4.5441089402013024E-2</c:v>
                </c:pt>
                <c:pt idx="10" formatCode="0.00">
                  <c:v>-1789</c:v>
                </c:pt>
                <c:pt idx="11">
                  <c:v>0.264801657785672</c:v>
                </c:pt>
                <c:pt idx="12" formatCode="0.00">
                  <c:v>-67203</c:v>
                </c:pt>
                <c:pt idx="13">
                  <c:v>9.947158081705151</c:v>
                </c:pt>
                <c:pt idx="14" formatCode="_(* #,##0.00_);_(* \(#,##0.00\);_(* &quot;-&quot;??_);_(@_)">
                  <c:v>-272597</c:v>
                </c:pt>
                <c:pt idx="15">
                  <c:v>40.348875074008291</c:v>
                </c:pt>
                <c:pt idx="16" formatCode="0.00">
                  <c:v>-120292</c:v>
                </c:pt>
                <c:pt idx="17">
                  <c:v>17.805210183540556</c:v>
                </c:pt>
                <c:pt idx="18" formatCode="0.00">
                  <c:v>-22977</c:v>
                </c:pt>
                <c:pt idx="19">
                  <c:v>3.4009769094138544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-893804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2" sqref="M2:O3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7</v>
      </c>
      <c r="D2" s="112">
        <v>2022</v>
      </c>
      <c r="E2" s="54">
        <v>21750.000000000684</v>
      </c>
      <c r="F2" s="118"/>
      <c r="G2" s="102">
        <v>6038</v>
      </c>
      <c r="H2" s="119"/>
      <c r="I2" s="63">
        <v>326</v>
      </c>
      <c r="J2" s="73"/>
      <c r="K2" s="99"/>
      <c r="L2" s="73"/>
      <c r="M2" s="69">
        <v>28</v>
      </c>
      <c r="N2" s="69">
        <v>97</v>
      </c>
      <c r="O2" s="69">
        <v>208</v>
      </c>
    </row>
    <row r="3" spans="1:15" ht="15" x14ac:dyDescent="0.25">
      <c r="A3" s="44" t="s">
        <v>9</v>
      </c>
      <c r="B3" s="45">
        <f>B2+1</f>
        <v>2</v>
      </c>
      <c r="C3" s="46">
        <v>7</v>
      </c>
      <c r="D3" s="112">
        <v>2022</v>
      </c>
      <c r="E3" s="54">
        <v>19070.000000000618</v>
      </c>
      <c r="F3" s="118"/>
      <c r="G3" s="102">
        <v>5429</v>
      </c>
      <c r="H3" s="119"/>
      <c r="I3" s="63">
        <v>259</v>
      </c>
      <c r="J3" s="73"/>
      <c r="K3" s="99"/>
      <c r="L3" s="73"/>
      <c r="M3" s="69">
        <v>37</v>
      </c>
      <c r="N3" s="69">
        <v>126</v>
      </c>
      <c r="O3" s="69">
        <v>234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7</v>
      </c>
      <c r="D4" s="112">
        <v>2022</v>
      </c>
      <c r="E4" s="54">
        <v>20219.999999999345</v>
      </c>
      <c r="F4" s="118"/>
      <c r="G4" s="102">
        <v>5277</v>
      </c>
      <c r="H4" s="119"/>
      <c r="I4" s="63">
        <v>284</v>
      </c>
      <c r="J4" s="73"/>
      <c r="K4" s="99"/>
      <c r="L4" s="73"/>
      <c r="M4" s="69">
        <v>35</v>
      </c>
      <c r="N4" s="69">
        <v>104</v>
      </c>
      <c r="O4" s="69">
        <v>270</v>
      </c>
    </row>
    <row r="5" spans="1:15" ht="15" x14ac:dyDescent="0.25">
      <c r="A5" s="44" t="s">
        <v>9</v>
      </c>
      <c r="B5" s="45">
        <f t="shared" si="0"/>
        <v>4</v>
      </c>
      <c r="C5" s="46">
        <v>7</v>
      </c>
      <c r="D5" s="112">
        <v>2022</v>
      </c>
      <c r="E5" s="54">
        <v>21180.000000001426</v>
      </c>
      <c r="F5" s="118"/>
      <c r="G5" s="102">
        <v>6171</v>
      </c>
      <c r="H5" s="119"/>
      <c r="I5" s="63">
        <v>288</v>
      </c>
      <c r="J5" s="73"/>
      <c r="K5" s="99"/>
      <c r="L5" s="73"/>
      <c r="M5" s="69">
        <v>37</v>
      </c>
      <c r="N5" s="69">
        <v>118</v>
      </c>
      <c r="O5" s="69">
        <v>279</v>
      </c>
    </row>
    <row r="6" spans="1:15" ht="15" x14ac:dyDescent="0.25">
      <c r="A6" s="44" t="s">
        <v>9</v>
      </c>
      <c r="B6" s="45">
        <f t="shared" si="0"/>
        <v>5</v>
      </c>
      <c r="C6" s="46">
        <v>7</v>
      </c>
      <c r="D6" s="112">
        <v>2022</v>
      </c>
      <c r="E6" s="54">
        <v>21579.99999999697</v>
      </c>
      <c r="F6" s="118"/>
      <c r="G6" s="102">
        <v>6012</v>
      </c>
      <c r="H6" s="119"/>
      <c r="I6" s="63">
        <v>283</v>
      </c>
      <c r="J6" s="73"/>
      <c r="K6" s="99"/>
      <c r="L6" s="73"/>
      <c r="M6" s="69">
        <v>41</v>
      </c>
      <c r="N6" s="69">
        <v>128</v>
      </c>
      <c r="O6" s="69">
        <v>271</v>
      </c>
    </row>
    <row r="7" spans="1:15" ht="15" x14ac:dyDescent="0.25">
      <c r="A7" s="44" t="s">
        <v>9</v>
      </c>
      <c r="B7" s="45">
        <f t="shared" si="0"/>
        <v>6</v>
      </c>
      <c r="C7" s="46">
        <v>7</v>
      </c>
      <c r="D7" s="112">
        <v>2022</v>
      </c>
      <c r="E7" s="54">
        <v>21510.000000001583</v>
      </c>
      <c r="F7" s="118"/>
      <c r="G7" s="102">
        <v>5740</v>
      </c>
      <c r="H7" s="119"/>
      <c r="I7" s="63">
        <v>297</v>
      </c>
      <c r="J7" s="73"/>
      <c r="K7" s="99"/>
      <c r="L7" s="73"/>
      <c r="M7" s="69">
        <v>41</v>
      </c>
      <c r="N7" s="69">
        <v>124</v>
      </c>
      <c r="O7" s="69">
        <v>271</v>
      </c>
    </row>
    <row r="8" spans="1:15" ht="15" x14ac:dyDescent="0.25">
      <c r="A8" s="44" t="s">
        <v>9</v>
      </c>
      <c r="B8" s="45">
        <f t="shared" si="0"/>
        <v>7</v>
      </c>
      <c r="C8" s="46">
        <v>7</v>
      </c>
      <c r="D8" s="112">
        <v>2022</v>
      </c>
      <c r="E8" s="102">
        <v>21340.000000000146</v>
      </c>
      <c r="F8" s="118"/>
      <c r="G8" s="102">
        <v>6004</v>
      </c>
      <c r="H8" s="119"/>
      <c r="I8" s="63">
        <v>289</v>
      </c>
      <c r="J8" s="73"/>
      <c r="K8" s="99"/>
      <c r="L8" s="73"/>
      <c r="M8" s="69">
        <v>41</v>
      </c>
      <c r="N8" s="69">
        <v>124</v>
      </c>
      <c r="O8" s="69">
        <v>316</v>
      </c>
    </row>
    <row r="9" spans="1:15" ht="15" x14ac:dyDescent="0.25">
      <c r="A9" s="44" t="s">
        <v>9</v>
      </c>
      <c r="B9" s="45">
        <f t="shared" si="0"/>
        <v>8</v>
      </c>
      <c r="C9" s="46">
        <v>7</v>
      </c>
      <c r="D9" s="112">
        <v>2022</v>
      </c>
      <c r="E9" s="102">
        <v>21009.999999998854</v>
      </c>
      <c r="F9" s="118"/>
      <c r="G9" s="130">
        <v>5824</v>
      </c>
      <c r="H9" s="119"/>
      <c r="I9" s="63">
        <v>301</v>
      </c>
      <c r="J9" s="73"/>
      <c r="K9" s="99"/>
      <c r="L9" s="73"/>
      <c r="M9" s="69">
        <v>40</v>
      </c>
      <c r="N9" s="69">
        <v>117</v>
      </c>
      <c r="O9" s="69">
        <v>262</v>
      </c>
    </row>
    <row r="10" spans="1:15" ht="15" x14ac:dyDescent="0.25">
      <c r="A10" s="44" t="s">
        <v>9</v>
      </c>
      <c r="B10" s="45">
        <f t="shared" si="0"/>
        <v>9</v>
      </c>
      <c r="C10" s="46">
        <v>7</v>
      </c>
      <c r="D10" s="112">
        <v>2022</v>
      </c>
      <c r="E10" s="102">
        <v>22420.000000000757</v>
      </c>
      <c r="F10" s="118"/>
      <c r="G10" s="102">
        <v>6085</v>
      </c>
      <c r="H10" s="119"/>
      <c r="I10" s="63">
        <v>383</v>
      </c>
      <c r="J10" s="73"/>
      <c r="K10" s="99"/>
      <c r="L10" s="73"/>
      <c r="M10" s="69">
        <v>36</v>
      </c>
      <c r="N10" s="69">
        <v>103</v>
      </c>
      <c r="O10" s="69">
        <v>298</v>
      </c>
    </row>
    <row r="11" spans="1:15" ht="15" x14ac:dyDescent="0.25">
      <c r="A11" s="44" t="s">
        <v>9</v>
      </c>
      <c r="B11" s="45">
        <f t="shared" si="0"/>
        <v>10</v>
      </c>
      <c r="C11" s="46">
        <v>7</v>
      </c>
      <c r="D11" s="112">
        <v>2022</v>
      </c>
      <c r="E11" s="102">
        <v>19739.999999999782</v>
      </c>
      <c r="F11" s="118"/>
      <c r="G11" s="102">
        <v>5775</v>
      </c>
      <c r="H11" s="119"/>
      <c r="I11" s="63">
        <v>337</v>
      </c>
      <c r="J11" s="73"/>
      <c r="K11" s="99"/>
      <c r="L11" s="73"/>
      <c r="M11" s="69">
        <v>33</v>
      </c>
      <c r="N11" s="69">
        <v>92</v>
      </c>
      <c r="O11" s="69">
        <v>196</v>
      </c>
    </row>
    <row r="12" spans="1:15" ht="15" x14ac:dyDescent="0.25">
      <c r="A12" s="44" t="s">
        <v>9</v>
      </c>
      <c r="B12" s="45">
        <f t="shared" si="0"/>
        <v>11</v>
      </c>
      <c r="C12" s="46">
        <v>7</v>
      </c>
      <c r="D12" s="112">
        <v>2022</v>
      </c>
      <c r="E12" s="102">
        <v>21350.000000001273</v>
      </c>
      <c r="F12" s="118"/>
      <c r="G12" s="102">
        <v>6081</v>
      </c>
      <c r="H12" s="119"/>
      <c r="I12" s="63">
        <v>409</v>
      </c>
      <c r="J12" s="73"/>
      <c r="K12" s="99"/>
      <c r="L12" s="73"/>
      <c r="M12" s="69">
        <v>39</v>
      </c>
      <c r="N12" s="69">
        <v>107</v>
      </c>
      <c r="O12" s="69">
        <v>268</v>
      </c>
    </row>
    <row r="13" spans="1:15" ht="15" x14ac:dyDescent="0.25">
      <c r="A13" s="44" t="s">
        <v>9</v>
      </c>
      <c r="B13" s="45">
        <f t="shared" si="0"/>
        <v>12</v>
      </c>
      <c r="C13" s="46">
        <v>7</v>
      </c>
      <c r="D13" s="112">
        <v>2022</v>
      </c>
      <c r="E13" s="102">
        <v>20939.99999999869</v>
      </c>
      <c r="F13" s="118"/>
      <c r="G13" s="102">
        <v>5951</v>
      </c>
      <c r="H13" s="119"/>
      <c r="I13" s="63">
        <v>328</v>
      </c>
      <c r="J13" s="73"/>
      <c r="K13" s="99"/>
      <c r="L13" s="73"/>
      <c r="M13" s="69">
        <v>29</v>
      </c>
      <c r="N13" s="69">
        <v>81</v>
      </c>
      <c r="O13" s="69">
        <v>214</v>
      </c>
    </row>
    <row r="14" spans="1:15" ht="15" x14ac:dyDescent="0.25">
      <c r="A14" s="44" t="s">
        <v>9</v>
      </c>
      <c r="B14" s="45">
        <f t="shared" si="0"/>
        <v>13</v>
      </c>
      <c r="C14" s="46">
        <v>7</v>
      </c>
      <c r="D14" s="112">
        <v>2022</v>
      </c>
      <c r="E14" s="102">
        <v>22400.000000000317</v>
      </c>
      <c r="F14" s="118"/>
      <c r="G14" s="102">
        <v>6067</v>
      </c>
      <c r="H14" s="119"/>
      <c r="I14" s="63">
        <v>361</v>
      </c>
      <c r="J14" s="73"/>
      <c r="K14" s="99"/>
      <c r="L14" s="73"/>
      <c r="M14" s="69">
        <v>31</v>
      </c>
      <c r="N14" s="69">
        <v>92</v>
      </c>
      <c r="O14" s="69">
        <v>241</v>
      </c>
    </row>
    <row r="15" spans="1:15" ht="15" x14ac:dyDescent="0.25">
      <c r="A15" s="44" t="s">
        <v>9</v>
      </c>
      <c r="B15" s="45">
        <f t="shared" si="0"/>
        <v>14</v>
      </c>
      <c r="C15" s="46">
        <v>7</v>
      </c>
      <c r="D15" s="112">
        <v>2022</v>
      </c>
      <c r="E15" s="102">
        <v>21419.999999999618</v>
      </c>
      <c r="F15" s="118"/>
      <c r="G15" s="102">
        <v>6138</v>
      </c>
      <c r="H15" s="119"/>
      <c r="I15" s="63">
        <v>328</v>
      </c>
      <c r="J15" s="73"/>
      <c r="K15" s="99"/>
      <c r="L15" s="73"/>
      <c r="M15" s="69">
        <v>31</v>
      </c>
      <c r="N15" s="69">
        <v>92</v>
      </c>
      <c r="O15" s="69">
        <v>241</v>
      </c>
    </row>
    <row r="16" spans="1:15" ht="15" x14ac:dyDescent="0.25">
      <c r="A16" s="44" t="s">
        <v>9</v>
      </c>
      <c r="B16" s="45">
        <f t="shared" si="0"/>
        <v>15</v>
      </c>
      <c r="C16" s="46">
        <v>7</v>
      </c>
      <c r="D16" s="112">
        <v>2022</v>
      </c>
      <c r="E16" s="102">
        <v>21000.000000000455</v>
      </c>
      <c r="F16" s="118"/>
      <c r="G16" s="102">
        <v>5834</v>
      </c>
      <c r="H16" s="119"/>
      <c r="I16" s="63">
        <v>262</v>
      </c>
      <c r="J16" s="73"/>
      <c r="K16" s="99"/>
      <c r="L16" s="73"/>
      <c r="M16" s="69">
        <v>27</v>
      </c>
      <c r="N16" s="69">
        <v>79</v>
      </c>
      <c r="O16" s="69">
        <v>178</v>
      </c>
    </row>
    <row r="17" spans="1:15" ht="15" x14ac:dyDescent="0.25">
      <c r="A17" s="44" t="s">
        <v>9</v>
      </c>
      <c r="B17" s="45">
        <f t="shared" si="0"/>
        <v>16</v>
      </c>
      <c r="C17" s="46">
        <v>7</v>
      </c>
      <c r="D17" s="112">
        <v>2022</v>
      </c>
      <c r="E17" s="102">
        <v>20670.000000000528</v>
      </c>
      <c r="F17" s="118"/>
      <c r="G17" s="102">
        <v>5736</v>
      </c>
      <c r="H17" s="119"/>
      <c r="I17" s="63">
        <v>295</v>
      </c>
      <c r="J17" s="73"/>
      <c r="K17" s="99"/>
      <c r="L17" s="73"/>
      <c r="M17" s="69">
        <v>25</v>
      </c>
      <c r="N17" s="69">
        <v>83</v>
      </c>
      <c r="O17" s="69">
        <v>197</v>
      </c>
    </row>
    <row r="18" spans="1:15" ht="15" x14ac:dyDescent="0.25">
      <c r="A18" s="44" t="s">
        <v>9</v>
      </c>
      <c r="B18" s="45">
        <f t="shared" si="0"/>
        <v>17</v>
      </c>
      <c r="C18" s="46">
        <v>7</v>
      </c>
      <c r="D18" s="112">
        <v>2022</v>
      </c>
      <c r="E18" s="102">
        <v>18609.999999999447</v>
      </c>
      <c r="F18" s="118"/>
      <c r="G18" s="102">
        <v>5291</v>
      </c>
      <c r="H18" s="119"/>
      <c r="I18" s="63">
        <v>305</v>
      </c>
      <c r="J18" s="73"/>
      <c r="K18" s="99"/>
      <c r="L18" s="73"/>
      <c r="M18" s="69">
        <v>25</v>
      </c>
      <c r="N18" s="69">
        <v>88</v>
      </c>
      <c r="O18" s="69">
        <v>186</v>
      </c>
    </row>
    <row r="19" spans="1:15" ht="15" x14ac:dyDescent="0.25">
      <c r="A19" s="44" t="s">
        <v>9</v>
      </c>
      <c r="B19" s="45">
        <f t="shared" si="0"/>
        <v>18</v>
      </c>
      <c r="C19" s="46">
        <v>7</v>
      </c>
      <c r="D19" s="112">
        <v>2022</v>
      </c>
      <c r="E19" s="102">
        <v>19219.9999999998</v>
      </c>
      <c r="F19" s="118"/>
      <c r="G19" s="102">
        <v>5358</v>
      </c>
      <c r="H19" s="119"/>
      <c r="I19" s="63">
        <v>270</v>
      </c>
      <c r="J19" s="73"/>
      <c r="K19" s="99"/>
      <c r="L19" s="73"/>
      <c r="M19" s="69">
        <v>27</v>
      </c>
      <c r="N19" s="69">
        <v>92</v>
      </c>
      <c r="O19" s="69">
        <v>225</v>
      </c>
    </row>
    <row r="20" spans="1:15" ht="15" x14ac:dyDescent="0.25">
      <c r="A20" s="44" t="s">
        <v>9</v>
      </c>
      <c r="B20" s="45">
        <f t="shared" si="0"/>
        <v>19</v>
      </c>
      <c r="C20" s="46">
        <v>7</v>
      </c>
      <c r="D20" s="112">
        <v>2022</v>
      </c>
      <c r="E20" s="102">
        <v>20550.000000000407</v>
      </c>
      <c r="F20" s="118"/>
      <c r="G20" s="102">
        <v>5678</v>
      </c>
      <c r="H20" s="119"/>
      <c r="I20" s="63">
        <v>311</v>
      </c>
      <c r="J20" s="73"/>
      <c r="K20" s="99"/>
      <c r="L20" s="73"/>
      <c r="M20" s="69">
        <v>28</v>
      </c>
      <c r="N20" s="69">
        <v>102</v>
      </c>
      <c r="O20" s="69">
        <v>225</v>
      </c>
    </row>
    <row r="21" spans="1:15" ht="15" x14ac:dyDescent="0.25">
      <c r="A21" s="44" t="s">
        <v>9</v>
      </c>
      <c r="B21" s="45">
        <f t="shared" si="0"/>
        <v>20</v>
      </c>
      <c r="C21" s="46">
        <v>7</v>
      </c>
      <c r="D21" s="112">
        <v>2022</v>
      </c>
      <c r="E21" s="102">
        <v>18319.999999998799</v>
      </c>
      <c r="F21" s="118"/>
      <c r="G21" s="102">
        <v>5042</v>
      </c>
      <c r="H21" s="119"/>
      <c r="I21" s="63">
        <v>268</v>
      </c>
      <c r="J21" s="73"/>
      <c r="K21" s="99"/>
      <c r="L21" s="73"/>
      <c r="M21" s="69">
        <v>28</v>
      </c>
      <c r="N21" s="69">
        <v>109</v>
      </c>
      <c r="O21" s="69">
        <v>207</v>
      </c>
    </row>
    <row r="22" spans="1:15" ht="15" x14ac:dyDescent="0.25">
      <c r="A22" s="44" t="s">
        <v>9</v>
      </c>
      <c r="B22" s="45">
        <f t="shared" si="0"/>
        <v>21</v>
      </c>
      <c r="C22" s="46">
        <v>7</v>
      </c>
      <c r="D22" s="112">
        <v>2022</v>
      </c>
      <c r="E22" s="102">
        <v>19470.000000001164</v>
      </c>
      <c r="F22" s="118"/>
      <c r="G22" s="102">
        <v>5406</v>
      </c>
      <c r="H22" s="119"/>
      <c r="I22" s="63">
        <v>356</v>
      </c>
      <c r="J22" s="73"/>
      <c r="K22" s="99"/>
      <c r="L22" s="73"/>
      <c r="M22" s="69">
        <v>27</v>
      </c>
      <c r="N22" s="69">
        <v>109</v>
      </c>
      <c r="O22" s="69">
        <v>254</v>
      </c>
    </row>
    <row r="23" spans="1:15" ht="15" x14ac:dyDescent="0.25">
      <c r="A23" s="44" t="s">
        <v>9</v>
      </c>
      <c r="B23" s="45">
        <f t="shared" si="0"/>
        <v>22</v>
      </c>
      <c r="C23" s="46">
        <v>7</v>
      </c>
      <c r="D23" s="112">
        <v>2022</v>
      </c>
      <c r="E23" s="102">
        <v>20690.000000000735</v>
      </c>
      <c r="F23" s="118"/>
      <c r="G23" s="102">
        <v>5587</v>
      </c>
      <c r="H23" s="119"/>
      <c r="I23" s="63">
        <v>330</v>
      </c>
      <c r="J23" s="73"/>
      <c r="K23" s="99"/>
      <c r="L23" s="73"/>
      <c r="M23" s="69">
        <v>35</v>
      </c>
      <c r="N23" s="69">
        <v>129</v>
      </c>
      <c r="O23" s="69">
        <v>315</v>
      </c>
    </row>
    <row r="24" spans="1:15" ht="15" x14ac:dyDescent="0.25">
      <c r="A24" s="44" t="s">
        <v>9</v>
      </c>
      <c r="B24" s="45">
        <f t="shared" si="0"/>
        <v>23</v>
      </c>
      <c r="C24" s="46">
        <v>7</v>
      </c>
      <c r="D24" s="112">
        <v>2022</v>
      </c>
      <c r="E24" s="102">
        <v>20989.999999999782</v>
      </c>
      <c r="F24" s="118"/>
      <c r="G24" s="102">
        <v>5868</v>
      </c>
      <c r="H24" s="119"/>
      <c r="I24" s="63">
        <v>315</v>
      </c>
      <c r="J24" s="73"/>
      <c r="K24" s="99"/>
      <c r="L24" s="73"/>
      <c r="M24" s="69">
        <v>29</v>
      </c>
      <c r="N24" s="69">
        <v>102</v>
      </c>
      <c r="O24" s="69">
        <v>289</v>
      </c>
    </row>
    <row r="25" spans="1:15" ht="15" x14ac:dyDescent="0.25">
      <c r="A25" s="44" t="s">
        <v>9</v>
      </c>
      <c r="B25" s="45">
        <f t="shared" si="0"/>
        <v>24</v>
      </c>
      <c r="C25" s="46">
        <v>7</v>
      </c>
      <c r="D25" s="112">
        <v>2022</v>
      </c>
      <c r="E25" s="102">
        <v>20429.999999998472</v>
      </c>
      <c r="F25" s="118"/>
      <c r="G25" s="102">
        <v>5826</v>
      </c>
      <c r="H25" s="119"/>
      <c r="I25" s="63">
        <v>370</v>
      </c>
      <c r="J25" s="73"/>
      <c r="K25" s="99"/>
      <c r="L25" s="73"/>
      <c r="M25" s="69">
        <v>36</v>
      </c>
      <c r="N25" s="69">
        <v>118</v>
      </c>
      <c r="O25" s="69">
        <v>280</v>
      </c>
    </row>
    <row r="26" spans="1:15" ht="15" x14ac:dyDescent="0.25">
      <c r="A26" s="44" t="s">
        <v>9</v>
      </c>
      <c r="B26" s="45">
        <f>B25+1</f>
        <v>25</v>
      </c>
      <c r="C26" s="46">
        <v>7</v>
      </c>
      <c r="D26" s="112">
        <v>2022</v>
      </c>
      <c r="E26" s="102"/>
      <c r="F26" s="118"/>
      <c r="G26" s="102">
        <v>6950</v>
      </c>
      <c r="H26" s="119"/>
      <c r="I26" s="63"/>
      <c r="J26" s="73"/>
      <c r="K26" s="99"/>
      <c r="L26" s="73"/>
      <c r="M26" s="69">
        <v>30</v>
      </c>
      <c r="N26" s="69">
        <v>113</v>
      </c>
      <c r="O26" s="69">
        <v>266</v>
      </c>
    </row>
    <row r="27" spans="1:15" ht="15" x14ac:dyDescent="0.25">
      <c r="A27" s="44" t="s">
        <v>9</v>
      </c>
      <c r="B27" s="45">
        <f t="shared" si="0"/>
        <v>26</v>
      </c>
      <c r="C27" s="46">
        <v>7</v>
      </c>
      <c r="D27" s="112">
        <v>2022</v>
      </c>
      <c r="E27" s="102"/>
      <c r="F27" s="118"/>
      <c r="G27" s="102"/>
      <c r="H27" s="119"/>
      <c r="I27" s="63"/>
      <c r="J27" s="73"/>
      <c r="K27" s="99"/>
      <c r="L27" s="73"/>
      <c r="M27" s="69">
        <v>38</v>
      </c>
      <c r="N27" s="69">
        <v>132</v>
      </c>
      <c r="O27" s="69">
        <v>308</v>
      </c>
    </row>
    <row r="28" spans="1:15" ht="15" x14ac:dyDescent="0.25">
      <c r="A28" s="44" t="s">
        <v>9</v>
      </c>
      <c r="B28" s="45">
        <f t="shared" si="0"/>
        <v>27</v>
      </c>
      <c r="C28" s="46">
        <v>7</v>
      </c>
      <c r="D28" s="112">
        <v>2022</v>
      </c>
      <c r="E28" s="102"/>
      <c r="F28" s="118"/>
      <c r="G28" s="102"/>
      <c r="H28" s="119"/>
      <c r="I28" s="63"/>
      <c r="J28" s="73"/>
      <c r="K28" s="99"/>
      <c r="L28" s="73"/>
      <c r="M28" s="69">
        <v>35</v>
      </c>
      <c r="N28" s="69">
        <v>127</v>
      </c>
      <c r="O28" s="69">
        <v>300</v>
      </c>
    </row>
    <row r="29" spans="1:15" ht="15" x14ac:dyDescent="0.25">
      <c r="A29" s="44" t="s">
        <v>9</v>
      </c>
      <c r="B29" s="45">
        <f t="shared" si="0"/>
        <v>28</v>
      </c>
      <c r="C29" s="46">
        <v>7</v>
      </c>
      <c r="D29" s="112">
        <v>2022</v>
      </c>
      <c r="E29" s="102"/>
      <c r="F29" s="118"/>
      <c r="G29" s="102"/>
      <c r="H29" s="119"/>
      <c r="I29" s="63"/>
      <c r="J29" s="73"/>
      <c r="K29" s="99"/>
      <c r="L29" s="73"/>
      <c r="M29" s="69">
        <v>28</v>
      </c>
      <c r="N29" s="69">
        <v>105</v>
      </c>
      <c r="O29" s="69">
        <v>209</v>
      </c>
    </row>
    <row r="30" spans="1:15" ht="15" x14ac:dyDescent="0.25">
      <c r="A30" s="44" t="s">
        <v>9</v>
      </c>
      <c r="B30" s="45">
        <f t="shared" si="0"/>
        <v>29</v>
      </c>
      <c r="C30" s="46">
        <v>7</v>
      </c>
      <c r="D30" s="112">
        <v>2022</v>
      </c>
      <c r="E30" s="102"/>
      <c r="F30" s="118"/>
      <c r="G30" s="102"/>
      <c r="H30" s="119"/>
      <c r="I30" s="63"/>
      <c r="J30" s="73"/>
      <c r="K30" s="99"/>
      <c r="L30" s="73"/>
      <c r="M30" s="69">
        <v>26</v>
      </c>
      <c r="N30" s="69">
        <v>87</v>
      </c>
      <c r="O30" s="69">
        <v>231</v>
      </c>
    </row>
    <row r="31" spans="1:15" ht="15" x14ac:dyDescent="0.25">
      <c r="A31" s="44" t="s">
        <v>9</v>
      </c>
      <c r="B31" s="45">
        <f t="shared" si="0"/>
        <v>30</v>
      </c>
      <c r="C31" s="46">
        <v>7</v>
      </c>
      <c r="D31" s="112">
        <v>2022</v>
      </c>
      <c r="E31" s="98"/>
      <c r="F31" s="118"/>
      <c r="G31" s="98"/>
      <c r="H31" s="119"/>
      <c r="I31" s="63"/>
      <c r="J31" s="73"/>
      <c r="K31" s="99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7</v>
      </c>
      <c r="D32" s="112">
        <v>2022</v>
      </c>
      <c r="E32" s="98"/>
      <c r="F32" s="118"/>
      <c r="G32" s="98"/>
      <c r="H32" s="119"/>
      <c r="I32" s="63"/>
      <c r="J32" s="73"/>
      <c r="K32" s="99"/>
      <c r="L32" s="73"/>
      <c r="M32" s="69"/>
      <c r="N32" s="69"/>
      <c r="O32" s="69"/>
    </row>
    <row r="33" spans="1:15" ht="18.75" customHeight="1" x14ac:dyDescent="0.2">
      <c r="A33" s="139" t="s">
        <v>51</v>
      </c>
      <c r="B33" s="139"/>
      <c r="C33" s="139"/>
      <c r="D33" s="139"/>
      <c r="E33" s="97">
        <f>SUM(E2:E32)</f>
        <v>495879.99999999965</v>
      </c>
      <c r="F33" s="95">
        <v>0</v>
      </c>
      <c r="G33" s="97">
        <f>SUM(G2:G32)</f>
        <v>145168</v>
      </c>
      <c r="H33" s="94">
        <v>0</v>
      </c>
      <c r="I33" s="97">
        <f>SUM(I2:I32)</f>
        <v>7555</v>
      </c>
      <c r="J33" s="95">
        <v>0</v>
      </c>
      <c r="K33" s="96">
        <f>SUM(K2:K32)</f>
        <v>0</v>
      </c>
      <c r="L33" s="94">
        <v>0</v>
      </c>
      <c r="M33" s="97">
        <f>SUM(M2:M32)</f>
        <v>943</v>
      </c>
      <c r="N33" s="97">
        <f>SUM(N2:N32)</f>
        <v>3080</v>
      </c>
      <c r="O33" s="97">
        <f>SUM(O2:O32)</f>
        <v>7239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0" zoomScale="78" zoomScaleNormal="78" workbookViewId="0">
      <selection activeCell="H28" sqref="H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3" t="s">
        <v>10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74"/>
      <c r="V1" s="74"/>
    </row>
    <row r="2" spans="1:25" s="17" customFormat="1" ht="33" customHeight="1" x14ac:dyDescent="0.25">
      <c r="A2" s="28" t="s">
        <v>2</v>
      </c>
      <c r="B2" s="140" t="s">
        <v>124</v>
      </c>
      <c r="C2" s="140" t="s">
        <v>11</v>
      </c>
      <c r="D2" s="140" t="s">
        <v>12</v>
      </c>
      <c r="E2" s="140" t="s">
        <v>13</v>
      </c>
      <c r="F2" s="140" t="s">
        <v>14</v>
      </c>
      <c r="G2" s="145" t="s">
        <v>130</v>
      </c>
      <c r="H2" s="147" t="s">
        <v>15</v>
      </c>
      <c r="I2" s="140" t="s">
        <v>16</v>
      </c>
      <c r="J2" s="150" t="s">
        <v>17</v>
      </c>
      <c r="K2" s="151"/>
      <c r="L2" s="152"/>
      <c r="M2" s="145" t="s">
        <v>18</v>
      </c>
      <c r="N2" s="147" t="s">
        <v>19</v>
      </c>
      <c r="O2" s="148" t="s">
        <v>20</v>
      </c>
      <c r="P2" s="147" t="s">
        <v>21</v>
      </c>
      <c r="Q2" s="153" t="s">
        <v>22</v>
      </c>
      <c r="R2" s="140" t="s">
        <v>23</v>
      </c>
      <c r="S2" s="140" t="s">
        <v>24</v>
      </c>
      <c r="T2" s="140" t="s">
        <v>25</v>
      </c>
      <c r="V2" s="142" t="s">
        <v>6</v>
      </c>
      <c r="W2" s="142" t="s">
        <v>7</v>
      </c>
      <c r="X2" s="142" t="s">
        <v>8</v>
      </c>
    </row>
    <row r="3" spans="1:25" s="17" customFormat="1" ht="45" customHeight="1" x14ac:dyDescent="0.25">
      <c r="A3" s="29"/>
      <c r="B3" s="141"/>
      <c r="C3" s="141"/>
      <c r="D3" s="141"/>
      <c r="E3" s="141"/>
      <c r="F3" s="141"/>
      <c r="G3" s="146"/>
      <c r="H3" s="147"/>
      <c r="I3" s="141"/>
      <c r="J3" s="18" t="s">
        <v>26</v>
      </c>
      <c r="K3" s="18" t="s">
        <v>27</v>
      </c>
      <c r="L3" s="18" t="s">
        <v>28</v>
      </c>
      <c r="M3" s="146"/>
      <c r="N3" s="147"/>
      <c r="O3" s="149"/>
      <c r="P3" s="147"/>
      <c r="Q3" s="154"/>
      <c r="R3" s="141"/>
      <c r="S3" s="141"/>
      <c r="T3" s="141"/>
      <c r="V3" s="142"/>
      <c r="W3" s="142"/>
      <c r="X3" s="142"/>
    </row>
    <row r="4" spans="1:25" ht="21" customHeight="1" x14ac:dyDescent="0.25">
      <c r="A4" s="8">
        <v>44743</v>
      </c>
      <c r="B4" s="104">
        <v>1.4137999999999999</v>
      </c>
      <c r="C4" s="105">
        <v>320.48</v>
      </c>
      <c r="D4" s="105">
        <v>8242532.1299999999</v>
      </c>
      <c r="E4" s="105">
        <v>9225323.1099999994</v>
      </c>
      <c r="F4" s="105">
        <v>3.3351000000000002</v>
      </c>
      <c r="G4" s="105">
        <v>1.0699000000000001</v>
      </c>
      <c r="H4" s="105">
        <v>975.89</v>
      </c>
      <c r="I4" s="105">
        <v>347.58</v>
      </c>
      <c r="J4" s="105">
        <v>479.78</v>
      </c>
      <c r="K4" s="105">
        <v>466.6</v>
      </c>
      <c r="L4" s="105">
        <v>318.20999999999998</v>
      </c>
      <c r="M4" s="105">
        <v>798.69</v>
      </c>
      <c r="N4" s="105">
        <v>736.49</v>
      </c>
      <c r="O4" s="105">
        <v>229.86</v>
      </c>
      <c r="P4" s="105">
        <v>970.62</v>
      </c>
      <c r="Q4" s="105">
        <v>724.97</v>
      </c>
      <c r="R4" s="105">
        <v>190.15</v>
      </c>
      <c r="S4" s="105">
        <v>165.09</v>
      </c>
      <c r="T4" s="105">
        <v>599.33000000000004</v>
      </c>
      <c r="V4" s="69">
        <v>28</v>
      </c>
      <c r="W4" s="69">
        <v>97</v>
      </c>
      <c r="X4" s="69">
        <v>208</v>
      </c>
      <c r="Y4" s="17"/>
    </row>
    <row r="5" spans="1:25" ht="21" customHeight="1" x14ac:dyDescent="0.25">
      <c r="A5" s="8">
        <v>44744</v>
      </c>
      <c r="B5" s="106">
        <v>1.4147000000000001</v>
      </c>
      <c r="C5" s="107">
        <v>320.73</v>
      </c>
      <c r="D5" s="107">
        <v>8244791.5800000001</v>
      </c>
      <c r="E5" s="107">
        <v>9227961.9700000007</v>
      </c>
      <c r="F5" s="107">
        <v>3.3378000000000001</v>
      </c>
      <c r="G5" s="107">
        <v>1.0708</v>
      </c>
      <c r="H5" s="107">
        <v>976.9</v>
      </c>
      <c r="I5" s="107">
        <v>347.89</v>
      </c>
      <c r="J5" s="107">
        <v>480.52</v>
      </c>
      <c r="K5" s="107">
        <v>466.87</v>
      </c>
      <c r="L5" s="107">
        <v>318.42</v>
      </c>
      <c r="M5" s="107">
        <v>799.48</v>
      </c>
      <c r="N5" s="107">
        <v>736.85</v>
      </c>
      <c r="O5" s="107">
        <v>230.07</v>
      </c>
      <c r="P5" s="107">
        <v>971.71</v>
      </c>
      <c r="Q5" s="107">
        <v>725.52</v>
      </c>
      <c r="R5" s="105">
        <v>190.15</v>
      </c>
      <c r="S5" s="107">
        <v>165.23</v>
      </c>
      <c r="T5" s="107">
        <v>599.59</v>
      </c>
      <c r="V5" s="69">
        <v>37</v>
      </c>
      <c r="W5" s="69">
        <v>126</v>
      </c>
      <c r="X5" s="69">
        <v>234</v>
      </c>
      <c r="Y5" s="17"/>
    </row>
    <row r="6" spans="1:25" ht="21" customHeight="1" x14ac:dyDescent="0.25">
      <c r="A6" s="8">
        <v>44745</v>
      </c>
      <c r="B6" s="106">
        <v>1.4156</v>
      </c>
      <c r="C6" s="107">
        <v>320.97000000000003</v>
      </c>
      <c r="D6" s="107">
        <v>8246431.3700000001</v>
      </c>
      <c r="E6" s="107">
        <v>9230201.0600000005</v>
      </c>
      <c r="F6" s="107">
        <v>3.3405</v>
      </c>
      <c r="G6" s="107">
        <v>1.0716000000000001</v>
      </c>
      <c r="H6" s="107">
        <v>977.69</v>
      </c>
      <c r="I6" s="107">
        <v>348.15</v>
      </c>
      <c r="J6" s="107">
        <v>481.25</v>
      </c>
      <c r="K6" s="107">
        <v>467.73</v>
      </c>
      <c r="L6" s="107">
        <v>318.64999999999998</v>
      </c>
      <c r="M6" s="107">
        <v>800.18</v>
      </c>
      <c r="N6" s="107">
        <v>737.22</v>
      </c>
      <c r="O6" s="107">
        <v>230.28</v>
      </c>
      <c r="P6" s="107">
        <v>972.52</v>
      </c>
      <c r="Q6" s="107">
        <v>726.01</v>
      </c>
      <c r="R6" s="105">
        <v>190.15</v>
      </c>
      <c r="S6" s="107">
        <v>165.38</v>
      </c>
      <c r="T6" s="107">
        <v>600.08000000000004</v>
      </c>
      <c r="V6" s="69">
        <v>35</v>
      </c>
      <c r="W6" s="69">
        <v>104</v>
      </c>
      <c r="X6" s="69">
        <v>270</v>
      </c>
      <c r="Y6" s="17"/>
    </row>
    <row r="7" spans="1:25" ht="21" customHeight="1" x14ac:dyDescent="0.25">
      <c r="A7" s="8">
        <v>44746</v>
      </c>
      <c r="B7" s="106">
        <v>1.4164000000000001</v>
      </c>
      <c r="C7" s="107">
        <v>321.2</v>
      </c>
      <c r="D7" s="107">
        <v>8248095.9199999999</v>
      </c>
      <c r="E7" s="107">
        <v>9232394.3000000007</v>
      </c>
      <c r="F7" s="107">
        <v>3.3431999999999999</v>
      </c>
      <c r="G7" s="107">
        <v>1.0723</v>
      </c>
      <c r="H7" s="107">
        <v>978.71</v>
      </c>
      <c r="I7" s="107">
        <v>348.41</v>
      </c>
      <c r="J7" s="107">
        <v>482</v>
      </c>
      <c r="K7" s="107">
        <v>467.76</v>
      </c>
      <c r="L7" s="107">
        <v>318.88</v>
      </c>
      <c r="M7" s="107">
        <v>800.83</v>
      </c>
      <c r="N7" s="107">
        <v>737.5</v>
      </c>
      <c r="O7" s="107">
        <v>230.49</v>
      </c>
      <c r="P7" s="107">
        <v>973.3</v>
      </c>
      <c r="Q7" s="107">
        <v>726.56</v>
      </c>
      <c r="R7" s="105">
        <v>190.15</v>
      </c>
      <c r="S7" s="107">
        <v>165.53</v>
      </c>
      <c r="T7" s="107">
        <v>600.57000000000005</v>
      </c>
      <c r="V7" s="69">
        <v>37</v>
      </c>
      <c r="W7" s="69">
        <v>118</v>
      </c>
      <c r="X7" s="69">
        <v>279</v>
      </c>
      <c r="Y7" s="17"/>
    </row>
    <row r="8" spans="1:25" ht="21" customHeight="1" x14ac:dyDescent="0.25">
      <c r="A8" s="8">
        <v>44747</v>
      </c>
      <c r="B8" s="106">
        <v>1.4174</v>
      </c>
      <c r="C8" s="107">
        <v>321.44</v>
      </c>
      <c r="D8" s="107">
        <v>8250142.4900000002</v>
      </c>
      <c r="E8" s="107">
        <v>9235056.1099999994</v>
      </c>
      <c r="F8" s="107">
        <v>3.3460000000000001</v>
      </c>
      <c r="G8" s="107">
        <v>1.0731999999999999</v>
      </c>
      <c r="H8" s="107">
        <v>979.85</v>
      </c>
      <c r="I8" s="107">
        <v>348.69</v>
      </c>
      <c r="J8" s="107">
        <v>482.72</v>
      </c>
      <c r="K8" s="107">
        <v>467.78</v>
      </c>
      <c r="L8" s="107">
        <v>319.14</v>
      </c>
      <c r="M8" s="107">
        <v>801.63</v>
      </c>
      <c r="N8" s="107">
        <v>737.84</v>
      </c>
      <c r="O8" s="107">
        <v>230.67</v>
      </c>
      <c r="P8" s="107">
        <v>974.34</v>
      </c>
      <c r="Q8" s="107">
        <v>727.23</v>
      </c>
      <c r="R8" s="105">
        <v>190.15</v>
      </c>
      <c r="S8" s="107">
        <v>165.68</v>
      </c>
      <c r="T8" s="107">
        <v>601.05999999999995</v>
      </c>
      <c r="V8" s="101">
        <v>41</v>
      </c>
      <c r="W8" s="101">
        <v>128</v>
      </c>
      <c r="X8" s="122">
        <v>271</v>
      </c>
      <c r="Y8" s="17"/>
    </row>
    <row r="9" spans="1:25" ht="21" customHeight="1" x14ac:dyDescent="0.25">
      <c r="A9" s="8">
        <v>44748</v>
      </c>
      <c r="B9" s="108">
        <v>1.4184000000000001</v>
      </c>
      <c r="C9" s="107">
        <v>321.69</v>
      </c>
      <c r="D9" s="107">
        <v>8252316.5999999996</v>
      </c>
      <c r="E9" s="107">
        <v>9237720.4299999997</v>
      </c>
      <c r="F9" s="107">
        <v>3.3487</v>
      </c>
      <c r="G9" s="107">
        <v>1.0740000000000001</v>
      </c>
      <c r="H9" s="107">
        <v>980.98</v>
      </c>
      <c r="I9" s="107">
        <v>348.96</v>
      </c>
      <c r="J9" s="107">
        <v>483.36</v>
      </c>
      <c r="K9" s="107">
        <v>468.14</v>
      </c>
      <c r="L9" s="107">
        <v>319.41000000000003</v>
      </c>
      <c r="M9" s="107">
        <v>802.41</v>
      </c>
      <c r="N9" s="107">
        <v>738.18</v>
      </c>
      <c r="O9" s="107">
        <v>230.89</v>
      </c>
      <c r="P9" s="107">
        <v>975.41</v>
      </c>
      <c r="Q9" s="107">
        <v>727.88</v>
      </c>
      <c r="R9" s="105">
        <v>190.15</v>
      </c>
      <c r="S9" s="107">
        <v>165.83</v>
      </c>
      <c r="T9" s="107">
        <v>601.54999999999995</v>
      </c>
      <c r="V9" s="101">
        <v>41</v>
      </c>
      <c r="W9" s="101">
        <v>124</v>
      </c>
      <c r="X9" s="122">
        <v>271</v>
      </c>
      <c r="Y9" s="17"/>
    </row>
    <row r="10" spans="1:25" ht="21" customHeight="1" x14ac:dyDescent="0.25">
      <c r="A10" s="8">
        <v>44749</v>
      </c>
      <c r="B10" s="104">
        <v>1.4194</v>
      </c>
      <c r="C10" s="105">
        <v>321.95999999999998</v>
      </c>
      <c r="D10" s="105">
        <v>8254328.0899999999</v>
      </c>
      <c r="E10" s="105">
        <v>9240222.9199999999</v>
      </c>
      <c r="F10" s="105">
        <v>3.3515000000000001</v>
      </c>
      <c r="G10" s="105">
        <v>1.0748</v>
      </c>
      <c r="H10" s="105">
        <v>982.12</v>
      </c>
      <c r="I10" s="105">
        <v>349.21</v>
      </c>
      <c r="J10" s="107">
        <v>483.91</v>
      </c>
      <c r="K10" s="107">
        <v>468.49</v>
      </c>
      <c r="L10" s="107">
        <v>319.69</v>
      </c>
      <c r="M10" s="107">
        <v>803.07</v>
      </c>
      <c r="N10" s="107">
        <v>738.54</v>
      </c>
      <c r="O10" s="107">
        <v>231.09</v>
      </c>
      <c r="P10" s="107">
        <v>976.42</v>
      </c>
      <c r="Q10" s="107">
        <v>728.5</v>
      </c>
      <c r="R10" s="105">
        <v>190.15</v>
      </c>
      <c r="S10" s="107">
        <v>165.98</v>
      </c>
      <c r="T10" s="107">
        <v>602.08000000000004</v>
      </c>
      <c r="V10" s="101">
        <v>41</v>
      </c>
      <c r="W10" s="101">
        <v>124</v>
      </c>
      <c r="X10" s="101">
        <v>316</v>
      </c>
      <c r="Y10" s="17"/>
    </row>
    <row r="11" spans="1:25" ht="21" customHeight="1" x14ac:dyDescent="0.25">
      <c r="A11" s="8">
        <v>44750</v>
      </c>
      <c r="B11" s="106">
        <v>1.4205000000000001</v>
      </c>
      <c r="C11" s="107">
        <v>322.23</v>
      </c>
      <c r="D11" s="107">
        <v>8256454.9000000004</v>
      </c>
      <c r="E11" s="107">
        <v>9242779.0999999996</v>
      </c>
      <c r="F11" s="107">
        <v>3.3542999999999998</v>
      </c>
      <c r="G11" s="107">
        <v>1.0755999999999999</v>
      </c>
      <c r="H11" s="107">
        <v>983.29</v>
      </c>
      <c r="I11" s="107">
        <v>349.48</v>
      </c>
      <c r="J11" s="107">
        <v>484.51</v>
      </c>
      <c r="K11" s="107">
        <v>468.84</v>
      </c>
      <c r="L11" s="107">
        <v>319.97000000000003</v>
      </c>
      <c r="M11" s="107">
        <v>803.78</v>
      </c>
      <c r="N11" s="107">
        <v>738.93</v>
      </c>
      <c r="O11" s="107">
        <v>231.29</v>
      </c>
      <c r="P11" s="107">
        <v>977.42</v>
      </c>
      <c r="Q11" s="107">
        <v>729.18</v>
      </c>
      <c r="R11" s="105">
        <v>190.15</v>
      </c>
      <c r="S11" s="107">
        <v>166.14</v>
      </c>
      <c r="T11" s="107">
        <v>602.57000000000005</v>
      </c>
      <c r="V11" s="101">
        <v>40</v>
      </c>
      <c r="W11" s="101">
        <v>117</v>
      </c>
      <c r="X11" s="101">
        <v>262</v>
      </c>
      <c r="Y11" s="17"/>
    </row>
    <row r="12" spans="1:25" ht="21" customHeight="1" x14ac:dyDescent="0.25">
      <c r="A12" s="8">
        <v>44751</v>
      </c>
      <c r="B12" s="106">
        <v>1.4215</v>
      </c>
      <c r="C12" s="107">
        <v>322.43</v>
      </c>
      <c r="D12" s="107">
        <v>8258342.25</v>
      </c>
      <c r="E12" s="107">
        <v>9244934.7799999993</v>
      </c>
      <c r="F12" s="107">
        <v>3.3571</v>
      </c>
      <c r="G12" s="107">
        <v>1.0765</v>
      </c>
      <c r="H12" s="107">
        <v>984.4</v>
      </c>
      <c r="I12" s="107">
        <v>349.74</v>
      </c>
      <c r="J12" s="107">
        <v>485</v>
      </c>
      <c r="K12" s="107">
        <v>469.19</v>
      </c>
      <c r="L12" s="107">
        <v>320.25</v>
      </c>
      <c r="M12" s="107">
        <v>804.46</v>
      </c>
      <c r="N12" s="107">
        <v>739.28</v>
      </c>
      <c r="O12" s="107">
        <v>231.44</v>
      </c>
      <c r="P12" s="107">
        <v>978.42</v>
      </c>
      <c r="Q12" s="107">
        <v>729.79</v>
      </c>
      <c r="R12" s="107">
        <v>190.15</v>
      </c>
      <c r="S12" s="107">
        <v>166.29</v>
      </c>
      <c r="T12" s="107">
        <v>602.79999999999995</v>
      </c>
      <c r="V12" s="101">
        <v>36</v>
      </c>
      <c r="W12" s="101">
        <v>103</v>
      </c>
      <c r="X12" s="101">
        <v>298</v>
      </c>
      <c r="Y12" s="17"/>
    </row>
    <row r="13" spans="1:25" ht="21" customHeight="1" x14ac:dyDescent="0.25">
      <c r="A13" s="8">
        <v>44752</v>
      </c>
      <c r="B13" s="106">
        <v>1.4224000000000001</v>
      </c>
      <c r="C13" s="108">
        <v>322.70999999999998</v>
      </c>
      <c r="D13" s="107">
        <v>8260172.6600000001</v>
      </c>
      <c r="E13" s="107">
        <v>9247669.7599999998</v>
      </c>
      <c r="F13" s="107">
        <v>3.3599000000000001</v>
      </c>
      <c r="G13" s="107">
        <v>1.0772999999999999</v>
      </c>
      <c r="H13" s="107">
        <v>985.59</v>
      </c>
      <c r="I13" s="107">
        <v>349.98</v>
      </c>
      <c r="J13" s="107">
        <v>485.51</v>
      </c>
      <c r="K13" s="107">
        <v>469.49</v>
      </c>
      <c r="L13" s="107">
        <v>320.5</v>
      </c>
      <c r="M13" s="107">
        <v>805.25</v>
      </c>
      <c r="N13" s="107">
        <v>739.58</v>
      </c>
      <c r="O13" s="107">
        <v>231.65</v>
      </c>
      <c r="P13" s="107">
        <v>979.44</v>
      </c>
      <c r="Q13" s="107">
        <v>730.47</v>
      </c>
      <c r="R13" s="107">
        <v>190.15</v>
      </c>
      <c r="S13" s="107">
        <v>166.42</v>
      </c>
      <c r="T13" s="107">
        <v>603.34</v>
      </c>
      <c r="V13" s="101">
        <v>33</v>
      </c>
      <c r="W13" s="101">
        <v>92</v>
      </c>
      <c r="X13" s="101">
        <v>196</v>
      </c>
      <c r="Y13" s="17"/>
    </row>
    <row r="14" spans="1:25" ht="21" customHeight="1" x14ac:dyDescent="0.25">
      <c r="A14" s="8">
        <v>44753</v>
      </c>
      <c r="B14" s="106">
        <v>1.4233</v>
      </c>
      <c r="C14" s="104">
        <v>322.95</v>
      </c>
      <c r="D14" s="107">
        <v>8261749.6699999999</v>
      </c>
      <c r="E14" s="107">
        <v>9250056.3699999992</v>
      </c>
      <c r="F14" s="107">
        <v>3.3626999999999998</v>
      </c>
      <c r="G14" s="107">
        <v>1.0781000000000001</v>
      </c>
      <c r="H14" s="107">
        <v>986.59</v>
      </c>
      <c r="I14" s="107">
        <v>350.21</v>
      </c>
      <c r="J14" s="107">
        <v>486</v>
      </c>
      <c r="K14" s="107">
        <v>469.8</v>
      </c>
      <c r="L14" s="107">
        <v>320.75</v>
      </c>
      <c r="M14" s="107">
        <v>805.93</v>
      </c>
      <c r="N14" s="107">
        <v>739.89</v>
      </c>
      <c r="O14" s="107">
        <v>231.84</v>
      </c>
      <c r="P14" s="107">
        <v>980.35</v>
      </c>
      <c r="Q14" s="107">
        <v>731.03</v>
      </c>
      <c r="R14" s="107">
        <v>190.15</v>
      </c>
      <c r="S14" s="107">
        <v>166.56</v>
      </c>
      <c r="T14" s="107">
        <v>603.80999999999995</v>
      </c>
      <c r="V14" s="101">
        <v>39</v>
      </c>
      <c r="W14" s="101">
        <v>107</v>
      </c>
      <c r="X14" s="101">
        <v>268</v>
      </c>
      <c r="Y14" s="17"/>
    </row>
    <row r="15" spans="1:25" ht="21" customHeight="1" x14ac:dyDescent="0.25">
      <c r="A15" s="8">
        <v>44754</v>
      </c>
      <c r="B15" s="106">
        <v>1.4244000000000001</v>
      </c>
      <c r="C15" s="106">
        <v>323.2</v>
      </c>
      <c r="D15" s="107">
        <v>8263493.1399999997</v>
      </c>
      <c r="E15" s="107">
        <v>9252490.0199999996</v>
      </c>
      <c r="F15" s="107">
        <v>3.3654000000000002</v>
      </c>
      <c r="G15" s="107">
        <v>1.0790999999999999</v>
      </c>
      <c r="H15" s="107">
        <v>987.74</v>
      </c>
      <c r="I15" s="107">
        <v>350.5</v>
      </c>
      <c r="J15" s="107">
        <v>486.59</v>
      </c>
      <c r="K15" s="107">
        <v>470.21</v>
      </c>
      <c r="L15" s="107">
        <v>321.04000000000002</v>
      </c>
      <c r="M15" s="107">
        <v>806.61</v>
      </c>
      <c r="N15" s="107">
        <v>740.17</v>
      </c>
      <c r="O15" s="107">
        <v>232.05</v>
      </c>
      <c r="P15" s="107">
        <v>981.24</v>
      </c>
      <c r="Q15" s="107">
        <v>731.72</v>
      </c>
      <c r="R15" s="107">
        <v>190.15</v>
      </c>
      <c r="S15" s="107">
        <v>166.7</v>
      </c>
      <c r="T15" s="107">
        <v>604.29999999999995</v>
      </c>
      <c r="V15" s="101">
        <v>29</v>
      </c>
      <c r="W15" s="101">
        <v>81</v>
      </c>
      <c r="X15" s="101">
        <v>214</v>
      </c>
      <c r="Y15" s="17"/>
    </row>
    <row r="16" spans="1:25" ht="21" customHeight="1" x14ac:dyDescent="0.25">
      <c r="A16" s="8">
        <v>44755</v>
      </c>
      <c r="B16" s="106">
        <v>1.4254</v>
      </c>
      <c r="C16" s="106">
        <v>323.45</v>
      </c>
      <c r="D16" s="107">
        <v>8264986.7999999998</v>
      </c>
      <c r="E16" s="107">
        <v>9254836.2599999998</v>
      </c>
      <c r="F16" s="107">
        <v>3.3681999999999999</v>
      </c>
      <c r="G16" s="107">
        <v>1.0799000000000001</v>
      </c>
      <c r="H16" s="107">
        <v>988.81</v>
      </c>
      <c r="I16" s="107">
        <v>350.88</v>
      </c>
      <c r="J16" s="107">
        <v>487.04</v>
      </c>
      <c r="K16" s="107">
        <v>470.52</v>
      </c>
      <c r="L16" s="107">
        <v>321.26</v>
      </c>
      <c r="M16" s="107">
        <v>807.28</v>
      </c>
      <c r="N16" s="107">
        <v>740.44</v>
      </c>
      <c r="O16" s="107">
        <v>232.25</v>
      </c>
      <c r="P16" s="107">
        <v>982.05</v>
      </c>
      <c r="Q16" s="107">
        <v>732.42</v>
      </c>
      <c r="R16" s="107">
        <v>190.15</v>
      </c>
      <c r="S16" s="107">
        <v>166.84</v>
      </c>
      <c r="T16" s="107">
        <v>604.77</v>
      </c>
      <c r="V16" s="101">
        <v>31</v>
      </c>
      <c r="W16" s="101">
        <v>92</v>
      </c>
      <c r="X16" s="101">
        <v>241</v>
      </c>
      <c r="Y16" s="17"/>
    </row>
    <row r="17" spans="1:25" ht="21" customHeight="1" x14ac:dyDescent="0.25">
      <c r="A17" s="8">
        <v>44756</v>
      </c>
      <c r="B17" s="106">
        <v>1.4266000000000001</v>
      </c>
      <c r="C17" s="107">
        <v>323.72000000000003</v>
      </c>
      <c r="D17" s="107">
        <v>8266611.21</v>
      </c>
      <c r="E17" s="107">
        <v>9257440.7699999996</v>
      </c>
      <c r="F17" s="107">
        <v>3.3708999999999998</v>
      </c>
      <c r="G17" s="107">
        <v>1.0808</v>
      </c>
      <c r="H17" s="107">
        <v>989.91</v>
      </c>
      <c r="I17" s="107">
        <v>351.25</v>
      </c>
      <c r="J17" s="107">
        <v>487.64</v>
      </c>
      <c r="K17" s="107">
        <v>470.89</v>
      </c>
      <c r="L17" s="107">
        <v>321.5</v>
      </c>
      <c r="M17" s="107">
        <v>808.05</v>
      </c>
      <c r="N17" s="107">
        <v>740.73</v>
      </c>
      <c r="O17" s="107">
        <v>232.49</v>
      </c>
      <c r="P17" s="107">
        <v>982.96</v>
      </c>
      <c r="Q17" s="107">
        <v>733.13</v>
      </c>
      <c r="R17" s="107">
        <v>190.15</v>
      </c>
      <c r="S17" s="107">
        <v>166.99</v>
      </c>
      <c r="T17" s="107">
        <v>605.30999999999995</v>
      </c>
      <c r="V17" s="101">
        <v>31</v>
      </c>
      <c r="W17" s="101">
        <v>92</v>
      </c>
      <c r="X17" s="101">
        <v>241</v>
      </c>
      <c r="Y17" s="17"/>
    </row>
    <row r="18" spans="1:25" ht="21" customHeight="1" x14ac:dyDescent="0.25">
      <c r="A18" s="8">
        <v>44757</v>
      </c>
      <c r="B18" s="106">
        <v>1.4278</v>
      </c>
      <c r="C18" s="107">
        <v>323.95999999999998</v>
      </c>
      <c r="D18" s="107">
        <v>8268303.2400000002</v>
      </c>
      <c r="E18" s="107">
        <v>9260164.6400000006</v>
      </c>
      <c r="F18" s="107">
        <v>3.3736999999999999</v>
      </c>
      <c r="G18" s="107">
        <v>1.0815999999999999</v>
      </c>
      <c r="H18" s="107">
        <v>991.07</v>
      </c>
      <c r="I18" s="107">
        <v>351.6</v>
      </c>
      <c r="J18" s="107">
        <v>488.01</v>
      </c>
      <c r="K18" s="107">
        <v>471.24</v>
      </c>
      <c r="L18" s="107">
        <v>321.73</v>
      </c>
      <c r="M18" s="107">
        <v>808.79</v>
      </c>
      <c r="N18" s="107">
        <v>741.04</v>
      </c>
      <c r="O18" s="107">
        <v>232.74</v>
      </c>
      <c r="P18" s="107">
        <v>983.83</v>
      </c>
      <c r="Q18" s="107">
        <v>733.9</v>
      </c>
      <c r="R18" s="107">
        <v>190.15</v>
      </c>
      <c r="S18" s="107">
        <v>167.14</v>
      </c>
      <c r="T18" s="107">
        <v>605.85</v>
      </c>
      <c r="V18" s="101">
        <v>27</v>
      </c>
      <c r="W18" s="101">
        <v>79</v>
      </c>
      <c r="X18" s="101">
        <v>178</v>
      </c>
      <c r="Y18" s="17"/>
    </row>
    <row r="19" spans="1:25" ht="21" customHeight="1" x14ac:dyDescent="0.25">
      <c r="A19" s="8">
        <v>44758</v>
      </c>
      <c r="B19" s="106">
        <v>1.4289000000000001</v>
      </c>
      <c r="C19" s="107">
        <v>324.18</v>
      </c>
      <c r="D19" s="107">
        <v>8269936.6799999997</v>
      </c>
      <c r="E19" s="107">
        <v>9262186.2400000002</v>
      </c>
      <c r="F19" s="107">
        <v>3.3763999999999998</v>
      </c>
      <c r="G19" s="107">
        <v>1.0824</v>
      </c>
      <c r="H19" s="107">
        <v>992.09</v>
      </c>
      <c r="I19" s="107">
        <v>351.93</v>
      </c>
      <c r="J19" s="107">
        <v>488.42</v>
      </c>
      <c r="K19" s="107">
        <v>471.54</v>
      </c>
      <c r="L19" s="107">
        <v>321.95999999999998</v>
      </c>
      <c r="M19" s="107">
        <v>809.56</v>
      </c>
      <c r="N19" s="107">
        <v>741.38</v>
      </c>
      <c r="O19" s="123">
        <v>232.98</v>
      </c>
      <c r="P19" s="107">
        <v>984.66</v>
      </c>
      <c r="Q19" s="107">
        <v>734.63</v>
      </c>
      <c r="R19" s="107">
        <v>190.15</v>
      </c>
      <c r="S19" s="107">
        <v>167.28</v>
      </c>
      <c r="T19" s="107">
        <v>606.12</v>
      </c>
      <c r="V19" s="101">
        <v>25</v>
      </c>
      <c r="W19" s="101">
        <v>83</v>
      </c>
      <c r="X19" s="101">
        <v>197</v>
      </c>
      <c r="Y19" s="17"/>
    </row>
    <row r="20" spans="1:25" ht="21" customHeight="1" x14ac:dyDescent="0.25">
      <c r="A20" s="8">
        <v>44759</v>
      </c>
      <c r="B20" s="106">
        <v>1.43</v>
      </c>
      <c r="C20" s="107">
        <v>324.42</v>
      </c>
      <c r="D20" s="107">
        <v>8271541.0800000001</v>
      </c>
      <c r="E20" s="107">
        <v>9264613.3100000005</v>
      </c>
      <c r="F20" s="107">
        <v>3.3792</v>
      </c>
      <c r="G20" s="107">
        <v>1.0831999999999999</v>
      </c>
      <c r="H20" s="107">
        <v>993.15</v>
      </c>
      <c r="I20" s="107">
        <v>352.25</v>
      </c>
      <c r="J20" s="107">
        <v>488.87</v>
      </c>
      <c r="K20" s="107">
        <v>471.85</v>
      </c>
      <c r="L20" s="107">
        <v>322.19</v>
      </c>
      <c r="M20" s="107">
        <v>810.2</v>
      </c>
      <c r="N20" s="107">
        <v>741.7</v>
      </c>
      <c r="O20" s="107">
        <v>233.32</v>
      </c>
      <c r="P20" s="107">
        <v>985.45</v>
      </c>
      <c r="Q20" s="107">
        <v>735.33</v>
      </c>
      <c r="R20" s="107">
        <v>190.15</v>
      </c>
      <c r="S20" s="107">
        <v>167.42</v>
      </c>
      <c r="T20" s="107">
        <v>606.63</v>
      </c>
      <c r="V20" s="101">
        <v>25</v>
      </c>
      <c r="W20" s="101">
        <v>88</v>
      </c>
      <c r="X20" s="101">
        <v>186</v>
      </c>
      <c r="Y20" s="17"/>
    </row>
    <row r="21" spans="1:25" ht="21" customHeight="1" x14ac:dyDescent="0.25">
      <c r="A21" s="8">
        <v>44760</v>
      </c>
      <c r="B21" s="106">
        <v>1.4309000000000001</v>
      </c>
      <c r="C21" s="107">
        <v>324.64999999999998</v>
      </c>
      <c r="D21" s="107">
        <v>8272911.2699999996</v>
      </c>
      <c r="E21" s="107">
        <v>9267200.5700000003</v>
      </c>
      <c r="F21" s="107">
        <v>3.3818999999999999</v>
      </c>
      <c r="G21" s="107">
        <v>1.0839000000000001</v>
      </c>
      <c r="H21" s="107">
        <v>994.06</v>
      </c>
      <c r="I21" s="107">
        <v>352.55</v>
      </c>
      <c r="J21" s="107">
        <v>489.35</v>
      </c>
      <c r="K21" s="107">
        <v>472.14</v>
      </c>
      <c r="L21" s="107">
        <v>322.45999999999998</v>
      </c>
      <c r="M21" s="107">
        <v>810.86</v>
      </c>
      <c r="N21" s="107">
        <v>741.93</v>
      </c>
      <c r="O21" s="107">
        <v>233.4</v>
      </c>
      <c r="P21" s="107">
        <v>986.21</v>
      </c>
      <c r="Q21" s="107">
        <v>735.89</v>
      </c>
      <c r="R21" s="107">
        <v>190.15</v>
      </c>
      <c r="S21" s="107">
        <v>167.57</v>
      </c>
      <c r="T21" s="107">
        <v>607.09</v>
      </c>
      <c r="V21" s="101">
        <v>27</v>
      </c>
      <c r="W21" s="101">
        <v>92</v>
      </c>
      <c r="X21" s="101">
        <v>225</v>
      </c>
      <c r="Y21" s="17"/>
    </row>
    <row r="22" spans="1:25" ht="21" customHeight="1" x14ac:dyDescent="0.25">
      <c r="A22" s="8">
        <v>44761</v>
      </c>
      <c r="B22" s="106">
        <v>1.4317</v>
      </c>
      <c r="C22" s="107">
        <v>324.89</v>
      </c>
      <c r="D22" s="107">
        <v>8274450.0800000001</v>
      </c>
      <c r="E22" s="107">
        <v>9269770.9600000009</v>
      </c>
      <c r="F22" s="107">
        <v>3.3845999999999998</v>
      </c>
      <c r="G22" s="107">
        <v>1.0846</v>
      </c>
      <c r="H22" s="107">
        <v>994.97</v>
      </c>
      <c r="I22" s="107">
        <v>352.83</v>
      </c>
      <c r="J22" s="107">
        <v>489.79</v>
      </c>
      <c r="K22" s="107">
        <v>472.45</v>
      </c>
      <c r="L22" s="107">
        <v>322.68</v>
      </c>
      <c r="M22" s="107">
        <v>811.52</v>
      </c>
      <c r="N22" s="107">
        <v>742.16</v>
      </c>
      <c r="O22" s="107">
        <v>233.59</v>
      </c>
      <c r="P22" s="107">
        <v>986.93</v>
      </c>
      <c r="Q22" s="107">
        <v>736.49</v>
      </c>
      <c r="R22" s="107">
        <v>190.15</v>
      </c>
      <c r="S22" s="107">
        <v>167.7</v>
      </c>
      <c r="T22" s="107">
        <v>607.59</v>
      </c>
      <c r="V22" s="101">
        <v>28</v>
      </c>
      <c r="W22" s="101">
        <v>102</v>
      </c>
      <c r="X22" s="101">
        <v>225</v>
      </c>
      <c r="Y22" s="17"/>
    </row>
    <row r="23" spans="1:25" ht="21" customHeight="1" x14ac:dyDescent="0.25">
      <c r="A23" s="8">
        <v>44762</v>
      </c>
      <c r="B23" s="106">
        <v>1.4327000000000001</v>
      </c>
      <c r="C23" s="107">
        <v>325.14</v>
      </c>
      <c r="D23" s="107">
        <v>8276190.54</v>
      </c>
      <c r="E23" s="107">
        <v>9272516.4100000001</v>
      </c>
      <c r="F23" s="107">
        <v>3.387</v>
      </c>
      <c r="G23" s="107">
        <v>1.0853999999999999</v>
      </c>
      <c r="H23" s="107">
        <v>995.99</v>
      </c>
      <c r="I23" s="107">
        <v>353.13</v>
      </c>
      <c r="J23" s="107">
        <v>490.37</v>
      </c>
      <c r="K23" s="107">
        <v>472.8</v>
      </c>
      <c r="L23" s="107">
        <v>322.93</v>
      </c>
      <c r="M23" s="107">
        <v>812.17</v>
      </c>
      <c r="N23" s="107">
        <v>742.53</v>
      </c>
      <c r="O23" s="107">
        <v>233.79</v>
      </c>
      <c r="P23" s="107">
        <v>987.67</v>
      </c>
      <c r="Q23" s="107">
        <v>737.16</v>
      </c>
      <c r="R23" s="107">
        <v>190.15</v>
      </c>
      <c r="S23" s="107">
        <v>167.82</v>
      </c>
      <c r="T23" s="107">
        <v>608.08000000000004</v>
      </c>
      <c r="V23" s="101">
        <v>28</v>
      </c>
      <c r="W23" s="101">
        <v>109</v>
      </c>
      <c r="X23" s="101">
        <v>207</v>
      </c>
      <c r="Y23" s="17"/>
    </row>
    <row r="24" spans="1:25" ht="21" customHeight="1" x14ac:dyDescent="0.25">
      <c r="A24" s="8">
        <v>44763</v>
      </c>
      <c r="B24" s="106">
        <v>1.4335</v>
      </c>
      <c r="C24" s="107">
        <v>325.39</v>
      </c>
      <c r="D24" s="107">
        <v>8277714.6799999997</v>
      </c>
      <c r="E24" s="107">
        <v>9274725.3699999992</v>
      </c>
      <c r="F24" s="107">
        <v>3.3895</v>
      </c>
      <c r="G24" s="107">
        <v>1.0860000000000001</v>
      </c>
      <c r="H24" s="107">
        <v>996.78</v>
      </c>
      <c r="I24" s="107">
        <v>353.36</v>
      </c>
      <c r="J24" s="107">
        <v>490.79</v>
      </c>
      <c r="K24" s="107">
        <v>473.08</v>
      </c>
      <c r="L24" s="107">
        <v>323.14</v>
      </c>
      <c r="M24" s="107">
        <v>812.7</v>
      </c>
      <c r="N24" s="107">
        <v>742.78</v>
      </c>
      <c r="O24" s="107">
        <v>233.99</v>
      </c>
      <c r="P24" s="107">
        <v>988.35</v>
      </c>
      <c r="Q24" s="107">
        <v>737.68</v>
      </c>
      <c r="R24" s="107">
        <v>190.15</v>
      </c>
      <c r="S24" s="107">
        <v>167.95</v>
      </c>
      <c r="T24" s="107">
        <v>608.59</v>
      </c>
      <c r="V24" s="101">
        <v>27</v>
      </c>
      <c r="W24" s="101">
        <v>109</v>
      </c>
      <c r="X24" s="101">
        <v>254</v>
      </c>
      <c r="Y24" s="17"/>
    </row>
    <row r="25" spans="1:25" ht="21" customHeight="1" x14ac:dyDescent="0.25">
      <c r="A25" s="8">
        <v>44764</v>
      </c>
      <c r="B25" s="106">
        <v>1.4345000000000001</v>
      </c>
      <c r="C25" s="107">
        <v>325.64</v>
      </c>
      <c r="D25" s="107">
        <v>8279614.0800000001</v>
      </c>
      <c r="E25" s="107">
        <v>9277194.2799999993</v>
      </c>
      <c r="F25" s="107">
        <v>3.3921000000000001</v>
      </c>
      <c r="G25" s="107">
        <v>1.0867</v>
      </c>
      <c r="H25" s="107">
        <v>997.68</v>
      </c>
      <c r="I25" s="107">
        <v>353.6</v>
      </c>
      <c r="J25" s="107">
        <v>491.31</v>
      </c>
      <c r="K25" s="107">
        <v>473.42</v>
      </c>
      <c r="L25" s="107">
        <v>323.39999999999998</v>
      </c>
      <c r="M25" s="107">
        <v>813.25</v>
      </c>
      <c r="N25" s="107">
        <v>743.13</v>
      </c>
      <c r="O25" s="107">
        <v>234.19</v>
      </c>
      <c r="P25" s="107">
        <v>988.97</v>
      </c>
      <c r="Q25" s="107">
        <v>738.29</v>
      </c>
      <c r="R25" s="107">
        <v>190.15</v>
      </c>
      <c r="S25" s="107">
        <v>168.07</v>
      </c>
      <c r="T25" s="107">
        <v>609.08000000000004</v>
      </c>
      <c r="V25" s="101">
        <v>35</v>
      </c>
      <c r="W25" s="101">
        <v>129</v>
      </c>
      <c r="X25" s="101">
        <v>315</v>
      </c>
      <c r="Y25" s="17"/>
    </row>
    <row r="26" spans="1:25" ht="21" customHeight="1" x14ac:dyDescent="0.25">
      <c r="A26" s="8">
        <v>44765</v>
      </c>
      <c r="B26" s="106">
        <v>1.4354</v>
      </c>
      <c r="C26" s="107">
        <v>325.89</v>
      </c>
      <c r="D26" s="107">
        <v>8281619.6500000004</v>
      </c>
      <c r="E26" s="107">
        <v>9279430.6099999994</v>
      </c>
      <c r="F26" s="107">
        <v>3.3948</v>
      </c>
      <c r="G26" s="107">
        <v>1.0874999999999999</v>
      </c>
      <c r="H26" s="107">
        <v>998.8</v>
      </c>
      <c r="I26" s="107">
        <v>353.85</v>
      </c>
      <c r="J26" s="107">
        <v>491.76</v>
      </c>
      <c r="K26" s="107">
        <v>473.74</v>
      </c>
      <c r="L26" s="107">
        <v>323.64</v>
      </c>
      <c r="M26" s="107">
        <v>813.93</v>
      </c>
      <c r="N26" s="107">
        <v>743.44</v>
      </c>
      <c r="O26" s="107">
        <v>234.36</v>
      </c>
      <c r="P26" s="107">
        <v>989.7</v>
      </c>
      <c r="Q26" s="107">
        <v>738.93</v>
      </c>
      <c r="R26" s="107">
        <v>190.15</v>
      </c>
      <c r="S26" s="107">
        <v>168.22</v>
      </c>
      <c r="T26" s="107">
        <v>609.36</v>
      </c>
      <c r="V26" s="101">
        <v>29</v>
      </c>
      <c r="W26" s="101">
        <v>102</v>
      </c>
      <c r="X26" s="101">
        <v>289</v>
      </c>
      <c r="Y26" s="17"/>
    </row>
    <row r="27" spans="1:25" s="128" customFormat="1" ht="21" customHeight="1" x14ac:dyDescent="0.25">
      <c r="A27" s="133">
        <v>44766</v>
      </c>
      <c r="B27" s="134">
        <v>1.4365000000000001</v>
      </c>
      <c r="C27" s="123">
        <v>326.14999999999998</v>
      </c>
      <c r="D27" s="123">
        <v>8283694.29</v>
      </c>
      <c r="E27" s="123">
        <v>9282132.0500000007</v>
      </c>
      <c r="F27" s="123">
        <v>3.3974000000000002</v>
      </c>
      <c r="G27" s="123">
        <v>1.0883</v>
      </c>
      <c r="H27" s="123">
        <v>999.91</v>
      </c>
      <c r="I27" s="123">
        <v>354.11</v>
      </c>
      <c r="J27" s="123">
        <v>492.27</v>
      </c>
      <c r="K27" s="123">
        <v>474.04</v>
      </c>
      <c r="L27" s="123">
        <v>323.88</v>
      </c>
      <c r="M27" s="123">
        <v>814.61</v>
      </c>
      <c r="N27" s="123">
        <v>743.73</v>
      </c>
      <c r="O27" s="123">
        <v>234.55</v>
      </c>
      <c r="P27" s="123">
        <v>990.36</v>
      </c>
      <c r="Q27" s="123">
        <v>739.54</v>
      </c>
      <c r="R27" s="123">
        <v>190.15</v>
      </c>
      <c r="S27" s="123">
        <v>168.35</v>
      </c>
      <c r="T27" s="123">
        <v>609.87</v>
      </c>
      <c r="V27" s="135">
        <v>36</v>
      </c>
      <c r="W27" s="135">
        <v>118</v>
      </c>
      <c r="X27" s="135">
        <v>280</v>
      </c>
      <c r="Y27" s="136"/>
    </row>
    <row r="28" spans="1:25" ht="21" customHeight="1" x14ac:dyDescent="0.25">
      <c r="A28" s="8">
        <v>44767</v>
      </c>
      <c r="B28" s="106">
        <v>1.4375</v>
      </c>
      <c r="C28" s="107">
        <v>326.39</v>
      </c>
      <c r="D28" s="107">
        <v>8285626.6600000001</v>
      </c>
      <c r="E28" s="107">
        <v>9284693.4199999999</v>
      </c>
      <c r="F28" s="107">
        <v>3.4</v>
      </c>
      <c r="G28" s="107">
        <v>1.089</v>
      </c>
      <c r="H28" s="132">
        <v>1000.9</v>
      </c>
      <c r="I28" s="107">
        <v>354.39</v>
      </c>
      <c r="J28" s="107">
        <v>492.8</v>
      </c>
      <c r="K28" s="107">
        <v>474.37</v>
      </c>
      <c r="L28" s="107">
        <v>324.12</v>
      </c>
      <c r="M28" s="107">
        <v>815.32</v>
      </c>
      <c r="N28" s="107">
        <v>744.07</v>
      </c>
      <c r="O28" s="107">
        <v>234.71</v>
      </c>
      <c r="P28" s="107">
        <v>991</v>
      </c>
      <c r="Q28" s="107">
        <v>740.12</v>
      </c>
      <c r="R28" s="107">
        <v>190.15</v>
      </c>
      <c r="S28" s="107">
        <v>168.48</v>
      </c>
      <c r="T28" s="107">
        <v>610.4</v>
      </c>
      <c r="V28" s="101">
        <v>30</v>
      </c>
      <c r="W28" s="101">
        <v>113</v>
      </c>
      <c r="X28" s="101">
        <v>266</v>
      </c>
      <c r="Y28" s="17"/>
    </row>
    <row r="29" spans="1:25" ht="21" customHeight="1" x14ac:dyDescent="0.25">
      <c r="A29" s="8">
        <v>44768</v>
      </c>
      <c r="B29" s="106">
        <v>1.4384999999999999</v>
      </c>
      <c r="C29" s="107">
        <v>326.64999999999998</v>
      </c>
      <c r="D29" s="107">
        <v>8287764.6500000004</v>
      </c>
      <c r="E29" s="107">
        <v>9287310.3699999992</v>
      </c>
      <c r="F29" s="107">
        <v>3.4028</v>
      </c>
      <c r="G29" s="107">
        <v>1.0896999999999999</v>
      </c>
      <c r="H29" s="107">
        <v>1001.8</v>
      </c>
      <c r="I29" s="107">
        <v>354.7</v>
      </c>
      <c r="J29" s="107">
        <v>493.38</v>
      </c>
      <c r="K29" s="107">
        <v>474.7</v>
      </c>
      <c r="L29" s="107">
        <v>324.36</v>
      </c>
      <c r="M29" s="107">
        <v>815.95</v>
      </c>
      <c r="N29" s="107">
        <v>744.38</v>
      </c>
      <c r="O29" s="107">
        <v>234.92</v>
      </c>
      <c r="P29" s="107">
        <v>991.72</v>
      </c>
      <c r="Q29" s="107">
        <v>740.74</v>
      </c>
      <c r="R29" s="107">
        <v>190.15</v>
      </c>
      <c r="S29" s="107">
        <v>168.57</v>
      </c>
      <c r="T29" s="107">
        <v>610.9</v>
      </c>
      <c r="V29" s="101">
        <v>38</v>
      </c>
      <c r="W29" s="101">
        <v>132</v>
      </c>
      <c r="X29" s="101">
        <v>308</v>
      </c>
      <c r="Y29" s="17"/>
    </row>
    <row r="30" spans="1:25" ht="21" customHeight="1" x14ac:dyDescent="0.25">
      <c r="A30" s="8">
        <v>44769</v>
      </c>
      <c r="B30" s="106">
        <v>1.4395</v>
      </c>
      <c r="C30" s="107">
        <v>326.92</v>
      </c>
      <c r="D30" s="107">
        <v>8290658.9800000004</v>
      </c>
      <c r="E30" s="107">
        <v>9290158.6799999997</v>
      </c>
      <c r="F30" s="107">
        <v>3.4054000000000002</v>
      </c>
      <c r="G30" s="107">
        <v>1.0904</v>
      </c>
      <c r="H30" s="107">
        <v>1003</v>
      </c>
      <c r="I30" s="107">
        <v>355.01</v>
      </c>
      <c r="J30" s="107">
        <v>493.98</v>
      </c>
      <c r="K30" s="107">
        <v>475.05</v>
      </c>
      <c r="L30" s="107">
        <v>324.60000000000002</v>
      </c>
      <c r="M30" s="107">
        <v>816.52</v>
      </c>
      <c r="N30" s="107">
        <v>744.67</v>
      </c>
      <c r="O30" s="107">
        <v>235.14</v>
      </c>
      <c r="P30" s="107">
        <v>992.5</v>
      </c>
      <c r="Q30" s="107">
        <v>741.33</v>
      </c>
      <c r="R30" s="107">
        <v>190.15</v>
      </c>
      <c r="S30" s="107">
        <v>168.71</v>
      </c>
      <c r="T30" s="107">
        <v>611.41999999999996</v>
      </c>
      <c r="V30" s="101">
        <v>35</v>
      </c>
      <c r="W30" s="101">
        <v>127</v>
      </c>
      <c r="X30" s="101">
        <v>300</v>
      </c>
      <c r="Y30" s="17"/>
    </row>
    <row r="31" spans="1:25" ht="21" customHeight="1" x14ac:dyDescent="0.25">
      <c r="A31" s="8">
        <v>44770</v>
      </c>
      <c r="B31" s="106">
        <v>1.4404999999999999</v>
      </c>
      <c r="C31" s="107">
        <v>327.18</v>
      </c>
      <c r="D31" s="107">
        <v>8291995.0800000001</v>
      </c>
      <c r="E31" s="107">
        <v>9292864.5</v>
      </c>
      <c r="F31" s="107">
        <v>3.4079999999999999</v>
      </c>
      <c r="G31" s="107">
        <v>1.0911</v>
      </c>
      <c r="H31" s="107">
        <v>1004.1</v>
      </c>
      <c r="I31" s="107">
        <v>355.3</v>
      </c>
      <c r="J31" s="107">
        <v>494.49</v>
      </c>
      <c r="K31" s="107">
        <v>475.42</v>
      </c>
      <c r="L31" s="107">
        <v>324.83999999999997</v>
      </c>
      <c r="M31" s="107">
        <v>817.18</v>
      </c>
      <c r="N31" s="107">
        <v>744.99</v>
      </c>
      <c r="O31" s="107">
        <v>235.34</v>
      </c>
      <c r="P31" s="107">
        <v>993.17</v>
      </c>
      <c r="Q31" s="107">
        <v>741.89</v>
      </c>
      <c r="R31" s="107">
        <v>190.15</v>
      </c>
      <c r="S31" s="107">
        <v>168.86</v>
      </c>
      <c r="T31" s="107">
        <v>611.98</v>
      </c>
      <c r="V31" s="101">
        <v>28</v>
      </c>
      <c r="W31" s="101">
        <v>105</v>
      </c>
      <c r="X31" s="101">
        <v>209</v>
      </c>
      <c r="Y31" s="17"/>
    </row>
    <row r="32" spans="1:25" ht="21" customHeight="1" x14ac:dyDescent="0.25">
      <c r="A32" s="8">
        <v>44771</v>
      </c>
      <c r="B32" s="104"/>
      <c r="C32" s="104"/>
      <c r="D32" s="104"/>
      <c r="E32" s="109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7"/>
      <c r="S32" s="116"/>
      <c r="T32" s="104"/>
      <c r="V32" s="101">
        <v>26</v>
      </c>
      <c r="W32" s="101">
        <v>87</v>
      </c>
      <c r="X32" s="101">
        <v>231</v>
      </c>
      <c r="Y32" s="17"/>
    </row>
    <row r="33" spans="1:25" ht="19.5" customHeight="1" x14ac:dyDescent="0.25">
      <c r="A33" s="8">
        <v>44772</v>
      </c>
      <c r="B33" s="104"/>
      <c r="C33" s="116"/>
      <c r="D33" s="104"/>
      <c r="E33" s="109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7"/>
      <c r="S33" s="116"/>
      <c r="T33" s="104"/>
      <c r="V33" s="101"/>
      <c r="W33" s="101"/>
      <c r="X33" s="101"/>
      <c r="Y33" s="17"/>
    </row>
    <row r="34" spans="1:25" ht="19.5" customHeight="1" x14ac:dyDescent="0.25">
      <c r="A34" s="8">
        <v>44773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>
        <v>44774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943</v>
      </c>
      <c r="W35" s="75">
        <f>SUM(W4:W34)</f>
        <v>3080</v>
      </c>
      <c r="X35" s="75">
        <f>SUM(X4:X34)</f>
        <v>7239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28" sqref="N2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8" t="s">
        <v>30</v>
      </c>
      <c r="B2" s="140" t="s">
        <v>31</v>
      </c>
      <c r="C2" s="140" t="s">
        <v>32</v>
      </c>
      <c r="D2" s="140" t="s">
        <v>118</v>
      </c>
      <c r="E2" s="148" t="s">
        <v>33</v>
      </c>
      <c r="F2" s="155" t="s">
        <v>34</v>
      </c>
      <c r="G2" s="156"/>
      <c r="H2" s="157"/>
      <c r="I2" s="158" t="s">
        <v>35</v>
      </c>
      <c r="J2" s="158" t="s">
        <v>36</v>
      </c>
      <c r="K2" s="158" t="s">
        <v>37</v>
      </c>
      <c r="L2" s="158" t="s">
        <v>38</v>
      </c>
      <c r="M2" s="159" t="s">
        <v>39</v>
      </c>
      <c r="N2" s="159"/>
      <c r="O2" s="159"/>
      <c r="P2" s="159"/>
      <c r="Q2" s="159"/>
      <c r="R2" s="159"/>
      <c r="S2" s="158" t="s">
        <v>40</v>
      </c>
      <c r="T2" s="158"/>
      <c r="U2" s="160" t="s">
        <v>41</v>
      </c>
      <c r="V2" s="158" t="s">
        <v>42</v>
      </c>
    </row>
    <row r="3" spans="1:22" x14ac:dyDescent="0.25">
      <c r="A3" s="149"/>
      <c r="B3" s="141"/>
      <c r="C3" s="141"/>
      <c r="D3" s="141"/>
      <c r="E3" s="149"/>
      <c r="F3" s="6" t="s">
        <v>26</v>
      </c>
      <c r="G3" s="6" t="s">
        <v>27</v>
      </c>
      <c r="H3" s="6" t="s">
        <v>28</v>
      </c>
      <c r="I3" s="158"/>
      <c r="J3" s="158"/>
      <c r="K3" s="158"/>
      <c r="L3" s="15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60"/>
      <c r="V3" s="158"/>
    </row>
    <row r="4" spans="1:22" x14ac:dyDescent="0.25">
      <c r="A4" s="3">
        <f>'Kwh Reading'!A4</f>
        <v>44743</v>
      </c>
      <c r="B4" s="26">
        <f>TOTAL!E2</f>
        <v>21750.000000000684</v>
      </c>
      <c r="C4" s="4">
        <f>('Kwh Reading'!T5-'Kwh Reading'!T4)*1000</f>
        <v>259.99999999999091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740.00000000000909</v>
      </c>
      <c r="G4" s="2">
        <f>('Kwh Reading'!K5-'Kwh Reading'!K4)*1000</f>
        <v>269.99999999998181</v>
      </c>
      <c r="H4" s="2">
        <f>('Kwh Reading'!L5-'Kwh Reading'!L4)*1000</f>
        <v>210.00000000003638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310.00000000000227</v>
      </c>
      <c r="L4" s="2">
        <f>('Kwh Reading'!B5-'Kwh Reading'!B4)*1000000</f>
        <v>900.0000000001229</v>
      </c>
      <c r="M4" s="2">
        <f>('Kwh Reading'!M5-'Kwh Reading'!M4)*1000</f>
        <v>789.99999999996362</v>
      </c>
      <c r="N4" s="2">
        <f>('Kwh Reading'!H5-'Kwh Reading'!H4)*1000</f>
        <v>1009.9999999999909</v>
      </c>
      <c r="O4" s="2">
        <f>('Kwh Reading'!P5-'Kwh Reading'!P4)*1000</f>
        <v>1090.0000000000318</v>
      </c>
      <c r="P4" s="2">
        <f>('Kwh Reading'!G5-'Kwh Reading'!G4)*1000000</f>
        <v>899.99999999990087</v>
      </c>
      <c r="Q4" s="2">
        <f>('Kwh Reading'!Q5-'Kwh Reading'!Q4)*1000</f>
        <v>549.99999999995453</v>
      </c>
      <c r="R4" s="2">
        <f>('Kwh Reading'!N5-'Kwh Reading'!N4)*1000</f>
        <v>360.00000000001364</v>
      </c>
      <c r="S4" s="2">
        <f>'Kwh Reading'!E5-'Kwh Reading'!E4</f>
        <v>2638.8600000012666</v>
      </c>
      <c r="T4" s="2">
        <f>'Kwh Reading'!D5-'Kwh Reading'!D4</f>
        <v>2259.4500000001863</v>
      </c>
      <c r="U4" s="27">
        <f>('Kwh Reading'!O5-'Kwh Reading'!O4)*1000</f>
        <v>209.99999999997954</v>
      </c>
      <c r="V4" s="16">
        <f>B4-(SUM(C4:U4))</f>
        <v>6161.689999999342</v>
      </c>
    </row>
    <row r="5" spans="1:22" x14ac:dyDescent="0.25">
      <c r="A5" s="3">
        <f>'Kwh Reading'!A5</f>
        <v>44744</v>
      </c>
      <c r="B5" s="26">
        <f>TOTAL!E3</f>
        <v>19070.000000000618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240.00000000000909</v>
      </c>
      <c r="F5" s="2">
        <f>('Kwh Reading'!J6-'Kwh Reading'!J5)*1000</f>
        <v>730.00000000001819</v>
      </c>
      <c r="G5" s="2">
        <f>('Kwh Reading'!K6-'Kwh Reading'!K5)*1000</f>
        <v>860.00000000001364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259.99999999999091</v>
      </c>
      <c r="L5" s="2">
        <f>('Kwh Reading'!B6-'Kwh Reading'!B5)*1000000</f>
        <v>899.99999999990087</v>
      </c>
      <c r="M5" s="2">
        <f>('Kwh Reading'!M6-'Kwh Reading'!M5)*1000</f>
        <v>699.99999999993179</v>
      </c>
      <c r="N5" s="2">
        <f>('Kwh Reading'!H6-'Kwh Reading'!H5)*1000</f>
        <v>790.00000000007731</v>
      </c>
      <c r="O5" s="2">
        <f>('Kwh Reading'!P6-'Kwh Reading'!P5)*1000</f>
        <v>809.99999999994543</v>
      </c>
      <c r="P5" s="2">
        <f>('Kwh Reading'!G6-'Kwh Reading'!G5)*1000000</f>
        <v>800.00000000013392</v>
      </c>
      <c r="Q5" s="2">
        <f>('Kwh Reading'!Q6-'Kwh Reading'!Q5)*1000</f>
        <v>490.00000000000909</v>
      </c>
      <c r="R5" s="2">
        <f>('Kwh Reading'!N6-'Kwh Reading'!N5)*1000</f>
        <v>370.00000000000455</v>
      </c>
      <c r="S5" s="2">
        <f>'Kwh Reading'!E6-'Kwh Reading'!E5</f>
        <v>2239.089999999851</v>
      </c>
      <c r="T5" s="2">
        <f>'Kwh Reading'!D6-'Kwh Reading'!D5</f>
        <v>1639.7900000000373</v>
      </c>
      <c r="U5" s="27">
        <f>('Kwh Reading'!O6-'Kwh Reading'!O5)*1000</f>
        <v>210.00000000000796</v>
      </c>
      <c r="V5" s="16">
        <f t="shared" ref="V5:V11" si="0">B5-(SUM(C5:U5))</f>
        <v>4461.1200000007848</v>
      </c>
    </row>
    <row r="6" spans="1:22" x14ac:dyDescent="0.25">
      <c r="A6" s="3">
        <f>'Kwh Reading'!A6</f>
        <v>44745</v>
      </c>
      <c r="B6" s="26">
        <f>TOTAL!E4</f>
        <v>20219.999999999345</v>
      </c>
      <c r="C6" s="4">
        <f>('Kwh Reading'!T7-'Kwh Reading'!T6)*1000</f>
        <v>490.00000000000909</v>
      </c>
      <c r="D6" s="2">
        <f>('Kwh Reading'!F7-'Kwh Reading'!F6)*1000000</f>
        <v>2699.9999999999245</v>
      </c>
      <c r="E6" s="2">
        <f>('Kwh Reading'!C7-'Kwh Reading'!C6)*1000</f>
        <v>229.99999999996135</v>
      </c>
      <c r="F6" s="2">
        <f>('Kwh Reading'!J7-'Kwh Reading'!J6)*1000</f>
        <v>750</v>
      </c>
      <c r="G6" s="2">
        <f>('Kwh Reading'!K7-'Kwh Reading'!K6)*1000</f>
        <v>29.999999999972715</v>
      </c>
      <c r="H6" s="2">
        <f>('Kwh Reading'!L7-'Kwh Reading'!L6)*1000</f>
        <v>230.00000000001819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260.00000000004775</v>
      </c>
      <c r="L6" s="2">
        <f>('Kwh Reading'!B7-'Kwh Reading'!B6)*1000000</f>
        <v>800.00000000013392</v>
      </c>
      <c r="M6" s="2">
        <f>('Kwh Reading'!M7-'Kwh Reading'!M6)*1000</f>
        <v>650.00000000009095</v>
      </c>
      <c r="N6" s="2">
        <f>('Kwh Reading'!H7-'Kwh Reading'!H6)*1000</f>
        <v>1019.9999999999818</v>
      </c>
      <c r="O6" s="2">
        <f>('Kwh Reading'!P7-'Kwh Reading'!P6)*1000</f>
        <v>779.99999999997272</v>
      </c>
      <c r="P6" s="2">
        <f>('Kwh Reading'!G7-'Kwh Reading'!G6)*1000000</f>
        <v>699.99999999992292</v>
      </c>
      <c r="Q6" s="2">
        <f>('Kwh Reading'!Q7-'Kwh Reading'!Q6)*1000</f>
        <v>549.99999999995453</v>
      </c>
      <c r="R6" s="2">
        <f>('Kwh Reading'!N7-'Kwh Reading'!N6)*1000</f>
        <v>279.99999999997272</v>
      </c>
      <c r="S6" s="2">
        <f>'Kwh Reading'!E7-'Kwh Reading'!E6</f>
        <v>2193.2400000002235</v>
      </c>
      <c r="T6" s="2">
        <f>'Kwh Reading'!D7-'Kwh Reading'!D6</f>
        <v>1664.5499999998137</v>
      </c>
      <c r="U6" s="27">
        <f>('Kwh Reading'!O7-'Kwh Reading'!O6)*1000</f>
        <v>210.00000000000796</v>
      </c>
      <c r="V6" s="16">
        <f t="shared" si="0"/>
        <v>6532.2099999993334</v>
      </c>
    </row>
    <row r="7" spans="1:22" x14ac:dyDescent="0.25">
      <c r="A7" s="3">
        <f>'Kwh Reading'!A7</f>
        <v>44746</v>
      </c>
      <c r="B7" s="26">
        <f>TOTAL!E5</f>
        <v>21180.000000001426</v>
      </c>
      <c r="C7" s="4">
        <f>('Kwh Reading'!T8-'Kwh Reading'!T7)*1000</f>
        <v>489.99999999989541</v>
      </c>
      <c r="D7" s="2">
        <f>('Kwh Reading'!F8-'Kwh Reading'!F7)*1000000</f>
        <v>2800.0000000001355</v>
      </c>
      <c r="E7" s="2">
        <f>('Kwh Reading'!C8-'Kwh Reading'!C7)*1000</f>
        <v>240.00000000000909</v>
      </c>
      <c r="F7" s="2">
        <f>('Kwh Reading'!J8-'Kwh Reading'!J7)*1000</f>
        <v>720.00000000002728</v>
      </c>
      <c r="G7" s="2">
        <f>('Kwh Reading'!K8-'Kwh Reading'!K7)*1000</f>
        <v>19.99999999998181</v>
      </c>
      <c r="H7" s="2">
        <f>('Kwh Reading'!L8-'Kwh Reading'!L7)*1000</f>
        <v>259.99999999999091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279.99999999997272</v>
      </c>
      <c r="L7" s="2">
        <f>('Kwh Reading'!B8-'Kwh Reading'!B7)*1000000</f>
        <v>999.99999999988984</v>
      </c>
      <c r="M7" s="2">
        <f>('Kwh Reading'!M8-'Kwh Reading'!M7)*1000</f>
        <v>799.99999999995453</v>
      </c>
      <c r="N7" s="2">
        <f>('Kwh Reading'!H8-'Kwh Reading'!H7)*1000</f>
        <v>1139.9999999999864</v>
      </c>
      <c r="O7" s="2">
        <f>('Kwh Reading'!P8-'Kwh Reading'!P7)*1000</f>
        <v>1040.0000000000773</v>
      </c>
      <c r="P7" s="2">
        <f>('Kwh Reading'!G8-'Kwh Reading'!G7)*1000000</f>
        <v>899.99999999990087</v>
      </c>
      <c r="Q7" s="2">
        <f>('Kwh Reading'!Q8-'Kwh Reading'!Q7)*1000</f>
        <v>670.00000000007276</v>
      </c>
      <c r="R7" s="2">
        <f>('Kwh Reading'!N8-'Kwh Reading'!N7)*1000</f>
        <v>340.00000000003183</v>
      </c>
      <c r="S7" s="2">
        <f>'Kwh Reading'!E8-'Kwh Reading'!E7</f>
        <v>2661.8099999986589</v>
      </c>
      <c r="T7" s="2">
        <f>'Kwh Reading'!D8-'Kwh Reading'!D7</f>
        <v>2046.570000000298</v>
      </c>
      <c r="U7" s="27">
        <f>('Kwh Reading'!O8-'Kwh Reading'!O7)*1000</f>
        <v>179.9999999999784</v>
      </c>
      <c r="V7" s="16">
        <f t="shared" si="0"/>
        <v>5441.6200000025565</v>
      </c>
    </row>
    <row r="8" spans="1:22" x14ac:dyDescent="0.25">
      <c r="A8" s="3">
        <f>'Kwh Reading'!A8</f>
        <v>44747</v>
      </c>
      <c r="B8" s="26">
        <f>TOTAL!E6</f>
        <v>21579.99999999697</v>
      </c>
      <c r="C8" s="4">
        <f>('Kwh Reading'!T9-'Kwh Reading'!T8)*1000</f>
        <v>490.00000000000909</v>
      </c>
      <c r="D8" s="2">
        <f>('Kwh Reading'!F9-'Kwh Reading'!F8)*1000000</f>
        <v>2699.9999999999245</v>
      </c>
      <c r="E8" s="2">
        <f>('Kwh Reading'!C9-'Kwh Reading'!C8)*1000</f>
        <v>250</v>
      </c>
      <c r="F8" s="2">
        <f>('Kwh Reading'!J9-'Kwh Reading'!J8)*1000</f>
        <v>639.99999999998636</v>
      </c>
      <c r="G8" s="2">
        <f>('Kwh Reading'!K9-'Kwh Reading'!K8)*1000</f>
        <v>360.00000000001364</v>
      </c>
      <c r="H8" s="2">
        <f>('Kwh Reading'!L9-'Kwh Reading'!L8)*1000</f>
        <v>270.00000000003865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269.99999999998181</v>
      </c>
      <c r="L8" s="2">
        <f>('Kwh Reading'!B9-'Kwh Reading'!B8)*1000000</f>
        <v>1000.0000000001119</v>
      </c>
      <c r="M8" s="2">
        <f>('Kwh Reading'!M9-'Kwh Reading'!M8)*1000</f>
        <v>779.99999999997272</v>
      </c>
      <c r="N8" s="2">
        <f>('Kwh Reading'!H9-'Kwh Reading'!H8)*1000</f>
        <v>1129.9999999999955</v>
      </c>
      <c r="O8" s="2">
        <f>('Kwh Reading'!P9-'Kwh Reading'!P8)*1000</f>
        <v>1069.9999999999363</v>
      </c>
      <c r="P8" s="2">
        <f>('Kwh Reading'!G9-'Kwh Reading'!G8)*1000000</f>
        <v>800.00000000013392</v>
      </c>
      <c r="Q8" s="2">
        <f>('Kwh Reading'!Q9-'Kwh Reading'!Q8)*1000</f>
        <v>649.99999999997726</v>
      </c>
      <c r="R8" s="2">
        <f>('Kwh Reading'!N9-'Kwh Reading'!N8)*1000</f>
        <v>339.99999999991815</v>
      </c>
      <c r="S8" s="2">
        <f>'Kwh Reading'!E9-'Kwh Reading'!E8</f>
        <v>2664.320000000298</v>
      </c>
      <c r="T8" s="2">
        <f>'Kwh Reading'!D9-'Kwh Reading'!D8</f>
        <v>2174.109999999404</v>
      </c>
      <c r="U8" s="27">
        <f>('Kwh Reading'!O9-'Kwh Reading'!O8)*1000</f>
        <v>219.99999999999886</v>
      </c>
      <c r="V8" s="16">
        <f t="shared" si="0"/>
        <v>5621.5699999972639</v>
      </c>
    </row>
    <row r="9" spans="1:22" x14ac:dyDescent="0.25">
      <c r="A9" s="3">
        <f>'Kwh Reading'!A9</f>
        <v>44748</v>
      </c>
      <c r="B9" s="26">
        <f>TOTAL!E7</f>
        <v>21510.000000001583</v>
      </c>
      <c r="C9" s="4">
        <f>('Kwh Reading'!T10-'Kwh Reading'!T9)*1000</f>
        <v>530.0000000000864</v>
      </c>
      <c r="D9" s="2">
        <f>('Kwh Reading'!F10-'Kwh Reading'!F9)*1000000</f>
        <v>2800.0000000001355</v>
      </c>
      <c r="E9" s="2">
        <f>('Kwh Reading'!C10-'Kwh Reading'!C9)*1000</f>
        <v>269.99999999998181</v>
      </c>
      <c r="F9" s="2">
        <f>('Kwh Reading'!J10-'Kwh Reading'!J9)*1000</f>
        <v>550.00000000001137</v>
      </c>
      <c r="G9" s="2">
        <f>('Kwh Reading'!K10-'Kwh Reading'!K9)*1000</f>
        <v>350.00000000002274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250</v>
      </c>
      <c r="L9" s="2">
        <f>('Kwh Reading'!B10-'Kwh Reading'!B9)*1000000</f>
        <v>999.99999999988984</v>
      </c>
      <c r="M9" s="2">
        <f>('Kwh Reading'!M10-'Kwh Reading'!M9)*1000</f>
        <v>660.00000000008185</v>
      </c>
      <c r="N9" s="2">
        <f>('Kwh Reading'!H10-'Kwh Reading'!H9)*1000</f>
        <v>1139.9999999999864</v>
      </c>
      <c r="O9" s="2">
        <f>('Kwh Reading'!P10-'Kwh Reading'!P9)*1000</f>
        <v>1009.9999999999909</v>
      </c>
      <c r="P9" s="2">
        <f>('Kwh Reading'!G10-'Kwh Reading'!G9)*1000000</f>
        <v>799.99999999991189</v>
      </c>
      <c r="Q9" s="2">
        <f>('Kwh Reading'!Q10-'Kwh Reading'!Q9)*1000</f>
        <v>620.00000000000455</v>
      </c>
      <c r="R9" s="2">
        <f>('Kwh Reading'!N10-'Kwh Reading'!N9)*1000</f>
        <v>360.00000000001364</v>
      </c>
      <c r="S9" s="2">
        <f>'Kwh Reading'!E10-'Kwh Reading'!E9</f>
        <v>2502.4900000002235</v>
      </c>
      <c r="T9" s="2">
        <f>'Kwh Reading'!D10-'Kwh Reading'!D9</f>
        <v>2011.4900000002235</v>
      </c>
      <c r="U9" s="27">
        <f>('Kwh Reading'!O10-'Kwh Reading'!O9)*1000</f>
        <v>200.00000000001705</v>
      </c>
      <c r="V9" s="16">
        <f t="shared" si="0"/>
        <v>6026.02000000105</v>
      </c>
    </row>
    <row r="10" spans="1:22" x14ac:dyDescent="0.25">
      <c r="A10" s="3">
        <f>'Kwh Reading'!A10</f>
        <v>44749</v>
      </c>
      <c r="B10" s="26">
        <f>TOTAL!E8</f>
        <v>21340.000000000146</v>
      </c>
      <c r="C10" s="4">
        <f>('Kwh Reading'!T11-'Kwh Reading'!T10)*1000</f>
        <v>490.00000000000909</v>
      </c>
      <c r="D10" s="2">
        <f>('Kwh Reading'!F11-'Kwh Reading'!F10)*1000000</f>
        <v>2799.9999999996917</v>
      </c>
      <c r="E10" s="2">
        <f>('Kwh Reading'!C11-'Kwh Reading'!C10)*1000</f>
        <v>270.00000000003865</v>
      </c>
      <c r="F10" s="2">
        <f>('Kwh Reading'!J11-'Kwh Reading'!J10)*1000</f>
        <v>599.99999999996589</v>
      </c>
      <c r="G10" s="2">
        <f>('Kwh Reading'!K11-'Kwh Reading'!K10)*1000</f>
        <v>349.99999999996589</v>
      </c>
      <c r="H10" s="2">
        <f>('Kwh Reading'!L11-'Kwh Reading'!L10)*1000</f>
        <v>280.00000000002956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270.00000000003865</v>
      </c>
      <c r="L10" s="2">
        <f>('Kwh Reading'!B11-'Kwh Reading'!B10)*1000000</f>
        <v>1100.000000000101</v>
      </c>
      <c r="M10" s="2">
        <f>('Kwh Reading'!M11-'Kwh Reading'!M10)*1000</f>
        <v>709.99999999992269</v>
      </c>
      <c r="N10" s="2">
        <f>('Kwh Reading'!H11-'Kwh Reading'!H10)*1000</f>
        <v>1169.9999999999591</v>
      </c>
      <c r="O10" s="2">
        <f>('Kwh Reading'!P11-'Kwh Reading'!P10)*1000</f>
        <v>1000</v>
      </c>
      <c r="P10" s="2">
        <f>('Kwh Reading'!G11-'Kwh Reading'!G10)*1000000</f>
        <v>799.99999999991189</v>
      </c>
      <c r="Q10" s="2">
        <f>('Kwh Reading'!Q11-'Kwh Reading'!Q10)*1000</f>
        <v>679.99999999994998</v>
      </c>
      <c r="R10" s="2">
        <f>('Kwh Reading'!N11-'Kwh Reading'!N10)*1000</f>
        <v>389.99999999998636</v>
      </c>
      <c r="S10" s="33">
        <f>'Kwh Reading'!E11-'Kwh Reading'!E10</f>
        <v>2556.179999999702</v>
      </c>
      <c r="T10" s="33">
        <f>'Kwh Reading'!D11-'Kwh Reading'!D10</f>
        <v>2126.8100000005215</v>
      </c>
      <c r="U10" s="27">
        <f>('Kwh Reading'!O11-'Kwh Reading'!O10)*1000</f>
        <v>199.99999999998863</v>
      </c>
      <c r="V10" s="16">
        <f t="shared" si="0"/>
        <v>5387.0100000003695</v>
      </c>
    </row>
    <row r="11" spans="1:22" x14ac:dyDescent="0.25">
      <c r="A11" s="3">
        <f>'Kwh Reading'!A11</f>
        <v>44750</v>
      </c>
      <c r="B11" s="26">
        <f>TOTAL!E9</f>
        <v>21009.999999998854</v>
      </c>
      <c r="C11" s="4">
        <f>('Kwh Reading'!T12-'Kwh Reading'!T11)*1000</f>
        <v>229.9999999999045</v>
      </c>
      <c r="D11" s="2">
        <f>('Kwh Reading'!F12-'Kwh Reading'!F11)*1000000</f>
        <v>2800.0000000001355</v>
      </c>
      <c r="E11" s="2">
        <f>('Kwh Reading'!C12-'Kwh Reading'!C11)*1000</f>
        <v>199.99999999998863</v>
      </c>
      <c r="F11" s="2">
        <f>('Kwh Reading'!J12-'Kwh Reading'!J11)*1000</f>
        <v>490.00000000000909</v>
      </c>
      <c r="G11" s="2">
        <f>('Kwh Reading'!K12-'Kwh Reading'!K11)*1000</f>
        <v>350.00000000002274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150.00000000000568</v>
      </c>
      <c r="K11" s="2">
        <f>('Kwh Reading'!I12-'Kwh Reading'!I11)*1000</f>
        <v>259.99999999999091</v>
      </c>
      <c r="L11" s="2">
        <f>('Kwh Reading'!B12-'Kwh Reading'!B11)*1000000</f>
        <v>999.99999999988984</v>
      </c>
      <c r="M11" s="2">
        <f>('Kwh Reading'!M12-'Kwh Reading'!M11)*1000</f>
        <v>680.00000000006366</v>
      </c>
      <c r="N11" s="2">
        <f>('Kwh Reading'!H12-'Kwh Reading'!H11)*1000</f>
        <v>1110.0000000000136</v>
      </c>
      <c r="O11" s="2">
        <f>('Kwh Reading'!P12-'Kwh Reading'!P11)*1000</f>
        <v>1000</v>
      </c>
      <c r="P11" s="2">
        <f>('Kwh Reading'!G12-'Kwh Reading'!G11)*1000000</f>
        <v>900.0000000001229</v>
      </c>
      <c r="Q11" s="2">
        <f>('Kwh Reading'!Q12-'Kwh Reading'!Q11)*1000</f>
        <v>610.00000000001364</v>
      </c>
      <c r="R11" s="2">
        <f>('Kwh Reading'!N12-'Kwh Reading'!N11)*1000</f>
        <v>350.00000000002274</v>
      </c>
      <c r="S11" s="33">
        <f>'Kwh Reading'!E12-'Kwh Reading'!E11</f>
        <v>2155.679999999702</v>
      </c>
      <c r="T11" s="33">
        <f>'Kwh Reading'!D12-'Kwh Reading'!D11</f>
        <v>1887.3499999996275</v>
      </c>
      <c r="U11" s="27">
        <f>('Kwh Reading'!O12-'Kwh Reading'!O11)*1000</f>
        <v>150.00000000000568</v>
      </c>
      <c r="V11" s="16">
        <f t="shared" si="0"/>
        <v>6406.9699999993627</v>
      </c>
    </row>
    <row r="12" spans="1:22" x14ac:dyDescent="0.25">
      <c r="A12" s="3">
        <f>'Kwh Reading'!A12</f>
        <v>44751</v>
      </c>
      <c r="B12" s="26">
        <f>TOTAL!E10</f>
        <v>22420.000000000757</v>
      </c>
      <c r="C12" s="4">
        <f>('Kwh Reading'!T13-'Kwh Reading'!T12)*1000</f>
        <v>540.00000000007731</v>
      </c>
      <c r="D12" s="2">
        <f>('Kwh Reading'!F13-'Kwh Reading'!F12)*1000000</f>
        <v>2800.0000000001355</v>
      </c>
      <c r="E12" s="2">
        <f>('Kwh Reading'!C13-'Kwh Reading'!C12)*1000</f>
        <v>279.99999999997272</v>
      </c>
      <c r="F12" s="2">
        <f>('Kwh Reading'!J13-'Kwh Reading'!J12)*1000</f>
        <v>509.99999999999091</v>
      </c>
      <c r="G12" s="2">
        <f>('Kwh Reading'!K13-'Kwh Reading'!K12)*1000</f>
        <v>300.00000000001137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240.00000000000909</v>
      </c>
      <c r="L12" s="2">
        <f>('Kwh Reading'!B13-'Kwh Reading'!B12)*1000000</f>
        <v>900.0000000001229</v>
      </c>
      <c r="M12" s="2">
        <f>('Kwh Reading'!M13-'Kwh Reading'!M12)*1000</f>
        <v>789.99999999996362</v>
      </c>
      <c r="N12" s="2">
        <f>('Kwh Reading'!H13-'Kwh Reading'!H12)*1000</f>
        <v>1190.0000000000546</v>
      </c>
      <c r="O12" s="2">
        <f>('Kwh Reading'!P13-'Kwh Reading'!P12)*1000</f>
        <v>1020.0000000000955</v>
      </c>
      <c r="P12" s="2">
        <f>('Kwh Reading'!G13-'Kwh Reading'!G12)*1000000</f>
        <v>799.99999999991189</v>
      </c>
      <c r="Q12" s="2">
        <f>('Kwh Reading'!Q13-'Kwh Reading'!Q12)*1000</f>
        <v>680.00000000006366</v>
      </c>
      <c r="R12" s="2">
        <f>('Kwh Reading'!N13-'Kwh Reading'!N12)*1000</f>
        <v>300.00000000006821</v>
      </c>
      <c r="S12" s="33">
        <f>'Kwh Reading'!E13-'Kwh Reading'!E12</f>
        <v>2734.980000000447</v>
      </c>
      <c r="T12" s="33">
        <f>'Kwh Reading'!D13-'Kwh Reading'!D12</f>
        <v>1830.410000000149</v>
      </c>
      <c r="U12" s="27">
        <f>('Kwh Reading'!O13-'Kwh Reading'!O12)*1000</f>
        <v>210.00000000000796</v>
      </c>
      <c r="V12" s="16">
        <f t="shared" ref="V12:V34" si="1">B12-(SUM(C12:U12))</f>
        <v>6914.6099999996804</v>
      </c>
    </row>
    <row r="13" spans="1:22" x14ac:dyDescent="0.25">
      <c r="A13" s="3">
        <f>'Kwh Reading'!A13</f>
        <v>44752</v>
      </c>
      <c r="B13" s="26">
        <f>TOTAL!E11</f>
        <v>19739.999999999782</v>
      </c>
      <c r="C13" s="4">
        <f>('Kwh Reading'!T14-'Kwh Reading'!T13)*1000</f>
        <v>469.9999999999136</v>
      </c>
      <c r="D13" s="2">
        <f>('Kwh Reading'!F14-'Kwh Reading'!F13)*1000000</f>
        <v>2799.9999999996917</v>
      </c>
      <c r="E13" s="2">
        <f>('Kwh Reading'!C14-'Kwh Reading'!C13)*1000</f>
        <v>240.00000000000909</v>
      </c>
      <c r="F13" s="2">
        <f>('Kwh Reading'!J14-'Kwh Reading'!J13)*1000</f>
        <v>490.00000000000909</v>
      </c>
      <c r="G13" s="2">
        <f>('Kwh Reading'!K14-'Kwh Reading'!K13)*1000</f>
        <v>310.00000000000227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229.99999999996135</v>
      </c>
      <c r="L13" s="2">
        <f>('Kwh Reading'!B14-'Kwh Reading'!B13)*1000000</f>
        <v>899.99999999990087</v>
      </c>
      <c r="M13" s="2">
        <f>('Kwh Reading'!M14-'Kwh Reading'!M13)*1000</f>
        <v>679.99999999994998</v>
      </c>
      <c r="N13" s="2">
        <f>('Kwh Reading'!H14-'Kwh Reading'!H13)*1000</f>
        <v>1000</v>
      </c>
      <c r="O13" s="2">
        <f>('Kwh Reading'!P14-'Kwh Reading'!P13)*1000</f>
        <v>909.99999999996817</v>
      </c>
      <c r="P13" s="2">
        <f>('Kwh Reading'!G14-'Kwh Reading'!G13)*1000000</f>
        <v>800.00000000013392</v>
      </c>
      <c r="Q13" s="2">
        <f>('Kwh Reading'!Q14-'Kwh Reading'!Q13)*1000</f>
        <v>559.99999999994543</v>
      </c>
      <c r="R13" s="2">
        <f>('Kwh Reading'!N14-'Kwh Reading'!N13)*1000</f>
        <v>309.99999999994543</v>
      </c>
      <c r="S13" s="33">
        <f>'Kwh Reading'!E14-'Kwh Reading'!E13</f>
        <v>2386.609999999404</v>
      </c>
      <c r="T13" s="33">
        <f>'Kwh Reading'!D14-'Kwh Reading'!D13</f>
        <v>1577.0099999997765</v>
      </c>
      <c r="U13" s="27">
        <f>('Kwh Reading'!O14-'Kwh Reading'!O13)*1000</f>
        <v>189.99999999999773</v>
      </c>
      <c r="V13" s="16">
        <f t="shared" si="1"/>
        <v>5496.3800000011561</v>
      </c>
    </row>
    <row r="14" spans="1:22" x14ac:dyDescent="0.25">
      <c r="A14" s="3">
        <f>'Kwh Reading'!A14</f>
        <v>44753</v>
      </c>
      <c r="B14" s="26">
        <f>TOTAL!E12</f>
        <v>21350.000000001273</v>
      </c>
      <c r="C14" s="4">
        <f>('Kwh Reading'!T15-'Kwh Reading'!T14)*1000</f>
        <v>490.00000000000909</v>
      </c>
      <c r="D14" s="2">
        <f>('Kwh Reading'!F15-'Kwh Reading'!F14)*1000000</f>
        <v>2700.0000000003688</v>
      </c>
      <c r="E14" s="2">
        <f>('Kwh Reading'!C15-'Kwh Reading'!C14)*1000</f>
        <v>250</v>
      </c>
      <c r="F14" s="2">
        <f>('Kwh Reading'!J15-'Kwh Reading'!J14)*1000</f>
        <v>589.99999999997499</v>
      </c>
      <c r="G14" s="2">
        <f>('Kwh Reading'!K15-'Kwh Reading'!K14)*1000</f>
        <v>409.99999999996817</v>
      </c>
      <c r="H14" s="2">
        <f>('Kwh Reading'!L15-'Kwh Reading'!L14)*1000</f>
        <v>290.00000000002046</v>
      </c>
      <c r="I14" s="2">
        <f>('Kwh Reading'!R15-'Kwh Reading'!R14)*1000</f>
        <v>0</v>
      </c>
      <c r="J14" s="2">
        <f>('Kwh Reading'!S15-'Kwh Reading'!S14)*1000</f>
        <v>139.99999999998636</v>
      </c>
      <c r="K14" s="2">
        <f>('Kwh Reading'!I15-'Kwh Reading'!I14)*1000</f>
        <v>290.00000000002046</v>
      </c>
      <c r="L14" s="2">
        <f>('Kwh Reading'!B15-'Kwh Reading'!B14)*1000000</f>
        <v>1100.000000000101</v>
      </c>
      <c r="M14" s="2">
        <f>('Kwh Reading'!M15-'Kwh Reading'!M14)*1000</f>
        <v>680.00000000006366</v>
      </c>
      <c r="N14" s="2">
        <f>('Kwh Reading'!H15-'Kwh Reading'!H14)*1000</f>
        <v>1149.9999999999773</v>
      </c>
      <c r="O14" s="2">
        <f>('Kwh Reading'!P15-'Kwh Reading'!P14)*1000</f>
        <v>889.99999999998636</v>
      </c>
      <c r="P14" s="2">
        <f>('Kwh Reading'!G15-'Kwh Reading'!G14)*1000000</f>
        <v>999.99999999988984</v>
      </c>
      <c r="Q14" s="2">
        <f>('Kwh Reading'!Q15-'Kwh Reading'!Q14)*1000</f>
        <v>690.00000000005457</v>
      </c>
      <c r="R14" s="2">
        <f>('Kwh Reading'!N15-'Kwh Reading'!N14)*1000</f>
        <v>279.99999999997272</v>
      </c>
      <c r="S14" s="33">
        <f>'Kwh Reading'!E15-'Kwh Reading'!E14</f>
        <v>2433.6500000003725</v>
      </c>
      <c r="T14" s="33">
        <f>'Kwh Reading'!D15-'Kwh Reading'!D14</f>
        <v>1743.4699999997392</v>
      </c>
      <c r="U14" s="27">
        <f>('Kwh Reading'!O15-'Kwh Reading'!O14)*1000</f>
        <v>210.00000000000796</v>
      </c>
      <c r="V14" s="16">
        <f t="shared" si="1"/>
        <v>6012.8800000007614</v>
      </c>
    </row>
    <row r="15" spans="1:22" x14ac:dyDescent="0.25">
      <c r="A15" s="3">
        <f>'Kwh Reading'!A15</f>
        <v>44754</v>
      </c>
      <c r="B15" s="26">
        <f>TOTAL!E13</f>
        <v>20939.99999999869</v>
      </c>
      <c r="C15" s="4">
        <f>('Kwh Reading'!T16-'Kwh Reading'!T15)*1000</f>
        <v>470.00000000002728</v>
      </c>
      <c r="D15" s="2">
        <f>('Kwh Reading'!F16-'Kwh Reading'!F15)*1000000</f>
        <v>2799.9999999996917</v>
      </c>
      <c r="E15" s="2">
        <f>('Kwh Reading'!C16-'Kwh Reading'!C15)*1000</f>
        <v>250</v>
      </c>
      <c r="F15" s="2">
        <f>('Kwh Reading'!J16-'Kwh Reading'!J15)*1000</f>
        <v>450.00000000004547</v>
      </c>
      <c r="G15" s="2">
        <f>('Kwh Reading'!K16-'Kwh Reading'!K15)*1000</f>
        <v>310.00000000000227</v>
      </c>
      <c r="H15" s="2">
        <f>('Kwh Reading'!L16-'Kwh Reading'!L15)*1000</f>
        <v>219.99999999997044</v>
      </c>
      <c r="I15" s="2">
        <f>('Kwh Reading'!R16-'Kwh Reading'!R15)*1000</f>
        <v>0</v>
      </c>
      <c r="J15" s="2">
        <f>('Kwh Reading'!S16-'Kwh Reading'!S15)*1000</f>
        <v>140.00000000001478</v>
      </c>
      <c r="K15" s="2">
        <f>('Kwh Reading'!I16-'Kwh Reading'!I15)*1000</f>
        <v>379.99999999999545</v>
      </c>
      <c r="L15" s="2">
        <f>('Kwh Reading'!B16-'Kwh Reading'!B15)*1000000</f>
        <v>999.99999999988984</v>
      </c>
      <c r="M15" s="2">
        <f>('Kwh Reading'!M16-'Kwh Reading'!M15)*1000</f>
        <v>669.99999999995907</v>
      </c>
      <c r="N15" s="2">
        <f>('Kwh Reading'!H16-'Kwh Reading'!H15)*1000</f>
        <v>1069.9999999999363</v>
      </c>
      <c r="O15" s="2">
        <f>('Kwh Reading'!P16-'Kwh Reading'!P15)*1000</f>
        <v>809.99999999994543</v>
      </c>
      <c r="P15" s="2">
        <f>('Kwh Reading'!G16-'Kwh Reading'!G15)*1000000</f>
        <v>800.00000000013392</v>
      </c>
      <c r="Q15" s="2">
        <f>('Kwh Reading'!Q16-'Kwh Reading'!Q15)*1000</f>
        <v>699.99999999993179</v>
      </c>
      <c r="R15" s="2">
        <f>('Kwh Reading'!N16-'Kwh Reading'!N15)*1000</f>
        <v>270.0000000000955</v>
      </c>
      <c r="S15" s="33">
        <f>'Kwh Reading'!E16-'Kwh Reading'!E15</f>
        <v>2346.2400000002235</v>
      </c>
      <c r="T15" s="33">
        <f>'Kwh Reading'!D16-'Kwh Reading'!D15</f>
        <v>1493.660000000149</v>
      </c>
      <c r="U15" s="27">
        <f>('Kwh Reading'!O16-'Kwh Reading'!O15)*1000</f>
        <v>199.99999999998863</v>
      </c>
      <c r="V15" s="16">
        <f t="shared" si="1"/>
        <v>6560.0999999986889</v>
      </c>
    </row>
    <row r="16" spans="1:22" x14ac:dyDescent="0.25">
      <c r="A16" s="3">
        <f>'Kwh Reading'!A16</f>
        <v>44755</v>
      </c>
      <c r="B16" s="26">
        <f>TOTAL!E14</f>
        <v>22400.000000000317</v>
      </c>
      <c r="C16" s="4">
        <f>('Kwh Reading'!T17-'Kwh Reading'!T16)*1000</f>
        <v>539.99999999996362</v>
      </c>
      <c r="D16" s="2">
        <f>('Kwh Reading'!F17-'Kwh Reading'!F16)*1000000</f>
        <v>2699.9999999999245</v>
      </c>
      <c r="E16" s="2">
        <f>('Kwh Reading'!C17-'Kwh Reading'!C16)*1000</f>
        <v>270.00000000003865</v>
      </c>
      <c r="F16" s="2">
        <f>('Kwh Reading'!J17-'Kwh Reading'!J16)*1000</f>
        <v>599.99999999996589</v>
      </c>
      <c r="G16" s="2">
        <f>('Kwh Reading'!K17-'Kwh Reading'!K16)*1000</f>
        <v>370.00000000000455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370.00000000000455</v>
      </c>
      <c r="L16" s="2">
        <f>('Kwh Reading'!B17-'Kwh Reading'!B16)*1000000</f>
        <v>1200.0000000000898</v>
      </c>
      <c r="M16" s="2">
        <f>('Kwh Reading'!M17-'Kwh Reading'!M16)*1000</f>
        <v>769.99999999998181</v>
      </c>
      <c r="N16" s="2">
        <f>('Kwh Reading'!H17-'Kwh Reading'!H16)*1000</f>
        <v>1100.0000000000227</v>
      </c>
      <c r="O16" s="2">
        <f>('Kwh Reading'!P17-'Kwh Reading'!P16)*1000</f>
        <v>910.00000000008185</v>
      </c>
      <c r="P16" s="2">
        <f>('Kwh Reading'!G17-'Kwh Reading'!G16)*1000000</f>
        <v>899.99999999990087</v>
      </c>
      <c r="Q16" s="2">
        <f>('Kwh Reading'!Q17-'Kwh Reading'!Q16)*1000</f>
        <v>710.00000000003638</v>
      </c>
      <c r="R16" s="2">
        <f>('Kwh Reading'!N17-'Kwh Reading'!N16)*1000</f>
        <v>289.99999999996362</v>
      </c>
      <c r="S16" s="33">
        <f>'Kwh Reading'!E17-'Kwh Reading'!E16</f>
        <v>2604.5099999997765</v>
      </c>
      <c r="T16" s="33">
        <f>'Kwh Reading'!D17-'Kwh Reading'!D16</f>
        <v>1624.410000000149</v>
      </c>
      <c r="U16" s="27">
        <f>('Kwh Reading'!O17-'Kwh Reading'!O16)*1000</f>
        <v>240.00000000000909</v>
      </c>
      <c r="V16" s="16">
        <f t="shared" si="1"/>
        <v>6811.0800000003892</v>
      </c>
    </row>
    <row r="17" spans="1:22" x14ac:dyDescent="0.25">
      <c r="A17" s="3">
        <f>'Kwh Reading'!A17</f>
        <v>44756</v>
      </c>
      <c r="B17" s="26">
        <f>TOTAL!E15</f>
        <v>21419.999999999618</v>
      </c>
      <c r="C17" s="4">
        <f>('Kwh Reading'!T18-'Kwh Reading'!T17)*1000</f>
        <v>540.00000000007731</v>
      </c>
      <c r="D17" s="2">
        <f>('Kwh Reading'!F18-'Kwh Reading'!F17)*1000000</f>
        <v>2800.0000000001355</v>
      </c>
      <c r="E17" s="2">
        <f>('Kwh Reading'!C18-'Kwh Reading'!C17)*1000</f>
        <v>239.99999999995225</v>
      </c>
      <c r="F17" s="2">
        <f>('Kwh Reading'!J18-'Kwh Reading'!J17)*1000</f>
        <v>370.00000000000455</v>
      </c>
      <c r="G17" s="2">
        <f>('Kwh Reading'!K18-'Kwh Reading'!K17)*1000</f>
        <v>350.00000000002274</v>
      </c>
      <c r="H17" s="2">
        <f>('Kwh Reading'!L18-'Kwh Reading'!L17)*1000</f>
        <v>230.00000000001819</v>
      </c>
      <c r="I17" s="2">
        <f>('Kwh Reading'!R18-'Kwh Reading'!R17)*1000</f>
        <v>0</v>
      </c>
      <c r="J17" s="2">
        <f>('Kwh Reading'!S18-'Kwh Reading'!S17)*1000</f>
        <v>149.99999999997726</v>
      </c>
      <c r="K17" s="2">
        <f>('Kwh Reading'!I18-'Kwh Reading'!I17)*1000</f>
        <v>350.00000000002274</v>
      </c>
      <c r="L17" s="2">
        <f>('Kwh Reading'!B18-'Kwh Reading'!B17)*1000000</f>
        <v>1199.9999999998679</v>
      </c>
      <c r="M17" s="2">
        <f>('Kwh Reading'!M18-'Kwh Reading'!M17)*1000</f>
        <v>740.00000000000909</v>
      </c>
      <c r="N17" s="2">
        <f>('Kwh Reading'!H18-'Kwh Reading'!H17)*1000</f>
        <v>1160.0000000000819</v>
      </c>
      <c r="O17" s="2">
        <f>('Kwh Reading'!P18-'Kwh Reading'!P17)*1000</f>
        <v>870.00000000000455</v>
      </c>
      <c r="P17" s="2">
        <f>('Kwh Reading'!G18-'Kwh Reading'!G17)*1000000</f>
        <v>799.99999999991189</v>
      </c>
      <c r="Q17" s="2">
        <f>('Kwh Reading'!Q18-'Kwh Reading'!Q17)*1000</f>
        <v>769.99999999998181</v>
      </c>
      <c r="R17" s="2">
        <f>('Kwh Reading'!N18-'Kwh Reading'!N17)*1000</f>
        <v>309.99999999994543</v>
      </c>
      <c r="S17" s="33">
        <f>'Kwh Reading'!E18-'Kwh Reading'!E17</f>
        <v>2723.8700000010431</v>
      </c>
      <c r="T17" s="33">
        <f>'Kwh Reading'!D18-'Kwh Reading'!D17</f>
        <v>1692.0300000002608</v>
      </c>
      <c r="U17" s="27">
        <f>('Kwh Reading'!O18-'Kwh Reading'!O17)*1000</f>
        <v>250</v>
      </c>
      <c r="V17" s="16">
        <f t="shared" si="1"/>
        <v>5874.0999999982996</v>
      </c>
    </row>
    <row r="18" spans="1:22" x14ac:dyDescent="0.25">
      <c r="A18" s="3">
        <f>'Kwh Reading'!A18</f>
        <v>44757</v>
      </c>
      <c r="B18" s="26">
        <f>TOTAL!E16</f>
        <v>21000.000000000455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220.00000000002728</v>
      </c>
      <c r="F18" s="2">
        <f>('Kwh Reading'!J19-'Kwh Reading'!J18)*1000</f>
        <v>410.00000000002501</v>
      </c>
      <c r="G18" s="2">
        <f>('Kwh Reading'!K19-'Kwh Reading'!K18)*1000</f>
        <v>300.00000000001137</v>
      </c>
      <c r="H18" s="2">
        <f>('Kwh Reading'!L19-'Kwh Reading'!L18)*1000</f>
        <v>229.99999999996135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329.99999999998408</v>
      </c>
      <c r="L18" s="2">
        <f>('Kwh Reading'!B19-'Kwh Reading'!B18)*1000000</f>
        <v>1100.000000000101</v>
      </c>
      <c r="M18" s="2">
        <f>('Kwh Reading'!M19-'Kwh Reading'!M18)*1000</f>
        <v>769.99999999998181</v>
      </c>
      <c r="N18" s="2">
        <f>('Kwh Reading'!H19-'Kwh Reading'!H18)*1000</f>
        <v>1019.9999999999818</v>
      </c>
      <c r="O18" s="2">
        <f>('Kwh Reading'!P19-'Kwh Reading'!P18)*1000</f>
        <v>829.99999999992724</v>
      </c>
      <c r="P18" s="2">
        <f>('Kwh Reading'!G19-'Kwh Reading'!G18)*1000000</f>
        <v>800.00000000013392</v>
      </c>
      <c r="Q18" s="2">
        <f>('Kwh Reading'!Q19-'Kwh Reading'!Q18)*1000</f>
        <v>730.00000000001819</v>
      </c>
      <c r="R18" s="2">
        <f>('Kwh Reading'!N19-'Kwh Reading'!N18)*1000</f>
        <v>340.00000000003183</v>
      </c>
      <c r="S18" s="33">
        <f>'Kwh Reading'!E19-'Kwh Reading'!E18</f>
        <v>2021.5999999996275</v>
      </c>
      <c r="T18" s="33">
        <f>'Kwh Reading'!D19-'Kwh Reading'!D18</f>
        <v>1633.4399999994785</v>
      </c>
      <c r="U18" s="27">
        <f>('Kwh Reading'!O19-'Kwh Reading'!O18)*1000</f>
        <v>239.99999999998067</v>
      </c>
      <c r="V18" s="16">
        <f t="shared" si="1"/>
        <v>6914.9600000012633</v>
      </c>
    </row>
    <row r="19" spans="1:22" x14ac:dyDescent="0.25">
      <c r="A19" s="3">
        <f>'Kwh Reading'!A19</f>
        <v>44758</v>
      </c>
      <c r="B19" s="26">
        <f>TOTAL!E17</f>
        <v>20670.000000000528</v>
      </c>
      <c r="C19" s="4">
        <f>('Kwh Reading'!T20-'Kwh Reading'!T19)*1000</f>
        <v>509.99999999999091</v>
      </c>
      <c r="D19" s="2">
        <f>('Kwh Reading'!F20-'Kwh Reading'!F19)*1000000</f>
        <v>2800.0000000001355</v>
      </c>
      <c r="E19" s="2">
        <f>('Kwh Reading'!C20-'Kwh Reading'!C19)*1000</f>
        <v>240.00000000000909</v>
      </c>
      <c r="F19" s="2">
        <f>('Kwh Reading'!J20-'Kwh Reading'!J19)*1000</f>
        <v>449.99999999998863</v>
      </c>
      <c r="G19" s="2">
        <f>('Kwh Reading'!K20-'Kwh Reading'!K19)*1000</f>
        <v>310.00000000000227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319.99999999999318</v>
      </c>
      <c r="L19" s="2">
        <f>('Kwh Reading'!B20-'Kwh Reading'!B19)*1000000</f>
        <v>1099.9999999998788</v>
      </c>
      <c r="M19" s="2">
        <f>('Kwh Reading'!M20-'Kwh Reading'!M19)*1000</f>
        <v>640.00000000010004</v>
      </c>
      <c r="N19" s="2">
        <f>('Kwh Reading'!H20-'Kwh Reading'!H19)*1000</f>
        <v>1059.9999999999454</v>
      </c>
      <c r="O19" s="2">
        <f>('Kwh Reading'!P20-'Kwh Reading'!P19)*1000</f>
        <v>790.00000000007731</v>
      </c>
      <c r="P19" s="2">
        <f>('Kwh Reading'!G20-'Kwh Reading'!G19)*1000000</f>
        <v>799.99999999991189</v>
      </c>
      <c r="Q19" s="2">
        <f>('Kwh Reading'!Q20-'Kwh Reading'!Q19)*1000</f>
        <v>700.00000000004547</v>
      </c>
      <c r="R19" s="2">
        <f>('Kwh Reading'!N20-'Kwh Reading'!N19)*1000</f>
        <v>320.00000000005002</v>
      </c>
      <c r="S19" s="33">
        <f>'Kwh Reading'!E20-'Kwh Reading'!E19</f>
        <v>2427.070000000298</v>
      </c>
      <c r="T19" s="33">
        <f>'Kwh Reading'!D20-'Kwh Reading'!D19</f>
        <v>1604.4000000003725</v>
      </c>
      <c r="U19" s="27">
        <f>('Kwh Reading'!O20-'Kwh Reading'!O19)*1000</f>
        <v>340.00000000000341</v>
      </c>
      <c r="V19" s="16">
        <f t="shared" si="1"/>
        <v>5888.5299999997187</v>
      </c>
    </row>
    <row r="20" spans="1:22" x14ac:dyDescent="0.25">
      <c r="A20" s="3">
        <f>'Kwh Reading'!A20</f>
        <v>44759</v>
      </c>
      <c r="B20" s="26">
        <f>TOTAL!E18</f>
        <v>18609.999999999447</v>
      </c>
      <c r="C20" s="4">
        <f>('Kwh Reading'!T21-'Kwh Reading'!T20)*1000</f>
        <v>460.00000000003638</v>
      </c>
      <c r="D20" s="2">
        <f>('Kwh Reading'!F21-'Kwh Reading'!F20)*1000000</f>
        <v>2699.9999999999245</v>
      </c>
      <c r="E20" s="2">
        <f>('Kwh Reading'!C21-'Kwh Reading'!C20)*1000</f>
        <v>229.99999999996135</v>
      </c>
      <c r="F20" s="2">
        <f>('Kwh Reading'!J21-'Kwh Reading'!J20)*1000</f>
        <v>480.00000000001819</v>
      </c>
      <c r="G20" s="2">
        <f>('Kwh Reading'!K21-'Kwh Reading'!K20)*1000</f>
        <v>289.99999999996362</v>
      </c>
      <c r="H20" s="27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300.00000000001137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909.99999999996817</v>
      </c>
      <c r="O20" s="2">
        <f>('Kwh Reading'!P21-'Kwh Reading'!P20)*1000</f>
        <v>759.99999999999091</v>
      </c>
      <c r="P20" s="2">
        <f>('Kwh Reading'!G21-'Kwh Reading'!G20)*1000000</f>
        <v>700.00000000014495</v>
      </c>
      <c r="Q20" s="2">
        <f>('Kwh Reading'!Q21-'Kwh Reading'!Q20)*1000</f>
        <v>559.99999999994543</v>
      </c>
      <c r="R20" s="2">
        <f>('Kwh Reading'!N21-'Kwh Reading'!N20)*1000</f>
        <v>229.9999999999045</v>
      </c>
      <c r="S20" s="33">
        <f>'Kwh Reading'!E21-'Kwh Reading'!E20</f>
        <v>2587.2599999997765</v>
      </c>
      <c r="T20" s="33">
        <f>'Kwh Reading'!D21-'Kwh Reading'!D20</f>
        <v>1370.1899999994785</v>
      </c>
      <c r="U20" s="27">
        <f>('Kwh Reading'!O21-'Kwh Reading'!O20)*1000</f>
        <v>80.000000000012506</v>
      </c>
      <c r="V20" s="16">
        <f t="shared" si="1"/>
        <v>4972.5500000002339</v>
      </c>
    </row>
    <row r="21" spans="1:22" ht="16.5" customHeight="1" x14ac:dyDescent="0.25">
      <c r="A21" s="3">
        <f>'Kwh Reading'!A21</f>
        <v>44760</v>
      </c>
      <c r="B21" s="26">
        <f>TOTAL!E19</f>
        <v>19219.9999999998</v>
      </c>
      <c r="C21" s="4">
        <f>('Kwh Reading'!T22-'Kwh Reading'!T21)*1000</f>
        <v>500</v>
      </c>
      <c r="D21" s="2">
        <f>('Kwh Reading'!F22-'Kwh Reading'!F21)*1000000</f>
        <v>2699.9999999999245</v>
      </c>
      <c r="E21" s="2">
        <f>('Kwh Reading'!C22-'Kwh Reading'!C21)*1000</f>
        <v>240.00000000000909</v>
      </c>
      <c r="F21" s="2">
        <f>('Kwh Reading'!J22-'Kwh Reading'!J21)*1000</f>
        <v>439.99999999999773</v>
      </c>
      <c r="G21" s="2">
        <f>('Kwh Reading'!K22-'Kwh Reading'!K21)*1000</f>
        <v>310.00000000000227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129.99999999999545</v>
      </c>
      <c r="K21" s="2">
        <f>('Kwh Reading'!I22-'Kwh Reading'!I21)*1000</f>
        <v>279.99999999997272</v>
      </c>
      <c r="L21" s="2">
        <f>('Kwh Reading'!B22-'Kwh Reading'!B21)*1000000</f>
        <v>799.99999999991189</v>
      </c>
      <c r="M21" s="2">
        <f>('Kwh Reading'!M22-'Kwh Reading'!M21)*1000</f>
        <v>659.99999999996817</v>
      </c>
      <c r="N21" s="2">
        <f>('Kwh Reading'!H22-'Kwh Reading'!H21)*1000</f>
        <v>910.00000000008185</v>
      </c>
      <c r="O21" s="2">
        <f>('Kwh Reading'!P22-'Kwh Reading'!P21)*1000</f>
        <v>719.9999999999136</v>
      </c>
      <c r="P21" s="2">
        <f>('Kwh Reading'!G22-'Kwh Reading'!G21)*1000000</f>
        <v>699.99999999992292</v>
      </c>
      <c r="Q21" s="2">
        <f>('Kwh Reading'!Q22-'Kwh Reading'!Q21)*1000</f>
        <v>600.00000000002274</v>
      </c>
      <c r="R21" s="2">
        <f>('Kwh Reading'!N22-'Kwh Reading'!N21)*1000</f>
        <v>230.00000000001819</v>
      </c>
      <c r="S21" s="33">
        <f>'Kwh Reading'!E22-'Kwh Reading'!E21</f>
        <v>2570.390000000596</v>
      </c>
      <c r="T21" s="33">
        <f>'Kwh Reading'!D22-'Kwh Reading'!D21</f>
        <v>1538.8100000005215</v>
      </c>
      <c r="U21" s="27">
        <f>('Kwh Reading'!O22-'Kwh Reading'!O21)*1000</f>
        <v>189.99999999999773</v>
      </c>
      <c r="V21" s="16">
        <f t="shared" si="1"/>
        <v>5480.799999998917</v>
      </c>
    </row>
    <row r="22" spans="1:22" x14ac:dyDescent="0.25">
      <c r="A22" s="3">
        <f>'Kwh Reading'!A22</f>
        <v>44761</v>
      </c>
      <c r="B22" s="26">
        <f>TOTAL!E20</f>
        <v>20550.000000000407</v>
      </c>
      <c r="C22" s="4">
        <f>('Kwh Reading'!T23-'Kwh Reading'!T22)*1000</f>
        <v>490.00000000000909</v>
      </c>
      <c r="D22" s="2">
        <f>('Kwh Reading'!F23-'Kwh Reading'!F22)*1000000</f>
        <v>2400.0000000001796</v>
      </c>
      <c r="E22" s="2">
        <f>('Kwh Reading'!C23-'Kwh Reading'!C22)*1000</f>
        <v>250</v>
      </c>
      <c r="F22" s="2">
        <f>('Kwh Reading'!J23-'Kwh Reading'!J22)*1000</f>
        <v>579.99999999998408</v>
      </c>
      <c r="G22" s="2">
        <f>('Kwh Reading'!K23-'Kwh Reading'!K22)*1000</f>
        <v>350.00000000002274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120.00000000000455</v>
      </c>
      <c r="K22" s="2">
        <f>('Kwh Reading'!I23-'Kwh Reading'!I22)*1000</f>
        <v>300.00000000001137</v>
      </c>
      <c r="L22" s="2">
        <f>('Kwh Reading'!B23-'Kwh Reading'!B22)*1000000</f>
        <v>1000.0000000001119</v>
      </c>
      <c r="M22" s="2">
        <f>('Kwh Reading'!M23-'Kwh Reading'!M22)*1000</f>
        <v>649.99999999997726</v>
      </c>
      <c r="N22" s="2">
        <f>('Kwh Reading'!H23-'Kwh Reading'!H22)*1000</f>
        <v>1019.9999999999818</v>
      </c>
      <c r="O22" s="2">
        <f>('Kwh Reading'!P23-'Kwh Reading'!P22)*1000</f>
        <v>740.00000000000909</v>
      </c>
      <c r="P22" s="2">
        <f>('Kwh Reading'!G23-'Kwh Reading'!G22)*1000000</f>
        <v>799.99999999991189</v>
      </c>
      <c r="Q22" s="2">
        <f>('Kwh Reading'!Q23-'Kwh Reading'!Q22)*1000</f>
        <v>669.99999999995907</v>
      </c>
      <c r="R22" s="2">
        <f>('Kwh Reading'!N23-'Kwh Reading'!N22)*1000</f>
        <v>370.00000000000455</v>
      </c>
      <c r="S22" s="33">
        <f>'Kwh Reading'!E23-'Kwh Reading'!E22</f>
        <v>2745.4499999992549</v>
      </c>
      <c r="T22" s="33">
        <f>'Kwh Reading'!D23-'Kwh Reading'!D22</f>
        <v>1740.4599999999627</v>
      </c>
      <c r="U22" s="27">
        <f>('Kwh Reading'!O23-'Kwh Reading'!O22)*1000</f>
        <v>199.99999999998863</v>
      </c>
      <c r="V22" s="16">
        <f t="shared" si="1"/>
        <v>5874.0900000010333</v>
      </c>
    </row>
    <row r="23" spans="1:22" x14ac:dyDescent="0.25">
      <c r="A23" s="3">
        <f>'Kwh Reading'!A23</f>
        <v>44762</v>
      </c>
      <c r="B23" s="26">
        <f>TOTAL!E21</f>
        <v>18319.999999998799</v>
      </c>
      <c r="C23" s="4">
        <f>('Kwh Reading'!T24-'Kwh Reading'!T23)*1000</f>
        <v>509.99999999999091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420.00000000001592</v>
      </c>
      <c r="G23" s="2">
        <f>('Kwh Reading'!K24-'Kwh Reading'!K23)*1000</f>
        <v>279.99999999997272</v>
      </c>
      <c r="H23" s="2">
        <f>('Kwh Reading'!L24-'Kwh Reading'!L23)*1000</f>
        <v>209.99999999997954</v>
      </c>
      <c r="I23" s="2">
        <f>('Kwh Reading'!R24-'Kwh Reading'!R23)*1000</f>
        <v>0</v>
      </c>
      <c r="J23" s="2">
        <f>('Kwh Reading'!S24-'Kwh Reading'!S23)*1000</f>
        <v>129.99999999999545</v>
      </c>
      <c r="K23" s="2">
        <f>('Kwh Reading'!I24-'Kwh Reading'!I23)*1000</f>
        <v>230.00000000001819</v>
      </c>
      <c r="L23" s="2">
        <f>('Kwh Reading'!B24-'Kwh Reading'!B23)*1000000</f>
        <v>799.99999999991189</v>
      </c>
      <c r="M23" s="2">
        <f>('Kwh Reading'!M24-'Kwh Reading'!M23)*1000</f>
        <v>530.0000000000864</v>
      </c>
      <c r="N23" s="2">
        <f>('Kwh Reading'!H24-'Kwh Reading'!H23)*1000</f>
        <v>789.99999999996362</v>
      </c>
      <c r="O23" s="2">
        <f>('Kwh Reading'!P24-'Kwh Reading'!P23)*1000</f>
        <v>680.00000000006366</v>
      </c>
      <c r="P23" s="2">
        <f>('Kwh Reading'!G24-'Kwh Reading'!G23)*1000000</f>
        <v>600.00000000015598</v>
      </c>
      <c r="Q23" s="2">
        <f>('Kwh Reading'!Q24-'Kwh Reading'!Q23)*1000</f>
        <v>519.99999999998181</v>
      </c>
      <c r="R23" s="2">
        <f>('Kwh Reading'!N24-'Kwh Reading'!N23)*1000</f>
        <v>250</v>
      </c>
      <c r="S23" s="33">
        <f>'Kwh Reading'!E24-'Kwh Reading'!E23</f>
        <v>2208.9599999990314</v>
      </c>
      <c r="T23" s="33">
        <f>'Kwh Reading'!D24-'Kwh Reading'!D23</f>
        <v>1524.1399999996647</v>
      </c>
      <c r="U23" s="27">
        <f>('Kwh Reading'!O24-'Kwh Reading'!O23)*1000</f>
        <v>200.00000000001705</v>
      </c>
      <c r="V23" s="124">
        <f t="shared" si="1"/>
        <v>5686.9000000000051</v>
      </c>
    </row>
    <row r="24" spans="1:22" x14ac:dyDescent="0.25">
      <c r="A24" s="3">
        <f>'Kwh Reading'!A24</f>
        <v>44763</v>
      </c>
      <c r="B24" s="26">
        <f>TOTAL!E22</f>
        <v>19470.000000001164</v>
      </c>
      <c r="C24" s="4">
        <f>('Kwh Reading'!T25-'Kwh Reading'!T24)*1000</f>
        <v>490.00000000000909</v>
      </c>
      <c r="D24" s="2">
        <f>('Kwh Reading'!F25-'Kwh Reading'!F24)*1000000</f>
        <v>2600.0000000001578</v>
      </c>
      <c r="E24" s="2">
        <f>('Kwh Reading'!C25-'Kwh Reading'!C24)*1000</f>
        <v>250</v>
      </c>
      <c r="F24" s="2">
        <f>('Kwh Reading'!J25-'Kwh Reading'!J24)*1000</f>
        <v>519.99999999998181</v>
      </c>
      <c r="G24" s="2">
        <f>('Kwh Reading'!K25-'Kwh Reading'!K24)*1000</f>
        <v>340.00000000003183</v>
      </c>
      <c r="H24" s="2">
        <f>('Kwh Reading'!L25-'Kwh Reading'!L24)*1000</f>
        <v>259.99999999999091</v>
      </c>
      <c r="I24" s="2">
        <f>('Kwh Reading'!R25-'Kwh Reading'!R24)*1000</f>
        <v>0</v>
      </c>
      <c r="J24" s="2">
        <f>('Kwh Reading'!S25-'Kwh Reading'!S24)*1000</f>
        <v>120.00000000000455</v>
      </c>
      <c r="K24" s="2">
        <f>('Kwh Reading'!I25-'Kwh Reading'!I24)*1000</f>
        <v>240.00000000000909</v>
      </c>
      <c r="L24" s="2">
        <f>('Kwh Reading'!B25-'Kwh Reading'!B24)*1000000</f>
        <v>1000.0000000001119</v>
      </c>
      <c r="M24" s="2">
        <f>('Kwh Reading'!M25-'Kwh Reading'!M24)*1000</f>
        <v>549.99999999995453</v>
      </c>
      <c r="N24" s="2">
        <f>('Kwh Reading'!H25-'Kwh Reading'!H24)*1000</f>
        <v>899.99999999997726</v>
      </c>
      <c r="O24" s="2">
        <f>('Kwh Reading'!P25-'Kwh Reading'!P24)*1000</f>
        <v>620.00000000000455</v>
      </c>
      <c r="P24" s="2">
        <f>('Kwh Reading'!G25-'Kwh Reading'!G24)*1000000</f>
        <v>699.99999999992292</v>
      </c>
      <c r="Q24" s="2">
        <f>('Kwh Reading'!Q25-'Kwh Reading'!Q24)*1000</f>
        <v>610.00000000001364</v>
      </c>
      <c r="R24" s="2">
        <f>('Kwh Reading'!N25-'Kwh Reading'!N24)*1000</f>
        <v>350.00000000002274</v>
      </c>
      <c r="S24" s="2">
        <f>'Kwh Reading'!E25-'Kwh Reading'!E24</f>
        <v>2468.910000000149</v>
      </c>
      <c r="T24" s="2">
        <f>'Kwh Reading'!D25-'Kwh Reading'!D24</f>
        <v>1899.4000000003725</v>
      </c>
      <c r="U24" s="27">
        <f>('Kwh Reading'!O25-'Kwh Reading'!O24)*1000</f>
        <v>199.99999999998863</v>
      </c>
      <c r="V24" s="16">
        <f t="shared" si="1"/>
        <v>5351.6900000004607</v>
      </c>
    </row>
    <row r="25" spans="1:22" x14ac:dyDescent="0.25">
      <c r="A25" s="3">
        <f>'Kwh Reading'!A25</f>
        <v>44764</v>
      </c>
      <c r="B25" s="26">
        <f>TOTAL!E23</f>
        <v>20690.000000000735</v>
      </c>
      <c r="C25" s="4">
        <f>('Kwh Reading'!T26-'Kwh Reading'!T25)*1000</f>
        <v>279.99999999997272</v>
      </c>
      <c r="D25" s="2">
        <f>('Kwh Reading'!F26-'Kwh Reading'!F25)*1000000</f>
        <v>2699.9999999999245</v>
      </c>
      <c r="E25" s="2">
        <f>('Kwh Reading'!C26-'Kwh Reading'!C25)*1000</f>
        <v>250</v>
      </c>
      <c r="F25" s="2">
        <f>('Kwh Reading'!J26-'Kwh Reading'!J25)*1000</f>
        <v>449.99999999998863</v>
      </c>
      <c r="G25" s="2">
        <f>('Kwh Reading'!K26-'Kwh Reading'!K25)*1000</f>
        <v>319.99999999999318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250</v>
      </c>
      <c r="L25" s="2">
        <f>('Kwh Reading'!B26-'Kwh Reading'!B25)*1000000</f>
        <v>899.99999999990087</v>
      </c>
      <c r="M25" s="2">
        <f>('Kwh Reading'!M26-'Kwh Reading'!M25)*1000</f>
        <v>679.99999999994998</v>
      </c>
      <c r="N25" s="2">
        <f>('Kwh Reading'!H26-'Kwh Reading'!H25)*1000</f>
        <v>1120.0000000000045</v>
      </c>
      <c r="O25" s="2">
        <f>('Kwh Reading'!P26-'Kwh Reading'!P25)*1000</f>
        <v>730.00000000001819</v>
      </c>
      <c r="P25" s="2">
        <f>('Kwh Reading'!G26-'Kwh Reading'!G25)*1000000</f>
        <v>799.99999999991189</v>
      </c>
      <c r="Q25" s="2">
        <f>('Kwh Reading'!Q26-'Kwh Reading'!Q25)*1000</f>
        <v>639.99999999998636</v>
      </c>
      <c r="R25" s="2">
        <f>('Kwh Reading'!N26-'Kwh Reading'!N25)*1000</f>
        <v>310.00000000005912</v>
      </c>
      <c r="S25" s="2">
        <f>'Kwh Reading'!E26-'Kwh Reading'!E25</f>
        <v>2236.3300000000745</v>
      </c>
      <c r="T25" s="2">
        <f>'Kwh Reading'!D26-'Kwh Reading'!D25</f>
        <v>2005.570000000298</v>
      </c>
      <c r="U25" s="27">
        <f>('Kwh Reading'!O26-'Kwh Reading'!O25)*1000</f>
        <v>170.00000000001592</v>
      </c>
      <c r="V25" s="16">
        <f t="shared" si="1"/>
        <v>6458.1000000006225</v>
      </c>
    </row>
    <row r="26" spans="1:22" x14ac:dyDescent="0.25">
      <c r="A26" s="3">
        <f>'Kwh Reading'!A26</f>
        <v>44765</v>
      </c>
      <c r="B26" s="26">
        <f>TOTAL!E24</f>
        <v>20989.999999999782</v>
      </c>
      <c r="C26" s="4">
        <f>('Kwh Reading'!T27-'Kwh Reading'!T26)*1000</f>
        <v>509.99999999999091</v>
      </c>
      <c r="D26" s="2">
        <f>('Kwh Reading'!F27-'Kwh Reading'!F26)*1000000</f>
        <v>2600.0000000001578</v>
      </c>
      <c r="E26" s="2">
        <f>('Kwh Reading'!C27-'Kwh Reading'!C26)*1000</f>
        <v>259.99999999999091</v>
      </c>
      <c r="F26" s="2">
        <f>('Kwh Reading'!J27-'Kwh Reading'!J26)*1000</f>
        <v>509.99999999999091</v>
      </c>
      <c r="G26" s="2">
        <f>('Kwh Reading'!K27-'Kwh Reading'!K26)*1000</f>
        <v>300.00000000001137</v>
      </c>
      <c r="H26" s="2">
        <f>('Kwh Reading'!L27-'Kwh Reading'!L26)*1000</f>
        <v>240.00000000000909</v>
      </c>
      <c r="I26" s="2">
        <f>('Kwh Reading'!R27-'Kwh Reading'!R26)*1000</f>
        <v>0</v>
      </c>
      <c r="J26" s="2">
        <f>('Kwh Reading'!S27-'Kwh Reading'!S26)*1000</f>
        <v>129.99999999999545</v>
      </c>
      <c r="K26" s="2">
        <f>('Kwh Reading'!I27-'Kwh Reading'!I26)*1000</f>
        <v>259.99999999999091</v>
      </c>
      <c r="L26" s="2">
        <f>('Kwh Reading'!B27-'Kwh Reading'!B26)*1000000</f>
        <v>1100.000000000101</v>
      </c>
      <c r="M26" s="2">
        <f>('Kwh Reading'!M27-'Kwh Reading'!M26)*1000</f>
        <v>680.00000000006366</v>
      </c>
      <c r="N26" s="2">
        <f>('Kwh Reading'!H27-'Kwh Reading'!H26)*1000</f>
        <v>1110.0000000000136</v>
      </c>
      <c r="O26" s="2">
        <f>('Kwh Reading'!P27-'Kwh Reading'!P26)*1000</f>
        <v>659.99999999996817</v>
      </c>
      <c r="P26" s="2">
        <f>('Kwh Reading'!G27-'Kwh Reading'!G26)*1000000</f>
        <v>800.00000000013392</v>
      </c>
      <c r="Q26" s="2">
        <f>('Kwh Reading'!Q27-'Kwh Reading'!Q26)*1000</f>
        <v>610.00000000001364</v>
      </c>
      <c r="R26" s="2">
        <f>('Kwh Reading'!N27-'Kwh Reading'!N26)*1000</f>
        <v>289.99999999996362</v>
      </c>
      <c r="S26" s="2">
        <f>'Kwh Reading'!E27-'Kwh Reading'!E26</f>
        <v>2701.4400000013411</v>
      </c>
      <c r="T26" s="2">
        <f>'Kwh Reading'!D27-'Kwh Reading'!D26</f>
        <v>2074.6399999996647</v>
      </c>
      <c r="U26" s="27">
        <f>('Kwh Reading'!O27-'Kwh Reading'!O26)*1000</f>
        <v>189.99999999999773</v>
      </c>
      <c r="V26" s="16">
        <f t="shared" si="1"/>
        <v>5963.9199999983812</v>
      </c>
    </row>
    <row r="27" spans="1:22" s="128" customFormat="1" x14ac:dyDescent="0.25">
      <c r="A27" s="126">
        <f>'Kwh Reading'!A27</f>
        <v>44766</v>
      </c>
      <c r="B27" s="26">
        <f>TOTAL!E25</f>
        <v>20429.999999998472</v>
      </c>
      <c r="C27" s="127">
        <f>('Kwh Reading'!T28-'Kwh Reading'!T27)*1000</f>
        <v>529.99999999997272</v>
      </c>
      <c r="D27" s="27">
        <f>('Kwh Reading'!F28-'Kwh Reading'!F27)*1000000</f>
        <v>2599.9999999997135</v>
      </c>
      <c r="E27" s="27">
        <f>('Kwh Reading'!C28-'Kwh Reading'!C27)*1000</f>
        <v>240.00000000000909</v>
      </c>
      <c r="F27" s="27">
        <f>('Kwh Reading'!J28-'Kwh Reading'!J27)*1000</f>
        <v>530.00000000002956</v>
      </c>
      <c r="G27" s="27">
        <f>('Kwh Reading'!K28-'Kwh Reading'!K27)*1000</f>
        <v>329.99999999998408</v>
      </c>
      <c r="H27" s="27">
        <f>('Kwh Reading'!L28-'Kwh Reading'!L27)*1000</f>
        <v>240.00000000000909</v>
      </c>
      <c r="I27" s="27">
        <f>('Kwh Reading'!R28-'Kwh Reading'!R27)*1000</f>
        <v>0</v>
      </c>
      <c r="J27" s="27">
        <f>('Kwh Reading'!S28-'Kwh Reading'!S27)*1000</f>
        <v>129.99999999999545</v>
      </c>
      <c r="K27" s="27">
        <f>('Kwh Reading'!I28-'Kwh Reading'!I27)*1000</f>
        <v>279.99999999997272</v>
      </c>
      <c r="L27" s="27">
        <f>('Kwh Reading'!B28-'Kwh Reading'!B27)*1000000</f>
        <v>999.99999999988984</v>
      </c>
      <c r="M27" s="27">
        <f>('Kwh Reading'!M28-'Kwh Reading'!M27)*1000</f>
        <v>710.00000000003638</v>
      </c>
      <c r="N27" s="27">
        <f>('Kwh Reading'!H28-'Kwh Reading'!H27)*1000</f>
        <v>990.00000000000909</v>
      </c>
      <c r="O27" s="27">
        <f>('Kwh Reading'!P28-'Kwh Reading'!P27)*1000</f>
        <v>639.99999999998636</v>
      </c>
      <c r="P27" s="27">
        <f>('Kwh Reading'!G28-'Kwh Reading'!G27)*1000000</f>
        <v>699.99999999992292</v>
      </c>
      <c r="Q27" s="27">
        <f>('Kwh Reading'!Q28-'Kwh Reading'!Q27)*1000</f>
        <v>580.00000000004093</v>
      </c>
      <c r="R27" s="27">
        <f>('Kwh Reading'!N28-'Kwh Reading'!N27)*1000</f>
        <v>340.00000000003183</v>
      </c>
      <c r="S27" s="27">
        <f>'Kwh Reading'!E28-'Kwh Reading'!E27</f>
        <v>2561.3699999991804</v>
      </c>
      <c r="T27" s="27">
        <f>'Kwh Reading'!D28-'Kwh Reading'!D27</f>
        <v>1932.3700000001118</v>
      </c>
      <c r="U27" s="27">
        <f>('Kwh Reading'!O28-'Kwh Reading'!O27)*1000</f>
        <v>159.99999999999659</v>
      </c>
      <c r="V27" s="124">
        <f t="shared" si="1"/>
        <v>5936.25999999958</v>
      </c>
    </row>
    <row r="28" spans="1:22" s="128" customFormat="1" x14ac:dyDescent="0.25">
      <c r="A28" s="126">
        <f>'Kwh Reading'!A28</f>
        <v>44767</v>
      </c>
      <c r="B28" s="26">
        <f>TOTAL!E26</f>
        <v>0</v>
      </c>
      <c r="C28" s="127">
        <f>('Kwh Reading'!T29-'Kwh Reading'!T28)*1000</f>
        <v>500</v>
      </c>
      <c r="D28" s="27">
        <f>('Kwh Reading'!F29-'Kwh Reading'!F28)*1000000</f>
        <v>2800.0000000001355</v>
      </c>
      <c r="E28" s="27">
        <f>('Kwh Reading'!C29-'Kwh Reading'!C28)*1000</f>
        <v>259.99999999999091</v>
      </c>
      <c r="F28" s="27">
        <f>('Kwh Reading'!J29-'Kwh Reading'!J28)*1000</f>
        <v>579.99999999998408</v>
      </c>
      <c r="G28" s="27">
        <f>('Kwh Reading'!K29-'Kwh Reading'!K28)*1000</f>
        <v>329.99999999998408</v>
      </c>
      <c r="H28" s="27">
        <f>('Kwh Reading'!L29-'Kwh Reading'!L28)*1000</f>
        <v>240.00000000000909</v>
      </c>
      <c r="I28" s="27">
        <f>('Kwh Reading'!R29-'Kwh Reading'!R28)*1000</f>
        <v>0</v>
      </c>
      <c r="J28" s="27">
        <f>('Kwh Reading'!S29-'Kwh Reading'!S28)*1000</f>
        <v>90.000000000003411</v>
      </c>
      <c r="K28" s="27">
        <f>('Kwh Reading'!I29-'Kwh Reading'!I28)*1000</f>
        <v>310.00000000000227</v>
      </c>
      <c r="L28" s="27">
        <f>('Kwh Reading'!B29-'Kwh Reading'!B28)*1000000</f>
        <v>999.99999999988984</v>
      </c>
      <c r="M28" s="27">
        <f>('Kwh Reading'!M29-'Kwh Reading'!M28)*1000</f>
        <v>629.99999999999545</v>
      </c>
      <c r="N28" s="131">
        <f>('Kwh Reading'!H29-'Kwh Reading'!H28)*1000</f>
        <v>899.99999999997726</v>
      </c>
      <c r="O28" s="27">
        <f>('Kwh Reading'!P29-'Kwh Reading'!P28)*1000</f>
        <v>720.00000000002728</v>
      </c>
      <c r="P28" s="27">
        <f>('Kwh Reading'!G29-'Kwh Reading'!G28)*1000000</f>
        <v>699.99999999992292</v>
      </c>
      <c r="Q28" s="27">
        <f>('Kwh Reading'!Q29-'Kwh Reading'!Q28)*1000</f>
        <v>620.00000000000455</v>
      </c>
      <c r="R28" s="27">
        <f>('Kwh Reading'!N29-'Kwh Reading'!N28)*1000</f>
        <v>309.99999999994543</v>
      </c>
      <c r="S28" s="27">
        <f>'Kwh Reading'!E29-'Kwh Reading'!E28</f>
        <v>2616.9499999992549</v>
      </c>
      <c r="T28" s="27">
        <f>'Kwh Reading'!D29-'Kwh Reading'!D28</f>
        <v>2137.9900000002235</v>
      </c>
      <c r="U28" s="27">
        <f>('Kwh Reading'!O29-'Kwh Reading'!O28)*1000</f>
        <v>209.99999999997954</v>
      </c>
      <c r="V28" s="124">
        <f t="shared" si="1"/>
        <v>-14954.939999999331</v>
      </c>
    </row>
    <row r="29" spans="1:22" x14ac:dyDescent="0.25">
      <c r="A29" s="3">
        <f>'Kwh Reading'!A29</f>
        <v>44768</v>
      </c>
      <c r="B29" s="26">
        <f>TOTAL!E27</f>
        <v>0</v>
      </c>
      <c r="C29" s="4">
        <f>('Kwh Reading'!T30-'Kwh Reading'!T29)*1000</f>
        <v>519.99999999998181</v>
      </c>
      <c r="D29" s="2">
        <f>('Kwh Reading'!F30-'Kwh Reading'!F29)*1000000</f>
        <v>2600.0000000001578</v>
      </c>
      <c r="E29" s="2">
        <f>('Kwh Reading'!C30-'Kwh Reading'!C29)*1000</f>
        <v>270.00000000003865</v>
      </c>
      <c r="F29" s="2">
        <f>('Kwh Reading'!J30-'Kwh Reading'!J29)*1000</f>
        <v>600.00000000002274</v>
      </c>
      <c r="G29" s="2">
        <f>('Kwh Reading'!K30-'Kwh Reading'!K29)*1000</f>
        <v>350.00000000002274</v>
      </c>
      <c r="H29" s="2">
        <f>('Kwh Reading'!L30-'Kwh Reading'!L29)*1000</f>
        <v>240.00000000000909</v>
      </c>
      <c r="I29" s="2">
        <f>('Kwh Reading'!R30-'Kwh Reading'!R29)*1000</f>
        <v>0</v>
      </c>
      <c r="J29" s="2">
        <f>('Kwh Reading'!S30-'Kwh Reading'!S29)*1000</f>
        <v>140.00000000001478</v>
      </c>
      <c r="K29" s="2">
        <f>('Kwh Reading'!I30-'Kwh Reading'!I29)*1000</f>
        <v>310.00000000000227</v>
      </c>
      <c r="L29" s="2">
        <f>('Kwh Reading'!B30-'Kwh Reading'!B29)*1000000</f>
        <v>1000.0000000001119</v>
      </c>
      <c r="M29" s="2">
        <f>('Kwh Reading'!M30-'Kwh Reading'!M29)*1000</f>
        <v>569.99999999993634</v>
      </c>
      <c r="N29" s="2">
        <f>('Kwh Reading'!H30-'Kwh Reading'!H29)*1000</f>
        <v>1200.0000000000455</v>
      </c>
      <c r="O29" s="2">
        <f>('Kwh Reading'!P30-'Kwh Reading'!P29)*1000</f>
        <v>779.99999999997272</v>
      </c>
      <c r="P29" s="2">
        <f>('Kwh Reading'!G30-'Kwh Reading'!G29)*1000000</f>
        <v>700.00000000014495</v>
      </c>
      <c r="Q29" s="2">
        <f>('Kwh Reading'!Q30-'Kwh Reading'!Q29)*1000</f>
        <v>590.00000000003183</v>
      </c>
      <c r="R29" s="2">
        <f>('Kwh Reading'!N30-'Kwh Reading'!N29)*1000</f>
        <v>289.99999999996362</v>
      </c>
      <c r="S29" s="2">
        <f>'Kwh Reading'!E30-'Kwh Reading'!E29</f>
        <v>2848.3100000005215</v>
      </c>
      <c r="T29" s="2">
        <f>'Kwh Reading'!D30-'Kwh Reading'!D29</f>
        <v>2894.3300000000745</v>
      </c>
      <c r="U29" s="27">
        <f>('Kwh Reading'!O30-'Kwh Reading'!O29)*1000</f>
        <v>219.99999999999886</v>
      </c>
      <c r="V29" s="16">
        <f t="shared" si="1"/>
        <v>-16122.640000001053</v>
      </c>
    </row>
    <row r="30" spans="1:22" x14ac:dyDescent="0.25">
      <c r="A30" s="3">
        <f>'Kwh Reading'!A30</f>
        <v>44769</v>
      </c>
      <c r="B30" s="26">
        <f>TOTAL!E28</f>
        <v>0</v>
      </c>
      <c r="C30" s="4">
        <f>('Kwh Reading'!T31-'Kwh Reading'!T30)*1000</f>
        <v>560.00000000005912</v>
      </c>
      <c r="D30" s="2">
        <f>('Kwh Reading'!F31-'Kwh Reading'!F30)*1000000</f>
        <v>2599.9999999997135</v>
      </c>
      <c r="E30" s="2">
        <f>('Kwh Reading'!C31-'Kwh Reading'!C30)*1000</f>
        <v>259.99999999999091</v>
      </c>
      <c r="F30" s="2">
        <f>('Kwh Reading'!J31-'Kwh Reading'!J30)*1000</f>
        <v>509.99999999999091</v>
      </c>
      <c r="G30" s="2">
        <f>('Kwh Reading'!K31-'Kwh Reading'!K30)*1000</f>
        <v>370.00000000000455</v>
      </c>
      <c r="H30" s="2">
        <f>('Kwh Reading'!L31-'Kwh Reading'!L30)*1000</f>
        <v>239.99999999995225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290.00000000002046</v>
      </c>
      <c r="L30" s="2">
        <f>('Kwh Reading'!B31-'Kwh Reading'!B30)*1000000</f>
        <v>999.99999999988984</v>
      </c>
      <c r="M30" s="2">
        <f>('Kwh Reading'!M31-'Kwh Reading'!M30)*1000</f>
        <v>659.99999999996817</v>
      </c>
      <c r="N30" s="2">
        <f>('Kwh Reading'!H31-'Kwh Reading'!H30)*1000</f>
        <v>1100.0000000000227</v>
      </c>
      <c r="O30" s="2">
        <f>('Kwh Reading'!P31-'Kwh Reading'!P30)*1000</f>
        <v>669.99999999995907</v>
      </c>
      <c r="P30" s="2">
        <f>('Kwh Reading'!G31-'Kwh Reading'!G30)*1000000</f>
        <v>699.99999999992292</v>
      </c>
      <c r="Q30" s="2">
        <f>('Kwh Reading'!Q31-'Kwh Reading'!Q30)*1000</f>
        <v>559.99999999994543</v>
      </c>
      <c r="R30" s="2">
        <f>('Kwh Reading'!N31-'Kwh Reading'!N30)*1000</f>
        <v>320.00000000005002</v>
      </c>
      <c r="S30" s="2">
        <f>'Kwh Reading'!E31-'Kwh Reading'!E30</f>
        <v>2705.820000000298</v>
      </c>
      <c r="T30" s="2">
        <f>'Kwh Reading'!D31-'Kwh Reading'!D30</f>
        <v>1336.0999999996275</v>
      </c>
      <c r="U30" s="27">
        <f>('Kwh Reading'!O31-'Kwh Reading'!O30)*1000</f>
        <v>200.00000000001705</v>
      </c>
      <c r="V30" s="16">
        <f t="shared" si="1"/>
        <v>-14231.919999999436</v>
      </c>
    </row>
    <row r="31" spans="1:22" s="128" customFormat="1" x14ac:dyDescent="0.25">
      <c r="A31" s="126">
        <f>'Kwh Reading'!A31</f>
        <v>44770</v>
      </c>
      <c r="B31" s="26">
        <f>TOTAL!E29</f>
        <v>0</v>
      </c>
      <c r="C31" s="127">
        <f>('Kwh Reading'!T32-'Kwh Reading'!T31)*1000</f>
        <v>-611980</v>
      </c>
      <c r="D31" s="27">
        <f>('Kwh Reading'!F32-'Kwh Reading'!F31)*1000000</f>
        <v>-3408000</v>
      </c>
      <c r="E31" s="27">
        <f>('Kwh Reading'!C32-'Kwh Reading'!C31)*1000</f>
        <v>-327180</v>
      </c>
      <c r="F31" s="27">
        <f>('Kwh Reading'!J32-'Kwh Reading'!J31)*1000</f>
        <v>-494490</v>
      </c>
      <c r="G31" s="27">
        <f>('Kwh Reading'!K32-'Kwh Reading'!K31)*1000</f>
        <v>-475420</v>
      </c>
      <c r="H31" s="27">
        <f>('Kwh Reading'!L32-'Kwh Reading'!L31)*1000</f>
        <v>-324840</v>
      </c>
      <c r="I31" s="27">
        <f>('Kwh Reading'!R32-'Kwh Reading'!R31)*1000</f>
        <v>-190150</v>
      </c>
      <c r="J31" s="27">
        <f>('Kwh Reading'!S32-'Kwh Reading'!S31)*1000</f>
        <v>-168860</v>
      </c>
      <c r="K31" s="27">
        <f>('Kwh Reading'!I32-'Kwh Reading'!I31)*1000</f>
        <v>-355300</v>
      </c>
      <c r="L31" s="27">
        <f>('Kwh Reading'!B32-'Kwh Reading'!B31)*1000000</f>
        <v>-1440500</v>
      </c>
      <c r="M31" s="27">
        <f>('Kwh Reading'!M32-'Kwh Reading'!M31)*1000</f>
        <v>-817180</v>
      </c>
      <c r="N31" s="27">
        <f>('Kwh Reading'!H32-'Kwh Reading'!H31)*1000</f>
        <v>-1004100</v>
      </c>
      <c r="O31" s="27">
        <f>('Kwh Reading'!P32-'Kwh Reading'!P31)*1000</f>
        <v>-993170</v>
      </c>
      <c r="P31" s="27">
        <f>('Kwh Reading'!G32-'Kwh Reading'!G31)*1000000</f>
        <v>-1091100</v>
      </c>
      <c r="Q31" s="27">
        <f>('Kwh Reading'!Q32-'Kwh Reading'!Q31)*1000</f>
        <v>-741890</v>
      </c>
      <c r="R31" s="27">
        <f>('Kwh Reading'!N32-'Kwh Reading'!N31)*1000</f>
        <v>-744990</v>
      </c>
      <c r="S31" s="27">
        <f>'Kwh Reading'!E32-'Kwh Reading'!E31</f>
        <v>-9292864.5</v>
      </c>
      <c r="T31" s="27">
        <f>'Kwh Reading'!D32-'Kwh Reading'!D31</f>
        <v>-8291995.0800000001</v>
      </c>
      <c r="U31" s="27">
        <f>('Kwh Reading'!O32-'Kwh Reading'!O31)*1000</f>
        <v>-235340</v>
      </c>
      <c r="V31" s="124">
        <f t="shared" si="1"/>
        <v>31009349.579999998</v>
      </c>
    </row>
    <row r="32" spans="1:22" x14ac:dyDescent="0.25">
      <c r="A32" s="3">
        <f>'Kwh Reading'!A32</f>
        <v>44771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44772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44773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495879.99999999965</v>
      </c>
      <c r="C35" s="72">
        <f t="shared" ref="C35" si="2">SUM(C4:C34)</f>
        <v>-599330</v>
      </c>
      <c r="D35" s="72">
        <f t="shared" ref="D35" si="3">SUM(D4:D34)</f>
        <v>-3335100</v>
      </c>
      <c r="E35" s="72">
        <f t="shared" ref="E35" si="4">SUM(E4:E34)</f>
        <v>-320480</v>
      </c>
      <c r="F35" s="72">
        <f t="shared" ref="F35" si="5">SUM(F4:F34)</f>
        <v>-479779.99999999994</v>
      </c>
      <c r="G35" s="72">
        <f t="shared" ref="G35:U35" si="6">SUM(G4:G34)</f>
        <v>-466600</v>
      </c>
      <c r="H35" s="72">
        <f t="shared" si="6"/>
        <v>-318210</v>
      </c>
      <c r="I35" s="72">
        <f t="shared" si="6"/>
        <v>-190150</v>
      </c>
      <c r="J35" s="72">
        <f t="shared" si="6"/>
        <v>-165090</v>
      </c>
      <c r="K35" s="72">
        <f t="shared" si="6"/>
        <v>-347580</v>
      </c>
      <c r="L35" s="72">
        <f t="shared" si="6"/>
        <v>-1413800</v>
      </c>
      <c r="M35" s="72">
        <f t="shared" si="6"/>
        <v>-798690.00000000012</v>
      </c>
      <c r="N35" s="72">
        <f t="shared" si="6"/>
        <v>-975890</v>
      </c>
      <c r="O35" s="72">
        <f t="shared" si="6"/>
        <v>-970620</v>
      </c>
      <c r="P35" s="72">
        <f t="shared" si="6"/>
        <v>-1069900</v>
      </c>
      <c r="Q35" s="72">
        <f t="shared" si="6"/>
        <v>-724970</v>
      </c>
      <c r="R35" s="72">
        <f t="shared" si="6"/>
        <v>-736490</v>
      </c>
      <c r="S35" s="72">
        <f t="shared" si="6"/>
        <v>-9225323.1099999994</v>
      </c>
      <c r="T35" s="72">
        <f t="shared" si="6"/>
        <v>-8242532.1299999999</v>
      </c>
      <c r="U35" s="72">
        <f t="shared" si="6"/>
        <v>-229860</v>
      </c>
      <c r="V35" s="72">
        <f>SUM(V4:V34)</f>
        <v>31106275.239999998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44743</v>
      </c>
      <c r="B3" s="80">
        <f>TOTAL!E2</f>
        <v>21750.000000000684</v>
      </c>
      <c r="C3" s="1">
        <f>'Kwh Consumption'!C4</f>
        <v>259.99999999999091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1220.0000000000273</v>
      </c>
      <c r="G3" s="16">
        <f>('Kwh Consumption'!I4+'Kwh Consumption'!J4)</f>
        <v>139.99999999998636</v>
      </c>
      <c r="H3" s="1">
        <f>('Kwh Consumption'!K4+'Kwh Consumption'!L4)</f>
        <v>1210.0000000001251</v>
      </c>
      <c r="I3" s="1">
        <f>('Kwh Consumption'!M4+'Kwh Consumption'!N4+'Kwh Consumption'!O4+'Kwh Consumption'!P4+'Kwh Consumption'!Q4+'Kwh Consumption'!R4)</f>
        <v>4699.9999999998554</v>
      </c>
      <c r="J3" s="1">
        <f>('Kwh Consumption'!S4+'Kwh Consumption'!T4)</f>
        <v>4898.3100000014529</v>
      </c>
      <c r="K3" s="1">
        <f>'Kwh Consumption'!U4</f>
        <v>209.99999999997954</v>
      </c>
      <c r="L3" s="31">
        <f t="shared" ref="L3:L33" si="0">B3-C3-D3-E3-F3-G3-H3-I3-J3-K3</f>
        <v>6161.689999999342</v>
      </c>
    </row>
    <row r="4" spans="1:12" x14ac:dyDescent="0.25">
      <c r="A4" s="14">
        <f>'Kwh Reading'!A5</f>
        <v>44744</v>
      </c>
      <c r="B4" s="80">
        <f>TOTAL!E3</f>
        <v>19070.000000000618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240.00000000000909</v>
      </c>
      <c r="F4" s="1">
        <f>('Kwh Consumption'!F5+'Kwh Consumption'!G5+'Kwh Consumption'!H5)</f>
        <v>1819.9999999999932</v>
      </c>
      <c r="G4" s="16">
        <f>('Kwh Consumption'!I5+'Kwh Consumption'!J5)</f>
        <v>150.00000000000568</v>
      </c>
      <c r="H4" s="1">
        <f>('Kwh Consumption'!K5+'Kwh Consumption'!L5)</f>
        <v>1159.9999999998918</v>
      </c>
      <c r="I4" s="1">
        <f>('Kwh Consumption'!M5+'Kwh Consumption'!N5+'Kwh Consumption'!O5+'Kwh Consumption'!P5+'Kwh Consumption'!Q5+'Kwh Consumption'!R5)</f>
        <v>3960.0000000001019</v>
      </c>
      <c r="J4" s="1">
        <f>('Kwh Consumption'!S5+'Kwh Consumption'!T5)</f>
        <v>3878.8799999998882</v>
      </c>
      <c r="K4" s="1">
        <f>'Kwh Consumption'!U5</f>
        <v>210.00000000000796</v>
      </c>
      <c r="L4" s="31">
        <f t="shared" si="0"/>
        <v>4461.1200000007912</v>
      </c>
    </row>
    <row r="5" spans="1:12" x14ac:dyDescent="0.25">
      <c r="A5" s="14">
        <f>'Kwh Reading'!A6</f>
        <v>44745</v>
      </c>
      <c r="B5" s="80">
        <f>TOTAL!E4</f>
        <v>20219.999999999345</v>
      </c>
      <c r="C5" s="1">
        <f>'Kwh Consumption'!C6</f>
        <v>490.00000000000909</v>
      </c>
      <c r="D5" s="1">
        <f>'Kwh Consumption'!D6</f>
        <v>2699.9999999999245</v>
      </c>
      <c r="E5" s="1">
        <f>'Kwh Consumption'!E6</f>
        <v>229.99999999996135</v>
      </c>
      <c r="F5" s="1">
        <f>('Kwh Consumption'!F6+'Kwh Consumption'!G6+'Kwh Consumption'!H6)</f>
        <v>1009.9999999999909</v>
      </c>
      <c r="G5" s="16">
        <f>('Kwh Consumption'!I6+'Kwh Consumption'!J6)</f>
        <v>150.00000000000568</v>
      </c>
      <c r="H5" s="1">
        <f>('Kwh Consumption'!K6+'Kwh Consumption'!L6)</f>
        <v>1060.0000000001817</v>
      </c>
      <c r="I5" s="1">
        <f>('Kwh Consumption'!M6+'Kwh Consumption'!N6+'Kwh Consumption'!O6+'Kwh Consumption'!P6+'Kwh Consumption'!Q6+'Kwh Consumption'!R6)</f>
        <v>3979.9999999998954</v>
      </c>
      <c r="J5" s="1">
        <f>('Kwh Consumption'!S6+'Kwh Consumption'!T6)</f>
        <v>3857.7900000000373</v>
      </c>
      <c r="K5" s="1">
        <f>'Kwh Consumption'!U6</f>
        <v>210.00000000000796</v>
      </c>
      <c r="L5" s="31">
        <f t="shared" si="0"/>
        <v>6532.2099999993361</v>
      </c>
    </row>
    <row r="6" spans="1:12" x14ac:dyDescent="0.25">
      <c r="A6" s="14">
        <f>'Kwh Reading'!A7</f>
        <v>44746</v>
      </c>
      <c r="B6" s="80">
        <f>TOTAL!E5</f>
        <v>21180.000000001426</v>
      </c>
      <c r="C6" s="1">
        <f>'Kwh Consumption'!C7</f>
        <v>489.99999999989541</v>
      </c>
      <c r="D6" s="1">
        <f>'Kwh Consumption'!D7</f>
        <v>2800.0000000001355</v>
      </c>
      <c r="E6" s="1">
        <f>'Kwh Consumption'!E7</f>
        <v>240.00000000000909</v>
      </c>
      <c r="F6" s="1">
        <f>('Kwh Consumption'!F7+'Kwh Consumption'!G7+'Kwh Consumption'!H7)</f>
        <v>1000</v>
      </c>
      <c r="G6" s="16">
        <f>('Kwh Consumption'!I7+'Kwh Consumption'!J7)</f>
        <v>150.00000000000568</v>
      </c>
      <c r="H6" s="1">
        <f>('Kwh Consumption'!K7+'Kwh Consumption'!L7)</f>
        <v>1279.9999999998627</v>
      </c>
      <c r="I6" s="1">
        <f>('Kwh Consumption'!M7+'Kwh Consumption'!N7+'Kwh Consumption'!O7+'Kwh Consumption'!P7+'Kwh Consumption'!Q7+'Kwh Consumption'!R7)</f>
        <v>4890.0000000000236</v>
      </c>
      <c r="J6" s="1">
        <f>('Kwh Consumption'!S7+'Kwh Consumption'!T7)</f>
        <v>4708.3799999989569</v>
      </c>
      <c r="K6" s="1">
        <f>'Kwh Consumption'!U7</f>
        <v>179.9999999999784</v>
      </c>
      <c r="L6" s="31">
        <f t="shared" si="0"/>
        <v>5441.6200000025619</v>
      </c>
    </row>
    <row r="7" spans="1:12" x14ac:dyDescent="0.25">
      <c r="A7" s="14">
        <f>'Kwh Reading'!A8</f>
        <v>44747</v>
      </c>
      <c r="B7" s="80">
        <f>TOTAL!E6</f>
        <v>21579.99999999697</v>
      </c>
      <c r="C7" s="1">
        <f>'Kwh Consumption'!C8</f>
        <v>490.00000000000909</v>
      </c>
      <c r="D7" s="1">
        <f>'Kwh Consumption'!D8</f>
        <v>2699.9999999999245</v>
      </c>
      <c r="E7" s="1">
        <f>'Kwh Consumption'!E8</f>
        <v>250</v>
      </c>
      <c r="F7" s="1">
        <f>('Kwh Consumption'!F8+'Kwh Consumption'!G8+'Kwh Consumption'!H8)</f>
        <v>1270.0000000000387</v>
      </c>
      <c r="G7" s="16">
        <f>('Kwh Consumption'!I8+'Kwh Consumption'!J8)</f>
        <v>150.00000000000568</v>
      </c>
      <c r="H7" s="1">
        <f>('Kwh Consumption'!K8+'Kwh Consumption'!L8)</f>
        <v>1270.0000000000937</v>
      </c>
      <c r="I7" s="1">
        <f>('Kwh Consumption'!M8+'Kwh Consumption'!N8+'Kwh Consumption'!O8+'Kwh Consumption'!P8+'Kwh Consumption'!Q8+'Kwh Consumption'!R8)</f>
        <v>4769.9999999999336</v>
      </c>
      <c r="J7" s="1">
        <f>('Kwh Consumption'!S8+'Kwh Consumption'!T8)</f>
        <v>4838.429999999702</v>
      </c>
      <c r="K7" s="1">
        <f>'Kwh Consumption'!U8</f>
        <v>219.99999999999886</v>
      </c>
      <c r="L7" s="31">
        <f t="shared" si="0"/>
        <v>5621.5699999972576</v>
      </c>
    </row>
    <row r="8" spans="1:12" x14ac:dyDescent="0.25">
      <c r="A8" s="14">
        <f>'Kwh Reading'!A9</f>
        <v>44748</v>
      </c>
      <c r="B8" s="80">
        <f>TOTAL!E7</f>
        <v>21510.000000001583</v>
      </c>
      <c r="C8" s="1">
        <f>'Kwh Consumption'!C9</f>
        <v>530.0000000000864</v>
      </c>
      <c r="D8" s="1">
        <f>'Kwh Consumption'!D9</f>
        <v>2800.0000000001355</v>
      </c>
      <c r="E8" s="1">
        <f>'Kwh Consumption'!E9</f>
        <v>269.99999999998181</v>
      </c>
      <c r="F8" s="1">
        <f>('Kwh Consumption'!F9+'Kwh Consumption'!G9+'Kwh Consumption'!H9)</f>
        <v>1180.0000000000068</v>
      </c>
      <c r="G8" s="16">
        <f>('Kwh Consumption'!I9+'Kwh Consumption'!J9)</f>
        <v>149.99999999997726</v>
      </c>
      <c r="H8" s="1">
        <f>('Kwh Consumption'!K9+'Kwh Consumption'!L9)</f>
        <v>1249.99999999989</v>
      </c>
      <c r="I8" s="1">
        <f>('Kwh Consumption'!M9+'Kwh Consumption'!N9+'Kwh Consumption'!O9+'Kwh Consumption'!P9+'Kwh Consumption'!Q9+'Kwh Consumption'!R9)</f>
        <v>4589.9999999999891</v>
      </c>
      <c r="J8" s="1">
        <f>('Kwh Consumption'!S9+'Kwh Consumption'!T9)</f>
        <v>4513.980000000447</v>
      </c>
      <c r="K8" s="1">
        <f>'Kwh Consumption'!U9</f>
        <v>200.00000000001705</v>
      </c>
      <c r="L8" s="31">
        <f t="shared" si="0"/>
        <v>6026.0200000010491</v>
      </c>
    </row>
    <row r="9" spans="1:12" x14ac:dyDescent="0.25">
      <c r="A9" s="14">
        <f>'Kwh Reading'!A10</f>
        <v>44749</v>
      </c>
      <c r="B9" s="80">
        <f>TOTAL!E8</f>
        <v>21340.000000000146</v>
      </c>
      <c r="C9" s="1">
        <f>'Kwh Consumption'!C10</f>
        <v>490.00000000000909</v>
      </c>
      <c r="D9" s="1">
        <f>'Kwh Consumption'!D10</f>
        <v>2799.9999999996917</v>
      </c>
      <c r="E9" s="1">
        <f>'Kwh Consumption'!E10</f>
        <v>270.00000000003865</v>
      </c>
      <c r="F9" s="1">
        <f>('Kwh Consumption'!F10+'Kwh Consumption'!G10+'Kwh Consumption'!H10)</f>
        <v>1229.9999999999613</v>
      </c>
      <c r="G9" s="16">
        <f>('Kwh Consumption'!I10+'Kwh Consumption'!J10)</f>
        <v>159.99999999999659</v>
      </c>
      <c r="H9" s="1">
        <f>('Kwh Consumption'!K10+'Kwh Consumption'!L10)</f>
        <v>1370.0000000001396</v>
      </c>
      <c r="I9" s="1">
        <f>('Kwh Consumption'!M10+'Kwh Consumption'!N10+'Kwh Consumption'!O10+'Kwh Consumption'!P10+'Kwh Consumption'!Q10+'Kwh Consumption'!R10)</f>
        <v>4749.9999999997299</v>
      </c>
      <c r="J9" s="1">
        <f>('Kwh Consumption'!S10+'Kwh Consumption'!T10)</f>
        <v>4682.9900000002235</v>
      </c>
      <c r="K9" s="1">
        <f>'Kwh Consumption'!U10</f>
        <v>199.99999999998863</v>
      </c>
      <c r="L9" s="31">
        <f t="shared" si="0"/>
        <v>5387.0100000003695</v>
      </c>
    </row>
    <row r="10" spans="1:12" x14ac:dyDescent="0.25">
      <c r="A10" s="14">
        <f>'Kwh Reading'!A11</f>
        <v>44750</v>
      </c>
      <c r="B10" s="80">
        <f>TOTAL!E9</f>
        <v>21009.999999998854</v>
      </c>
      <c r="C10" s="1">
        <f>'Kwh Consumption'!C11</f>
        <v>229.9999999999045</v>
      </c>
      <c r="D10" s="1">
        <f>'Kwh Consumption'!D11</f>
        <v>2800.0000000001355</v>
      </c>
      <c r="E10" s="1">
        <f>'Kwh Consumption'!E11</f>
        <v>199.99999999998863</v>
      </c>
      <c r="F10" s="1">
        <f>('Kwh Consumption'!F11+'Kwh Consumption'!G11+'Kwh Consumption'!H11)</f>
        <v>1120.0000000000045</v>
      </c>
      <c r="G10" s="16">
        <f>('Kwh Consumption'!I11+'Kwh Consumption'!J11)</f>
        <v>150.00000000000568</v>
      </c>
      <c r="H10" s="1">
        <f>('Kwh Consumption'!K11+'Kwh Consumption'!L11)</f>
        <v>1259.9999999998809</v>
      </c>
      <c r="I10" s="1">
        <f>('Kwh Consumption'!M11+'Kwh Consumption'!N11+'Kwh Consumption'!O11+'Kwh Consumption'!P11+'Kwh Consumption'!Q11+'Kwh Consumption'!R11)</f>
        <v>4650.0000000002365</v>
      </c>
      <c r="J10" s="1">
        <f>('Kwh Consumption'!S11+'Kwh Consumption'!T11)</f>
        <v>4043.0299999993294</v>
      </c>
      <c r="K10" s="1">
        <f>'Kwh Consumption'!U11</f>
        <v>150.00000000000568</v>
      </c>
      <c r="L10" s="31">
        <f t="shared" si="0"/>
        <v>6406.9699999993627</v>
      </c>
    </row>
    <row r="11" spans="1:12" x14ac:dyDescent="0.25">
      <c r="A11" s="14">
        <f>'Kwh Reading'!A12</f>
        <v>44751</v>
      </c>
      <c r="B11" s="80">
        <f>TOTAL!E10</f>
        <v>22420.000000000757</v>
      </c>
      <c r="C11" s="1">
        <f>'Kwh Consumption'!C12</f>
        <v>540.00000000007731</v>
      </c>
      <c r="D11" s="1">
        <f>'Kwh Consumption'!D12</f>
        <v>2800.0000000001355</v>
      </c>
      <c r="E11" s="1">
        <f>'Kwh Consumption'!E12</f>
        <v>279.99999999997272</v>
      </c>
      <c r="F11" s="1">
        <f>('Kwh Consumption'!F12+'Kwh Consumption'!G12+'Kwh Consumption'!H12)</f>
        <v>1060.0000000000023</v>
      </c>
      <c r="G11" s="16">
        <f>('Kwh Consumption'!I12+'Kwh Consumption'!J12)</f>
        <v>129.99999999999545</v>
      </c>
      <c r="H11" s="1">
        <f>('Kwh Consumption'!K12+'Kwh Consumption'!L12)</f>
        <v>1140.0000000001319</v>
      </c>
      <c r="I11" s="1">
        <f>('Kwh Consumption'!M12+'Kwh Consumption'!N12+'Kwh Consumption'!O12+'Kwh Consumption'!P12+'Kwh Consumption'!Q12+'Kwh Consumption'!R12)</f>
        <v>4780.0000000001573</v>
      </c>
      <c r="J11" s="1">
        <f>('Kwh Consumption'!S12+'Kwh Consumption'!T12)</f>
        <v>4565.390000000596</v>
      </c>
      <c r="K11" s="1">
        <f>'Kwh Consumption'!U12</f>
        <v>210.00000000000796</v>
      </c>
      <c r="L11" s="31">
        <f t="shared" si="0"/>
        <v>6914.6099999996832</v>
      </c>
    </row>
    <row r="12" spans="1:12" x14ac:dyDescent="0.25">
      <c r="A12" s="14">
        <f>'Kwh Reading'!A13</f>
        <v>44752</v>
      </c>
      <c r="B12" s="80">
        <f>TOTAL!E11</f>
        <v>19739.999999999782</v>
      </c>
      <c r="C12" s="1">
        <f>'Kwh Consumption'!C13</f>
        <v>469.9999999999136</v>
      </c>
      <c r="D12" s="1">
        <f>'Kwh Consumption'!D13</f>
        <v>2799.9999999996917</v>
      </c>
      <c r="E12" s="1">
        <f>'Kwh Consumption'!E13</f>
        <v>240.00000000000909</v>
      </c>
      <c r="F12" s="1">
        <f>('Kwh Consumption'!F13+'Kwh Consumption'!G13+'Kwh Consumption'!H13)</f>
        <v>1050.0000000000114</v>
      </c>
      <c r="G12" s="16">
        <f>('Kwh Consumption'!I13+'Kwh Consumption'!J13)</f>
        <v>140.00000000001478</v>
      </c>
      <c r="H12" s="1">
        <f>('Kwh Consumption'!K13+'Kwh Consumption'!L13)</f>
        <v>1129.9999999998622</v>
      </c>
      <c r="I12" s="1">
        <f>('Kwh Consumption'!M13+'Kwh Consumption'!N13+'Kwh Consumption'!O13+'Kwh Consumption'!P13+'Kwh Consumption'!Q13+'Kwh Consumption'!R13)</f>
        <v>4259.9999999999427</v>
      </c>
      <c r="J12" s="1">
        <f>('Kwh Consumption'!S13+'Kwh Consumption'!T13)</f>
        <v>3963.6199999991804</v>
      </c>
      <c r="K12" s="1">
        <f>'Kwh Consumption'!U13</f>
        <v>189.99999999999773</v>
      </c>
      <c r="L12" s="31">
        <f t="shared" si="0"/>
        <v>5496.3800000011597</v>
      </c>
    </row>
    <row r="13" spans="1:12" x14ac:dyDescent="0.25">
      <c r="A13" s="14">
        <f>'Kwh Reading'!A14</f>
        <v>44753</v>
      </c>
      <c r="B13" s="80">
        <f>TOTAL!E12</f>
        <v>21350.000000001273</v>
      </c>
      <c r="C13" s="1">
        <f>'Kwh Consumption'!C14</f>
        <v>490.00000000000909</v>
      </c>
      <c r="D13" s="1">
        <f>'Kwh Consumption'!D14</f>
        <v>2700.0000000003688</v>
      </c>
      <c r="E13" s="1">
        <f>'Kwh Consumption'!E14</f>
        <v>250</v>
      </c>
      <c r="F13" s="1">
        <f>('Kwh Consumption'!F14+'Kwh Consumption'!G14+'Kwh Consumption'!H14)</f>
        <v>1289.9999999999636</v>
      </c>
      <c r="G13" s="16">
        <f>('Kwh Consumption'!I14+'Kwh Consumption'!J14)</f>
        <v>139.99999999998636</v>
      </c>
      <c r="H13" s="1">
        <f>('Kwh Consumption'!K14+'Kwh Consumption'!L14)</f>
        <v>1390.0000000001214</v>
      </c>
      <c r="I13" s="1">
        <f>('Kwh Consumption'!M14+'Kwh Consumption'!N14+'Kwh Consumption'!O14+'Kwh Consumption'!P14+'Kwh Consumption'!Q14+'Kwh Consumption'!R14)</f>
        <v>4689.9999999999445</v>
      </c>
      <c r="J13" s="1">
        <f>('Kwh Consumption'!S14+'Kwh Consumption'!T14)</f>
        <v>4177.1200000001118</v>
      </c>
      <c r="K13" s="1">
        <f>'Kwh Consumption'!U14</f>
        <v>210.00000000000796</v>
      </c>
      <c r="L13" s="31">
        <f t="shared" si="0"/>
        <v>6012.8800000007641</v>
      </c>
    </row>
    <row r="14" spans="1:12" x14ac:dyDescent="0.25">
      <c r="A14" s="14">
        <f>'Kwh Reading'!A15</f>
        <v>44754</v>
      </c>
      <c r="B14" s="80">
        <f>TOTAL!E13</f>
        <v>20939.99999999869</v>
      </c>
      <c r="C14" s="1">
        <f>'Kwh Consumption'!C15</f>
        <v>470.00000000002728</v>
      </c>
      <c r="D14" s="1">
        <f>'Kwh Consumption'!D15</f>
        <v>2799.9999999996917</v>
      </c>
      <c r="E14" s="1">
        <f>'Kwh Consumption'!E15</f>
        <v>250</v>
      </c>
      <c r="F14" s="1">
        <f>('Kwh Consumption'!F15+'Kwh Consumption'!G15+'Kwh Consumption'!H15)</f>
        <v>980.00000000001819</v>
      </c>
      <c r="G14" s="16">
        <f>('Kwh Consumption'!I15+'Kwh Consumption'!J15)</f>
        <v>140.00000000001478</v>
      </c>
      <c r="H14" s="1">
        <f>('Kwh Consumption'!K15+'Kwh Consumption'!L15)</f>
        <v>1379.9999999998854</v>
      </c>
      <c r="I14" s="1">
        <f>('Kwh Consumption'!M15+'Kwh Consumption'!N15+'Kwh Consumption'!O15+'Kwh Consumption'!P15+'Kwh Consumption'!Q15+'Kwh Consumption'!R15)</f>
        <v>4320.0000000000018</v>
      </c>
      <c r="J14" s="1">
        <f>('Kwh Consumption'!S15+'Kwh Consumption'!T15)</f>
        <v>3839.9000000003725</v>
      </c>
      <c r="K14" s="1">
        <f>'Kwh Consumption'!U15</f>
        <v>199.99999999998863</v>
      </c>
      <c r="L14" s="31">
        <f t="shared" si="0"/>
        <v>6560.0999999986889</v>
      </c>
    </row>
    <row r="15" spans="1:12" x14ac:dyDescent="0.25">
      <c r="A15" s="14">
        <f>'Kwh Reading'!A16</f>
        <v>44755</v>
      </c>
      <c r="B15" s="80">
        <f>TOTAL!E14</f>
        <v>22400.000000000317</v>
      </c>
      <c r="C15" s="1">
        <f>'Kwh Consumption'!C16</f>
        <v>539.99999999996362</v>
      </c>
      <c r="D15" s="1">
        <f>'Kwh Consumption'!D16</f>
        <v>2699.9999999999245</v>
      </c>
      <c r="E15" s="1">
        <f>'Kwh Consumption'!E16</f>
        <v>270.00000000003865</v>
      </c>
      <c r="F15" s="1">
        <f>('Kwh Consumption'!F16+'Kwh Consumption'!G16+'Kwh Consumption'!H16)</f>
        <v>1209.9999999999795</v>
      </c>
      <c r="G15" s="16">
        <f>('Kwh Consumption'!I16+'Kwh Consumption'!J16)</f>
        <v>150.00000000000568</v>
      </c>
      <c r="H15" s="1">
        <f>('Kwh Consumption'!K16+'Kwh Consumption'!L16)</f>
        <v>1570.0000000000944</v>
      </c>
      <c r="I15" s="1">
        <f>('Kwh Consumption'!M16+'Kwh Consumption'!N16+'Kwh Consumption'!O16+'Kwh Consumption'!P16+'Kwh Consumption'!Q16+'Kwh Consumption'!R16)</f>
        <v>4679.9999999999873</v>
      </c>
      <c r="J15" s="1">
        <f>('Kwh Consumption'!S16+'Kwh Consumption'!T16)</f>
        <v>4228.9199999999255</v>
      </c>
      <c r="K15" s="1">
        <f>'Kwh Consumption'!U16</f>
        <v>240.00000000000909</v>
      </c>
      <c r="L15" s="31">
        <f t="shared" si="0"/>
        <v>6811.0800000003874</v>
      </c>
    </row>
    <row r="16" spans="1:12" x14ac:dyDescent="0.25">
      <c r="A16" s="14">
        <f>'Kwh Reading'!A17</f>
        <v>44756</v>
      </c>
      <c r="B16" s="80">
        <f>TOTAL!E15</f>
        <v>21419.999999999618</v>
      </c>
      <c r="C16" s="1">
        <f>'Kwh Consumption'!C17</f>
        <v>540.00000000007731</v>
      </c>
      <c r="D16" s="1">
        <f>'Kwh Consumption'!D17</f>
        <v>2800.0000000001355</v>
      </c>
      <c r="E16" s="1">
        <f>'Kwh Consumption'!E17</f>
        <v>239.99999999995225</v>
      </c>
      <c r="F16" s="1">
        <f>('Kwh Consumption'!F17+'Kwh Consumption'!G17+'Kwh Consumption'!H17)</f>
        <v>950.00000000004547</v>
      </c>
      <c r="G16" s="16">
        <f>('Kwh Consumption'!I17+'Kwh Consumption'!J17)</f>
        <v>149.99999999997726</v>
      </c>
      <c r="H16" s="1">
        <f>('Kwh Consumption'!K17+'Kwh Consumption'!L17)</f>
        <v>1549.9999999998906</v>
      </c>
      <c r="I16" s="1">
        <f>('Kwh Consumption'!M17+'Kwh Consumption'!N17+'Kwh Consumption'!O17+'Kwh Consumption'!P17+'Kwh Consumption'!Q17+'Kwh Consumption'!R17)</f>
        <v>4649.9999999999345</v>
      </c>
      <c r="J16" s="1">
        <f>('Kwh Consumption'!S17+'Kwh Consumption'!T17)</f>
        <v>4415.9000000013039</v>
      </c>
      <c r="K16" s="1">
        <f>'Kwh Consumption'!U17</f>
        <v>250</v>
      </c>
      <c r="L16" s="31">
        <f t="shared" si="0"/>
        <v>5874.0999999983032</v>
      </c>
    </row>
    <row r="17" spans="1:12" x14ac:dyDescent="0.25">
      <c r="A17" s="14">
        <f>'Kwh Reading'!A18</f>
        <v>44757</v>
      </c>
      <c r="B17" s="80">
        <f>TOTAL!E16</f>
        <v>21000.000000000455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220.00000000002728</v>
      </c>
      <c r="F17" s="1">
        <f>('Kwh Consumption'!F18+'Kwh Consumption'!G18+'Kwh Consumption'!H18)</f>
        <v>939.99999999999773</v>
      </c>
      <c r="G17" s="16">
        <f>('Kwh Consumption'!I18+'Kwh Consumption'!J18)</f>
        <v>140.00000000001478</v>
      </c>
      <c r="H17" s="1">
        <f>('Kwh Consumption'!K18+'Kwh Consumption'!L18)</f>
        <v>1430.000000000085</v>
      </c>
      <c r="I17" s="1">
        <f>('Kwh Consumption'!M18+'Kwh Consumption'!N18+'Kwh Consumption'!O18+'Kwh Consumption'!P18+'Kwh Consumption'!Q18+'Kwh Consumption'!R18)</f>
        <v>4490.0000000000746</v>
      </c>
      <c r="J17" s="1">
        <f>('Kwh Consumption'!S18+'Kwh Consumption'!T18)</f>
        <v>3655.0399999991059</v>
      </c>
      <c r="K17" s="30">
        <f>'Kwh Consumption'!U18</f>
        <v>239.99999999998067</v>
      </c>
      <c r="L17" s="31">
        <f t="shared" si="0"/>
        <v>6914.9600000012661</v>
      </c>
    </row>
    <row r="18" spans="1:12" x14ac:dyDescent="0.25">
      <c r="A18" s="14">
        <f>'Kwh Reading'!A19</f>
        <v>44758</v>
      </c>
      <c r="B18" s="80">
        <f>TOTAL!E17</f>
        <v>20670.000000000528</v>
      </c>
      <c r="C18" s="1">
        <f>'Kwh Consumption'!C19</f>
        <v>509.99999999999091</v>
      </c>
      <c r="D18" s="1">
        <f>'Kwh Consumption'!D19</f>
        <v>2800.0000000001355</v>
      </c>
      <c r="E18" s="1">
        <f>'Kwh Consumption'!E19</f>
        <v>240.00000000000909</v>
      </c>
      <c r="F18" s="1">
        <f>('Kwh Consumption'!F19+'Kwh Consumption'!G19+'Kwh Consumption'!H19)</f>
        <v>990.00000000000909</v>
      </c>
      <c r="G18" s="16">
        <f>('Kwh Consumption'!I19+'Kwh Consumption'!J19)</f>
        <v>139.99999999998636</v>
      </c>
      <c r="H18" s="1">
        <f>('Kwh Consumption'!K19+'Kwh Consumption'!L19)</f>
        <v>1419.999999999872</v>
      </c>
      <c r="I18" s="1">
        <f>('Kwh Consumption'!M19+'Kwh Consumption'!N19+'Kwh Consumption'!O19+'Kwh Consumption'!P19+'Kwh Consumption'!Q19+'Kwh Consumption'!R19)</f>
        <v>4310.0000000001301</v>
      </c>
      <c r="J18" s="1">
        <f>('Kwh Consumption'!S19+'Kwh Consumption'!T19)</f>
        <v>4031.4700000006706</v>
      </c>
      <c r="K18" s="30">
        <f>'Kwh Consumption'!U19</f>
        <v>340.00000000000341</v>
      </c>
      <c r="L18" s="31">
        <f t="shared" si="0"/>
        <v>5888.5299999997187</v>
      </c>
    </row>
    <row r="19" spans="1:12" x14ac:dyDescent="0.25">
      <c r="A19" s="14">
        <f>'Kwh Reading'!A20</f>
        <v>44759</v>
      </c>
      <c r="B19" s="80">
        <f>TOTAL!E18</f>
        <v>18609.999999999447</v>
      </c>
      <c r="C19" s="1">
        <f>'Kwh Consumption'!C20</f>
        <v>460.00000000003638</v>
      </c>
      <c r="D19" s="1">
        <f>'Kwh Consumption'!D20</f>
        <v>2699.9999999999245</v>
      </c>
      <c r="E19" s="1">
        <f>'Kwh Consumption'!E20</f>
        <v>229.99999999996135</v>
      </c>
      <c r="F19" s="1">
        <f>('Kwh Consumption'!F20+'Kwh Consumption'!G20+'Kwh Consumption'!H20)</f>
        <v>1039.9999999999636</v>
      </c>
      <c r="G19" s="16">
        <f>('Kwh Consumption'!I20+'Kwh Consumption'!J20)</f>
        <v>150.00000000000568</v>
      </c>
      <c r="H19" s="1">
        <f>('Kwh Consumption'!K20+'Kwh Consumption'!L20)</f>
        <v>1200.0000000001342</v>
      </c>
      <c r="I19" s="1">
        <f>('Kwh Consumption'!M20+'Kwh Consumption'!N20+'Kwh Consumption'!O20+'Kwh Consumption'!P20+'Kwh Consumption'!Q20+'Kwh Consumption'!R20)</f>
        <v>3819.9999999999222</v>
      </c>
      <c r="J19" s="1">
        <f>('Kwh Consumption'!S20+'Kwh Consumption'!T20)</f>
        <v>3957.4499999992549</v>
      </c>
      <c r="K19" s="1">
        <f>'Kwh Consumption'!U20</f>
        <v>80.000000000012506</v>
      </c>
      <c r="L19" s="31">
        <f t="shared" si="0"/>
        <v>4972.5500000002321</v>
      </c>
    </row>
    <row r="20" spans="1:12" x14ac:dyDescent="0.25">
      <c r="A20" s="14">
        <f>'Kwh Reading'!A21</f>
        <v>44760</v>
      </c>
      <c r="B20" s="80">
        <f>TOTAL!E19</f>
        <v>19219.9999999998</v>
      </c>
      <c r="C20" s="1">
        <f>'Kwh Consumption'!C21</f>
        <v>500</v>
      </c>
      <c r="D20" s="1">
        <f>'Kwh Consumption'!D21</f>
        <v>2699.9999999999245</v>
      </c>
      <c r="E20" s="1">
        <f>'Kwh Consumption'!E21</f>
        <v>240.00000000000909</v>
      </c>
      <c r="F20" s="1">
        <f>('Kwh Consumption'!F21+'Kwh Consumption'!G21+'Kwh Consumption'!H21)</f>
        <v>970.00000000002728</v>
      </c>
      <c r="G20" s="16">
        <f>('Kwh Consumption'!I21+'Kwh Consumption'!J21)</f>
        <v>129.99999999999545</v>
      </c>
      <c r="H20" s="1">
        <f>('Kwh Consumption'!K21+'Kwh Consumption'!L21)</f>
        <v>1079.9999999998845</v>
      </c>
      <c r="I20" s="1">
        <f>('Kwh Consumption'!M21+'Kwh Consumption'!N21+'Kwh Consumption'!O21+'Kwh Consumption'!P21+'Kwh Consumption'!Q21+'Kwh Consumption'!R21)</f>
        <v>3819.9999999999272</v>
      </c>
      <c r="J20" s="1">
        <f>('Kwh Consumption'!S21+'Kwh Consumption'!T21)</f>
        <v>4109.2000000011176</v>
      </c>
      <c r="K20" s="1">
        <f>'Kwh Consumption'!U21</f>
        <v>189.99999999999773</v>
      </c>
      <c r="L20" s="31">
        <f t="shared" si="0"/>
        <v>5480.799999998917</v>
      </c>
    </row>
    <row r="21" spans="1:12" x14ac:dyDescent="0.25">
      <c r="A21" s="14">
        <f>'Kwh Reading'!A22</f>
        <v>44761</v>
      </c>
      <c r="B21" s="80">
        <f>TOTAL!E20</f>
        <v>20550.000000000407</v>
      </c>
      <c r="C21" s="1">
        <f>'Kwh Consumption'!C22</f>
        <v>490.00000000000909</v>
      </c>
      <c r="D21" s="1">
        <f>'Kwh Consumption'!D22</f>
        <v>2400.0000000001796</v>
      </c>
      <c r="E21" s="1">
        <f>'Kwh Consumption'!E22</f>
        <v>250</v>
      </c>
      <c r="F21" s="1">
        <f>('Kwh Consumption'!F22+'Kwh Consumption'!G22+'Kwh Consumption'!H22)</f>
        <v>1180.0000000000068</v>
      </c>
      <c r="G21" s="16">
        <f>('Kwh Consumption'!I22+'Kwh Consumption'!J22)</f>
        <v>120.00000000000455</v>
      </c>
      <c r="H21" s="1">
        <f>('Kwh Consumption'!K22+'Kwh Consumption'!L22)</f>
        <v>1300.0000000001232</v>
      </c>
      <c r="I21" s="1">
        <f>('Kwh Consumption'!M22+'Kwh Consumption'!N22+'Kwh Consumption'!O22+'Kwh Consumption'!P22+'Kwh Consumption'!Q22+'Kwh Consumption'!R22)</f>
        <v>4249.9999999998436</v>
      </c>
      <c r="J21" s="1">
        <f>('Kwh Consumption'!S22+'Kwh Consumption'!T22)</f>
        <v>4485.9099999992177</v>
      </c>
      <c r="K21" s="1">
        <f>'Kwh Consumption'!U22</f>
        <v>199.99999999998863</v>
      </c>
      <c r="L21" s="31">
        <f t="shared" si="0"/>
        <v>5874.090000001037</v>
      </c>
    </row>
    <row r="22" spans="1:12" x14ac:dyDescent="0.25">
      <c r="A22" s="14">
        <f>'Kwh Reading'!A23</f>
        <v>44762</v>
      </c>
      <c r="B22" s="80">
        <f>TOTAL!E21</f>
        <v>18319.999999998799</v>
      </c>
      <c r="C22" s="1">
        <f>'Kwh Consumption'!C23</f>
        <v>509.99999999999091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909.99999999996817</v>
      </c>
      <c r="G22" s="16">
        <f>('Kwh Consumption'!I23+'Kwh Consumption'!J23)</f>
        <v>129.99999999999545</v>
      </c>
      <c r="H22" s="1">
        <f>('Kwh Consumption'!K23+'Kwh Consumption'!L23)</f>
        <v>1029.99999999993</v>
      </c>
      <c r="I22" s="1">
        <f>('Kwh Consumption'!M23+'Kwh Consumption'!N23+'Kwh Consumption'!O23+'Kwh Consumption'!P23+'Kwh Consumption'!Q23+'Kwh Consumption'!R23)</f>
        <v>3370.0000000002515</v>
      </c>
      <c r="J22" s="1">
        <f>('Kwh Consumption'!S23+'Kwh Consumption'!T23)</f>
        <v>3733.0999999986961</v>
      </c>
      <c r="K22" s="1">
        <f>'Kwh Consumption'!U23</f>
        <v>200.00000000001705</v>
      </c>
      <c r="L22" s="31">
        <f t="shared" si="0"/>
        <v>5686.8999999999987</v>
      </c>
    </row>
    <row r="23" spans="1:12" x14ac:dyDescent="0.25">
      <c r="A23" s="14">
        <f>'Kwh Reading'!A24</f>
        <v>44763</v>
      </c>
      <c r="B23" s="80">
        <f>TOTAL!E22</f>
        <v>19470.000000001164</v>
      </c>
      <c r="C23" s="1">
        <f>'Kwh Consumption'!C24</f>
        <v>490.00000000000909</v>
      </c>
      <c r="D23" s="1">
        <f>'Kwh Consumption'!D24</f>
        <v>2600.0000000001578</v>
      </c>
      <c r="E23" s="1">
        <f>'Kwh Consumption'!E24</f>
        <v>250</v>
      </c>
      <c r="F23" s="1">
        <f>('Kwh Consumption'!F24+'Kwh Consumption'!G24+'Kwh Consumption'!H24)</f>
        <v>1120.0000000000045</v>
      </c>
      <c r="G23" s="16">
        <f>('Kwh Consumption'!I24+'Kwh Consumption'!J24)</f>
        <v>120.00000000000455</v>
      </c>
      <c r="H23" s="1">
        <f>('Kwh Consumption'!K24+'Kwh Consumption'!L24)</f>
        <v>1240.000000000121</v>
      </c>
      <c r="I23" s="1">
        <f>('Kwh Consumption'!M24+'Kwh Consumption'!N24+'Kwh Consumption'!O24+'Kwh Consumption'!P24+'Kwh Consumption'!Q24+'Kwh Consumption'!R24)</f>
        <v>3729.9999999998954</v>
      </c>
      <c r="J23" s="1">
        <f>('Kwh Consumption'!S24+'Kwh Consumption'!T24)</f>
        <v>4368.3100000005215</v>
      </c>
      <c r="K23" s="1">
        <f>'Kwh Consumption'!U24</f>
        <v>199.99999999998863</v>
      </c>
      <c r="L23" s="31">
        <f t="shared" si="0"/>
        <v>5351.6900000004644</v>
      </c>
    </row>
    <row r="24" spans="1:12" x14ac:dyDescent="0.25">
      <c r="A24" s="14">
        <f>'Kwh Reading'!A25</f>
        <v>44764</v>
      </c>
      <c r="B24" s="80">
        <f>TOTAL!E23</f>
        <v>20690.000000000735</v>
      </c>
      <c r="C24" s="1">
        <f>'Kwh Consumption'!C25</f>
        <v>279.99999999997272</v>
      </c>
      <c r="D24" s="1">
        <f>'Kwh Consumption'!D25</f>
        <v>2699.9999999999245</v>
      </c>
      <c r="E24" s="1">
        <f>'Kwh Consumption'!E25</f>
        <v>250</v>
      </c>
      <c r="F24" s="1">
        <f>('Kwh Consumption'!F25+'Kwh Consumption'!G25+'Kwh Consumption'!H25)</f>
        <v>1009.9999999999909</v>
      </c>
      <c r="G24" s="16">
        <f>('Kwh Consumption'!I25+'Kwh Consumption'!J25)</f>
        <v>150.00000000000568</v>
      </c>
      <c r="H24" s="1">
        <f>('Kwh Consumption'!K25+'Kwh Consumption'!L25)</f>
        <v>1149.9999999999009</v>
      </c>
      <c r="I24" s="1">
        <f>('Kwh Consumption'!M25+'Kwh Consumption'!N25+'Kwh Consumption'!O25+'Kwh Consumption'!P25+'Kwh Consumption'!Q25+'Kwh Consumption'!R25)</f>
        <v>4279.99999999993</v>
      </c>
      <c r="J24" s="1">
        <f>('Kwh Consumption'!S25+'Kwh Consumption'!T25)</f>
        <v>4241.9000000003725</v>
      </c>
      <c r="K24" s="1">
        <f>'Kwh Consumption'!U25</f>
        <v>170.00000000001592</v>
      </c>
      <c r="L24" s="31">
        <f t="shared" si="0"/>
        <v>6458.1000000006261</v>
      </c>
    </row>
    <row r="25" spans="1:12" x14ac:dyDescent="0.25">
      <c r="A25" s="14">
        <f>'Kwh Reading'!A26</f>
        <v>44765</v>
      </c>
      <c r="B25" s="80">
        <f>TOTAL!E24</f>
        <v>20989.999999999782</v>
      </c>
      <c r="C25" s="1">
        <f>'Kwh Consumption'!C26</f>
        <v>509.99999999999091</v>
      </c>
      <c r="D25" s="1">
        <f>'Kwh Consumption'!D26</f>
        <v>2600.0000000001578</v>
      </c>
      <c r="E25" s="1">
        <f>'Kwh Consumption'!E26</f>
        <v>259.99999999999091</v>
      </c>
      <c r="F25" s="1">
        <f>('Kwh Consumption'!F26+'Kwh Consumption'!G26+'Kwh Consumption'!H26)</f>
        <v>1050.0000000000114</v>
      </c>
      <c r="G25" s="16">
        <f>('Kwh Consumption'!I26+'Kwh Consumption'!J26)</f>
        <v>129.99999999999545</v>
      </c>
      <c r="H25" s="1">
        <f>('Kwh Consumption'!K26+'Kwh Consumption'!L26)</f>
        <v>1360.0000000000919</v>
      </c>
      <c r="I25" s="1">
        <f>('Kwh Consumption'!M26+'Kwh Consumption'!N26+'Kwh Consumption'!O26+'Kwh Consumption'!P26+'Kwh Consumption'!Q26+'Kwh Consumption'!R26)</f>
        <v>4150.0000000001564</v>
      </c>
      <c r="J25" s="1">
        <f>('Kwh Consumption'!S26+'Kwh Consumption'!T26)</f>
        <v>4776.0800000010058</v>
      </c>
      <c r="K25" s="1">
        <f>'Kwh Consumption'!U26</f>
        <v>189.99999999999773</v>
      </c>
      <c r="L25" s="31">
        <f t="shared" si="0"/>
        <v>5963.9199999983848</v>
      </c>
    </row>
    <row r="26" spans="1:12" x14ac:dyDescent="0.25">
      <c r="A26" s="14">
        <f>'Kwh Reading'!A27</f>
        <v>44766</v>
      </c>
      <c r="B26" s="80">
        <f>TOTAL!E25</f>
        <v>20429.999999998472</v>
      </c>
      <c r="C26" s="1">
        <f>'Kwh Consumption'!C27</f>
        <v>529.99999999997272</v>
      </c>
      <c r="D26" s="1">
        <f>'Kwh Consumption'!D27</f>
        <v>2599.9999999997135</v>
      </c>
      <c r="E26" s="1">
        <f>'Kwh Consumption'!E27</f>
        <v>240.00000000000909</v>
      </c>
      <c r="F26" s="1">
        <f>('Kwh Consumption'!F27+'Kwh Consumption'!G27+'Kwh Consumption'!H27)</f>
        <v>1100.0000000000227</v>
      </c>
      <c r="G26" s="16">
        <f>('Kwh Consumption'!I27+'Kwh Consumption'!J27)</f>
        <v>129.99999999999545</v>
      </c>
      <c r="H26" s="1">
        <f>('Kwh Consumption'!K27+'Kwh Consumption'!L27)</f>
        <v>1279.9999999998627</v>
      </c>
      <c r="I26" s="1">
        <f>('Kwh Consumption'!M27+'Kwh Consumption'!N27+'Kwh Consumption'!O27+'Kwh Consumption'!P27+'Kwh Consumption'!Q27+'Kwh Consumption'!R27)</f>
        <v>3960.0000000000273</v>
      </c>
      <c r="J26" s="1">
        <f>('Kwh Consumption'!S27+'Kwh Consumption'!T27)</f>
        <v>4493.7399999992922</v>
      </c>
      <c r="K26" s="1">
        <f>'Kwh Consumption'!U27</f>
        <v>159.99999999999659</v>
      </c>
      <c r="L26" s="31">
        <f t="shared" si="0"/>
        <v>5936.2599999995819</v>
      </c>
    </row>
    <row r="27" spans="1:12" x14ac:dyDescent="0.25">
      <c r="A27" s="14">
        <f>'Kwh Reading'!A28</f>
        <v>44767</v>
      </c>
      <c r="B27" s="80">
        <f>TOTAL!E26</f>
        <v>0</v>
      </c>
      <c r="C27" s="1">
        <f>'Kwh Consumption'!C28</f>
        <v>500</v>
      </c>
      <c r="D27" s="1">
        <f>'Kwh Consumption'!D28</f>
        <v>2800.0000000001355</v>
      </c>
      <c r="E27" s="1">
        <f>'Kwh Consumption'!E28</f>
        <v>259.99999999999091</v>
      </c>
      <c r="F27" s="1">
        <f>('Kwh Consumption'!F28+'Kwh Consumption'!G28+'Kwh Consumption'!H28)</f>
        <v>1149.9999999999773</v>
      </c>
      <c r="G27" s="16">
        <f>('Kwh Consumption'!I28+'Kwh Consumption'!J28)</f>
        <v>90.000000000003411</v>
      </c>
      <c r="H27" s="1">
        <f>('Kwh Consumption'!K28+'Kwh Consumption'!L28)</f>
        <v>1309.9999999998922</v>
      </c>
      <c r="I27" s="1">
        <f>('Kwh Consumption'!M28+'Kwh Consumption'!N28+'Kwh Consumption'!O28+'Kwh Consumption'!P28+'Kwh Consumption'!Q28+'Kwh Consumption'!R28)</f>
        <v>3879.9999999998727</v>
      </c>
      <c r="J27" s="1">
        <f>('Kwh Consumption'!S28+'Kwh Consumption'!T28)</f>
        <v>4754.9399999994785</v>
      </c>
      <c r="K27" s="1">
        <f>'Kwh Consumption'!U28</f>
        <v>209.99999999997954</v>
      </c>
      <c r="L27" s="31">
        <f t="shared" si="0"/>
        <v>-14954.939999999331</v>
      </c>
    </row>
    <row r="28" spans="1:12" x14ac:dyDescent="0.25">
      <c r="A28" s="14">
        <f>'Kwh Reading'!A29</f>
        <v>44768</v>
      </c>
      <c r="B28" s="80">
        <f>TOTAL!E27</f>
        <v>0</v>
      </c>
      <c r="C28" s="1">
        <f>'Kwh Consumption'!C29</f>
        <v>519.99999999998181</v>
      </c>
      <c r="D28" s="1">
        <f>'Kwh Consumption'!D29</f>
        <v>2600.0000000001578</v>
      </c>
      <c r="E28" s="1">
        <f>'Kwh Consumption'!E29</f>
        <v>270.00000000003865</v>
      </c>
      <c r="F28" s="1">
        <f>('Kwh Consumption'!F29+'Kwh Consumption'!G29+'Kwh Consumption'!H29)</f>
        <v>1190.0000000000546</v>
      </c>
      <c r="G28" s="16">
        <f>('Kwh Consumption'!I29+'Kwh Consumption'!J29)</f>
        <v>140.00000000001478</v>
      </c>
      <c r="H28" s="1">
        <f>('Kwh Consumption'!K29+'Kwh Consumption'!L29)</f>
        <v>1310.0000000001141</v>
      </c>
      <c r="I28" s="1">
        <f>('Kwh Consumption'!M29+'Kwh Consumption'!N29+'Kwh Consumption'!O29+'Kwh Consumption'!P29+'Kwh Consumption'!Q29+'Kwh Consumption'!R29)</f>
        <v>4130.0000000000946</v>
      </c>
      <c r="J28" s="1">
        <f>('Kwh Consumption'!S29+'Kwh Consumption'!T29)</f>
        <v>5742.640000000596</v>
      </c>
      <c r="K28" s="1">
        <f>'Kwh Consumption'!U29</f>
        <v>219.99999999999886</v>
      </c>
      <c r="L28" s="31">
        <f t="shared" si="0"/>
        <v>-16122.640000001051</v>
      </c>
    </row>
    <row r="29" spans="1:12" x14ac:dyDescent="0.25">
      <c r="A29" s="14">
        <f>'Kwh Reading'!A30</f>
        <v>44769</v>
      </c>
      <c r="B29" s="80">
        <f>TOTAL!E28</f>
        <v>0</v>
      </c>
      <c r="C29" s="1">
        <f>'Kwh Consumption'!C30</f>
        <v>560.00000000005912</v>
      </c>
      <c r="D29" s="1">
        <f>'Kwh Consumption'!D30</f>
        <v>2599.9999999997135</v>
      </c>
      <c r="E29" s="1">
        <f>'Kwh Consumption'!E30</f>
        <v>259.99999999999091</v>
      </c>
      <c r="F29" s="1">
        <f>('Kwh Consumption'!F30+'Kwh Consumption'!G30+'Kwh Consumption'!H30)</f>
        <v>1119.9999999999477</v>
      </c>
      <c r="G29" s="16">
        <f>('Kwh Consumption'!I30+'Kwh Consumption'!J30)</f>
        <v>150.00000000000568</v>
      </c>
      <c r="H29" s="1">
        <f>('Kwh Consumption'!K30+'Kwh Consumption'!L30)</f>
        <v>1289.9999999999104</v>
      </c>
      <c r="I29" s="1">
        <f>('Kwh Consumption'!M30+'Kwh Consumption'!N30+'Kwh Consumption'!O30+'Kwh Consumption'!P30+'Kwh Consumption'!Q30+'Kwh Consumption'!R30)</f>
        <v>4009.9999999998681</v>
      </c>
      <c r="J29" s="1">
        <f>('Kwh Consumption'!S30+'Kwh Consumption'!T30)</f>
        <v>4041.9199999999255</v>
      </c>
      <c r="K29" s="1">
        <f>'Kwh Consumption'!U30</f>
        <v>200.00000000001705</v>
      </c>
      <c r="L29" s="31">
        <f t="shared" si="0"/>
        <v>-14231.919999999436</v>
      </c>
    </row>
    <row r="30" spans="1:12" x14ac:dyDescent="0.25">
      <c r="A30" s="14">
        <f>'Kwh Reading'!A31</f>
        <v>44770</v>
      </c>
      <c r="B30" s="80">
        <f>TOTAL!E29</f>
        <v>0</v>
      </c>
      <c r="C30" s="1">
        <f>'Kwh Consumption'!C31</f>
        <v>-611980</v>
      </c>
      <c r="D30" s="1">
        <f>'Kwh Consumption'!D31</f>
        <v>-3408000</v>
      </c>
      <c r="E30" s="1">
        <f>'Kwh Consumption'!E31</f>
        <v>-327180</v>
      </c>
      <c r="F30" s="1">
        <f>('Kwh Consumption'!F31+'Kwh Consumption'!G31+'Kwh Consumption'!H31)</f>
        <v>-1294750</v>
      </c>
      <c r="G30" s="16">
        <f>('Kwh Consumption'!I31+'Kwh Consumption'!J31)</f>
        <v>-359010</v>
      </c>
      <c r="H30" s="1">
        <f>('Kwh Consumption'!K31+'Kwh Consumption'!L31)</f>
        <v>-1795800</v>
      </c>
      <c r="I30" s="1">
        <f>('Kwh Consumption'!M31+'Kwh Consumption'!N31+'Kwh Consumption'!O31+'Kwh Consumption'!P31+'Kwh Consumption'!Q31+'Kwh Consumption'!R31)</f>
        <v>-5392430</v>
      </c>
      <c r="J30" s="1">
        <f>('Kwh Consumption'!S31+'Kwh Consumption'!T31)</f>
        <v>-17584859.579999998</v>
      </c>
      <c r="K30" s="1">
        <f>'Kwh Consumption'!U31</f>
        <v>-235340</v>
      </c>
      <c r="L30" s="31">
        <f t="shared" si="0"/>
        <v>31009349.579999998</v>
      </c>
    </row>
    <row r="31" spans="1:12" x14ac:dyDescent="0.25">
      <c r="A31" s="14">
        <f>'Kwh Reading'!A32</f>
        <v>44771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44772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44773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495879.99999999965</v>
      </c>
      <c r="C34" s="72">
        <f>SUM(C3:C33)</f>
        <v>-599330</v>
      </c>
      <c r="D34" s="72">
        <f t="shared" ref="D34:L34" si="1">SUM(D3:D33)</f>
        <v>-3335100</v>
      </c>
      <c r="E34" s="72">
        <f t="shared" si="1"/>
        <v>-320480</v>
      </c>
      <c r="F34" s="72">
        <f t="shared" si="1"/>
        <v>-1264590</v>
      </c>
      <c r="G34" s="72">
        <f t="shared" si="1"/>
        <v>-355240</v>
      </c>
      <c r="H34" s="72">
        <f t="shared" si="1"/>
        <v>-1761380</v>
      </c>
      <c r="I34" s="72">
        <f t="shared" si="1"/>
        <v>-5276560</v>
      </c>
      <c r="J34" s="72">
        <f t="shared" si="1"/>
        <v>-17467855.239999998</v>
      </c>
      <c r="K34" s="72">
        <f t="shared" si="1"/>
        <v>-229860</v>
      </c>
      <c r="L34" s="72">
        <f t="shared" si="1"/>
        <v>31106275.239999998</v>
      </c>
      <c r="M34" s="81">
        <f>C34+D34+E34+F34+G34+H34+I34+J34+K34+L34</f>
        <v>495880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44743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44744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44745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44746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44747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44748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44749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44750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44751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44752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44753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44754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44755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44756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44757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44758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44759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44760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44761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44762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44763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44764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44765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44766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44767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44768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44769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44770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44771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44772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44773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61" t="s">
        <v>51</v>
      </c>
      <c r="B34" s="161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J37" sqref="J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44743</v>
      </c>
      <c r="B3" s="32">
        <v>2849</v>
      </c>
      <c r="C3" s="32">
        <v>3672</v>
      </c>
      <c r="D3" s="53">
        <v>272361</v>
      </c>
      <c r="E3" s="53">
        <v>272597</v>
      </c>
      <c r="F3" s="53">
        <v>67203</v>
      </c>
      <c r="G3" s="53">
        <v>120292</v>
      </c>
      <c r="H3" s="54">
        <v>62098</v>
      </c>
      <c r="I3" s="32">
        <v>76275</v>
      </c>
      <c r="J3" s="53">
        <v>22977</v>
      </c>
      <c r="K3" s="53">
        <v>1024</v>
      </c>
      <c r="L3" s="53">
        <v>18978</v>
      </c>
      <c r="M3" s="53">
        <v>27706</v>
      </c>
      <c r="N3" s="53">
        <v>8670</v>
      </c>
      <c r="O3" s="53">
        <v>2203</v>
      </c>
      <c r="P3" s="53">
        <v>31438</v>
      </c>
      <c r="Q3" s="53">
        <v>1789</v>
      </c>
      <c r="R3" s="53">
        <v>307</v>
      </c>
    </row>
    <row r="4" spans="1:21" x14ac:dyDescent="0.25">
      <c r="A4" s="52">
        <v>44744</v>
      </c>
      <c r="B4" s="32">
        <v>2967</v>
      </c>
      <c r="C4" s="32">
        <v>3832</v>
      </c>
      <c r="D4" s="32">
        <v>272479</v>
      </c>
      <c r="E4" s="32">
        <v>272660</v>
      </c>
      <c r="F4" s="32">
        <v>67204</v>
      </c>
      <c r="G4" s="32">
        <v>120314</v>
      </c>
      <c r="H4" s="32">
        <v>62098</v>
      </c>
      <c r="I4" s="32">
        <v>76295</v>
      </c>
      <c r="J4" s="54">
        <v>22983</v>
      </c>
      <c r="K4" s="53">
        <v>1024</v>
      </c>
      <c r="L4" s="102">
        <v>18983</v>
      </c>
      <c r="M4" s="102">
        <v>27710</v>
      </c>
      <c r="N4" s="102">
        <v>8671</v>
      </c>
      <c r="O4" s="102">
        <v>2204</v>
      </c>
      <c r="P4" s="102">
        <v>31438</v>
      </c>
      <c r="Q4" s="102">
        <v>1793</v>
      </c>
      <c r="R4" s="102">
        <v>308</v>
      </c>
    </row>
    <row r="5" spans="1:21" x14ac:dyDescent="0.25">
      <c r="A5" s="52">
        <v>44745</v>
      </c>
      <c r="B5" s="32">
        <v>3078</v>
      </c>
      <c r="C5" s="32">
        <v>3980</v>
      </c>
      <c r="D5" s="32">
        <v>272578</v>
      </c>
      <c r="E5" s="32">
        <v>272736</v>
      </c>
      <c r="F5" s="32">
        <v>67205</v>
      </c>
      <c r="G5" s="32">
        <v>120335</v>
      </c>
      <c r="H5" s="32">
        <v>62098</v>
      </c>
      <c r="I5" s="32">
        <v>76312</v>
      </c>
      <c r="J5" s="53">
        <v>22989</v>
      </c>
      <c r="K5" s="53">
        <v>1024</v>
      </c>
      <c r="L5" s="102">
        <v>18987</v>
      </c>
      <c r="M5" s="102">
        <v>27716</v>
      </c>
      <c r="N5" s="102">
        <v>8673</v>
      </c>
      <c r="O5" s="102">
        <v>2205</v>
      </c>
      <c r="P5" s="102">
        <v>31438</v>
      </c>
      <c r="Q5" s="102">
        <v>1798</v>
      </c>
      <c r="R5" s="102">
        <v>312</v>
      </c>
    </row>
    <row r="6" spans="1:21" x14ac:dyDescent="0.25">
      <c r="A6" s="52">
        <v>44746</v>
      </c>
      <c r="B6" s="32">
        <v>3193</v>
      </c>
      <c r="C6" s="32">
        <v>4133</v>
      </c>
      <c r="D6" s="32">
        <v>272668</v>
      </c>
      <c r="E6" s="32">
        <v>272799</v>
      </c>
      <c r="F6" s="32">
        <v>67205</v>
      </c>
      <c r="G6" s="32">
        <v>120356</v>
      </c>
      <c r="H6" s="32">
        <v>62098</v>
      </c>
      <c r="I6" s="32">
        <v>76335</v>
      </c>
      <c r="J6" s="54">
        <v>22996</v>
      </c>
      <c r="K6" s="53">
        <v>1024</v>
      </c>
      <c r="L6" s="102">
        <v>18992</v>
      </c>
      <c r="M6" s="102">
        <v>27722</v>
      </c>
      <c r="N6" s="102">
        <v>8675</v>
      </c>
      <c r="O6" s="102">
        <v>2207</v>
      </c>
      <c r="P6" s="102">
        <v>31438</v>
      </c>
      <c r="Q6" s="102">
        <v>1801</v>
      </c>
      <c r="R6" s="102">
        <v>317</v>
      </c>
    </row>
    <row r="7" spans="1:21" x14ac:dyDescent="0.25">
      <c r="A7" s="52">
        <v>44747</v>
      </c>
      <c r="B7" s="54">
        <v>3340</v>
      </c>
      <c r="C7" s="32">
        <v>4333</v>
      </c>
      <c r="D7" s="102">
        <v>272824</v>
      </c>
      <c r="E7" s="102">
        <v>272866</v>
      </c>
      <c r="F7" s="32">
        <v>67205</v>
      </c>
      <c r="G7" s="102">
        <v>120381</v>
      </c>
      <c r="H7" s="102">
        <v>62098</v>
      </c>
      <c r="I7" s="102">
        <v>76360</v>
      </c>
      <c r="J7" s="102">
        <v>23002</v>
      </c>
      <c r="K7" s="53">
        <v>1024</v>
      </c>
      <c r="L7" s="102">
        <v>18994</v>
      </c>
      <c r="M7" s="102">
        <v>27728</v>
      </c>
      <c r="N7" s="102">
        <v>8675</v>
      </c>
      <c r="O7" s="102">
        <v>2209</v>
      </c>
      <c r="P7" s="102">
        <v>31446</v>
      </c>
      <c r="Q7" s="102">
        <v>1801</v>
      </c>
      <c r="R7" s="102">
        <v>321</v>
      </c>
    </row>
    <row r="8" spans="1:21" x14ac:dyDescent="0.25">
      <c r="A8" s="52">
        <v>44748</v>
      </c>
      <c r="B8" s="54">
        <v>3490</v>
      </c>
      <c r="C8" s="32">
        <v>4535</v>
      </c>
      <c r="D8" s="102">
        <v>272985</v>
      </c>
      <c r="E8" s="102">
        <v>272935</v>
      </c>
      <c r="F8" s="102">
        <v>67206</v>
      </c>
      <c r="G8" s="102">
        <v>120410</v>
      </c>
      <c r="H8" s="102">
        <v>62098</v>
      </c>
      <c r="I8" s="102">
        <v>76395</v>
      </c>
      <c r="J8" s="102">
        <v>23009</v>
      </c>
      <c r="K8" s="53">
        <v>1024</v>
      </c>
      <c r="L8" s="102">
        <v>18998</v>
      </c>
      <c r="M8" s="102">
        <v>27733</v>
      </c>
      <c r="N8" s="102">
        <v>8677</v>
      </c>
      <c r="O8" s="102">
        <v>2210</v>
      </c>
      <c r="P8" s="102">
        <v>31460</v>
      </c>
      <c r="Q8" s="102">
        <v>1802</v>
      </c>
      <c r="R8" s="102">
        <v>326</v>
      </c>
    </row>
    <row r="9" spans="1:21" x14ac:dyDescent="0.25">
      <c r="A9" s="52">
        <v>44749</v>
      </c>
      <c r="B9" s="54">
        <v>3599</v>
      </c>
      <c r="C9" s="32">
        <v>4683</v>
      </c>
      <c r="D9" s="102">
        <v>273088</v>
      </c>
      <c r="E9" s="102">
        <v>272997</v>
      </c>
      <c r="F9" s="102">
        <v>67207</v>
      </c>
      <c r="G9" s="102">
        <v>120435</v>
      </c>
      <c r="H9" s="102">
        <v>62098</v>
      </c>
      <c r="I9" s="102">
        <v>76416</v>
      </c>
      <c r="J9" s="102">
        <v>23015</v>
      </c>
      <c r="K9" s="53">
        <v>1024</v>
      </c>
      <c r="L9" s="102">
        <v>19001</v>
      </c>
      <c r="M9" s="102">
        <v>27738</v>
      </c>
      <c r="N9" s="102">
        <v>8678</v>
      </c>
      <c r="O9" s="102">
        <v>2211</v>
      </c>
      <c r="P9" s="102">
        <v>31460</v>
      </c>
      <c r="Q9" s="102">
        <v>1802</v>
      </c>
      <c r="R9" s="102">
        <v>331</v>
      </c>
    </row>
    <row r="10" spans="1:21" x14ac:dyDescent="0.25">
      <c r="A10" s="52">
        <v>44750</v>
      </c>
      <c r="B10" s="32">
        <v>3726</v>
      </c>
      <c r="C10" s="54">
        <v>4854</v>
      </c>
      <c r="D10" s="102">
        <v>273198</v>
      </c>
      <c r="E10" s="102">
        <v>273060</v>
      </c>
      <c r="F10" s="102">
        <v>67207</v>
      </c>
      <c r="G10" s="102">
        <v>120465</v>
      </c>
      <c r="H10" s="102">
        <v>62098</v>
      </c>
      <c r="I10" s="102">
        <v>76436</v>
      </c>
      <c r="J10" s="102">
        <v>23021</v>
      </c>
      <c r="K10" s="53">
        <v>1024</v>
      </c>
      <c r="L10" s="102">
        <v>19004</v>
      </c>
      <c r="M10" s="102">
        <v>27743</v>
      </c>
      <c r="N10" s="102">
        <v>8679</v>
      </c>
      <c r="O10" s="102">
        <v>2213</v>
      </c>
      <c r="P10" s="102">
        <v>31460</v>
      </c>
      <c r="Q10" s="102">
        <v>1802</v>
      </c>
      <c r="R10" s="102">
        <v>337</v>
      </c>
    </row>
    <row r="11" spans="1:21" x14ac:dyDescent="0.25">
      <c r="A11" s="52">
        <v>44751</v>
      </c>
      <c r="B11" s="54">
        <v>3869</v>
      </c>
      <c r="C11" s="32">
        <v>5048</v>
      </c>
      <c r="D11" s="102">
        <v>273332</v>
      </c>
      <c r="E11" s="102">
        <v>273123</v>
      </c>
      <c r="F11" s="102">
        <v>67207</v>
      </c>
      <c r="G11" s="102">
        <v>120490</v>
      </c>
      <c r="H11" s="102">
        <v>62098</v>
      </c>
      <c r="I11" s="102">
        <v>76459</v>
      </c>
      <c r="J11" s="102">
        <v>23027</v>
      </c>
      <c r="K11" s="102">
        <v>1024</v>
      </c>
      <c r="L11" s="102">
        <v>19008</v>
      </c>
      <c r="M11" s="102">
        <v>27749</v>
      </c>
      <c r="N11" s="102">
        <v>86801</v>
      </c>
      <c r="O11" s="102">
        <v>2214</v>
      </c>
      <c r="P11" s="102">
        <v>31460</v>
      </c>
      <c r="Q11" s="102">
        <v>1802</v>
      </c>
      <c r="R11" s="102">
        <v>337</v>
      </c>
    </row>
    <row r="12" spans="1:21" x14ac:dyDescent="0.25">
      <c r="A12" s="52">
        <v>44752</v>
      </c>
      <c r="B12" s="32">
        <v>4029</v>
      </c>
      <c r="C12" s="54">
        <v>5266</v>
      </c>
      <c r="D12" s="102">
        <v>273447</v>
      </c>
      <c r="E12" s="102">
        <v>273192</v>
      </c>
      <c r="F12" s="102">
        <v>67208</v>
      </c>
      <c r="G12" s="102">
        <v>120513</v>
      </c>
      <c r="H12" s="102">
        <v>62098</v>
      </c>
      <c r="I12" s="102">
        <v>76488</v>
      </c>
      <c r="J12" s="102">
        <v>23033</v>
      </c>
      <c r="K12" s="102">
        <v>1024</v>
      </c>
      <c r="L12" s="102">
        <v>19011</v>
      </c>
      <c r="M12" s="102">
        <v>27753</v>
      </c>
      <c r="N12" s="102">
        <v>8681</v>
      </c>
      <c r="O12" s="102">
        <v>2216</v>
      </c>
      <c r="P12" s="102">
        <v>31465</v>
      </c>
      <c r="Q12" s="102">
        <v>1807</v>
      </c>
      <c r="R12" s="102">
        <v>342</v>
      </c>
    </row>
    <row r="13" spans="1:21" x14ac:dyDescent="0.25">
      <c r="A13" s="52">
        <v>44753</v>
      </c>
      <c r="B13" s="54">
        <v>4192</v>
      </c>
      <c r="C13" s="32">
        <v>5488</v>
      </c>
      <c r="D13" s="102">
        <v>273589</v>
      </c>
      <c r="E13" s="102">
        <v>273257</v>
      </c>
      <c r="F13" s="102">
        <v>67208</v>
      </c>
      <c r="G13" s="102">
        <v>120538</v>
      </c>
      <c r="H13" s="102">
        <v>62098</v>
      </c>
      <c r="I13" s="102">
        <v>76543</v>
      </c>
      <c r="J13" s="102">
        <v>23039</v>
      </c>
      <c r="K13" s="102">
        <v>1024</v>
      </c>
      <c r="L13" s="102">
        <v>19016</v>
      </c>
      <c r="M13" s="102">
        <v>27758</v>
      </c>
      <c r="N13" s="102">
        <v>8682</v>
      </c>
      <c r="O13" s="102">
        <v>2217</v>
      </c>
      <c r="P13" s="129">
        <v>31502</v>
      </c>
      <c r="Q13" s="102">
        <v>1812</v>
      </c>
      <c r="R13" s="102">
        <v>347</v>
      </c>
    </row>
    <row r="14" spans="1:21" x14ac:dyDescent="0.25">
      <c r="A14" s="52">
        <v>44754</v>
      </c>
      <c r="B14" s="32">
        <v>4385</v>
      </c>
      <c r="C14" s="32">
        <v>5714</v>
      </c>
      <c r="D14" s="102">
        <v>273776</v>
      </c>
      <c r="E14" s="102">
        <v>273332</v>
      </c>
      <c r="F14" s="102">
        <v>67209</v>
      </c>
      <c r="G14" s="102">
        <v>120569</v>
      </c>
      <c r="H14" s="102">
        <v>62098</v>
      </c>
      <c r="I14" s="102">
        <v>76576</v>
      </c>
      <c r="J14" s="102">
        <v>23045</v>
      </c>
      <c r="K14" s="102">
        <v>1024</v>
      </c>
      <c r="L14" s="102">
        <v>1901</v>
      </c>
      <c r="M14" s="102">
        <v>27763</v>
      </c>
      <c r="N14" s="102">
        <v>8684</v>
      </c>
      <c r="O14" s="102">
        <v>2218</v>
      </c>
      <c r="P14" s="102">
        <v>31509</v>
      </c>
      <c r="Q14" s="102">
        <v>1813</v>
      </c>
      <c r="R14" s="102">
        <v>351</v>
      </c>
    </row>
    <row r="15" spans="1:21" x14ac:dyDescent="0.25">
      <c r="A15" s="52">
        <v>44755</v>
      </c>
      <c r="B15" s="32">
        <v>4524</v>
      </c>
      <c r="C15" s="32">
        <v>5908</v>
      </c>
      <c r="D15" s="102">
        <v>273914</v>
      </c>
      <c r="E15" s="102">
        <v>273395</v>
      </c>
      <c r="F15" s="102">
        <v>67210</v>
      </c>
      <c r="G15" s="102">
        <v>120590</v>
      </c>
      <c r="H15" s="102">
        <v>62098</v>
      </c>
      <c r="I15" s="102">
        <v>76605</v>
      </c>
      <c r="J15" s="102">
        <v>23051</v>
      </c>
      <c r="K15" s="102">
        <v>1024</v>
      </c>
      <c r="L15" s="102">
        <v>190.21</v>
      </c>
      <c r="M15" s="102">
        <v>27768</v>
      </c>
      <c r="N15" s="102">
        <v>8686</v>
      </c>
      <c r="O15" s="102">
        <v>2220</v>
      </c>
      <c r="P15" s="102">
        <v>31516</v>
      </c>
      <c r="Q15" s="102">
        <v>1815</v>
      </c>
      <c r="R15" s="102">
        <v>355</v>
      </c>
      <c r="T15" s="100"/>
      <c r="U15" s="100"/>
    </row>
    <row r="16" spans="1:21" x14ac:dyDescent="0.25">
      <c r="A16" s="52">
        <v>44756</v>
      </c>
      <c r="B16" s="32">
        <v>4684</v>
      </c>
      <c r="C16" s="54">
        <v>6132</v>
      </c>
      <c r="D16" s="102">
        <v>274078</v>
      </c>
      <c r="E16" s="102">
        <v>273472</v>
      </c>
      <c r="F16" s="102">
        <v>67212</v>
      </c>
      <c r="G16" s="102">
        <v>120615</v>
      </c>
      <c r="H16" s="102">
        <v>62098</v>
      </c>
      <c r="I16" s="102">
        <v>76635</v>
      </c>
      <c r="J16" s="102">
        <v>23057</v>
      </c>
      <c r="K16" s="102">
        <v>1024</v>
      </c>
      <c r="L16" s="102">
        <v>19024</v>
      </c>
      <c r="M16" s="102">
        <v>27774</v>
      </c>
      <c r="N16" s="102">
        <v>8690</v>
      </c>
      <c r="O16" s="102">
        <v>2221</v>
      </c>
      <c r="P16" s="102">
        <v>31522</v>
      </c>
      <c r="Q16" s="102">
        <v>1827</v>
      </c>
      <c r="R16" s="102">
        <v>359</v>
      </c>
    </row>
    <row r="17" spans="1:22" x14ac:dyDescent="0.25">
      <c r="A17" s="52">
        <v>44757</v>
      </c>
      <c r="B17" s="32">
        <v>4816</v>
      </c>
      <c r="C17" s="32">
        <v>6314</v>
      </c>
      <c r="D17" s="102">
        <v>274214</v>
      </c>
      <c r="E17" s="102">
        <v>273543</v>
      </c>
      <c r="F17" s="102">
        <v>67214</v>
      </c>
      <c r="G17" s="102">
        <v>120638</v>
      </c>
      <c r="H17" s="102">
        <v>62098</v>
      </c>
      <c r="I17" s="102">
        <v>76667</v>
      </c>
      <c r="J17" s="102">
        <v>23064</v>
      </c>
      <c r="K17" s="102">
        <v>1024</v>
      </c>
      <c r="L17" s="102">
        <v>19026</v>
      </c>
      <c r="M17" s="102">
        <v>27780</v>
      </c>
      <c r="N17" s="102">
        <v>8700</v>
      </c>
      <c r="O17" s="102">
        <v>2222</v>
      </c>
      <c r="P17" s="102">
        <v>31534</v>
      </c>
      <c r="Q17" s="102">
        <v>1830</v>
      </c>
      <c r="R17" s="102">
        <v>366</v>
      </c>
    </row>
    <row r="18" spans="1:22" x14ac:dyDescent="0.25">
      <c r="A18" s="52">
        <v>44758</v>
      </c>
      <c r="B18" s="32">
        <v>4939</v>
      </c>
      <c r="C18" s="54">
        <v>6482</v>
      </c>
      <c r="D18" s="102">
        <v>274345</v>
      </c>
      <c r="E18" s="102">
        <v>273614</v>
      </c>
      <c r="F18" s="102">
        <v>67215</v>
      </c>
      <c r="G18" s="102">
        <v>120659</v>
      </c>
      <c r="H18" s="102">
        <v>62098</v>
      </c>
      <c r="I18" s="102">
        <v>76687</v>
      </c>
      <c r="J18" s="102">
        <v>23070</v>
      </c>
      <c r="K18" s="102">
        <v>1024</v>
      </c>
      <c r="L18" s="102">
        <v>19030</v>
      </c>
      <c r="M18" s="102">
        <v>27786</v>
      </c>
      <c r="N18" s="102">
        <v>8703</v>
      </c>
      <c r="O18" s="102">
        <v>2223</v>
      </c>
      <c r="P18" s="102">
        <v>31534</v>
      </c>
      <c r="Q18" s="102">
        <v>1833</v>
      </c>
      <c r="R18" s="102">
        <v>366</v>
      </c>
      <c r="U18" s="100"/>
    </row>
    <row r="19" spans="1:22" x14ac:dyDescent="0.25">
      <c r="A19" s="52">
        <v>44759</v>
      </c>
      <c r="B19" s="32">
        <v>5080</v>
      </c>
      <c r="C19" s="32">
        <v>6681</v>
      </c>
      <c r="D19" s="102">
        <v>274521</v>
      </c>
      <c r="E19" s="102">
        <v>273687</v>
      </c>
      <c r="F19" s="102">
        <v>67215</v>
      </c>
      <c r="G19" s="102">
        <v>120681</v>
      </c>
      <c r="H19" s="102">
        <v>62098</v>
      </c>
      <c r="I19" s="102">
        <v>76716</v>
      </c>
      <c r="J19" s="102">
        <v>23076</v>
      </c>
      <c r="K19" s="102">
        <v>1024</v>
      </c>
      <c r="L19" s="102">
        <v>19033</v>
      </c>
      <c r="M19" s="102">
        <v>27791</v>
      </c>
      <c r="N19" s="102">
        <v>8705</v>
      </c>
      <c r="O19" s="102">
        <v>2225</v>
      </c>
      <c r="P19" s="102">
        <v>31545</v>
      </c>
      <c r="Q19" s="102">
        <v>1841</v>
      </c>
      <c r="R19" s="102">
        <v>371</v>
      </c>
    </row>
    <row r="20" spans="1:22" x14ac:dyDescent="0.25">
      <c r="A20" s="52">
        <v>44760</v>
      </c>
      <c r="B20" s="32">
        <v>5200</v>
      </c>
      <c r="C20" s="54">
        <v>6847</v>
      </c>
      <c r="D20" s="103">
        <v>274654</v>
      </c>
      <c r="E20" s="102">
        <v>273752</v>
      </c>
      <c r="F20" s="102">
        <v>67217</v>
      </c>
      <c r="G20" s="102">
        <v>120707</v>
      </c>
      <c r="H20" s="102">
        <v>62098</v>
      </c>
      <c r="I20" s="102">
        <v>76731</v>
      </c>
      <c r="J20" s="102">
        <v>23082</v>
      </c>
      <c r="K20" s="102">
        <v>1024</v>
      </c>
      <c r="L20" s="102">
        <v>19035</v>
      </c>
      <c r="M20" s="102">
        <v>27796</v>
      </c>
      <c r="N20" s="102">
        <v>8707</v>
      </c>
      <c r="O20" s="102">
        <v>2226</v>
      </c>
      <c r="P20" s="102">
        <v>31545</v>
      </c>
      <c r="Q20" s="102">
        <v>1845</v>
      </c>
      <c r="R20" s="102">
        <v>376</v>
      </c>
    </row>
    <row r="21" spans="1:22" x14ac:dyDescent="0.25">
      <c r="A21" s="52">
        <v>44761</v>
      </c>
      <c r="B21" s="32">
        <v>5318</v>
      </c>
      <c r="C21" s="32">
        <v>7015</v>
      </c>
      <c r="D21" s="102">
        <v>274789</v>
      </c>
      <c r="E21" s="102">
        <v>273816</v>
      </c>
      <c r="F21" s="102">
        <v>67217</v>
      </c>
      <c r="G21" s="102">
        <v>120729</v>
      </c>
      <c r="H21" s="102">
        <v>62098</v>
      </c>
      <c r="I21" s="102">
        <v>76752</v>
      </c>
      <c r="J21" s="102">
        <v>23087</v>
      </c>
      <c r="K21" s="102">
        <v>1024</v>
      </c>
      <c r="L21" s="102">
        <v>19038</v>
      </c>
      <c r="M21" s="102">
        <v>27800</v>
      </c>
      <c r="N21" s="102">
        <v>8714</v>
      </c>
      <c r="O21" s="102">
        <v>2228</v>
      </c>
      <c r="P21" s="102">
        <v>31545</v>
      </c>
      <c r="Q21" s="102">
        <v>1847</v>
      </c>
      <c r="R21" s="102">
        <v>380</v>
      </c>
    </row>
    <row r="22" spans="1:22" x14ac:dyDescent="0.25">
      <c r="A22" s="52">
        <v>44762</v>
      </c>
      <c r="B22" s="32">
        <v>5446</v>
      </c>
      <c r="C22" s="54">
        <v>7191</v>
      </c>
      <c r="D22" s="102">
        <v>274931</v>
      </c>
      <c r="E22" s="102">
        <v>273885</v>
      </c>
      <c r="F22" s="102">
        <v>67218</v>
      </c>
      <c r="G22" s="102">
        <v>120755</v>
      </c>
      <c r="H22" s="102">
        <v>62098</v>
      </c>
      <c r="I22" s="102">
        <v>76775</v>
      </c>
      <c r="J22" s="102">
        <v>23093</v>
      </c>
      <c r="K22" s="102">
        <v>1024</v>
      </c>
      <c r="L22" s="102">
        <v>19040</v>
      </c>
      <c r="M22" s="102">
        <v>27806</v>
      </c>
      <c r="N22" s="102">
        <v>8716</v>
      </c>
      <c r="O22" s="102">
        <v>2229</v>
      </c>
      <c r="P22" s="102">
        <v>31545</v>
      </c>
      <c r="Q22" s="102">
        <v>1847</v>
      </c>
      <c r="R22" s="102">
        <v>385</v>
      </c>
    </row>
    <row r="23" spans="1:22" x14ac:dyDescent="0.25">
      <c r="A23" s="52">
        <v>44763</v>
      </c>
      <c r="B23" s="32">
        <v>5567</v>
      </c>
      <c r="C23" s="32">
        <v>7357</v>
      </c>
      <c r="D23" s="102">
        <v>275065</v>
      </c>
      <c r="E23" s="102">
        <v>273955</v>
      </c>
      <c r="F23" s="102">
        <v>67218</v>
      </c>
      <c r="G23" s="102">
        <v>120775</v>
      </c>
      <c r="H23" s="102">
        <v>62098</v>
      </c>
      <c r="I23" s="102">
        <v>76797</v>
      </c>
      <c r="J23" s="102">
        <v>23098</v>
      </c>
      <c r="K23" s="102">
        <v>1024</v>
      </c>
      <c r="L23" s="102">
        <v>19043</v>
      </c>
      <c r="M23" s="102">
        <v>27813</v>
      </c>
      <c r="N23" s="102">
        <v>8719</v>
      </c>
      <c r="O23" s="102">
        <v>2230</v>
      </c>
      <c r="P23" s="102">
        <v>31545</v>
      </c>
      <c r="Q23" s="102">
        <v>1863</v>
      </c>
      <c r="R23" s="102">
        <v>390</v>
      </c>
      <c r="S23" s="10" t="s">
        <v>125</v>
      </c>
    </row>
    <row r="24" spans="1:22" x14ac:dyDescent="0.25">
      <c r="A24" s="52">
        <v>44764</v>
      </c>
      <c r="B24" s="32">
        <v>5720</v>
      </c>
      <c r="C24" s="54">
        <v>7537</v>
      </c>
      <c r="D24" s="102">
        <v>275218</v>
      </c>
      <c r="E24" s="102">
        <v>274029</v>
      </c>
      <c r="F24" s="102">
        <v>67218</v>
      </c>
      <c r="G24" s="102">
        <v>120800</v>
      </c>
      <c r="H24" s="102">
        <v>62098</v>
      </c>
      <c r="I24" s="102">
        <v>76816</v>
      </c>
      <c r="J24" s="102">
        <v>23104</v>
      </c>
      <c r="K24" s="102">
        <v>1024</v>
      </c>
      <c r="L24" s="102">
        <v>19045</v>
      </c>
      <c r="M24" s="102">
        <v>27817</v>
      </c>
      <c r="N24" s="102">
        <v>8722</v>
      </c>
      <c r="O24" s="102">
        <v>2232</v>
      </c>
      <c r="P24" s="102">
        <v>31545</v>
      </c>
      <c r="Q24" s="102">
        <v>1867</v>
      </c>
      <c r="R24" s="102">
        <v>394</v>
      </c>
      <c r="S24" s="10" t="s">
        <v>127</v>
      </c>
    </row>
    <row r="25" spans="1:22" x14ac:dyDescent="0.25">
      <c r="A25" s="52">
        <v>44765</v>
      </c>
      <c r="B25" s="32">
        <v>5875</v>
      </c>
      <c r="C25" s="32">
        <v>7766</v>
      </c>
      <c r="D25" s="102">
        <v>275352</v>
      </c>
      <c r="E25" s="102">
        <v>274109</v>
      </c>
      <c r="F25" s="102">
        <v>67219</v>
      </c>
      <c r="G25" s="102">
        <v>120822</v>
      </c>
      <c r="H25" s="102">
        <v>62098</v>
      </c>
      <c r="I25" s="102">
        <v>76840</v>
      </c>
      <c r="J25" s="102">
        <v>23109</v>
      </c>
      <c r="K25" s="102">
        <v>1024</v>
      </c>
      <c r="L25" s="102">
        <v>19049</v>
      </c>
      <c r="M25" s="102">
        <v>27823</v>
      </c>
      <c r="N25" s="102">
        <v>8724</v>
      </c>
      <c r="O25" s="102">
        <v>2233</v>
      </c>
      <c r="P25" s="102">
        <v>31549</v>
      </c>
      <c r="Q25" s="102">
        <v>1872</v>
      </c>
      <c r="R25" s="102">
        <v>397</v>
      </c>
    </row>
    <row r="26" spans="1:22" x14ac:dyDescent="0.25">
      <c r="A26" s="52">
        <v>44766</v>
      </c>
      <c r="B26" s="32">
        <v>6033</v>
      </c>
      <c r="C26" s="54">
        <v>7962</v>
      </c>
      <c r="D26" s="102">
        <v>275524</v>
      </c>
      <c r="E26" s="102">
        <v>274188</v>
      </c>
      <c r="F26" s="102">
        <v>67220</v>
      </c>
      <c r="G26" s="102">
        <v>120845</v>
      </c>
      <c r="H26" s="102">
        <v>62098</v>
      </c>
      <c r="I26" s="102">
        <v>76867</v>
      </c>
      <c r="J26" s="102">
        <v>23115</v>
      </c>
      <c r="K26" s="102">
        <v>1024</v>
      </c>
      <c r="L26" s="102">
        <v>19052</v>
      </c>
      <c r="M26" s="102">
        <v>27829</v>
      </c>
      <c r="N26" s="102">
        <v>8727</v>
      </c>
      <c r="O26" s="102">
        <v>2235</v>
      </c>
      <c r="P26" s="102">
        <v>31558</v>
      </c>
      <c r="Q26" s="102">
        <v>1873</v>
      </c>
      <c r="R26" s="102">
        <v>401</v>
      </c>
    </row>
    <row r="27" spans="1:22" x14ac:dyDescent="0.25">
      <c r="A27" s="52">
        <v>44767</v>
      </c>
      <c r="B27" s="32">
        <v>6188</v>
      </c>
      <c r="C27" s="32">
        <v>8180</v>
      </c>
      <c r="D27" s="102">
        <v>275698</v>
      </c>
      <c r="E27" s="102">
        <v>274269</v>
      </c>
      <c r="F27" s="102">
        <v>67221</v>
      </c>
      <c r="G27" s="102">
        <v>120869</v>
      </c>
      <c r="H27" s="102">
        <v>62098</v>
      </c>
      <c r="I27" s="129">
        <v>76912</v>
      </c>
      <c r="J27" s="102">
        <v>23121</v>
      </c>
      <c r="K27" s="102">
        <v>1024</v>
      </c>
      <c r="L27" s="102">
        <v>19054</v>
      </c>
      <c r="M27" s="102">
        <v>27835</v>
      </c>
      <c r="N27" s="102">
        <v>8732</v>
      </c>
      <c r="O27" s="102">
        <v>2237</v>
      </c>
      <c r="P27" s="102">
        <v>31581</v>
      </c>
      <c r="Q27" s="102">
        <v>1878</v>
      </c>
      <c r="R27" s="102">
        <v>406</v>
      </c>
    </row>
    <row r="28" spans="1:22" x14ac:dyDescent="0.25">
      <c r="A28" s="52">
        <v>44768</v>
      </c>
      <c r="B28" s="32">
        <v>6342</v>
      </c>
      <c r="C28" s="54">
        <v>8401</v>
      </c>
      <c r="D28" s="102">
        <v>275899</v>
      </c>
      <c r="E28" s="102">
        <v>274332</v>
      </c>
      <c r="F28" s="102">
        <v>67221</v>
      </c>
      <c r="G28" s="102">
        <v>120893</v>
      </c>
      <c r="H28" s="102">
        <v>62098</v>
      </c>
      <c r="I28" s="102">
        <v>76933</v>
      </c>
      <c r="J28" s="102">
        <v>23128</v>
      </c>
      <c r="K28" s="102">
        <v>1024</v>
      </c>
      <c r="L28" s="102">
        <v>19057</v>
      </c>
      <c r="M28" s="102">
        <v>27838</v>
      </c>
      <c r="N28" s="102">
        <v>8734</v>
      </c>
      <c r="O28" s="102">
        <v>2241</v>
      </c>
      <c r="P28" s="102">
        <v>31581</v>
      </c>
      <c r="Q28" s="102">
        <v>1881</v>
      </c>
      <c r="R28" s="102">
        <v>409</v>
      </c>
    </row>
    <row r="29" spans="1:22" x14ac:dyDescent="0.25">
      <c r="A29" s="52">
        <v>44769</v>
      </c>
      <c r="B29" s="32">
        <v>6506</v>
      </c>
      <c r="C29" s="32">
        <v>8635</v>
      </c>
      <c r="D29" s="102">
        <v>276105</v>
      </c>
      <c r="E29" s="102">
        <v>274419</v>
      </c>
      <c r="F29" s="102">
        <v>67222</v>
      </c>
      <c r="G29" s="102">
        <v>120917</v>
      </c>
      <c r="H29" s="102">
        <v>62098</v>
      </c>
      <c r="I29" s="103">
        <v>76960</v>
      </c>
      <c r="J29" s="102">
        <v>23134</v>
      </c>
      <c r="K29" s="102">
        <v>1024</v>
      </c>
      <c r="L29" s="102">
        <v>19059</v>
      </c>
      <c r="M29" s="102">
        <v>27844</v>
      </c>
      <c r="N29" s="102">
        <v>8739</v>
      </c>
      <c r="O29" s="102">
        <v>2242</v>
      </c>
      <c r="P29" s="102">
        <v>31585</v>
      </c>
      <c r="Q29" s="102">
        <v>1908</v>
      </c>
      <c r="R29" s="102">
        <v>415</v>
      </c>
    </row>
    <row r="30" spans="1:22" x14ac:dyDescent="0.25">
      <c r="A30" s="52">
        <v>44770</v>
      </c>
      <c r="B30" s="32">
        <v>6656</v>
      </c>
      <c r="C30" s="54">
        <v>8848</v>
      </c>
      <c r="D30" s="102">
        <v>276293</v>
      </c>
      <c r="E30" s="102">
        <v>274487</v>
      </c>
      <c r="F30" s="102">
        <v>67223</v>
      </c>
      <c r="G30" s="102">
        <v>120942</v>
      </c>
      <c r="H30" s="102">
        <v>62098</v>
      </c>
      <c r="I30" s="102">
        <v>76972</v>
      </c>
      <c r="J30" s="102">
        <v>23140</v>
      </c>
      <c r="K30" s="102">
        <v>1024</v>
      </c>
      <c r="L30" s="102">
        <v>19062</v>
      </c>
      <c r="M30" s="102">
        <v>27850</v>
      </c>
      <c r="N30" s="102">
        <v>8742</v>
      </c>
      <c r="O30" s="102">
        <v>2243</v>
      </c>
      <c r="P30" s="102">
        <v>31585</v>
      </c>
      <c r="Q30" s="102">
        <v>1908</v>
      </c>
      <c r="R30" s="102">
        <v>419</v>
      </c>
    </row>
    <row r="31" spans="1:22" x14ac:dyDescent="0.25">
      <c r="A31" s="52">
        <v>44771</v>
      </c>
      <c r="B31" s="32"/>
      <c r="C31" s="32"/>
      <c r="D31" s="53"/>
      <c r="F31" s="53"/>
      <c r="G31" s="53"/>
      <c r="H31" s="32"/>
      <c r="I31" s="53"/>
      <c r="K31" s="102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44772</v>
      </c>
      <c r="B32" s="32"/>
      <c r="C32" s="54"/>
      <c r="D32" s="53"/>
      <c r="E32" s="53"/>
      <c r="F32" s="53"/>
      <c r="G32" s="53"/>
      <c r="H32" s="54"/>
      <c r="I32" s="32"/>
      <c r="J32" s="53"/>
      <c r="K32" s="102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44773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44774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P27" sqref="P2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66" t="s">
        <v>30</v>
      </c>
      <c r="B2" s="167" t="s">
        <v>107</v>
      </c>
      <c r="C2" s="167" t="s">
        <v>108</v>
      </c>
      <c r="D2" s="167"/>
      <c r="E2" s="168" t="s">
        <v>96</v>
      </c>
      <c r="F2" s="165"/>
      <c r="G2" s="162" t="s">
        <v>111</v>
      </c>
      <c r="H2" s="165"/>
      <c r="I2" s="162" t="s">
        <v>109</v>
      </c>
      <c r="J2" s="165"/>
      <c r="K2" s="162" t="s">
        <v>110</v>
      </c>
      <c r="L2" s="165"/>
      <c r="M2" s="162" t="s">
        <v>106</v>
      </c>
      <c r="N2" s="165"/>
      <c r="O2" s="162" t="s">
        <v>105</v>
      </c>
      <c r="P2" s="165"/>
      <c r="Q2" s="162" t="s">
        <v>112</v>
      </c>
      <c r="R2" s="165"/>
      <c r="S2" s="162" t="s">
        <v>113</v>
      </c>
      <c r="T2" s="165"/>
      <c r="U2" s="162" t="s">
        <v>114</v>
      </c>
      <c r="V2" s="165"/>
      <c r="W2" s="162" t="s">
        <v>98</v>
      </c>
      <c r="X2" s="163"/>
      <c r="Y2" s="164" t="s">
        <v>51</v>
      </c>
      <c r="Z2" s="164"/>
    </row>
    <row r="3" spans="1:26" ht="30" x14ac:dyDescent="0.35">
      <c r="A3" s="166"/>
      <c r="B3" s="167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44743</v>
      </c>
      <c r="B4" s="63">
        <f>TOTAL!I2</f>
        <v>326</v>
      </c>
      <c r="C4" s="64">
        <f>('Water Reading'!B4-'Water Reading'!B3)+('Water Reading'!C4-'Water Reading'!C3)</f>
        <v>278</v>
      </c>
      <c r="D4" s="65">
        <f>C4/B4</f>
        <v>0.85276073619631898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113</v>
      </c>
      <c r="H4" s="84">
        <f>G4/C4</f>
        <v>0.40647482014388492</v>
      </c>
      <c r="I4" s="85">
        <f>'Water Reading'!P4-'Water Reading'!P3</f>
        <v>0</v>
      </c>
      <c r="J4" s="66">
        <f>I4/C4</f>
        <v>0</v>
      </c>
      <c r="K4" s="86">
        <f>('Water Reading'!I4-'Water Reading'!I3)-('Water Reading'!P4-'Water Reading'!P3)</f>
        <v>20</v>
      </c>
      <c r="L4" s="66">
        <f>K4/C4</f>
        <v>7.1942446043165464E-2</v>
      </c>
      <c r="M4" s="85">
        <f>'Water Reading'!R4-'Water Reading'!R3</f>
        <v>1</v>
      </c>
      <c r="N4" s="87">
        <f>M4/C4</f>
        <v>3.5971223021582736E-3</v>
      </c>
      <c r="O4" s="85">
        <f>'Water Reading'!Q4-'Water Reading'!Q3</f>
        <v>4</v>
      </c>
      <c r="P4" s="92">
        <f>O4/C4</f>
        <v>1.4388489208633094E-2</v>
      </c>
      <c r="Q4" s="86">
        <f>'Water Reading'!F4-'Water Reading'!F3</f>
        <v>1</v>
      </c>
      <c r="R4" s="93">
        <f>Q4/C4</f>
        <v>3.5971223021582736E-3</v>
      </c>
      <c r="S4" s="85">
        <f>'Water Reading'!E4-'Water Reading'!E3</f>
        <v>63</v>
      </c>
      <c r="T4" s="93">
        <f>S4/C4</f>
        <v>0.22661870503597123</v>
      </c>
      <c r="U4" s="85">
        <f>'Water Reading'!G4-'Water Reading'!G3</f>
        <v>22</v>
      </c>
      <c r="V4" s="93">
        <f>U4/C4</f>
        <v>7.9136690647482008E-2</v>
      </c>
      <c r="W4" s="86">
        <f>'Water Reading'!J4-'Water Reading'!J3</f>
        <v>6</v>
      </c>
      <c r="X4" s="93">
        <f>W4/C4</f>
        <v>2.1582733812949641E-2</v>
      </c>
      <c r="Y4" s="64">
        <f t="shared" ref="Y4:Y34" si="0">E4+I4+K4+M4+O4+G4+Q4+S4+U4+W4</f>
        <v>230</v>
      </c>
      <c r="Z4" s="65">
        <f t="shared" ref="Z4:Z35" si="1">Y4/B4</f>
        <v>0.70552147239263807</v>
      </c>
    </row>
    <row r="5" spans="1:26" x14ac:dyDescent="0.25">
      <c r="A5" s="8">
        <f>'Water Reading'!A4</f>
        <v>44744</v>
      </c>
      <c r="B5" s="63">
        <f>TOTAL!I3</f>
        <v>259</v>
      </c>
      <c r="C5" s="64">
        <f>('Water Reading'!B5-'Water Reading'!B4)+('Water Reading'!C5-'Water Reading'!C4)</f>
        <v>259</v>
      </c>
      <c r="D5" s="65">
        <f t="shared" ref="D5:D34" si="2">C5/B5</f>
        <v>1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90</v>
      </c>
      <c r="H5" s="84">
        <f t="shared" ref="H5:H34" si="4">G5/C5</f>
        <v>0.34749034749034752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17</v>
      </c>
      <c r="L5" s="66">
        <f t="shared" ref="L5:L34" si="6">K5/C5</f>
        <v>6.5637065637065631E-2</v>
      </c>
      <c r="M5" s="85">
        <f>'Water Reading'!R5-'Water Reading'!R4</f>
        <v>4</v>
      </c>
      <c r="N5" s="87">
        <f t="shared" ref="N5:N34" si="7">M5/C5</f>
        <v>1.5444015444015444E-2</v>
      </c>
      <c r="O5" s="85">
        <f>'Water Reading'!Q5-'Water Reading'!Q4</f>
        <v>5</v>
      </c>
      <c r="P5" s="92">
        <f t="shared" ref="P5:P34" si="8">O5/C5</f>
        <v>1.9305019305019305E-2</v>
      </c>
      <c r="Q5" s="86">
        <f>'Water Reading'!F5-'Water Reading'!F4</f>
        <v>1</v>
      </c>
      <c r="R5" s="93">
        <f t="shared" ref="R5:R34" si="9">Q5/C5</f>
        <v>3.8610038610038611E-3</v>
      </c>
      <c r="S5" s="85">
        <f>'Water Reading'!E5-'Water Reading'!E4</f>
        <v>76</v>
      </c>
      <c r="T5" s="93">
        <f t="shared" ref="T5:T34" si="10">S5/C5</f>
        <v>0.29343629343629346</v>
      </c>
      <c r="U5" s="85">
        <f>'Water Reading'!G5-'Water Reading'!G4</f>
        <v>21</v>
      </c>
      <c r="V5" s="93">
        <f t="shared" ref="V5:V34" si="11">U5/C5</f>
        <v>8.1081081081081086E-2</v>
      </c>
      <c r="W5" s="86">
        <f>'Water Reading'!J5-'Water Reading'!J4</f>
        <v>6</v>
      </c>
      <c r="X5" s="93">
        <f t="shared" ref="X5:X34" si="12">W5/C5</f>
        <v>2.3166023166023165E-2</v>
      </c>
      <c r="Y5" s="64">
        <f t="shared" si="0"/>
        <v>220</v>
      </c>
      <c r="Z5" s="65">
        <f t="shared" si="1"/>
        <v>0.84942084942084939</v>
      </c>
    </row>
    <row r="6" spans="1:26" x14ac:dyDescent="0.25">
      <c r="A6" s="8">
        <f>'Water Reading'!A5</f>
        <v>44745</v>
      </c>
      <c r="B6" s="63">
        <f>TOTAL!I4</f>
        <v>284</v>
      </c>
      <c r="C6" s="64">
        <f>('Water Reading'!B6-'Water Reading'!B5)+('Water Reading'!C6-'Water Reading'!C5)</f>
        <v>268</v>
      </c>
      <c r="D6" s="65">
        <f t="shared" si="2"/>
        <v>0.94366197183098588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82</v>
      </c>
      <c r="H6" s="84">
        <f t="shared" si="4"/>
        <v>0.30597014925373134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8.5820895522388058E-2</v>
      </c>
      <c r="M6" s="85">
        <f>'Water Reading'!R6-'Water Reading'!R5</f>
        <v>5</v>
      </c>
      <c r="N6" s="87">
        <f t="shared" si="7"/>
        <v>1.8656716417910446E-2</v>
      </c>
      <c r="O6" s="85">
        <f>'Water Reading'!Q6-'Water Reading'!Q5</f>
        <v>3</v>
      </c>
      <c r="P6" s="92">
        <f t="shared" si="8"/>
        <v>1.1194029850746268E-2</v>
      </c>
      <c r="Q6" s="86">
        <f>'Water Reading'!F6-'Water Reading'!F5</f>
        <v>0</v>
      </c>
      <c r="R6" s="93">
        <f t="shared" si="9"/>
        <v>0</v>
      </c>
      <c r="S6" s="85">
        <f>'Water Reading'!E6-'Water Reading'!E5</f>
        <v>63</v>
      </c>
      <c r="T6" s="93">
        <f t="shared" si="10"/>
        <v>0.23507462686567165</v>
      </c>
      <c r="U6" s="85">
        <f>'Water Reading'!G6-'Water Reading'!G5</f>
        <v>21</v>
      </c>
      <c r="V6" s="93">
        <f t="shared" si="11"/>
        <v>7.8358208955223885E-2</v>
      </c>
      <c r="W6" s="86">
        <f>'Water Reading'!J6-'Water Reading'!J5</f>
        <v>7</v>
      </c>
      <c r="X6" s="93">
        <f t="shared" si="12"/>
        <v>2.6119402985074626E-2</v>
      </c>
      <c r="Y6" s="64">
        <f t="shared" si="0"/>
        <v>204</v>
      </c>
      <c r="Z6" s="65">
        <f t="shared" si="1"/>
        <v>0.71830985915492962</v>
      </c>
    </row>
    <row r="7" spans="1:26" x14ac:dyDescent="0.25">
      <c r="A7" s="8">
        <f>'Water Reading'!A6</f>
        <v>44746</v>
      </c>
      <c r="B7" s="63">
        <f>TOTAL!I5</f>
        <v>288</v>
      </c>
      <c r="C7" s="64">
        <f>('Water Reading'!B7-'Water Reading'!B6)+('Water Reading'!C7-'Water Reading'!C6)</f>
        <v>347</v>
      </c>
      <c r="D7" s="65">
        <f t="shared" si="2"/>
        <v>1.2048611111111112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152</v>
      </c>
      <c r="H7" s="84">
        <f t="shared" si="4"/>
        <v>0.43804034582132567</v>
      </c>
      <c r="I7" s="85">
        <f>'Water Reading'!P7-'Water Reading'!P6</f>
        <v>8</v>
      </c>
      <c r="J7" s="66">
        <f t="shared" si="5"/>
        <v>2.3054755043227664E-2</v>
      </c>
      <c r="K7" s="86">
        <f>('Water Reading'!I7-'Water Reading'!I6)-('Water Reading'!P7-'Water Reading'!P6)</f>
        <v>17</v>
      </c>
      <c r="L7" s="66">
        <f t="shared" si="6"/>
        <v>4.8991354466858789E-2</v>
      </c>
      <c r="M7" s="85">
        <f>'Water Reading'!R7-'Water Reading'!R6</f>
        <v>4</v>
      </c>
      <c r="N7" s="87">
        <f t="shared" si="7"/>
        <v>1.1527377521613832E-2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67</v>
      </c>
      <c r="T7" s="93">
        <f t="shared" si="10"/>
        <v>0.1930835734870317</v>
      </c>
      <c r="U7" s="85">
        <f>'Water Reading'!G7-'Water Reading'!G6</f>
        <v>25</v>
      </c>
      <c r="V7" s="93">
        <f t="shared" si="11"/>
        <v>7.2046109510086456E-2</v>
      </c>
      <c r="W7" s="86">
        <f>'Water Reading'!J7-'Water Reading'!J6</f>
        <v>6</v>
      </c>
      <c r="X7" s="93">
        <f t="shared" si="12"/>
        <v>1.7291066282420751E-2</v>
      </c>
      <c r="Y7" s="64">
        <f t="shared" si="0"/>
        <v>279</v>
      </c>
      <c r="Z7" s="65">
        <f t="shared" si="1"/>
        <v>0.96875</v>
      </c>
    </row>
    <row r="8" spans="1:26" x14ac:dyDescent="0.25">
      <c r="A8" s="8">
        <f>'Water Reading'!A7</f>
        <v>44747</v>
      </c>
      <c r="B8" s="63">
        <f>TOTAL!I6</f>
        <v>283</v>
      </c>
      <c r="C8" s="64">
        <f>('Water Reading'!B8-'Water Reading'!B7)+('Water Reading'!C8-'Water Reading'!C7)</f>
        <v>352</v>
      </c>
      <c r="D8" s="65">
        <f t="shared" si="2"/>
        <v>1.2438162544169611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155</v>
      </c>
      <c r="H8" s="84">
        <f t="shared" si="4"/>
        <v>0.44034090909090912</v>
      </c>
      <c r="I8" s="85">
        <f>'Water Reading'!P8-'Water Reading'!P7</f>
        <v>14</v>
      </c>
      <c r="J8" s="66">
        <f t="shared" si="5"/>
        <v>3.9772727272727272E-2</v>
      </c>
      <c r="K8" s="86">
        <f>('Water Reading'!I8-'Water Reading'!I7)-('Water Reading'!P8-'Water Reading'!P7)</f>
        <v>21</v>
      </c>
      <c r="L8" s="66">
        <f t="shared" si="6"/>
        <v>5.9659090909090912E-2</v>
      </c>
      <c r="M8" s="85">
        <f>'Water Reading'!R8-'Water Reading'!R7</f>
        <v>5</v>
      </c>
      <c r="N8" s="87">
        <f t="shared" si="7"/>
        <v>1.4204545454545454E-2</v>
      </c>
      <c r="O8" s="85">
        <f>'Water Reading'!Q8-'Water Reading'!Q7</f>
        <v>1</v>
      </c>
      <c r="P8" s="92">
        <f t="shared" si="8"/>
        <v>2.840909090909091E-3</v>
      </c>
      <c r="Q8" s="86">
        <f>'Water Reading'!F8-'Water Reading'!F7</f>
        <v>1</v>
      </c>
      <c r="R8" s="93">
        <f t="shared" si="9"/>
        <v>2.840909090909091E-3</v>
      </c>
      <c r="S8" s="85">
        <f>'Water Reading'!E8-'Water Reading'!E7</f>
        <v>69</v>
      </c>
      <c r="T8" s="93">
        <f t="shared" si="10"/>
        <v>0.19602272727272727</v>
      </c>
      <c r="U8" s="85">
        <f>'Water Reading'!G8-'Water Reading'!G7</f>
        <v>29</v>
      </c>
      <c r="V8" s="93">
        <f t="shared" si="11"/>
        <v>8.2386363636363633E-2</v>
      </c>
      <c r="W8" s="86">
        <f>'Water Reading'!J8-'Water Reading'!J7</f>
        <v>7</v>
      </c>
      <c r="X8" s="93">
        <f t="shared" si="12"/>
        <v>1.9886363636363636E-2</v>
      </c>
      <c r="Y8" s="64">
        <f t="shared" si="0"/>
        <v>302</v>
      </c>
      <c r="Z8" s="65">
        <f t="shared" si="1"/>
        <v>1.0671378091872792</v>
      </c>
    </row>
    <row r="9" spans="1:26" x14ac:dyDescent="0.25">
      <c r="A9" s="8">
        <f>'Water Reading'!A8</f>
        <v>44748</v>
      </c>
      <c r="B9" s="63">
        <f>TOTAL!I7</f>
        <v>297</v>
      </c>
      <c r="C9" s="64">
        <f>('Water Reading'!B9-'Water Reading'!B8)+('Water Reading'!C9-'Water Reading'!C8)</f>
        <v>257</v>
      </c>
      <c r="D9" s="65">
        <f t="shared" si="2"/>
        <v>0.86531986531986527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98</v>
      </c>
      <c r="H9" s="84">
        <f t="shared" si="4"/>
        <v>0.38132295719844356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21</v>
      </c>
      <c r="L9" s="66">
        <f t="shared" si="6"/>
        <v>8.171206225680934E-2</v>
      </c>
      <c r="M9" s="85">
        <f>'Water Reading'!R9-'Water Reading'!R8</f>
        <v>5</v>
      </c>
      <c r="N9" s="87">
        <f t="shared" si="7"/>
        <v>1.9455252918287938E-2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1</v>
      </c>
      <c r="R9" s="93">
        <f t="shared" si="9"/>
        <v>3.8910505836575876E-3</v>
      </c>
      <c r="S9" s="85">
        <f>'Water Reading'!E9-'Water Reading'!E8</f>
        <v>62</v>
      </c>
      <c r="T9" s="93">
        <f t="shared" si="10"/>
        <v>0.24124513618677043</v>
      </c>
      <c r="U9" s="85">
        <f>'Water Reading'!G9-'Water Reading'!G8</f>
        <v>25</v>
      </c>
      <c r="V9" s="93">
        <f t="shared" si="11"/>
        <v>9.727626459143969E-2</v>
      </c>
      <c r="W9" s="86">
        <f>'Water Reading'!J9-'Water Reading'!J8</f>
        <v>6</v>
      </c>
      <c r="X9" s="93">
        <f t="shared" si="12"/>
        <v>2.3346303501945526E-2</v>
      </c>
      <c r="Y9" s="64">
        <f t="shared" si="0"/>
        <v>218</v>
      </c>
      <c r="Z9" s="65">
        <f t="shared" si="1"/>
        <v>0.734006734006734</v>
      </c>
    </row>
    <row r="10" spans="1:26" x14ac:dyDescent="0.25">
      <c r="A10" s="8">
        <f>'Water Reading'!A9</f>
        <v>44749</v>
      </c>
      <c r="B10" s="63">
        <f>TOTAL!I8</f>
        <v>289</v>
      </c>
      <c r="C10" s="64">
        <f>('Water Reading'!B10-'Water Reading'!B9)+('Water Reading'!C10-'Water Reading'!C9)</f>
        <v>298</v>
      </c>
      <c r="D10" s="65">
        <f t="shared" si="2"/>
        <v>1.0311418685121108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104</v>
      </c>
      <c r="H10" s="84">
        <f t="shared" si="4"/>
        <v>0.34899328859060402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20</v>
      </c>
      <c r="L10" s="66">
        <f t="shared" si="6"/>
        <v>6.7114093959731544E-2</v>
      </c>
      <c r="M10" s="85">
        <f>'Water Reading'!R10-'Water Reading'!R9</f>
        <v>6</v>
      </c>
      <c r="N10" s="87">
        <f t="shared" si="7"/>
        <v>2.0134228187919462E-2</v>
      </c>
      <c r="O10" s="85">
        <f>'Water Reading'!Q10-'Water Reading'!Q9</f>
        <v>0</v>
      </c>
      <c r="P10" s="92">
        <f t="shared" si="8"/>
        <v>0</v>
      </c>
      <c r="Q10" s="86">
        <f>'Water Reading'!F10-'Water Reading'!F9</f>
        <v>0</v>
      </c>
      <c r="R10" s="93">
        <f t="shared" si="9"/>
        <v>0</v>
      </c>
      <c r="S10" s="85">
        <f>'Water Reading'!E10-'Water Reading'!E9</f>
        <v>63</v>
      </c>
      <c r="T10" s="93">
        <f t="shared" si="10"/>
        <v>0.21140939597315436</v>
      </c>
      <c r="U10" s="85">
        <f>'Water Reading'!G10-'Water Reading'!G9</f>
        <v>30</v>
      </c>
      <c r="V10" s="93">
        <f t="shared" si="11"/>
        <v>0.10067114093959731</v>
      </c>
      <c r="W10" s="86">
        <f>'Water Reading'!J10-'Water Reading'!J9</f>
        <v>6</v>
      </c>
      <c r="X10" s="93">
        <f t="shared" si="12"/>
        <v>2.0134228187919462E-2</v>
      </c>
      <c r="Y10" s="64">
        <f t="shared" si="0"/>
        <v>229</v>
      </c>
      <c r="Z10" s="65">
        <f t="shared" si="1"/>
        <v>0.79238754325259519</v>
      </c>
    </row>
    <row r="11" spans="1:26" x14ac:dyDescent="0.25">
      <c r="A11" s="8">
        <f>'Water Reading'!A10</f>
        <v>44750</v>
      </c>
      <c r="B11" s="63">
        <f>TOTAL!I9</f>
        <v>301</v>
      </c>
      <c r="C11" s="64">
        <f>('Water Reading'!B11-'Water Reading'!B10)+('Water Reading'!C11-'Water Reading'!C10)</f>
        <v>337</v>
      </c>
      <c r="D11" s="65">
        <f t="shared" si="2"/>
        <v>1.1196013289036544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134</v>
      </c>
      <c r="H11" s="84">
        <f t="shared" si="4"/>
        <v>0.39762611275964393</v>
      </c>
      <c r="I11" s="85">
        <f>'Water Reading'!P11-'Water Reading'!P10</f>
        <v>0</v>
      </c>
      <c r="J11" s="66">
        <f t="shared" si="5"/>
        <v>0</v>
      </c>
      <c r="K11" s="86">
        <f>('Water Reading'!I11-'Water Reading'!I10)-('Water Reading'!P11-'Water Reading'!P10)</f>
        <v>23</v>
      </c>
      <c r="L11" s="66">
        <f t="shared" si="6"/>
        <v>6.8249258160237386E-2</v>
      </c>
      <c r="M11" s="85">
        <f>'Water Reading'!R11-'Water Reading'!R10</f>
        <v>0</v>
      </c>
      <c r="N11" s="87">
        <f t="shared" si="7"/>
        <v>0</v>
      </c>
      <c r="O11" s="85">
        <f>'Water Reading'!Q11-'Water Reading'!Q10</f>
        <v>0</v>
      </c>
      <c r="P11" s="92">
        <f t="shared" si="8"/>
        <v>0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63</v>
      </c>
      <c r="T11" s="93">
        <f t="shared" si="10"/>
        <v>0.18694362017804153</v>
      </c>
      <c r="U11" s="85">
        <f>'Water Reading'!G11-'Water Reading'!G10</f>
        <v>25</v>
      </c>
      <c r="V11" s="93">
        <f t="shared" si="11"/>
        <v>7.418397626112759E-2</v>
      </c>
      <c r="W11" s="86">
        <f>'Water Reading'!J11-'Water Reading'!J10</f>
        <v>6</v>
      </c>
      <c r="X11" s="93">
        <f t="shared" si="12"/>
        <v>1.7804154302670624E-2</v>
      </c>
      <c r="Y11" s="64">
        <f t="shared" si="0"/>
        <v>251</v>
      </c>
      <c r="Z11" s="65">
        <f t="shared" si="1"/>
        <v>0.83388704318936879</v>
      </c>
    </row>
    <row r="12" spans="1:26" x14ac:dyDescent="0.25">
      <c r="A12" s="8">
        <f>'Water Reading'!A11</f>
        <v>44751</v>
      </c>
      <c r="B12" s="63">
        <f>TOTAL!I10</f>
        <v>383</v>
      </c>
      <c r="C12" s="64">
        <f>('Water Reading'!B12-'Water Reading'!B11)+('Water Reading'!C12-'Water Reading'!C11)</f>
        <v>378</v>
      </c>
      <c r="D12" s="65">
        <f t="shared" si="2"/>
        <v>0.98694516971279378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105</v>
      </c>
      <c r="H12" s="84">
        <f t="shared" si="4"/>
        <v>0.27777777777777779</v>
      </c>
      <c r="I12" s="85">
        <f>'Water Reading'!P12-'Water Reading'!P11</f>
        <v>5</v>
      </c>
      <c r="J12" s="66">
        <f t="shared" si="5"/>
        <v>1.3227513227513227E-2</v>
      </c>
      <c r="K12" s="86">
        <f>('Water Reading'!I12-'Water Reading'!I11)-('Water Reading'!P12-'Water Reading'!P11)</f>
        <v>24</v>
      </c>
      <c r="L12" s="66">
        <f t="shared" si="6"/>
        <v>6.3492063492063489E-2</v>
      </c>
      <c r="M12" s="85">
        <f>'Water Reading'!R12-'Water Reading'!R11</f>
        <v>5</v>
      </c>
      <c r="N12" s="87">
        <f t="shared" si="7"/>
        <v>1.3227513227513227E-2</v>
      </c>
      <c r="O12" s="85">
        <f>'Water Reading'!Q12-'Water Reading'!Q11</f>
        <v>5</v>
      </c>
      <c r="P12" s="92">
        <f t="shared" si="8"/>
        <v>1.3227513227513227E-2</v>
      </c>
      <c r="Q12" s="86">
        <f>'Water Reading'!F12-'Water Reading'!F11</f>
        <v>1</v>
      </c>
      <c r="R12" s="93">
        <f t="shared" si="9"/>
        <v>2.6455026455026454E-3</v>
      </c>
      <c r="S12" s="85">
        <f>'Water Reading'!E12-'Water Reading'!E11</f>
        <v>69</v>
      </c>
      <c r="T12" s="93">
        <f t="shared" si="10"/>
        <v>0.18253968253968253</v>
      </c>
      <c r="U12" s="85">
        <f>'Water Reading'!G12-'Water Reading'!G11</f>
        <v>23</v>
      </c>
      <c r="V12" s="93">
        <f t="shared" si="11"/>
        <v>6.0846560846560843E-2</v>
      </c>
      <c r="W12" s="86">
        <f>'Water Reading'!J12-'Water Reading'!J11</f>
        <v>6</v>
      </c>
      <c r="X12" s="93">
        <f t="shared" si="12"/>
        <v>1.5873015873015872E-2</v>
      </c>
      <c r="Y12" s="64">
        <f t="shared" si="0"/>
        <v>243</v>
      </c>
      <c r="Z12" s="65">
        <f t="shared" si="1"/>
        <v>0.63446475195822449</v>
      </c>
    </row>
    <row r="13" spans="1:26" x14ac:dyDescent="0.25">
      <c r="A13" s="8">
        <f>'Water Reading'!A12</f>
        <v>44752</v>
      </c>
      <c r="B13" s="63">
        <f>TOTAL!I11</f>
        <v>337</v>
      </c>
      <c r="C13" s="64">
        <v>150</v>
      </c>
      <c r="D13" s="65">
        <f t="shared" si="2"/>
        <v>0.44510385756676557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132</v>
      </c>
      <c r="H13" s="84">
        <f t="shared" si="4"/>
        <v>0.88</v>
      </c>
      <c r="I13" s="85">
        <f>'Water Reading'!P13-'Water Reading'!P12</f>
        <v>37</v>
      </c>
      <c r="J13" s="66">
        <f t="shared" si="5"/>
        <v>0.24666666666666667</v>
      </c>
      <c r="K13" s="86">
        <f>('Water Reading'!I13-'Water Reading'!I12)-('Water Reading'!P13-'Water Reading'!P12)</f>
        <v>18</v>
      </c>
      <c r="L13" s="66">
        <f t="shared" si="6"/>
        <v>0.12</v>
      </c>
      <c r="M13" s="85">
        <f>'Water Reading'!R13-'Water Reading'!R12</f>
        <v>5</v>
      </c>
      <c r="N13" s="87">
        <f t="shared" si="7"/>
        <v>3.3333333333333333E-2</v>
      </c>
      <c r="O13" s="85">
        <f>'Water Reading'!Q13-'Water Reading'!Q12</f>
        <v>5</v>
      </c>
      <c r="P13" s="92">
        <f t="shared" si="8"/>
        <v>3.3333333333333333E-2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65</v>
      </c>
      <c r="T13" s="93">
        <f t="shared" si="10"/>
        <v>0.43333333333333335</v>
      </c>
      <c r="U13" s="85">
        <f>'Water Reading'!G13-'Water Reading'!G12</f>
        <v>25</v>
      </c>
      <c r="V13" s="93">
        <f t="shared" si="11"/>
        <v>0.16666666666666666</v>
      </c>
      <c r="W13" s="86">
        <f>'Water Reading'!J13-'Water Reading'!J12</f>
        <v>6</v>
      </c>
      <c r="X13" s="93">
        <f t="shared" si="12"/>
        <v>0.04</v>
      </c>
      <c r="Y13" s="64">
        <f t="shared" si="0"/>
        <v>293</v>
      </c>
      <c r="Z13" s="65">
        <f t="shared" si="1"/>
        <v>0.86943620178041547</v>
      </c>
    </row>
    <row r="14" spans="1:26" x14ac:dyDescent="0.25">
      <c r="A14" s="8">
        <f>'Water Reading'!A13</f>
        <v>44753</v>
      </c>
      <c r="B14" s="63">
        <f>TOTAL!I12</f>
        <v>409</v>
      </c>
      <c r="C14" s="64">
        <f>('Water Reading'!B14-'Water Reading'!B13)+('Water Reading'!C14-'Water Reading'!C13)</f>
        <v>419</v>
      </c>
      <c r="D14" s="65">
        <f t="shared" si="2"/>
        <v>1.0244498777506112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182</v>
      </c>
      <c r="H14" s="84">
        <f t="shared" si="4"/>
        <v>0.43436754176610981</v>
      </c>
      <c r="I14" s="85">
        <f>'Water Reading'!P14-'Water Reading'!P13</f>
        <v>7</v>
      </c>
      <c r="J14" s="66">
        <f t="shared" si="5"/>
        <v>1.6706443914081145E-2</v>
      </c>
      <c r="K14" s="86">
        <f>('Water Reading'!I14-'Water Reading'!I13)-('Water Reading'!P14-'Water Reading'!P13)</f>
        <v>26</v>
      </c>
      <c r="L14" s="66">
        <f t="shared" si="6"/>
        <v>6.205250596658711E-2</v>
      </c>
      <c r="M14" s="85">
        <f>'Water Reading'!R14-'Water Reading'!R13</f>
        <v>4</v>
      </c>
      <c r="N14" s="87">
        <f t="shared" si="7"/>
        <v>9.5465393794749408E-3</v>
      </c>
      <c r="O14" s="85">
        <f>'Water Reading'!Q14-'Water Reading'!Q13</f>
        <v>1</v>
      </c>
      <c r="P14" s="92">
        <f t="shared" si="8"/>
        <v>2.3866348448687352E-3</v>
      </c>
      <c r="Q14" s="86">
        <f>'Water Reading'!F14-'Water Reading'!F13</f>
        <v>1</v>
      </c>
      <c r="R14" s="93">
        <f t="shared" si="9"/>
        <v>2.3866348448687352E-3</v>
      </c>
      <c r="S14" s="85">
        <f>'Water Reading'!E14-'Water Reading'!E13</f>
        <v>75</v>
      </c>
      <c r="T14" s="93">
        <f t="shared" si="10"/>
        <v>0.17899761336515513</v>
      </c>
      <c r="U14" s="85">
        <f>'Water Reading'!G14-'Water Reading'!G13</f>
        <v>31</v>
      </c>
      <c r="V14" s="93">
        <f t="shared" si="11"/>
        <v>7.3985680190930783E-2</v>
      </c>
      <c r="W14" s="86">
        <f>'Water Reading'!J14-'Water Reading'!J13</f>
        <v>6</v>
      </c>
      <c r="X14" s="93">
        <f t="shared" si="12"/>
        <v>1.4319809069212411E-2</v>
      </c>
      <c r="Y14" s="64">
        <f t="shared" si="0"/>
        <v>333</v>
      </c>
      <c r="Z14" s="65">
        <f t="shared" si="1"/>
        <v>0.81418092909535456</v>
      </c>
    </row>
    <row r="15" spans="1:26" x14ac:dyDescent="0.25">
      <c r="A15" s="8">
        <f>'Water Reading'!A14</f>
        <v>44754</v>
      </c>
      <c r="B15" s="63">
        <f>TOTAL!I13</f>
        <v>328</v>
      </c>
      <c r="C15" s="64">
        <f>('Water Reading'!B15-'Water Reading'!B14)+('Water Reading'!C15-'Water Reading'!C14)</f>
        <v>333</v>
      </c>
      <c r="D15" s="65">
        <f t="shared" si="2"/>
        <v>1.0152439024390243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132</v>
      </c>
      <c r="H15" s="84">
        <f t="shared" si="4"/>
        <v>0.3963963963963964</v>
      </c>
      <c r="I15" s="85">
        <f>'Water Reading'!P15-'Water Reading'!P14</f>
        <v>7</v>
      </c>
      <c r="J15" s="66">
        <f t="shared" si="5"/>
        <v>2.1021021021021023E-2</v>
      </c>
      <c r="K15" s="86">
        <f>('Water Reading'!I15-'Water Reading'!I14)-('Water Reading'!P15-'Water Reading'!P14)</f>
        <v>22</v>
      </c>
      <c r="L15" s="66">
        <f t="shared" si="6"/>
        <v>6.6066066066066062E-2</v>
      </c>
      <c r="M15" s="85">
        <f>'Water Reading'!R15-'Water Reading'!R14</f>
        <v>4</v>
      </c>
      <c r="N15" s="87">
        <f t="shared" si="7"/>
        <v>1.2012012012012012E-2</v>
      </c>
      <c r="O15" s="85">
        <f>'Water Reading'!Q15-'Water Reading'!Q14</f>
        <v>2</v>
      </c>
      <c r="P15" s="92">
        <f t="shared" si="8"/>
        <v>6.006006006006006E-3</v>
      </c>
      <c r="Q15" s="86">
        <f>'Water Reading'!F15-'Water Reading'!F14</f>
        <v>1</v>
      </c>
      <c r="R15" s="93">
        <f t="shared" si="9"/>
        <v>3.003003003003003E-3</v>
      </c>
      <c r="S15" s="85">
        <f>'Water Reading'!E15-'Water Reading'!E14</f>
        <v>63</v>
      </c>
      <c r="T15" s="93">
        <f t="shared" si="10"/>
        <v>0.1891891891891892</v>
      </c>
      <c r="U15" s="85">
        <f>'Water Reading'!G15-'Water Reading'!G14</f>
        <v>21</v>
      </c>
      <c r="V15" s="93">
        <f t="shared" si="11"/>
        <v>6.3063063063063057E-2</v>
      </c>
      <c r="W15" s="86">
        <f>'Water Reading'!J15-'Water Reading'!J14</f>
        <v>6</v>
      </c>
      <c r="X15" s="93">
        <f t="shared" si="12"/>
        <v>1.8018018018018018E-2</v>
      </c>
      <c r="Y15" s="64">
        <f t="shared" si="0"/>
        <v>258</v>
      </c>
      <c r="Z15" s="65">
        <f t="shared" si="1"/>
        <v>0.78658536585365857</v>
      </c>
    </row>
    <row r="16" spans="1:26" x14ac:dyDescent="0.25">
      <c r="A16" s="8">
        <f>'Water Reading'!A15</f>
        <v>44755</v>
      </c>
      <c r="B16" s="63">
        <f>TOTAL!I14</f>
        <v>361</v>
      </c>
      <c r="C16" s="64">
        <f>('Water Reading'!B16-'Water Reading'!B15)+('Water Reading'!C16-'Water Reading'!C15)</f>
        <v>384</v>
      </c>
      <c r="D16" s="65">
        <f t="shared" si="2"/>
        <v>1.0637119113573408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148</v>
      </c>
      <c r="H16" s="84">
        <f t="shared" si="4"/>
        <v>0.38541666666666669</v>
      </c>
      <c r="I16" s="85">
        <f>'Water Reading'!P16-'Water Reading'!P15</f>
        <v>6</v>
      </c>
      <c r="J16" s="66">
        <f t="shared" si="5"/>
        <v>1.5625E-2</v>
      </c>
      <c r="K16" s="86">
        <f>('Water Reading'!I16-'Water Reading'!I15)-('Water Reading'!P16-'Water Reading'!P15)</f>
        <v>24</v>
      </c>
      <c r="L16" s="66">
        <f t="shared" si="6"/>
        <v>6.25E-2</v>
      </c>
      <c r="M16" s="85">
        <f>'Water Reading'!R16-'Water Reading'!R15</f>
        <v>4</v>
      </c>
      <c r="N16" s="87">
        <f t="shared" si="7"/>
        <v>1.0416666666666666E-2</v>
      </c>
      <c r="O16" s="85">
        <f>'Water Reading'!Q16-'Water Reading'!Q15</f>
        <v>12</v>
      </c>
      <c r="P16" s="92">
        <f t="shared" si="8"/>
        <v>3.125E-2</v>
      </c>
      <c r="Q16" s="86">
        <f>'Water Reading'!F16-'Water Reading'!F15</f>
        <v>2</v>
      </c>
      <c r="R16" s="93">
        <f t="shared" si="9"/>
        <v>5.208333333333333E-3</v>
      </c>
      <c r="S16" s="85">
        <f>'Water Reading'!E16-'Water Reading'!E15</f>
        <v>77</v>
      </c>
      <c r="T16" s="93">
        <f t="shared" si="10"/>
        <v>0.20052083333333334</v>
      </c>
      <c r="U16" s="85">
        <f>'Water Reading'!G16-'Water Reading'!G15</f>
        <v>25</v>
      </c>
      <c r="V16" s="93">
        <f t="shared" si="11"/>
        <v>6.5104166666666671E-2</v>
      </c>
      <c r="W16" s="86">
        <f>'Water Reading'!J16-'Water Reading'!J15</f>
        <v>6</v>
      </c>
      <c r="X16" s="93">
        <f t="shared" si="12"/>
        <v>1.5625E-2</v>
      </c>
      <c r="Y16" s="64">
        <f t="shared" si="0"/>
        <v>304</v>
      </c>
      <c r="Z16" s="65">
        <f t="shared" si="1"/>
        <v>0.84210526315789469</v>
      </c>
    </row>
    <row r="17" spans="1:26" x14ac:dyDescent="0.25">
      <c r="A17" s="8">
        <f>'Water Reading'!A16</f>
        <v>44756</v>
      </c>
      <c r="B17" s="63">
        <f>TOTAL!I15</f>
        <v>328</v>
      </c>
      <c r="C17" s="64">
        <f>('Water Reading'!B17-'Water Reading'!B16)+('Water Reading'!C17-'Water Reading'!C16)</f>
        <v>314</v>
      </c>
      <c r="D17" s="65">
        <f t="shared" si="2"/>
        <v>0.95731707317073167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126</v>
      </c>
      <c r="H17" s="84">
        <f t="shared" si="4"/>
        <v>0.40127388535031849</v>
      </c>
      <c r="I17" s="85">
        <f>'Water Reading'!P17-'Water Reading'!P16</f>
        <v>12</v>
      </c>
      <c r="J17" s="66">
        <f t="shared" si="5"/>
        <v>3.8216560509554139E-2</v>
      </c>
      <c r="K17" s="86">
        <f>('Water Reading'!I17-'Water Reading'!I16)-('Water Reading'!P17-'Water Reading'!P16)</f>
        <v>20</v>
      </c>
      <c r="L17" s="66">
        <f t="shared" si="6"/>
        <v>6.3694267515923567E-2</v>
      </c>
      <c r="M17" s="85">
        <f>'Water Reading'!R17-'Water Reading'!R16</f>
        <v>7</v>
      </c>
      <c r="N17" s="87">
        <f t="shared" si="7"/>
        <v>2.2292993630573247E-2</v>
      </c>
      <c r="O17" s="85">
        <f>'Water Reading'!Q17-'Water Reading'!Q16</f>
        <v>3</v>
      </c>
      <c r="P17" s="92">
        <f t="shared" si="8"/>
        <v>9.5541401273885346E-3</v>
      </c>
      <c r="Q17" s="86">
        <f>'Water Reading'!F17-'Water Reading'!F16</f>
        <v>2</v>
      </c>
      <c r="R17" s="93">
        <f t="shared" si="9"/>
        <v>6.369426751592357E-3</v>
      </c>
      <c r="S17" s="85">
        <f>'Water Reading'!E17-'Water Reading'!E16</f>
        <v>71</v>
      </c>
      <c r="T17" s="93">
        <f t="shared" si="10"/>
        <v>0.22611464968152867</v>
      </c>
      <c r="U17" s="85">
        <f>'Water Reading'!G17-'Water Reading'!G16</f>
        <v>23</v>
      </c>
      <c r="V17" s="93">
        <f t="shared" si="11"/>
        <v>7.32484076433121E-2</v>
      </c>
      <c r="W17" s="86">
        <f>'Water Reading'!J17-'Water Reading'!J16</f>
        <v>7</v>
      </c>
      <c r="X17" s="93">
        <f t="shared" si="12"/>
        <v>2.2292993630573247E-2</v>
      </c>
      <c r="Y17" s="64">
        <f t="shared" si="0"/>
        <v>271</v>
      </c>
      <c r="Z17" s="65">
        <f t="shared" si="1"/>
        <v>0.82621951219512191</v>
      </c>
    </row>
    <row r="18" spans="1:26" x14ac:dyDescent="0.25">
      <c r="A18" s="8">
        <f>'Water Reading'!A17</f>
        <v>44757</v>
      </c>
      <c r="B18" s="63">
        <f>TOTAL!I16</f>
        <v>262</v>
      </c>
      <c r="C18" s="64">
        <f>('Water Reading'!B18-'Water Reading'!B17)+('Water Reading'!C18-'Water Reading'!C17)</f>
        <v>291</v>
      </c>
      <c r="D18" s="65">
        <f t="shared" si="2"/>
        <v>1.1106870229007633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128</v>
      </c>
      <c r="H18" s="84">
        <f t="shared" si="4"/>
        <v>0.43986254295532645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20</v>
      </c>
      <c r="L18" s="66">
        <f t="shared" si="6"/>
        <v>6.8728522336769765E-2</v>
      </c>
      <c r="M18" s="85">
        <f>'Water Reading'!R18-'Water Reading'!R17</f>
        <v>0</v>
      </c>
      <c r="N18" s="87">
        <f t="shared" si="7"/>
        <v>0</v>
      </c>
      <c r="O18" s="85">
        <f>'Water Reading'!Q18-'Water Reading'!Q17</f>
        <v>3</v>
      </c>
      <c r="P18" s="92">
        <f t="shared" si="8"/>
        <v>1.0309278350515464E-2</v>
      </c>
      <c r="Q18" s="86">
        <f>'Water Reading'!F18-'Water Reading'!F17</f>
        <v>1</v>
      </c>
      <c r="R18" s="93">
        <f t="shared" si="9"/>
        <v>3.4364261168384879E-3</v>
      </c>
      <c r="S18" s="85">
        <f>'Water Reading'!E18-'Water Reading'!E17</f>
        <v>71</v>
      </c>
      <c r="T18" s="93">
        <f t="shared" si="10"/>
        <v>0.24398625429553264</v>
      </c>
      <c r="U18" s="85">
        <f>'Water Reading'!G18-'Water Reading'!G17</f>
        <v>21</v>
      </c>
      <c r="V18" s="93">
        <f t="shared" si="11"/>
        <v>7.2164948453608241E-2</v>
      </c>
      <c r="W18" s="86">
        <f>'Water Reading'!J18-'Water Reading'!J17</f>
        <v>6</v>
      </c>
      <c r="X18" s="93">
        <f t="shared" si="12"/>
        <v>2.0618556701030927E-2</v>
      </c>
      <c r="Y18" s="64">
        <f t="shared" si="0"/>
        <v>250</v>
      </c>
      <c r="Z18" s="65">
        <f t="shared" si="1"/>
        <v>0.95419847328244278</v>
      </c>
    </row>
    <row r="19" spans="1:26" x14ac:dyDescent="0.25">
      <c r="A19" s="8">
        <f>'Water Reading'!A18</f>
        <v>44758</v>
      </c>
      <c r="B19" s="63">
        <f>TOTAL!I17</f>
        <v>295</v>
      </c>
      <c r="C19" s="64">
        <f>('Water Reading'!B19-'Water Reading'!B18)+('Water Reading'!C19-'Water Reading'!C18)</f>
        <v>340</v>
      </c>
      <c r="D19" s="65">
        <f t="shared" si="2"/>
        <v>1.152542372881356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0.47941176470588237</v>
      </c>
      <c r="I19" s="85">
        <f>'Water Reading'!P19-'Water Reading'!P18</f>
        <v>11</v>
      </c>
      <c r="J19" s="66">
        <f t="shared" si="5"/>
        <v>3.2352941176470591E-2</v>
      </c>
      <c r="K19" s="86">
        <f>('Water Reading'!I19-'Water Reading'!I18)-('Water Reading'!P19-'Water Reading'!P18)</f>
        <v>18</v>
      </c>
      <c r="L19" s="66">
        <f t="shared" si="6"/>
        <v>5.2941176470588235E-2</v>
      </c>
      <c r="M19" s="85">
        <f>'Water Reading'!R19-'Water Reading'!R18</f>
        <v>5</v>
      </c>
      <c r="N19" s="87">
        <f t="shared" si="7"/>
        <v>1.4705882352941176E-2</v>
      </c>
      <c r="O19" s="85">
        <f>'Water Reading'!Q19-'Water Reading'!Q18</f>
        <v>8</v>
      </c>
      <c r="P19" s="92">
        <f t="shared" si="8"/>
        <v>2.3529411764705882E-2</v>
      </c>
      <c r="Q19" s="86">
        <f>'Water Reading'!F19-'Water Reading'!F18</f>
        <v>0</v>
      </c>
      <c r="R19" s="93">
        <f t="shared" si="9"/>
        <v>0</v>
      </c>
      <c r="S19" s="85">
        <f>'Water Reading'!E19-'Water Reading'!E18</f>
        <v>73</v>
      </c>
      <c r="T19" s="93">
        <f t="shared" si="10"/>
        <v>0.21470588235294116</v>
      </c>
      <c r="U19" s="85">
        <f>'Water Reading'!G19-'Water Reading'!G18</f>
        <v>22</v>
      </c>
      <c r="V19" s="93">
        <f t="shared" si="11"/>
        <v>6.4705882352941183E-2</v>
      </c>
      <c r="W19" s="86">
        <f>'Water Reading'!J19-'Water Reading'!J18</f>
        <v>6</v>
      </c>
      <c r="X19" s="93">
        <f t="shared" si="12"/>
        <v>1.7647058823529412E-2</v>
      </c>
      <c r="Y19" s="64">
        <f t="shared" si="0"/>
        <v>306</v>
      </c>
      <c r="Z19" s="65">
        <f t="shared" si="1"/>
        <v>1.0372881355932204</v>
      </c>
    </row>
    <row r="20" spans="1:26" x14ac:dyDescent="0.25">
      <c r="A20" s="8">
        <f>'Water Reading'!A19</f>
        <v>44759</v>
      </c>
      <c r="B20" s="63">
        <f>TOTAL!I18</f>
        <v>305</v>
      </c>
      <c r="C20" s="64">
        <f>('Water Reading'!B20-'Water Reading'!B19)+('Water Reading'!C20-'Water Reading'!C19)</f>
        <v>286</v>
      </c>
      <c r="D20" s="65">
        <f t="shared" si="2"/>
        <v>0.93770491803278688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123</v>
      </c>
      <c r="H20" s="84">
        <f t="shared" si="4"/>
        <v>0.43006993006993005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5.2447552447552448E-2</v>
      </c>
      <c r="M20" s="85">
        <f>'Water Reading'!R20-'Water Reading'!R19</f>
        <v>5</v>
      </c>
      <c r="N20" s="87">
        <f t="shared" si="7"/>
        <v>1.7482517482517484E-2</v>
      </c>
      <c r="O20" s="85">
        <f>'Water Reading'!Q20-'Water Reading'!Q19</f>
        <v>4</v>
      </c>
      <c r="P20" s="92">
        <f t="shared" si="8"/>
        <v>1.3986013986013986E-2</v>
      </c>
      <c r="Q20" s="86">
        <f>'Water Reading'!F20-'Water Reading'!F19</f>
        <v>2</v>
      </c>
      <c r="R20" s="93">
        <f t="shared" si="9"/>
        <v>6.993006993006993E-3</v>
      </c>
      <c r="S20" s="85">
        <f>'Water Reading'!E20-'Water Reading'!E19</f>
        <v>65</v>
      </c>
      <c r="T20" s="93">
        <f t="shared" si="10"/>
        <v>0.22727272727272727</v>
      </c>
      <c r="U20" s="85">
        <f>'Water Reading'!G20-'Water Reading'!G19</f>
        <v>26</v>
      </c>
      <c r="V20" s="93">
        <f t="shared" si="11"/>
        <v>9.0909090909090912E-2</v>
      </c>
      <c r="W20" s="125">
        <f>'Water Reading'!J20-'Water Reading'!J19</f>
        <v>6</v>
      </c>
      <c r="X20" s="93">
        <f t="shared" si="12"/>
        <v>2.097902097902098E-2</v>
      </c>
      <c r="Y20" s="64">
        <f t="shared" si="0"/>
        <v>246</v>
      </c>
      <c r="Z20" s="65">
        <f t="shared" si="1"/>
        <v>0.80655737704918029</v>
      </c>
    </row>
    <row r="21" spans="1:26" x14ac:dyDescent="0.25">
      <c r="A21" s="8">
        <f>'Water Reading'!A20</f>
        <v>44760</v>
      </c>
      <c r="B21" s="63">
        <f>TOTAL!I19</f>
        <v>270</v>
      </c>
      <c r="C21" s="64">
        <f>('Water Reading'!B21-'Water Reading'!B20)+('Water Reading'!C21-'Water Reading'!C20)</f>
        <v>286</v>
      </c>
      <c r="D21" s="65">
        <f t="shared" si="2"/>
        <v>1.0592592592592593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129</v>
      </c>
      <c r="H21" s="84">
        <f t="shared" si="4"/>
        <v>0.45104895104895104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7.3426573426573424E-2</v>
      </c>
      <c r="M21" s="85">
        <f>'Water Reading'!R21-'Water Reading'!R20</f>
        <v>4</v>
      </c>
      <c r="N21" s="87">
        <f t="shared" si="7"/>
        <v>1.3986013986013986E-2</v>
      </c>
      <c r="O21" s="85">
        <f>'Water Reading'!Q21-'Water Reading'!Q20</f>
        <v>2</v>
      </c>
      <c r="P21" s="92">
        <f t="shared" si="8"/>
        <v>6.993006993006993E-3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64</v>
      </c>
      <c r="T21" s="93">
        <f t="shared" si="10"/>
        <v>0.22377622377622378</v>
      </c>
      <c r="U21" s="85">
        <f>'Water Reading'!G21-'Water Reading'!G20</f>
        <v>22</v>
      </c>
      <c r="V21" s="93">
        <f t="shared" si="11"/>
        <v>7.6923076923076927E-2</v>
      </c>
      <c r="W21" s="86">
        <f>'Water Reading'!J21-'Water Reading'!J20</f>
        <v>5</v>
      </c>
      <c r="X21" s="93">
        <f t="shared" si="12"/>
        <v>1.7482517482517484E-2</v>
      </c>
      <c r="Y21" s="64">
        <f t="shared" si="0"/>
        <v>247</v>
      </c>
      <c r="Z21" s="65">
        <f t="shared" si="1"/>
        <v>0.91481481481481486</v>
      </c>
    </row>
    <row r="22" spans="1:26" x14ac:dyDescent="0.25">
      <c r="A22" s="8">
        <f>'Water Reading'!A21</f>
        <v>44761</v>
      </c>
      <c r="B22" s="63">
        <f>TOTAL!I20</f>
        <v>311</v>
      </c>
      <c r="C22" s="64">
        <f>('Water Reading'!B22-'Water Reading'!B21)+('Water Reading'!C22-'Water Reading'!C21)</f>
        <v>304</v>
      </c>
      <c r="D22" s="65">
        <f t="shared" si="2"/>
        <v>0.977491961414791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137</v>
      </c>
      <c r="H22" s="84">
        <f t="shared" si="4"/>
        <v>0.45065789473684209</v>
      </c>
      <c r="I22" s="137">
        <f>'Water Reading'!P22-'Water Reading'!P21</f>
        <v>0</v>
      </c>
      <c r="J22" s="66">
        <f t="shared" si="5"/>
        <v>0</v>
      </c>
      <c r="K22" s="86">
        <f>('Water Reading'!I22-'Water Reading'!I21)-('Water Reading'!P22-'Water Reading'!P21)</f>
        <v>23</v>
      </c>
      <c r="L22" s="66">
        <f t="shared" si="6"/>
        <v>7.5657894736842105E-2</v>
      </c>
      <c r="M22" s="85">
        <f>'Water Reading'!R22-'Water Reading'!R21</f>
        <v>5</v>
      </c>
      <c r="N22" s="87">
        <f t="shared" si="7"/>
        <v>1.6447368421052631E-2</v>
      </c>
      <c r="O22" s="85">
        <f>'Water Reading'!Q22-'Water Reading'!Q21</f>
        <v>0</v>
      </c>
      <c r="P22" s="92">
        <f t="shared" si="8"/>
        <v>0</v>
      </c>
      <c r="Q22" s="86">
        <f>'Water Reading'!F22-'Water Reading'!F21</f>
        <v>1</v>
      </c>
      <c r="R22" s="93">
        <f t="shared" si="9"/>
        <v>3.2894736842105261E-3</v>
      </c>
      <c r="S22" s="85">
        <f>'Water Reading'!E22-'Water Reading'!E21</f>
        <v>69</v>
      </c>
      <c r="T22" s="93">
        <f t="shared" si="10"/>
        <v>0.22697368421052633</v>
      </c>
      <c r="U22" s="85">
        <f>'Water Reading'!G22-'Water Reading'!G21</f>
        <v>26</v>
      </c>
      <c r="V22" s="93">
        <f t="shared" si="11"/>
        <v>8.5526315789473686E-2</v>
      </c>
      <c r="W22" s="86">
        <f>'Water Reading'!J22-'Water Reading'!J21</f>
        <v>6</v>
      </c>
      <c r="X22" s="93">
        <f t="shared" si="12"/>
        <v>1.9736842105263157E-2</v>
      </c>
      <c r="Y22" s="64">
        <f t="shared" si="0"/>
        <v>267</v>
      </c>
      <c r="Z22" s="65">
        <f t="shared" si="1"/>
        <v>0.85852090032154338</v>
      </c>
    </row>
    <row r="23" spans="1:26" x14ac:dyDescent="0.25">
      <c r="A23" s="8">
        <f>'Water Reading'!A22</f>
        <v>44762</v>
      </c>
      <c r="B23" s="63">
        <f>TOTAL!I21</f>
        <v>268</v>
      </c>
      <c r="C23" s="64">
        <f>('Water Reading'!B23-'Water Reading'!B22)+('Water Reading'!C23-'Water Reading'!C22)</f>
        <v>287</v>
      </c>
      <c r="D23" s="65">
        <f t="shared" si="2"/>
        <v>1.0708955223880596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113</v>
      </c>
      <c r="H23" s="84">
        <f t="shared" si="4"/>
        <v>0.39372822299651566</v>
      </c>
      <c r="I23" s="137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22</v>
      </c>
      <c r="L23" s="66">
        <f t="shared" si="6"/>
        <v>7.6655052264808357E-2</v>
      </c>
      <c r="M23" s="85">
        <f>'Water Reading'!R23-'Water Reading'!R22</f>
        <v>5</v>
      </c>
      <c r="N23" s="87">
        <f t="shared" si="7"/>
        <v>1.7421602787456445E-2</v>
      </c>
      <c r="O23" s="85">
        <f>'Water Reading'!Q23-'Water Reading'!Q22</f>
        <v>16</v>
      </c>
      <c r="P23" s="92">
        <f t="shared" si="8"/>
        <v>5.5749128919860627E-2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70</v>
      </c>
      <c r="T23" s="93">
        <f t="shared" si="10"/>
        <v>0.24390243902439024</v>
      </c>
      <c r="U23" s="85">
        <f>'Water Reading'!G23-'Water Reading'!G22</f>
        <v>20</v>
      </c>
      <c r="V23" s="93">
        <f t="shared" si="11"/>
        <v>6.968641114982578E-2</v>
      </c>
      <c r="W23" s="86">
        <f>'Water Reading'!J23-'Water Reading'!J22</f>
        <v>5</v>
      </c>
      <c r="X23" s="93">
        <f t="shared" si="12"/>
        <v>1.7421602787456445E-2</v>
      </c>
      <c r="Y23" s="64">
        <f t="shared" si="0"/>
        <v>251</v>
      </c>
      <c r="Z23" s="65">
        <f t="shared" si="1"/>
        <v>0.93656716417910446</v>
      </c>
    </row>
    <row r="24" spans="1:26" x14ac:dyDescent="0.25">
      <c r="A24" s="8">
        <f>'Water Reading'!A23</f>
        <v>44763</v>
      </c>
      <c r="B24" s="63">
        <f>TOTAL!I22</f>
        <v>356</v>
      </c>
      <c r="C24" s="64">
        <f>('Water Reading'!B24-'Water Reading'!B23)+('Water Reading'!C24-'Water Reading'!C23)</f>
        <v>333</v>
      </c>
      <c r="D24" s="65">
        <f t="shared" si="2"/>
        <v>0.9353932584269663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145</v>
      </c>
      <c r="H24" s="84">
        <f t="shared" si="4"/>
        <v>0.43543543543543545</v>
      </c>
      <c r="I24" s="85">
        <f>'Water Reading'!P24-'Water Reading'!P23</f>
        <v>0</v>
      </c>
      <c r="J24" s="66">
        <f t="shared" si="5"/>
        <v>0</v>
      </c>
      <c r="K24" s="86">
        <f>('Water Reading'!I24-'Water Reading'!I23)-('Water Reading'!P24-'Water Reading'!P23)</f>
        <v>19</v>
      </c>
      <c r="L24" s="66">
        <f t="shared" si="6"/>
        <v>5.7057057057057055E-2</v>
      </c>
      <c r="M24" s="85">
        <f>'Water Reading'!R24-'Water Reading'!R23</f>
        <v>4</v>
      </c>
      <c r="N24" s="87">
        <f t="shared" si="7"/>
        <v>1.2012012012012012E-2</v>
      </c>
      <c r="O24" s="85">
        <f>'Water Reading'!Q24-'Water Reading'!Q23</f>
        <v>4</v>
      </c>
      <c r="P24" s="92">
        <f t="shared" si="8"/>
        <v>1.2012012012012012E-2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74</v>
      </c>
      <c r="T24" s="93">
        <f t="shared" si="10"/>
        <v>0.22222222222222221</v>
      </c>
      <c r="U24" s="85">
        <f>'Water Reading'!G24-'Water Reading'!G23</f>
        <v>25</v>
      </c>
      <c r="V24" s="93">
        <f t="shared" si="11"/>
        <v>7.5075075075075076E-2</v>
      </c>
      <c r="W24" s="86">
        <f>'Water Reading'!J24-'Water Reading'!J23</f>
        <v>6</v>
      </c>
      <c r="X24" s="93">
        <f t="shared" si="12"/>
        <v>1.8018018018018018E-2</v>
      </c>
      <c r="Y24" s="64">
        <f t="shared" si="0"/>
        <v>277</v>
      </c>
      <c r="Z24" s="65">
        <f t="shared" si="1"/>
        <v>0.7780898876404494</v>
      </c>
    </row>
    <row r="25" spans="1:26" x14ac:dyDescent="0.25">
      <c r="A25" s="8">
        <f>'Water Reading'!A24</f>
        <v>44764</v>
      </c>
      <c r="B25" s="63">
        <f>TOTAL!I23</f>
        <v>330</v>
      </c>
      <c r="C25" s="64">
        <f>('Water Reading'!B25-'Water Reading'!B24)+('Water Reading'!C25-'Water Reading'!C24)</f>
        <v>384</v>
      </c>
      <c r="D25" s="65">
        <f t="shared" si="2"/>
        <v>1.1636363636363636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126</v>
      </c>
      <c r="H25" s="84">
        <f t="shared" si="4"/>
        <v>0.328125</v>
      </c>
      <c r="I25" s="85">
        <f>'Water Reading'!P25-'Water Reading'!P24</f>
        <v>4</v>
      </c>
      <c r="J25" s="66">
        <f t="shared" si="5"/>
        <v>1.0416666666666666E-2</v>
      </c>
      <c r="K25" s="86">
        <f>('Water Reading'!I25-'Water Reading'!I24)-('Water Reading'!P25-'Water Reading'!P24)</f>
        <v>20</v>
      </c>
      <c r="L25" s="66">
        <f t="shared" si="6"/>
        <v>5.2083333333333336E-2</v>
      </c>
      <c r="M25" s="85">
        <f>'Water Reading'!R25-'Water Reading'!R24</f>
        <v>3</v>
      </c>
      <c r="N25" s="87">
        <f t="shared" si="7"/>
        <v>7.8125E-3</v>
      </c>
      <c r="O25" s="85">
        <f>'Water Reading'!Q25-'Water Reading'!Q24</f>
        <v>5</v>
      </c>
      <c r="P25" s="92">
        <f t="shared" si="8"/>
        <v>1.3020833333333334E-2</v>
      </c>
      <c r="Q25" s="86">
        <f>'Water Reading'!F25-'Water Reading'!F24</f>
        <v>1</v>
      </c>
      <c r="R25" s="93">
        <f t="shared" si="9"/>
        <v>2.6041666666666665E-3</v>
      </c>
      <c r="S25" s="85">
        <f>'Water Reading'!E25-'Water Reading'!E24</f>
        <v>80</v>
      </c>
      <c r="T25" s="93">
        <f t="shared" si="10"/>
        <v>0.20833333333333334</v>
      </c>
      <c r="U25" s="85">
        <f>'Water Reading'!G25-'Water Reading'!G24</f>
        <v>22</v>
      </c>
      <c r="V25" s="93">
        <f t="shared" si="11"/>
        <v>5.7291666666666664E-2</v>
      </c>
      <c r="W25" s="86">
        <f>'Water Reading'!J25-'Water Reading'!J24</f>
        <v>5</v>
      </c>
      <c r="X25" s="93">
        <f t="shared" si="12"/>
        <v>1.3020833333333334E-2</v>
      </c>
      <c r="Y25" s="64">
        <f t="shared" si="0"/>
        <v>266</v>
      </c>
      <c r="Z25" s="65">
        <f t="shared" si="1"/>
        <v>0.80606060606060603</v>
      </c>
    </row>
    <row r="26" spans="1:26" x14ac:dyDescent="0.25">
      <c r="A26" s="8">
        <f>'Water Reading'!A25</f>
        <v>44765</v>
      </c>
      <c r="B26" s="63">
        <f>TOTAL!I24</f>
        <v>315</v>
      </c>
      <c r="C26" s="64">
        <f>('Water Reading'!B26-'Water Reading'!B25)+('Water Reading'!C26-'Water Reading'!C25)</f>
        <v>354</v>
      </c>
      <c r="D26" s="65">
        <f t="shared" si="2"/>
        <v>1.1238095238095238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167</v>
      </c>
      <c r="H26" s="84">
        <f t="shared" si="4"/>
        <v>0.47175141242937851</v>
      </c>
      <c r="I26" s="85">
        <f>'Water Reading'!P26-'Water Reading'!P25</f>
        <v>9</v>
      </c>
      <c r="J26" s="66">
        <f t="shared" si="5"/>
        <v>2.5423728813559324E-2</v>
      </c>
      <c r="K26" s="86">
        <f>('Water Reading'!I26-'Water Reading'!I25)-('Water Reading'!P26-'Water Reading'!P25)</f>
        <v>18</v>
      </c>
      <c r="L26" s="66">
        <f t="shared" si="6"/>
        <v>5.0847457627118647E-2</v>
      </c>
      <c r="M26" s="85">
        <f>'Water Reading'!R26-'Water Reading'!R25</f>
        <v>4</v>
      </c>
      <c r="N26" s="87">
        <f t="shared" si="7"/>
        <v>1.1299435028248588E-2</v>
      </c>
      <c r="O26" s="85">
        <f>'Water Reading'!Q26-'Water Reading'!Q25</f>
        <v>1</v>
      </c>
      <c r="P26" s="92">
        <f t="shared" si="8"/>
        <v>2.8248587570621469E-3</v>
      </c>
      <c r="Q26" s="86">
        <f>'Water Reading'!F26-'Water Reading'!F25</f>
        <v>1</v>
      </c>
      <c r="R26" s="93">
        <f t="shared" si="9"/>
        <v>2.8248587570621469E-3</v>
      </c>
      <c r="S26" s="85">
        <f>'Water Reading'!E26-'Water Reading'!E25</f>
        <v>79</v>
      </c>
      <c r="T26" s="93">
        <f t="shared" si="10"/>
        <v>0.2231638418079096</v>
      </c>
      <c r="U26" s="85">
        <f>'Water Reading'!G26-'Water Reading'!G25</f>
        <v>23</v>
      </c>
      <c r="V26" s="93">
        <f t="shared" si="11"/>
        <v>6.4971751412429377E-2</v>
      </c>
      <c r="W26" s="86">
        <f>'Water Reading'!J26-'Water Reading'!J25</f>
        <v>6</v>
      </c>
      <c r="X26" s="93">
        <f t="shared" si="12"/>
        <v>1.6949152542372881E-2</v>
      </c>
      <c r="Y26" s="64">
        <f t="shared" si="0"/>
        <v>308</v>
      </c>
      <c r="Z26" s="65">
        <f t="shared" si="1"/>
        <v>0.97777777777777775</v>
      </c>
    </row>
    <row r="27" spans="1:26" x14ac:dyDescent="0.25">
      <c r="A27" s="8">
        <f>'Water Reading'!A26</f>
        <v>44766</v>
      </c>
      <c r="B27" s="63">
        <f>TOTAL!I25</f>
        <v>370</v>
      </c>
      <c r="C27" s="64">
        <f>('Water Reading'!B27-'Water Reading'!B26)+('Water Reading'!C27-'Water Reading'!C26)</f>
        <v>373</v>
      </c>
      <c r="D27" s="65">
        <f t="shared" si="2"/>
        <v>1.008108108108108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164</v>
      </c>
      <c r="H27" s="84">
        <f t="shared" si="4"/>
        <v>0.43967828418230565</v>
      </c>
      <c r="I27" s="85">
        <f>'Water Reading'!P27-'Water Reading'!P26</f>
        <v>23</v>
      </c>
      <c r="J27" s="66">
        <f t="shared" si="5"/>
        <v>6.1662198391420911E-2</v>
      </c>
      <c r="K27" s="86">
        <f>('Water Reading'!I27-'Water Reading'!I26)-('Water Reading'!P27-'Water Reading'!P26)</f>
        <v>22</v>
      </c>
      <c r="L27" s="66">
        <f t="shared" si="6"/>
        <v>5.8981233243967826E-2</v>
      </c>
      <c r="M27" s="85">
        <f>'Water Reading'!R27-'Water Reading'!R26</f>
        <v>5</v>
      </c>
      <c r="N27" s="87">
        <f t="shared" si="7"/>
        <v>1.3404825737265416E-2</v>
      </c>
      <c r="O27" s="85">
        <f>'Water Reading'!Q27-'Water Reading'!Q26</f>
        <v>5</v>
      </c>
      <c r="P27" s="92">
        <f t="shared" si="8"/>
        <v>1.3404825737265416E-2</v>
      </c>
      <c r="Q27" s="86">
        <f>'Water Reading'!F27-'Water Reading'!F26</f>
        <v>1</v>
      </c>
      <c r="R27" s="93">
        <f t="shared" si="9"/>
        <v>2.6809651474530832E-3</v>
      </c>
      <c r="S27" s="85">
        <f>'Water Reading'!E27-'Water Reading'!E26</f>
        <v>81</v>
      </c>
      <c r="T27" s="93">
        <f t="shared" si="10"/>
        <v>0.21715817694369974</v>
      </c>
      <c r="U27" s="85">
        <f>'Water Reading'!G27-'Water Reading'!G26</f>
        <v>24</v>
      </c>
      <c r="V27" s="93">
        <f t="shared" si="11"/>
        <v>6.4343163538873996E-2</v>
      </c>
      <c r="W27" s="86">
        <f>'Water Reading'!J27-'Water Reading'!J26</f>
        <v>6</v>
      </c>
      <c r="X27" s="93">
        <f t="shared" si="12"/>
        <v>1.6085790884718499E-2</v>
      </c>
      <c r="Y27" s="64">
        <f t="shared" si="0"/>
        <v>331</v>
      </c>
      <c r="Z27" s="65">
        <f t="shared" si="1"/>
        <v>0.89459459459459456</v>
      </c>
    </row>
    <row r="28" spans="1:26" x14ac:dyDescent="0.25">
      <c r="A28" s="8">
        <f>'Water Reading'!A27</f>
        <v>44767</v>
      </c>
      <c r="B28" s="63">
        <f>TOTAL!I26</f>
        <v>0</v>
      </c>
      <c r="C28" s="64">
        <f>('Water Reading'!B28-'Water Reading'!B27)+('Water Reading'!C28-'Water Reading'!C27)</f>
        <v>375</v>
      </c>
      <c r="D28" s="65" t="e">
        <f t="shared" si="2"/>
        <v>#DIV/0!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195</v>
      </c>
      <c r="H28" s="84">
        <f t="shared" si="4"/>
        <v>0.52</v>
      </c>
      <c r="I28" s="85">
        <f>'Water Reading'!P28-'Water Reading'!P27</f>
        <v>0</v>
      </c>
      <c r="J28" s="66">
        <f t="shared" si="5"/>
        <v>0</v>
      </c>
      <c r="K28" s="125">
        <f>('Water Reading'!I28-'Water Reading'!I27)-('Water Reading'!P28-'Water Reading'!P27)</f>
        <v>21</v>
      </c>
      <c r="L28" s="138">
        <f t="shared" si="6"/>
        <v>5.6000000000000001E-2</v>
      </c>
      <c r="M28" s="85">
        <f>'Water Reading'!R28-'Water Reading'!R27</f>
        <v>3</v>
      </c>
      <c r="N28" s="87">
        <f t="shared" si="7"/>
        <v>8.0000000000000002E-3</v>
      </c>
      <c r="O28" s="85">
        <f>'Water Reading'!Q28-'Water Reading'!Q27</f>
        <v>3</v>
      </c>
      <c r="P28" s="92">
        <f t="shared" si="8"/>
        <v>8.0000000000000002E-3</v>
      </c>
      <c r="Q28" s="86">
        <f>'Water Reading'!F28-'Water Reading'!F27</f>
        <v>0</v>
      </c>
      <c r="R28" s="93">
        <f t="shared" si="9"/>
        <v>0</v>
      </c>
      <c r="S28" s="85">
        <f>'Water Reading'!E28-'Water Reading'!E27</f>
        <v>63</v>
      </c>
      <c r="T28" s="93">
        <f t="shared" si="10"/>
        <v>0.16800000000000001</v>
      </c>
      <c r="U28" s="85">
        <f>'Water Reading'!G28-'Water Reading'!G27</f>
        <v>24</v>
      </c>
      <c r="V28" s="93">
        <f t="shared" si="11"/>
        <v>6.4000000000000001E-2</v>
      </c>
      <c r="W28" s="86">
        <f>'Water Reading'!J28-'Water Reading'!J27</f>
        <v>7</v>
      </c>
      <c r="X28" s="93">
        <f t="shared" si="12"/>
        <v>1.8666666666666668E-2</v>
      </c>
      <c r="Y28" s="64">
        <f t="shared" si="0"/>
        <v>316</v>
      </c>
      <c r="Z28" s="65" t="e">
        <f t="shared" si="1"/>
        <v>#DIV/0!</v>
      </c>
    </row>
    <row r="29" spans="1:26" x14ac:dyDescent="0.25">
      <c r="A29" s="8">
        <f>'Water Reading'!A28</f>
        <v>44768</v>
      </c>
      <c r="B29" s="63">
        <f>TOTAL!I27</f>
        <v>0</v>
      </c>
      <c r="C29" s="64">
        <f>('Water Reading'!B29-'Water Reading'!B28)+('Water Reading'!C29-'Water Reading'!C28)</f>
        <v>398</v>
      </c>
      <c r="D29" s="65" t="e">
        <f t="shared" si="2"/>
        <v>#DIV/0!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173</v>
      </c>
      <c r="H29" s="84">
        <f t="shared" si="4"/>
        <v>0.43467336683417085</v>
      </c>
      <c r="I29" s="85">
        <f>'Water Reading'!P29-'Water Reading'!P28</f>
        <v>4</v>
      </c>
      <c r="J29" s="66">
        <f t="shared" si="5"/>
        <v>1.0050251256281407E-2</v>
      </c>
      <c r="K29" s="86">
        <f>('Water Reading'!I29-'Water Reading'!I28)-('Water Reading'!P29-'Water Reading'!P28)</f>
        <v>23</v>
      </c>
      <c r="L29" s="66">
        <f t="shared" si="6"/>
        <v>5.7788944723618091E-2</v>
      </c>
      <c r="M29" s="85">
        <f>'Water Reading'!R29-'Water Reading'!R28</f>
        <v>6</v>
      </c>
      <c r="N29" s="87">
        <f t="shared" si="7"/>
        <v>1.507537688442211E-2</v>
      </c>
      <c r="O29" s="85">
        <f>'Water Reading'!Q29-'Water Reading'!Q28</f>
        <v>27</v>
      </c>
      <c r="P29" s="92">
        <f t="shared" si="8"/>
        <v>6.78391959798995E-2</v>
      </c>
      <c r="Q29" s="86">
        <f>'Water Reading'!F29-'Water Reading'!F28</f>
        <v>1</v>
      </c>
      <c r="R29" s="93">
        <f t="shared" si="9"/>
        <v>2.5125628140703518E-3</v>
      </c>
      <c r="S29" s="85">
        <f>'Water Reading'!E29-'Water Reading'!E28</f>
        <v>87</v>
      </c>
      <c r="T29" s="93">
        <f t="shared" si="10"/>
        <v>0.21859296482412061</v>
      </c>
      <c r="U29" s="85">
        <f>'Water Reading'!G29-'Water Reading'!G28</f>
        <v>24</v>
      </c>
      <c r="V29" s="93">
        <f t="shared" si="11"/>
        <v>6.030150753768844E-2</v>
      </c>
      <c r="W29" s="86">
        <f>'Water Reading'!J29-'Water Reading'!J28</f>
        <v>6</v>
      </c>
      <c r="X29" s="93">
        <f t="shared" si="12"/>
        <v>1.507537688442211E-2</v>
      </c>
      <c r="Y29" s="64">
        <f t="shared" si="0"/>
        <v>351</v>
      </c>
      <c r="Z29" s="65" t="e">
        <f t="shared" si="1"/>
        <v>#DIV/0!</v>
      </c>
    </row>
    <row r="30" spans="1:26" x14ac:dyDescent="0.25">
      <c r="A30" s="8">
        <f>'Water Reading'!A29</f>
        <v>44769</v>
      </c>
      <c r="B30" s="63">
        <f>TOTAL!I28</f>
        <v>0</v>
      </c>
      <c r="C30" s="64">
        <f>('Water Reading'!B30-'Water Reading'!B29)+('Water Reading'!C30-'Water Reading'!C29)</f>
        <v>363</v>
      </c>
      <c r="D30" s="65" t="e">
        <f t="shared" si="2"/>
        <v>#DIV/0!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184</v>
      </c>
      <c r="H30" s="84">
        <f t="shared" si="4"/>
        <v>0.50688705234159781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12</v>
      </c>
      <c r="L30" s="66">
        <f t="shared" si="6"/>
        <v>3.3057851239669422E-2</v>
      </c>
      <c r="M30" s="85">
        <f>'Water Reading'!R30-'Water Reading'!R29</f>
        <v>4</v>
      </c>
      <c r="N30" s="87">
        <f t="shared" si="7"/>
        <v>1.1019283746556474E-2</v>
      </c>
      <c r="O30" s="85">
        <f>'Water Reading'!Q30-'Water Reading'!Q29</f>
        <v>0</v>
      </c>
      <c r="P30" s="92">
        <f t="shared" si="8"/>
        <v>0</v>
      </c>
      <c r="Q30" s="86">
        <f>'Water Reading'!F30-'Water Reading'!F29</f>
        <v>1</v>
      </c>
      <c r="R30" s="93">
        <f t="shared" si="9"/>
        <v>2.7548209366391185E-3</v>
      </c>
      <c r="S30" s="85">
        <f>'Water Reading'!E30-'Water Reading'!E29</f>
        <v>68</v>
      </c>
      <c r="T30" s="93">
        <f t="shared" si="10"/>
        <v>0.18732782369146006</v>
      </c>
      <c r="U30" s="85">
        <f>'Water Reading'!G30-'Water Reading'!G29</f>
        <v>25</v>
      </c>
      <c r="V30" s="93">
        <f t="shared" si="11"/>
        <v>6.8870523415977963E-2</v>
      </c>
      <c r="W30" s="86">
        <f>'Water Reading'!J30-'Water Reading'!J29</f>
        <v>6</v>
      </c>
      <c r="X30" s="93">
        <f t="shared" si="12"/>
        <v>1.6528925619834711E-2</v>
      </c>
      <c r="Y30" s="64">
        <f t="shared" si="0"/>
        <v>300</v>
      </c>
      <c r="Z30" s="65" t="e">
        <f t="shared" si="1"/>
        <v>#DIV/0!</v>
      </c>
    </row>
    <row r="31" spans="1:26" x14ac:dyDescent="0.25">
      <c r="A31" s="8">
        <f>'Water Reading'!A30</f>
        <v>44770</v>
      </c>
      <c r="B31" s="63">
        <f>TOTAL!I29</f>
        <v>0</v>
      </c>
      <c r="C31" s="64">
        <f>('Water Reading'!B31-'Water Reading'!B30)+('Water Reading'!C31-'Water Reading'!C30)</f>
        <v>-15504</v>
      </c>
      <c r="D31" s="65" t="e">
        <f t="shared" si="2"/>
        <v>#DIV/0!</v>
      </c>
      <c r="E31" s="83">
        <f>'Water Reading'!H31-'Water Reading'!H30</f>
        <v>-62098</v>
      </c>
      <c r="F31" s="84">
        <f t="shared" si="3"/>
        <v>4.0052889576883386</v>
      </c>
      <c r="G31" s="88">
        <f>('Water Reading'!D31-'Water Reading'!D30)-('Water Reading'!R31-'Water Reading'!R30)-('Water Reading'!Q31-'Water Reading'!Q30)</f>
        <v>-273966</v>
      </c>
      <c r="H31" s="84">
        <f t="shared" si="4"/>
        <v>17.670665634674922</v>
      </c>
      <c r="I31" s="85">
        <f>'Water Reading'!P31-'Water Reading'!P30</f>
        <v>-31585</v>
      </c>
      <c r="J31" s="66">
        <f t="shared" si="5"/>
        <v>2.0372162022703817</v>
      </c>
      <c r="K31" s="86">
        <f>('Water Reading'!I31-'Water Reading'!I30)-('Water Reading'!P31-'Water Reading'!P30)</f>
        <v>-45387</v>
      </c>
      <c r="L31" s="66">
        <f t="shared" si="6"/>
        <v>2.9274380804953561</v>
      </c>
      <c r="M31" s="85">
        <f>'Water Reading'!R31-'Water Reading'!R30</f>
        <v>-419</v>
      </c>
      <c r="N31" s="87">
        <f t="shared" si="7"/>
        <v>2.7025283797729619E-2</v>
      </c>
      <c r="O31" s="85">
        <f>'Water Reading'!Q31-'Water Reading'!Q30</f>
        <v>-1908</v>
      </c>
      <c r="P31" s="92">
        <f t="shared" si="8"/>
        <v>0.12306501547987617</v>
      </c>
      <c r="Q31" s="86">
        <f>'Water Reading'!F31-'Water Reading'!F30</f>
        <v>-67223</v>
      </c>
      <c r="R31" s="93">
        <f t="shared" si="9"/>
        <v>4.3358488132094939</v>
      </c>
      <c r="S31" s="85">
        <f>'Water Reading'!E31-'Water Reading'!E30</f>
        <v>-274487</v>
      </c>
      <c r="T31" s="93">
        <f t="shared" si="10"/>
        <v>17.704269865841074</v>
      </c>
      <c r="U31" s="85">
        <f>'Water Reading'!G31-'Water Reading'!G30</f>
        <v>-120942</v>
      </c>
      <c r="V31" s="93">
        <f t="shared" si="11"/>
        <v>7.8006965944272446</v>
      </c>
      <c r="W31" s="86">
        <f>'Water Reading'!J31-'Water Reading'!J30</f>
        <v>-23140</v>
      </c>
      <c r="X31" s="93">
        <f t="shared" si="12"/>
        <v>1.4925180598555212</v>
      </c>
      <c r="Y31" s="64">
        <f t="shared" si="0"/>
        <v>-901155</v>
      </c>
      <c r="Z31" s="65" t="e">
        <f t="shared" si="1"/>
        <v>#DIV/0!</v>
      </c>
    </row>
    <row r="32" spans="1:26" x14ac:dyDescent="0.25">
      <c r="A32" s="8">
        <f>'Water Reading'!A31</f>
        <v>44771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44772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44773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-6756</v>
      </c>
      <c r="D35" s="90" t="e">
        <f>C35/B35</f>
        <v>#VALUE!</v>
      </c>
      <c r="E35" s="7">
        <f>SUM(E4:E34)</f>
        <v>-62098</v>
      </c>
      <c r="F35" s="89">
        <f>E35/C35</f>
        <v>9.1915334517465954</v>
      </c>
      <c r="G35" s="72">
        <f>SUM(G4:G34)</f>
        <v>-270266</v>
      </c>
      <c r="H35" s="89">
        <f>G35/C35</f>
        <v>40.003848431024274</v>
      </c>
      <c r="I35" s="7">
        <f>SUM(I4:I34)</f>
        <v>-31438</v>
      </c>
      <c r="J35" s="89">
        <f>I35/C35</f>
        <v>4.6533451746595622</v>
      </c>
      <c r="K35" s="7">
        <f>SUM(K4:K34)</f>
        <v>-44837</v>
      </c>
      <c r="L35" s="89">
        <f>K35/C35</f>
        <v>6.6366193013617529</v>
      </c>
      <c r="M35" s="7">
        <f>SUM(M4:M34)</f>
        <v>-307</v>
      </c>
      <c r="N35" s="89">
        <f>M35/C35</f>
        <v>4.5441089402013024E-2</v>
      </c>
      <c r="O35" s="7">
        <f>SUM(O4:O34)</f>
        <v>-1789</v>
      </c>
      <c r="P35" s="89">
        <f>O35/C35</f>
        <v>0.264801657785672</v>
      </c>
      <c r="Q35" s="7">
        <f>SUM(Q4:Q34)</f>
        <v>-67203</v>
      </c>
      <c r="R35" s="89">
        <f>Q35/C35</f>
        <v>9.947158081705151</v>
      </c>
      <c r="S35" s="72">
        <f>SUM(S4:S34)</f>
        <v>-272597</v>
      </c>
      <c r="T35" s="89">
        <f>S35/C35</f>
        <v>40.348875074008291</v>
      </c>
      <c r="U35" s="7">
        <f>SUM(U4:U34)</f>
        <v>-120292</v>
      </c>
      <c r="V35" s="89">
        <f>U35/C35</f>
        <v>17.805210183540556</v>
      </c>
      <c r="W35" s="7">
        <f>SUM(W4:W34)</f>
        <v>-22977</v>
      </c>
      <c r="X35" s="89">
        <f>W35/C35</f>
        <v>3.4009769094138544</v>
      </c>
      <c r="Y35" s="72">
        <f>SUM(Y4:Y34)</f>
        <v>-893804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2022-07-31T04:37:57Z</dcterms:modified>
  <cp:category/>
  <cp:contentStatus/>
</cp:coreProperties>
</file>