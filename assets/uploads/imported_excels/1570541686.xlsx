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10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8" i="1"/>
  <c r="G9" i="1"/>
  <c r="G12" i="1"/>
  <c r="G13" i="1"/>
  <c r="G17" i="1"/>
  <c r="G21" i="1"/>
  <c r="G24" i="1"/>
  <c r="G25" i="1"/>
  <c r="G28" i="1"/>
  <c r="G29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<sst xmlns="http://schemas.openxmlformats.org/spreadsheetml/2006/main" count="108" uniqueCount="33">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</sst>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2019</v>
      </c>
      <c r="E2" s="20">
        <f>Submetering!E3</f>
        <v>9011.25</v>
      </c>
      <c r="F2" s="16">
        <v>0.12</v>
      </c>
      <c r="G2" s="20">
        <v>10.604050050560749</v>
      </c>
      <c r="H2" s="16">
        <v>0.71</v>
      </c>
      <c r="I2" s="20">
        <f>Submetering!J3+Submetering!I3+Submetering!H3</f>
        <v>103.065</v>
      </c>
      <c r="J2" s="16">
        <v>2.3196172978505634</v>
      </c>
      <c r="K2" s="20">
        <f>Submetering!K2</f>
        <v>101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2019</v>
      </c>
      <c r="E3" s="20">
        <f>Submetering!E4</f>
        <v>8928</v>
      </c>
      <c r="F3" s="16">
        <v>0.12</v>
      </c>
      <c r="G3" s="20">
        <v>12.382812323084114</v>
      </c>
      <c r="H3" s="16">
        <v>0.71</v>
      </c>
      <c r="I3" s="20">
        <f>Submetering!J4+Submetering!I4+Submetering!H4</f>
        <v>83.081000000000003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2019</v>
      </c>
      <c r="E4" s="20">
        <f>Submetering!E5</f>
        <v>8930.25</v>
      </c>
      <c r="F4" s="16">
        <v>0.12</v>
      </c>
      <c r="G4" s="20">
        <v>13.885141011214955</v>
      </c>
      <c r="H4" s="16">
        <v>0.71</v>
      </c>
      <c r="I4" s="20">
        <f>Submetering!J5+Submetering!I5+Submetering!H5</f>
        <v>93.325999999999993</v>
      </c>
      <c r="J4" s="16">
        <v>2.3196172978505634</v>
      </c>
      <c r="K4" s="20">
        <f>Submetering!K4</f>
        <v>73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2019</v>
      </c>
      <c r="E5" s="20">
        <f>Submetering!E6</f>
        <v>9092.25</v>
      </c>
      <c r="F5" s="16">
        <v>0.12</v>
      </c>
      <c r="G5" s="20">
        <v>15.162468278224299</v>
      </c>
      <c r="H5" s="16">
        <v>0.71</v>
      </c>
      <c r="I5" s="20">
        <f>Submetering!J6+Submetering!I6+Submetering!H6</f>
        <v>88.942999999999998</v>
      </c>
      <c r="J5" s="16">
        <v>2.3196172978505634</v>
      </c>
      <c r="K5" s="20">
        <f>Submetering!K5</f>
        <v>79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2019</v>
      </c>
      <c r="E6" s="20">
        <f>Submetering!E7</f>
        <v>9036</v>
      </c>
      <c r="F6" s="16">
        <v>0.12</v>
      </c>
      <c r="G6" s="20">
        <f>Submetering!F7+Submetering!G7</f>
        <v>15.935626278504675</v>
      </c>
      <c r="H6" s="16">
        <v>0.71</v>
      </c>
      <c r="I6" s="20">
        <f>Submetering!J7+Submetering!I7+Submetering!H7</f>
        <v>83.257000000000005</v>
      </c>
      <c r="J6" s="16">
        <v>2.3196172978505634</v>
      </c>
      <c r="K6" s="20">
        <f>Submetering!K6</f>
        <v>78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2019</v>
      </c>
      <c r="E7" s="20">
        <f>Submetering!E8</f>
        <v>9173.25</v>
      </c>
      <c r="F7" s="16">
        <v>0.12</v>
      </c>
      <c r="G7" s="20">
        <f>Submetering!F8+Submetering!G8</f>
        <v>15.968747937850468</v>
      </c>
      <c r="H7" s="16">
        <v>0.71</v>
      </c>
      <c r="I7" s="20">
        <f>Submetering!J8+Submetering!I8+Submetering!H8</f>
        <v>97.513999999999996</v>
      </c>
      <c r="J7" s="16">
        <v>2.3196172978505634</v>
      </c>
      <c r="K7" s="20">
        <f>Submetering!K7</f>
        <v>72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2019</v>
      </c>
      <c r="E8" s="20" t="e">
        <f>Submetering!#REF!</f>
        <v>#REF!</v>
      </c>
      <c r="F8" s="16">
        <v>0.12</v>
      </c>
      <c r="G8" s="20" t="e">
        <f>Submetering!#REF!+Submetering!#REF!</f>
        <v>#REF!</v>
      </c>
      <c r="H8" s="16">
        <v>0.71</v>
      </c>
      <c r="I8" s="20" t="e">
        <f>Submetering!#REF!+Submetering!#REF!+Submetering!#REF!</f>
        <v>#REF!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2019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2019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2019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2019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2019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2019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2019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2019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9" sqref="K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2019</v>
      </c>
      <c r="E2" s="20">
        <v>9330.75</v>
      </c>
      <c r="G2" s="20">
        <v>18.02</v>
      </c>
      <c r="H2" s="20">
        <v>10.239000000000001</v>
      </c>
      <c r="I2" s="20">
        <v>52</v>
      </c>
      <c r="J2" s="20">
        <v>29</v>
      </c>
      <c r="K2" s="20">
        <v>101</v>
      </c>
    </row>
    <row r="3" spans="1:12" x14ac:dyDescent="0.25">
      <c r="A3" s="17" t="s">
        <v>32</v>
      </c>
      <c r="B3" s="6">
        <f>B2+1</f>
        <v>2</v>
      </c>
      <c r="C3" s="6">
        <v>10</v>
      </c>
      <c r="D3" s="6">
        <v>2019</v>
      </c>
      <c r="E3" s="20">
        <v>9011.25</v>
      </c>
      <c r="G3" s="20">
        <v>20.997290748971963</v>
      </c>
      <c r="H3" s="20">
        <v>10.065</v>
      </c>
      <c r="I3" s="20">
        <v>58</v>
      </c>
      <c r="J3" s="20">
        <v>35</v>
      </c>
      <c r="K3" s="20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v>10</v>
      </c>
      <c r="D4" s="6">
        <v>2019</v>
      </c>
      <c r="E4" s="20">
        <v>8928</v>
      </c>
      <c r="G4" s="20">
        <v>19.569319623084112</v>
      </c>
      <c r="H4" s="20">
        <v>8.0809999999999995</v>
      </c>
      <c r="I4" s="20">
        <v>43</v>
      </c>
      <c r="J4" s="20">
        <v>32</v>
      </c>
      <c r="K4" s="20">
        <v>73</v>
      </c>
    </row>
    <row r="5" spans="1:12" x14ac:dyDescent="0.25">
      <c r="A5" s="17" t="s">
        <v>32</v>
      </c>
      <c r="B5" s="6">
        <f t="shared" si="0"/>
        <v>4</v>
      </c>
      <c r="C5" s="6">
        <v>10</v>
      </c>
      <c r="D5" s="6">
        <v>2019</v>
      </c>
      <c r="E5" s="20">
        <v>8930.25</v>
      </c>
      <c r="G5" s="20">
        <v>16.186453717383181</v>
      </c>
      <c r="H5" s="20">
        <v>7.3259999999999996</v>
      </c>
      <c r="I5" s="20">
        <v>56</v>
      </c>
      <c r="J5" s="20">
        <v>30</v>
      </c>
      <c r="K5" s="20">
        <v>79</v>
      </c>
    </row>
    <row r="6" spans="1:12" x14ac:dyDescent="0.25">
      <c r="A6" s="17" t="s">
        <v>32</v>
      </c>
      <c r="B6" s="6">
        <f t="shared" si="0"/>
        <v>5</v>
      </c>
      <c r="C6" s="6">
        <v>10</v>
      </c>
      <c r="D6" s="6">
        <v>2019</v>
      </c>
      <c r="E6" s="20">
        <v>9092.25</v>
      </c>
      <c r="G6" s="20">
        <v>16.573450213177573</v>
      </c>
      <c r="H6" s="20">
        <v>6.9429999999999996</v>
      </c>
      <c r="I6" s="20">
        <v>53</v>
      </c>
      <c r="J6" s="20">
        <v>29</v>
      </c>
      <c r="K6" s="20">
        <v>78</v>
      </c>
    </row>
    <row r="7" spans="1:12" x14ac:dyDescent="0.25">
      <c r="A7" s="17" t="s">
        <v>32</v>
      </c>
      <c r="B7" s="6">
        <f t="shared" si="0"/>
        <v>6</v>
      </c>
      <c r="C7" s="6">
        <v>10</v>
      </c>
      <c r="D7" s="6">
        <v>2019</v>
      </c>
      <c r="E7" s="20">
        <v>9036</v>
      </c>
      <c r="G7" s="20">
        <v>15.935626278504675</v>
      </c>
      <c r="H7" s="20">
        <v>7.2569999999999997</v>
      </c>
      <c r="I7" s="20">
        <v>45</v>
      </c>
      <c r="J7" s="20">
        <v>31</v>
      </c>
      <c r="K7" s="20">
        <v>72</v>
      </c>
    </row>
    <row r="8" spans="1:12" x14ac:dyDescent="0.25">
      <c r="A8" s="17" t="s">
        <v>32</v>
      </c>
      <c r="B8" s="6">
        <f t="shared" si="0"/>
        <v>7</v>
      </c>
      <c r="C8" s="6">
        <v>10</v>
      </c>
      <c r="D8" s="6">
        <v>2019</v>
      </c>
      <c r="E8" s="20">
        <v>9173.25</v>
      </c>
      <c r="G8" s="20">
        <v>15.968747937850468</v>
      </c>
      <c r="H8" s="20">
        <v>11.513999999999999</v>
      </c>
      <c r="I8" s="20">
        <v>56</v>
      </c>
      <c r="J8" s="20">
        <v>30</v>
      </c>
      <c r="K8" s="20">
        <v>97</v>
      </c>
    </row>
    <row r="9" spans="1:12" x14ac:dyDescent="0.25">
      <c r="A9" s="17" t="s">
        <v>32</v>
      </c>
      <c r="B9" s="6">
        <f t="shared" si="0"/>
        <v>8</v>
      </c>
      <c r="C9" s="6">
        <v>10</v>
      </c>
      <c r="D9" s="6">
        <v>2019</v>
      </c>
      <c r="K9" s="20"/>
    </row>
    <row r="10" spans="1:12" x14ac:dyDescent="0.25">
      <c r="A10" s="17" t="s">
        <v>32</v>
      </c>
      <c r="B10" s="6">
        <f t="shared" si="0"/>
        <v>9</v>
      </c>
      <c r="C10" s="6">
        <v>10</v>
      </c>
      <c r="D10" s="6">
        <v>2019</v>
      </c>
      <c r="K10" s="20"/>
    </row>
    <row r="11" spans="1:12" x14ac:dyDescent="0.25">
      <c r="A11" s="17" t="s">
        <v>32</v>
      </c>
      <c r="B11" s="6">
        <f t="shared" si="0"/>
        <v>10</v>
      </c>
      <c r="C11" s="6">
        <v>10</v>
      </c>
      <c r="D11" s="6">
        <v>2019</v>
      </c>
      <c r="K11" s="20"/>
    </row>
    <row r="12" spans="1:12" x14ac:dyDescent="0.25">
      <c r="A12" s="17" t="s">
        <v>32</v>
      </c>
      <c r="B12" s="6">
        <f t="shared" si="0"/>
        <v>11</v>
      </c>
      <c r="C12" s="6">
        <v>10</v>
      </c>
      <c r="D12" s="6">
        <v>2019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10</v>
      </c>
      <c r="D13" s="6">
        <v>2019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10</v>
      </c>
      <c r="D14" s="6">
        <v>2019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10</v>
      </c>
      <c r="D15" s="6">
        <v>2019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10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10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10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10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10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10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10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10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10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10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10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10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10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10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10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10</v>
      </c>
      <c r="D31" s="6">
        <v>2019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10</v>
      </c>
      <c r="D32" s="6">
        <v>2019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topLeftCell="A4"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2019-10-08T13:34:19Z</dcterms:modified>
</cp:coreProperties>
</file>