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60" windowWidth="12210" windowHeight="1207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22" i="5"/>
  <c r="G23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21"/>
  <c r="AX27"/>
  <c r="L25" i="1"/>
  <c r="J20" i="76"/>
  <c r="AW21" i="7"/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9" s="1"/>
  <c r="B20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5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22" s="1"/>
  <c r="AX23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B25" i="3"/>
  <c r="B26" s="1"/>
  <c r="B27" s="1"/>
  <c r="B28" s="1"/>
  <c r="B29" s="1"/>
  <c r="B30" s="1"/>
  <c r="B31" s="1"/>
  <c r="B32" s="1"/>
  <c r="B33" s="1"/>
  <c r="C24"/>
  <c r="J18" i="76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1" s="1"/>
  <c r="C22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20" s="1"/>
  <c r="F21" s="1"/>
  <c r="F22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20" s="1"/>
  <c r="H21" s="1"/>
  <c r="H22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4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4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1" s="1"/>
  <c r="B22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20" s="1"/>
  <c r="F21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20" s="1"/>
  <c r="H21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20" s="1"/>
  <c r="J21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20" s="1"/>
  <c r="L21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20" s="1"/>
  <c r="P21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9" s="1"/>
  <c r="W20" s="1"/>
  <c r="W21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9" s="1"/>
  <c r="Y20" s="1"/>
  <c r="Y21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C3"/>
  <c r="D7" l="1"/>
  <c r="E6"/>
  <c r="F18" i="76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E16" i="2" l="1"/>
  <c r="BA7" i="5"/>
  <c r="E17" i="2" l="1"/>
  <c r="I8" i="77"/>
  <c r="E18" i="2" l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K77" i="74"/>
  <c r="K76"/>
  <c r="J77"/>
  <c r="J76"/>
  <c r="J75"/>
  <c r="D25" i="2" l="1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B36" l="1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<sst xmlns="http://schemas.openxmlformats.org/spreadsheetml/2006/main" count="669" uniqueCount="417">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</sst>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1175680"/>
        <c:axId val="101177216"/>
      </c:lineChart>
      <c:catAx>
        <c:axId val="10117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7216"/>
        <c:crosses val="autoZero"/>
        <c:auto val="1"/>
        <c:lblAlgn val="ctr"/>
        <c:lblOffset val="100"/>
      </c:catAx>
      <c:valAx>
        <c:axId val="10117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7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1201792"/>
        <c:axId val="101203328"/>
      </c:lineChart>
      <c:catAx>
        <c:axId val="10120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03328"/>
        <c:crosses val="autoZero"/>
        <c:auto val="1"/>
        <c:lblAlgn val="ctr"/>
        <c:lblOffset val="100"/>
      </c:catAx>
      <c:valAx>
        <c:axId val="10120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0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0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1215616"/>
        <c:axId val="101229696"/>
      </c:lineChart>
      <c:catAx>
        <c:axId val="10121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29696"/>
        <c:crosses val="autoZero"/>
        <c:auto val="1"/>
        <c:lblAlgn val="ctr"/>
        <c:lblOffset val="100"/>
      </c:catAx>
      <c:valAx>
        <c:axId val="101229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0402304"/>
        <c:axId val="100403840"/>
      </c:lineChart>
      <c:catAx>
        <c:axId val="10040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03840"/>
        <c:crosses val="autoZero"/>
        <c:auto val="1"/>
        <c:lblAlgn val="ctr"/>
        <c:lblOffset val="100"/>
      </c:catAx>
      <c:valAx>
        <c:axId val="100403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0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7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0412032"/>
        <c:axId val="100434304"/>
      </c:lineChart>
      <c:catAx>
        <c:axId val="10041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34304"/>
        <c:crosses val="autoZero"/>
        <c:auto val="1"/>
        <c:lblAlgn val="ctr"/>
        <c:lblOffset val="100"/>
      </c:catAx>
      <c:valAx>
        <c:axId val="100434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1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0619008"/>
        <c:axId val="100620544"/>
      </c:lineChart>
      <c:catAx>
        <c:axId val="10061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0544"/>
        <c:crosses val="autoZero"/>
        <c:auto val="1"/>
        <c:lblAlgn val="ctr"/>
        <c:lblOffset val="100"/>
      </c:catAx>
      <c:valAx>
        <c:axId val="10062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0649216"/>
        <c:axId val="100659200"/>
      </c:lineChart>
      <c:catAx>
        <c:axId val="10064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9200"/>
        <c:crosses val="autoZero"/>
        <c:auto val="1"/>
        <c:lblAlgn val="ctr"/>
        <c:lblOffset val="100"/>
      </c:catAx>
      <c:valAx>
        <c:axId val="10065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1654528"/>
        <c:axId val="101656064"/>
      </c:lineChart>
      <c:catAx>
        <c:axId val="1016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6064"/>
        <c:crosses val="autoZero"/>
        <c:auto val="1"/>
        <c:lblAlgn val="ctr"/>
        <c:lblOffset val="100"/>
      </c:catAx>
      <c:valAx>
        <c:axId val="10165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1692928"/>
        <c:axId val="101694464"/>
      </c:lineChart>
      <c:catAx>
        <c:axId val="1016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4464"/>
        <c:crosses val="autoZero"/>
        <c:auto val="1"/>
        <c:lblAlgn val="ctr"/>
        <c:lblOffset val="100"/>
      </c:catAx>
      <c:valAx>
        <c:axId val="101694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044"/>
          <c:w val="0.1272403315177597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1714944"/>
        <c:axId val="101741312"/>
      </c:lineChart>
      <c:catAx>
        <c:axId val="10171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41312"/>
        <c:crosses val="autoZero"/>
        <c:auto val="1"/>
        <c:lblAlgn val="ctr"/>
        <c:lblOffset val="100"/>
      </c:catAx>
      <c:valAx>
        <c:axId val="10174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1782272"/>
        <c:axId val="101783808"/>
      </c:lineChart>
      <c:catAx>
        <c:axId val="10178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83808"/>
        <c:crosses val="autoZero"/>
        <c:auto val="1"/>
        <c:lblAlgn val="ctr"/>
        <c:lblOffset val="100"/>
      </c:catAx>
      <c:valAx>
        <c:axId val="101783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8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2226560"/>
        <c:axId val="102228352"/>
      </c:lineChart>
      <c:catAx>
        <c:axId val="10222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28352"/>
        <c:crosses val="autoZero"/>
        <c:auto val="1"/>
        <c:lblAlgn val="ctr"/>
        <c:lblOffset val="100"/>
      </c:catAx>
      <c:valAx>
        <c:axId val="10222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2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0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285</c:v>
                </c:pt>
                <c:pt idx="20">
                  <c:v>199</c:v>
                </c:pt>
                <c:pt idx="21">
                  <c:v>120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1446400"/>
        <c:axId val="101447936"/>
      </c:lineChart>
      <c:catAx>
        <c:axId val="10144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7936"/>
        <c:crosses val="autoZero"/>
        <c:auto val="1"/>
        <c:lblAlgn val="ctr"/>
        <c:lblOffset val="100"/>
      </c:catAx>
      <c:valAx>
        <c:axId val="101447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044"/>
          <c:w val="0.135416885389375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2279424"/>
        <c:axId val="102281216"/>
      </c:lineChart>
      <c:catAx>
        <c:axId val="10227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81216"/>
        <c:crosses val="autoZero"/>
        <c:auto val="1"/>
        <c:lblAlgn val="ctr"/>
        <c:lblOffset val="100"/>
      </c:catAx>
      <c:valAx>
        <c:axId val="102281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7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0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4191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2306176"/>
        <c:axId val="102307712"/>
      </c:lineChart>
      <c:catAx>
        <c:axId val="1023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7712"/>
        <c:crosses val="autoZero"/>
        <c:auto val="1"/>
        <c:lblAlgn val="ctr"/>
        <c:lblOffset val="100"/>
      </c:catAx>
      <c:valAx>
        <c:axId val="102307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2340480"/>
        <c:axId val="102342016"/>
      </c:lineChart>
      <c:catAx>
        <c:axId val="1023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42016"/>
        <c:crosses val="autoZero"/>
        <c:auto val="1"/>
        <c:lblAlgn val="ctr"/>
        <c:lblOffset val="100"/>
      </c:catAx>
      <c:valAx>
        <c:axId val="10234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044"/>
          <c:w val="0.135416885389375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2370688"/>
        <c:axId val="102380672"/>
      </c:lineChart>
      <c:catAx>
        <c:axId val="1023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80672"/>
        <c:crosses val="autoZero"/>
        <c:auto val="1"/>
        <c:lblAlgn val="ctr"/>
        <c:lblOffset val="100"/>
      </c:catAx>
      <c:valAx>
        <c:axId val="1023806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97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-2523.4193548386902</c:v>
                </c:pt>
                <c:pt idx="16">
                  <c:v>0</c:v>
                </c:pt>
                <c:pt idx="17">
                  <c:v>0</c:v>
                </c:pt>
                <c:pt idx="18">
                  <c:v>-3303.4516129032345</c:v>
                </c:pt>
                <c:pt idx="19">
                  <c:v>-1980.0645161290449</c:v>
                </c:pt>
                <c:pt idx="20">
                  <c:v>-799.67741935483355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2409344"/>
        <c:axId val="102410880"/>
      </c:lineChart>
      <c:catAx>
        <c:axId val="10240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10880"/>
        <c:crosses val="autoZero"/>
        <c:auto val="1"/>
        <c:lblAlgn val="ctr"/>
        <c:lblOffset val="100"/>
      </c:catAx>
      <c:valAx>
        <c:axId val="10241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2444032"/>
        <c:axId val="102454016"/>
      </c:lineChart>
      <c:catAx>
        <c:axId val="10244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54016"/>
        <c:crosses val="autoZero"/>
        <c:auto val="1"/>
        <c:lblAlgn val="ctr"/>
        <c:lblOffset val="100"/>
      </c:catAx>
      <c:valAx>
        <c:axId val="10245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4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8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2494976"/>
        <c:axId val="102496512"/>
      </c:lineChart>
      <c:catAx>
        <c:axId val="1024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6512"/>
        <c:crosses val="autoZero"/>
        <c:auto val="1"/>
        <c:lblAlgn val="ctr"/>
        <c:lblOffset val="100"/>
      </c:catAx>
      <c:valAx>
        <c:axId val="102496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2525184"/>
        <c:axId val="102543360"/>
      </c:lineChart>
      <c:catAx>
        <c:axId val="10252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43360"/>
        <c:crosses val="autoZero"/>
        <c:auto val="1"/>
        <c:lblAlgn val="ctr"/>
        <c:lblOffset val="100"/>
      </c:catAx>
      <c:valAx>
        <c:axId val="102543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2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2576128"/>
        <c:axId val="102577664"/>
      </c:lineChart>
      <c:catAx>
        <c:axId val="10257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7664"/>
        <c:crosses val="autoZero"/>
        <c:auto val="1"/>
        <c:lblAlgn val="ctr"/>
        <c:lblOffset val="100"/>
      </c:catAx>
      <c:valAx>
        <c:axId val="10257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7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61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2585856"/>
        <c:axId val="102587392"/>
      </c:lineChart>
      <c:catAx>
        <c:axId val="10258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87392"/>
        <c:crosses val="autoZero"/>
        <c:auto val="1"/>
        <c:lblAlgn val="ctr"/>
        <c:lblOffset val="100"/>
      </c:catAx>
      <c:valAx>
        <c:axId val="10258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8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0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2636544"/>
        <c:axId val="102638336"/>
      </c:lineChart>
      <c:catAx>
        <c:axId val="1026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8336"/>
        <c:crosses val="autoZero"/>
        <c:auto val="1"/>
        <c:lblAlgn val="ctr"/>
        <c:lblOffset val="100"/>
      </c:catAx>
      <c:valAx>
        <c:axId val="10263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776"/>
          <c:w val="0.1234311819809427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2680448"/>
        <c:axId val="102681984"/>
      </c:lineChart>
      <c:catAx>
        <c:axId val="102680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1984"/>
        <c:crosses val="autoZero"/>
        <c:auto val="1"/>
        <c:lblAlgn val="ctr"/>
        <c:lblOffset val="100"/>
      </c:catAx>
      <c:valAx>
        <c:axId val="1026819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68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461"/>
          <c:w val="0.156903985328240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2706176"/>
        <c:axId val="102716160"/>
      </c:lineChart>
      <c:catAx>
        <c:axId val="10270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16160"/>
        <c:crosses val="autoZero"/>
        <c:auto val="1"/>
        <c:lblAlgn val="ctr"/>
        <c:lblOffset val="100"/>
      </c:catAx>
      <c:valAx>
        <c:axId val="102716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0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3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2847616"/>
        <c:axId val="102849152"/>
      </c:lineChart>
      <c:catAx>
        <c:axId val="1028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9152"/>
        <c:crosses val="autoZero"/>
        <c:auto val="1"/>
        <c:lblAlgn val="ctr"/>
        <c:lblOffset val="100"/>
      </c:catAx>
      <c:valAx>
        <c:axId val="102849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50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3281024"/>
        <c:axId val="103282560"/>
      </c:lineChart>
      <c:catAx>
        <c:axId val="103281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82560"/>
        <c:crosses val="autoZero"/>
        <c:auto val="1"/>
        <c:lblAlgn val="ctr"/>
        <c:lblOffset val="100"/>
      </c:catAx>
      <c:valAx>
        <c:axId val="103282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46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0.24914023085855766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0.23998063465522576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3.5190433298761377E-2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0.25644624348385031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0.34008447913045486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0.24696099207044583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0.29691155345148917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0.15634656857701079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0.2409318110542279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8.2608009626948323E-2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5643</v>
      </c>
      <c r="F16" s="315">
        <f>SUM('EDl log'!T18)</f>
        <v>0.24155933526372181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9545</v>
      </c>
      <c r="F17" s="315">
        <f>SUM('EDl log'!T19)</f>
        <v>0.18262472913991573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6388</v>
      </c>
      <c r="F20" s="315">
        <f>SUM('EDl log'!T22)</f>
        <v>0.31483262061773282</v>
      </c>
      <c r="G20" s="203">
        <f>-tanks!AW24</f>
        <v>285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5544</v>
      </c>
      <c r="F21" s="315">
        <f>SUM('EDl log'!T23)</f>
        <v>0.22549742351911087</v>
      </c>
      <c r="G21" s="203">
        <f>-tanks!AW25</f>
        <v>199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4191</v>
      </c>
      <c r="F22" s="315">
        <f>SUM('EDl log'!T24)</f>
        <v>0.13667493473486295</v>
      </c>
      <c r="G22" s="203">
        <f>-tanks!AW26</f>
        <v>120</v>
      </c>
      <c r="H22" s="315">
        <f>SUM(tanks!AV26)</f>
        <v>0.60399999999999998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0.60399999999999998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0.60399999999999998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0.60399999999999998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0.60399999999999998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0.60399999999999998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0.60399999999999998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0.60399999999999998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0.60399999999999998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0.60399999999999998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0.60399999999999998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H16" sqref="H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2144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2236</v>
      </c>
      <c r="F17" s="203">
        <f>ELEC!K19</f>
        <v>2866</v>
      </c>
      <c r="G17" s="203">
        <f>ELEC!I19</f>
        <v>940</v>
      </c>
      <c r="H17" s="203">
        <f>ELEC!E19</f>
        <v>3000</v>
      </c>
      <c r="I17" s="203">
        <f>ELEC!G19</f>
        <v>503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1096</v>
      </c>
      <c r="F20" s="203">
        <f>ELEC!K22</f>
        <v>1510</v>
      </c>
      <c r="G20" s="203">
        <f>ELEC!I22</f>
        <v>504</v>
      </c>
      <c r="H20" s="203">
        <f>ELEC!E22</f>
        <v>3011</v>
      </c>
      <c r="I20" s="203">
        <f>ELEC!G22</f>
        <v>267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1248</v>
      </c>
      <c r="F21" s="203">
        <f>ELEC!K23</f>
        <v>1692</v>
      </c>
      <c r="G21" s="203">
        <f>ELEC!I23</f>
        <v>536</v>
      </c>
      <c r="H21" s="203">
        <f>ELEC!E23</f>
        <v>1781</v>
      </c>
      <c r="I21" s="203">
        <f>ELEC!G23</f>
        <v>287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1312</v>
      </c>
      <c r="F22" s="203">
        <f>ELEC!K24</f>
        <v>1748</v>
      </c>
      <c r="G22" s="203">
        <f>ELEC!I24</f>
        <v>548</v>
      </c>
      <c r="H22" s="203">
        <f>ELEC!E24</f>
        <v>301</v>
      </c>
      <c r="I22" s="203">
        <f>ELEC!G24</f>
        <v>282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T1" zoomScale="70" zoomScaleNormal="70" zoomScaleSheetLayoutView="100" workbookViewId="0">
      <pane ySplit="2" topLeftCell="A3" activePane="bottomLeft" state="frozen"/>
      <selection activeCell="C1" sqref="C1"/>
      <selection pane="bottomLeft" activeCell="T24" sqref="T2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92274</v>
      </c>
      <c r="E18" s="585">
        <f t="shared" si="7"/>
        <v>2144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5643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469.00000000093132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v>95274</v>
      </c>
      <c r="E19" s="585">
        <f t="shared" si="7"/>
        <v>3000</v>
      </c>
      <c r="F19" s="573">
        <v>4107541</v>
      </c>
      <c r="G19" s="449">
        <f t="shared" si="14"/>
        <v>503</v>
      </c>
      <c r="H19" s="426">
        <v>17996778</v>
      </c>
      <c r="I19" s="449">
        <f t="shared" si="16"/>
        <v>940</v>
      </c>
      <c r="J19" s="426">
        <v>29643616</v>
      </c>
      <c r="K19" s="449">
        <f t="shared" si="18"/>
        <v>2866</v>
      </c>
      <c r="L19" s="426">
        <v>24488010</v>
      </c>
      <c r="M19" s="449">
        <f t="shared" si="20"/>
        <v>2236</v>
      </c>
      <c r="N19" s="297">
        <f t="shared" si="21"/>
        <v>9545</v>
      </c>
      <c r="O19" s="445">
        <f t="shared" si="32"/>
        <v>0</v>
      </c>
      <c r="P19" s="564">
        <v>18730.953000000001</v>
      </c>
      <c r="Q19" s="446">
        <f>(P19-P18)*1000</f>
        <v>9922.0000000022992</v>
      </c>
      <c r="R19" s="606">
        <f>N19-Q19</f>
        <v>-377.0000000022992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95274</v>
      </c>
      <c r="E20" s="585">
        <f t="shared" si="7"/>
        <v>0</v>
      </c>
      <c r="F20" s="573">
        <f t="shared" si="13"/>
        <v>4107541</v>
      </c>
      <c r="G20" s="449">
        <f t="shared" si="14"/>
        <v>0</v>
      </c>
      <c r="H20" s="426">
        <f t="shared" si="15"/>
        <v>17996778</v>
      </c>
      <c r="I20" s="449">
        <f t="shared" si="16"/>
        <v>0</v>
      </c>
      <c r="J20" s="426">
        <f t="shared" si="17"/>
        <v>29643616</v>
      </c>
      <c r="K20" s="449">
        <f t="shared" si="18"/>
        <v>0</v>
      </c>
      <c r="L20" s="426">
        <f t="shared" si="19"/>
        <v>24488010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18730.953000000001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95274</v>
      </c>
      <c r="E21" s="585">
        <f t="shared" si="7"/>
        <v>0</v>
      </c>
      <c r="F21" s="573">
        <f t="shared" si="13"/>
        <v>4107541</v>
      </c>
      <c r="G21" s="449">
        <f t="shared" si="14"/>
        <v>0</v>
      </c>
      <c r="H21" s="426">
        <f t="shared" si="15"/>
        <v>17996778</v>
      </c>
      <c r="I21" s="449">
        <f t="shared" si="16"/>
        <v>0</v>
      </c>
      <c r="J21" s="426">
        <f t="shared" si="17"/>
        <v>29643616</v>
      </c>
      <c r="K21" s="449">
        <f t="shared" si="18"/>
        <v>0</v>
      </c>
      <c r="L21" s="426">
        <f t="shared" si="19"/>
        <v>24488010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18730.953000000001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v>98285</v>
      </c>
      <c r="E22" s="585">
        <f t="shared" si="7"/>
        <v>3011</v>
      </c>
      <c r="F22" s="573">
        <v>4107808</v>
      </c>
      <c r="G22" s="449">
        <f t="shared" si="14"/>
        <v>267</v>
      </c>
      <c r="H22" s="426">
        <v>17997282</v>
      </c>
      <c r="I22" s="449">
        <f t="shared" si="16"/>
        <v>504</v>
      </c>
      <c r="J22" s="426">
        <v>29645126</v>
      </c>
      <c r="K22" s="449">
        <f t="shared" si="18"/>
        <v>1510</v>
      </c>
      <c r="L22" s="426">
        <v>24489106</v>
      </c>
      <c r="M22" s="449">
        <f t="shared" si="20"/>
        <v>1096</v>
      </c>
      <c r="N22" s="297">
        <f t="shared" si="21"/>
        <v>6388</v>
      </c>
      <c r="O22" s="445">
        <f t="shared" si="32"/>
        <v>0</v>
      </c>
      <c r="P22" s="564">
        <v>18736.311000000002</v>
      </c>
      <c r="Q22" s="446">
        <f t="shared" si="1"/>
        <v>5358.0000000001746</v>
      </c>
      <c r="R22" s="606">
        <f t="shared" si="35"/>
        <v>1029.9999999998254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v>33478</v>
      </c>
      <c r="X22" s="428">
        <f t="shared" si="31"/>
        <v>2</v>
      </c>
      <c r="Y22" s="426">
        <v>995560</v>
      </c>
      <c r="Z22" s="428">
        <f t="shared" si="30"/>
        <v>395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2</v>
      </c>
      <c r="AF22" s="451">
        <f t="shared" si="4"/>
        <v>395</v>
      </c>
      <c r="AG22" s="443">
        <f t="shared" si="33"/>
        <v>197.5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v>100066</v>
      </c>
      <c r="E23" s="585">
        <f t="shared" si="7"/>
        <v>1781</v>
      </c>
      <c r="F23" s="573">
        <v>4108095</v>
      </c>
      <c r="G23" s="449">
        <f t="shared" si="14"/>
        <v>287</v>
      </c>
      <c r="H23" s="426">
        <v>17997818</v>
      </c>
      <c r="I23" s="449">
        <f t="shared" si="16"/>
        <v>536</v>
      </c>
      <c r="J23" s="426">
        <v>29646818</v>
      </c>
      <c r="K23" s="449">
        <f t="shared" si="18"/>
        <v>1692</v>
      </c>
      <c r="L23" s="426">
        <v>24490354</v>
      </c>
      <c r="M23" s="449">
        <f t="shared" si="20"/>
        <v>1248</v>
      </c>
      <c r="N23" s="297">
        <f t="shared" si="21"/>
        <v>5544</v>
      </c>
      <c r="O23" s="445">
        <f t="shared" si="32"/>
        <v>0</v>
      </c>
      <c r="P23" s="564">
        <v>18742.012999999999</v>
      </c>
      <c r="Q23" s="446">
        <f t="shared" si="1"/>
        <v>5701.9999999974971</v>
      </c>
      <c r="R23" s="606">
        <f t="shared" si="35"/>
        <v>-157.99999999749707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33478</v>
      </c>
      <c r="X23" s="428">
        <f t="shared" si="31"/>
        <v>0</v>
      </c>
      <c r="Y23" s="426">
        <f t="shared" si="25"/>
        <v>995560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v>100367</v>
      </c>
      <c r="E24" s="585">
        <f t="shared" si="7"/>
        <v>301</v>
      </c>
      <c r="F24" s="573">
        <v>4108377</v>
      </c>
      <c r="G24" s="449">
        <f t="shared" si="14"/>
        <v>282</v>
      </c>
      <c r="H24" s="426">
        <v>17998366</v>
      </c>
      <c r="I24" s="622">
        <f t="shared" si="16"/>
        <v>548</v>
      </c>
      <c r="J24" s="426">
        <v>29648566</v>
      </c>
      <c r="K24" s="449">
        <f t="shared" si="18"/>
        <v>1748</v>
      </c>
      <c r="L24" s="426">
        <v>24491666</v>
      </c>
      <c r="M24" s="449">
        <f t="shared" si="20"/>
        <v>1312</v>
      </c>
      <c r="N24" s="297">
        <f t="shared" si="21"/>
        <v>4191</v>
      </c>
      <c r="O24" s="445">
        <f t="shared" si="32"/>
        <v>0</v>
      </c>
      <c r="P24" s="564">
        <v>18748.414000000001</v>
      </c>
      <c r="Q24" s="446">
        <f t="shared" si="1"/>
        <v>6401.0000000016589</v>
      </c>
      <c r="R24" s="606">
        <f t="shared" si="35"/>
        <v>-2210.0000000016589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33478</v>
      </c>
      <c r="X24" s="428">
        <f t="shared" si="31"/>
        <v>0</v>
      </c>
      <c r="Y24" s="426">
        <f t="shared" si="25"/>
        <v>995560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100367</v>
      </c>
      <c r="E25" s="585">
        <f t="shared" si="7"/>
        <v>0</v>
      </c>
      <c r="F25" s="573">
        <f t="shared" si="13"/>
        <v>4108377</v>
      </c>
      <c r="G25" s="449">
        <f t="shared" si="14"/>
        <v>0</v>
      </c>
      <c r="H25" s="426">
        <f t="shared" si="15"/>
        <v>17998366</v>
      </c>
      <c r="I25" s="449">
        <f t="shared" si="16"/>
        <v>0</v>
      </c>
      <c r="J25" s="426">
        <f t="shared" si="17"/>
        <v>29648566</v>
      </c>
      <c r="K25" s="449">
        <f t="shared" si="18"/>
        <v>0</v>
      </c>
      <c r="L25" s="426">
        <f t="shared" si="19"/>
        <v>24491666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18748.414000000001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33478</v>
      </c>
      <c r="X25" s="428">
        <f t="shared" si="31"/>
        <v>0</v>
      </c>
      <c r="Y25" s="426">
        <f t="shared" si="25"/>
        <v>995560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100367</v>
      </c>
      <c r="E26" s="585">
        <f t="shared" si="7"/>
        <v>0</v>
      </c>
      <c r="F26" s="573">
        <f t="shared" si="13"/>
        <v>4108377</v>
      </c>
      <c r="G26" s="449">
        <f t="shared" si="14"/>
        <v>0</v>
      </c>
      <c r="H26" s="426">
        <f t="shared" si="15"/>
        <v>17998366</v>
      </c>
      <c r="I26" s="449">
        <f t="shared" si="16"/>
        <v>0</v>
      </c>
      <c r="J26" s="426">
        <f t="shared" si="17"/>
        <v>29648566</v>
      </c>
      <c r="K26" s="449">
        <f t="shared" si="18"/>
        <v>0</v>
      </c>
      <c r="L26" s="426">
        <f t="shared" si="19"/>
        <v>24491666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18748.414000000001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33478</v>
      </c>
      <c r="X26" s="428">
        <f t="shared" si="31"/>
        <v>0</v>
      </c>
      <c r="Y26" s="426">
        <f t="shared" si="25"/>
        <v>995560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100367</v>
      </c>
      <c r="E27" s="585">
        <f t="shared" si="7"/>
        <v>0</v>
      </c>
      <c r="F27" s="573">
        <f t="shared" si="13"/>
        <v>4108377</v>
      </c>
      <c r="G27" s="449">
        <f t="shared" si="14"/>
        <v>0</v>
      </c>
      <c r="H27" s="426">
        <f t="shared" si="15"/>
        <v>17998366</v>
      </c>
      <c r="I27" s="449">
        <f t="shared" si="16"/>
        <v>0</v>
      </c>
      <c r="J27" s="426">
        <f t="shared" si="17"/>
        <v>29648566</v>
      </c>
      <c r="K27" s="449">
        <f t="shared" si="18"/>
        <v>0</v>
      </c>
      <c r="L27" s="426">
        <f t="shared" si="19"/>
        <v>24491666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18748.414000000001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33478</v>
      </c>
      <c r="X27" s="428">
        <f t="shared" si="31"/>
        <v>0</v>
      </c>
      <c r="Y27" s="426">
        <f t="shared" si="25"/>
        <v>995560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100367</v>
      </c>
      <c r="E28" s="585">
        <f t="shared" si="7"/>
        <v>0</v>
      </c>
      <c r="F28" s="573">
        <f t="shared" si="13"/>
        <v>4108377</v>
      </c>
      <c r="G28" s="449">
        <f>F28-F27</f>
        <v>0</v>
      </c>
      <c r="H28" s="426">
        <f t="shared" si="15"/>
        <v>17998366</v>
      </c>
      <c r="I28" s="449">
        <f t="shared" si="16"/>
        <v>0</v>
      </c>
      <c r="J28" s="426">
        <f t="shared" si="17"/>
        <v>29648566</v>
      </c>
      <c r="K28" s="449">
        <f t="shared" si="18"/>
        <v>0</v>
      </c>
      <c r="L28" s="426">
        <f t="shared" si="19"/>
        <v>24491666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18748.414000000001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33478</v>
      </c>
      <c r="X28" s="428">
        <f t="shared" si="31"/>
        <v>0</v>
      </c>
      <c r="Y28" s="426">
        <f t="shared" si="25"/>
        <v>995560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100367</v>
      </c>
      <c r="E29" s="585">
        <f t="shared" si="7"/>
        <v>0</v>
      </c>
      <c r="F29" s="573">
        <f t="shared" si="13"/>
        <v>4108377</v>
      </c>
      <c r="G29" s="449">
        <f t="shared" ref="G29" si="36">F29-F28</f>
        <v>0</v>
      </c>
      <c r="H29" s="426">
        <f t="shared" si="15"/>
        <v>17998366</v>
      </c>
      <c r="I29" s="449">
        <f t="shared" ref="I29" si="37">H29-H28</f>
        <v>0</v>
      </c>
      <c r="J29" s="426">
        <f t="shared" si="17"/>
        <v>29648566</v>
      </c>
      <c r="K29" s="449">
        <f t="shared" ref="K29" si="38">J29-J28</f>
        <v>0</v>
      </c>
      <c r="L29" s="426">
        <f t="shared" si="19"/>
        <v>24491666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18748.414000000001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33478</v>
      </c>
      <c r="X29" s="428">
        <f t="shared" ref="X29" si="45">W29-W28</f>
        <v>0</v>
      </c>
      <c r="Y29" s="426">
        <f t="shared" si="25"/>
        <v>995560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100367</v>
      </c>
      <c r="E30" s="585">
        <f t="shared" si="7"/>
        <v>0</v>
      </c>
      <c r="F30" s="573">
        <f t="shared" si="13"/>
        <v>4108377</v>
      </c>
      <c r="G30" s="449">
        <f t="shared" si="14"/>
        <v>0</v>
      </c>
      <c r="H30" s="426">
        <f t="shared" si="15"/>
        <v>17998366</v>
      </c>
      <c r="I30" s="449">
        <f t="shared" si="16"/>
        <v>0</v>
      </c>
      <c r="J30" s="426">
        <f t="shared" si="17"/>
        <v>29648566</v>
      </c>
      <c r="K30" s="449">
        <f t="shared" si="18"/>
        <v>0</v>
      </c>
      <c r="L30" s="426">
        <f t="shared" si="19"/>
        <v>24491666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18748.414000000001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33478</v>
      </c>
      <c r="X30" s="428">
        <f t="shared" si="31"/>
        <v>0</v>
      </c>
      <c r="Y30" s="426">
        <f t="shared" si="25"/>
        <v>995560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100367</v>
      </c>
      <c r="E31" s="585">
        <f t="shared" si="7"/>
        <v>0</v>
      </c>
      <c r="F31" s="573">
        <f t="shared" si="13"/>
        <v>4108377</v>
      </c>
      <c r="G31" s="449">
        <f t="shared" si="14"/>
        <v>0</v>
      </c>
      <c r="H31" s="426">
        <f t="shared" si="15"/>
        <v>17998366</v>
      </c>
      <c r="I31" s="449">
        <f t="shared" si="16"/>
        <v>0</v>
      </c>
      <c r="J31" s="426">
        <f t="shared" si="17"/>
        <v>29648566</v>
      </c>
      <c r="K31" s="449">
        <f t="shared" si="18"/>
        <v>0</v>
      </c>
      <c r="L31" s="426">
        <f t="shared" si="19"/>
        <v>24491666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18748.414000000001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33478</v>
      </c>
      <c r="X31" s="448">
        <f t="shared" si="31"/>
        <v>0</v>
      </c>
      <c r="Y31" s="426">
        <f t="shared" si="25"/>
        <v>995560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100367</v>
      </c>
      <c r="E32" s="585">
        <f t="shared" si="7"/>
        <v>0</v>
      </c>
      <c r="F32" s="573">
        <f t="shared" si="13"/>
        <v>4108377</v>
      </c>
      <c r="G32" s="449">
        <f t="shared" si="14"/>
        <v>0</v>
      </c>
      <c r="H32" s="426">
        <f t="shared" si="15"/>
        <v>17998366</v>
      </c>
      <c r="I32" s="449">
        <f t="shared" si="16"/>
        <v>0</v>
      </c>
      <c r="J32" s="426">
        <f t="shared" si="17"/>
        <v>29648566</v>
      </c>
      <c r="K32" s="449">
        <f t="shared" si="18"/>
        <v>0</v>
      </c>
      <c r="L32" s="426">
        <f t="shared" si="19"/>
        <v>24491666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18748.414000000001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33478</v>
      </c>
      <c r="X32" s="448">
        <f>W32-W31</f>
        <v>0</v>
      </c>
      <c r="Y32" s="426">
        <f t="shared" si="25"/>
        <v>995560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100367</v>
      </c>
      <c r="E33" s="585">
        <f t="shared" si="7"/>
        <v>0</v>
      </c>
      <c r="F33" s="573">
        <f t="shared" si="13"/>
        <v>4108377</v>
      </c>
      <c r="G33" s="449">
        <f t="shared" si="14"/>
        <v>0</v>
      </c>
      <c r="H33" s="426">
        <f t="shared" si="15"/>
        <v>17998366</v>
      </c>
      <c r="I33" s="449">
        <f t="shared" si="16"/>
        <v>0</v>
      </c>
      <c r="J33" s="426">
        <f t="shared" si="17"/>
        <v>29648566</v>
      </c>
      <c r="K33" s="449">
        <f t="shared" si="18"/>
        <v>0</v>
      </c>
      <c r="L33" s="426">
        <f t="shared" si="19"/>
        <v>24491666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18748.414000000001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33478</v>
      </c>
      <c r="X33" s="448">
        <f>W33-W32</f>
        <v>0</v>
      </c>
      <c r="Y33" s="426">
        <f t="shared" si="25"/>
        <v>995560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100367</v>
      </c>
      <c r="E34" s="585">
        <f t="shared" si="7"/>
        <v>0</v>
      </c>
      <c r="F34" s="573">
        <f t="shared" ref="F34" si="51">F33</f>
        <v>4108377</v>
      </c>
      <c r="G34" s="449">
        <f t="shared" ref="G34" si="52">F34-F33</f>
        <v>0</v>
      </c>
      <c r="H34" s="426">
        <f t="shared" si="15"/>
        <v>17998366</v>
      </c>
      <c r="I34" s="449">
        <f t="shared" si="16"/>
        <v>0</v>
      </c>
      <c r="J34" s="426">
        <f t="shared" si="17"/>
        <v>29648566</v>
      </c>
      <c r="K34" s="449">
        <f t="shared" ref="K34" si="53">J34-J33</f>
        <v>0</v>
      </c>
      <c r="L34" s="426">
        <f t="shared" si="19"/>
        <v>24491666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18748.414000000001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33478</v>
      </c>
      <c r="X34" s="448">
        <f>W34-W33</f>
        <v>0</v>
      </c>
      <c r="Y34" s="426">
        <f t="shared" si="25"/>
        <v>995560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D1" zoomScale="90" zoomScaleNormal="90" workbookViewId="0">
      <pane ySplit="1" topLeftCell="A14" activePane="bottomLeft" state="frozen"/>
      <selection activeCell="K1" sqref="K1"/>
      <selection pane="bottomLeft" activeCell="N25" sqref="N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70.807692307692307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v>211</v>
      </c>
      <c r="C20" s="537">
        <v>218</v>
      </c>
      <c r="D20" s="45">
        <f>C19-C20</f>
        <v>9</v>
      </c>
      <c r="E20" s="45">
        <f t="shared" si="12"/>
        <v>75.42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211</v>
      </c>
      <c r="C21" s="537">
        <f t="shared" si="35"/>
        <v>218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211</v>
      </c>
      <c r="C22" s="537">
        <f t="shared" si="35"/>
        <v>218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v>200</v>
      </c>
      <c r="C23" s="537">
        <v>208</v>
      </c>
      <c r="D23" s="45">
        <f t="shared" si="49"/>
        <v>10</v>
      </c>
      <c r="E23" s="45">
        <f t="shared" si="12"/>
        <v>83.800000000000011</v>
      </c>
      <c r="F23" s="537">
        <v>1938</v>
      </c>
      <c r="G23" s="52">
        <f t="shared" si="0"/>
        <v>2</v>
      </c>
      <c r="H23" s="537">
        <v>20666</v>
      </c>
      <c r="I23" s="380">
        <f t="shared" si="1"/>
        <v>103</v>
      </c>
      <c r="J23" s="66">
        <f t="shared" si="15"/>
        <v>51.5</v>
      </c>
      <c r="K23" s="537">
        <v>2370</v>
      </c>
      <c r="L23" s="52">
        <f t="shared" si="17"/>
        <v>2</v>
      </c>
      <c r="M23" s="537">
        <v>175038</v>
      </c>
      <c r="N23" s="380">
        <f t="shared" si="2"/>
        <v>182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4</v>
      </c>
      <c r="V23" s="62">
        <f t="shared" si="20"/>
        <v>285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285</v>
      </c>
      <c r="AJ23" s="303">
        <f>-tanks!AW24</f>
        <v>285</v>
      </c>
      <c r="AK23" s="303">
        <f>SUM(AJ23-AI23)</f>
        <v>0</v>
      </c>
      <c r="AL23" s="303">
        <f>S23+L23+G23</f>
        <v>4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v>194</v>
      </c>
      <c r="C24" s="537">
        <v>200</v>
      </c>
      <c r="D24" s="45">
        <f t="shared" si="49"/>
        <v>8</v>
      </c>
      <c r="E24" s="45">
        <f t="shared" si="12"/>
        <v>67.040000000000006</v>
      </c>
      <c r="F24" s="537">
        <v>1940</v>
      </c>
      <c r="G24" s="52">
        <f t="shared" si="0"/>
        <v>2</v>
      </c>
      <c r="H24" s="537">
        <v>20865</v>
      </c>
      <c r="I24" s="380">
        <f t="shared" si="1"/>
        <v>199</v>
      </c>
      <c r="J24" s="66">
        <f t="shared" si="15"/>
        <v>99.5</v>
      </c>
      <c r="K24" s="537">
        <f t="shared" si="16"/>
        <v>2370</v>
      </c>
      <c r="L24" s="52">
        <f t="shared" si="17"/>
        <v>0</v>
      </c>
      <c r="M24" s="537">
        <f t="shared" si="18"/>
        <v>175038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2</v>
      </c>
      <c r="V24" s="62">
        <f t="shared" si="20"/>
        <v>199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199</v>
      </c>
      <c r="AJ24" s="303">
        <f>-tanks!AW25</f>
        <v>199</v>
      </c>
      <c r="AK24" s="303">
        <f t="shared" si="29"/>
        <v>0</v>
      </c>
      <c r="AL24" s="303">
        <f t="shared" si="8"/>
        <v>2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v>224</v>
      </c>
      <c r="C25" s="537">
        <v>230</v>
      </c>
      <c r="D25" s="45">
        <f t="shared" si="49"/>
        <v>-30</v>
      </c>
      <c r="E25" s="45">
        <f t="shared" si="12"/>
        <v>-251.40000000000003</v>
      </c>
      <c r="F25" s="537">
        <v>1941</v>
      </c>
      <c r="G25" s="52">
        <f t="shared" si="0"/>
        <v>1</v>
      </c>
      <c r="H25" s="537">
        <v>20894</v>
      </c>
      <c r="I25" s="380">
        <f t="shared" si="1"/>
        <v>29</v>
      </c>
      <c r="J25" s="66">
        <f t="shared" si="15"/>
        <v>29</v>
      </c>
      <c r="K25" s="537">
        <v>2371</v>
      </c>
      <c r="L25" s="52">
        <f t="shared" si="17"/>
        <v>1</v>
      </c>
      <c r="M25" s="537">
        <v>175129</v>
      </c>
      <c r="N25" s="380">
        <f t="shared" si="2"/>
        <v>91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2</v>
      </c>
      <c r="V25" s="62">
        <f t="shared" si="20"/>
        <v>120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120</v>
      </c>
      <c r="AJ25" s="303">
        <f>-tanks!AW26</f>
        <v>120</v>
      </c>
      <c r="AK25" s="303">
        <f t="shared" si="29"/>
        <v>0</v>
      </c>
      <c r="AL25" s="303">
        <f t="shared" si="8"/>
        <v>2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224</v>
      </c>
      <c r="C26" s="537">
        <f t="shared" si="35"/>
        <v>230</v>
      </c>
      <c r="D26" s="45">
        <f t="shared" si="49"/>
        <v>0</v>
      </c>
      <c r="E26" s="45">
        <f t="shared" si="12"/>
        <v>0</v>
      </c>
      <c r="F26" s="537">
        <f t="shared" si="13"/>
        <v>1941</v>
      </c>
      <c r="G26" s="52">
        <f t="shared" si="0"/>
        <v>0</v>
      </c>
      <c r="H26" s="537">
        <f t="shared" si="14"/>
        <v>20894</v>
      </c>
      <c r="I26" s="380">
        <f t="shared" si="1"/>
        <v>0</v>
      </c>
      <c r="J26" s="66">
        <f t="shared" si="15"/>
        <v>0</v>
      </c>
      <c r="K26" s="537">
        <f t="shared" si="16"/>
        <v>2371</v>
      </c>
      <c r="L26" s="52">
        <f t="shared" si="17"/>
        <v>0</v>
      </c>
      <c r="M26" s="537">
        <f t="shared" si="18"/>
        <v>175129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224</v>
      </c>
      <c r="C27" s="537">
        <f t="shared" si="35"/>
        <v>230</v>
      </c>
      <c r="D27" s="45">
        <f t="shared" si="49"/>
        <v>0</v>
      </c>
      <c r="E27" s="45">
        <f t="shared" si="12"/>
        <v>0</v>
      </c>
      <c r="F27" s="537">
        <f t="shared" si="13"/>
        <v>1941</v>
      </c>
      <c r="G27" s="52">
        <f t="shared" si="0"/>
        <v>0</v>
      </c>
      <c r="H27" s="537">
        <f t="shared" si="14"/>
        <v>20894</v>
      </c>
      <c r="I27" s="380">
        <f t="shared" si="1"/>
        <v>0</v>
      </c>
      <c r="J27" s="66">
        <f t="shared" si="15"/>
        <v>0</v>
      </c>
      <c r="K27" s="537">
        <f t="shared" si="16"/>
        <v>2371</v>
      </c>
      <c r="L27" s="52">
        <f t="shared" si="17"/>
        <v>0</v>
      </c>
      <c r="M27" s="537">
        <f t="shared" si="18"/>
        <v>175129</v>
      </c>
      <c r="N27" s="380">
        <f t="shared" si="2"/>
        <v>0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224</v>
      </c>
      <c r="C28" s="537">
        <f t="shared" si="35"/>
        <v>230</v>
      </c>
      <c r="D28" s="45">
        <f t="shared" si="49"/>
        <v>0</v>
      </c>
      <c r="E28" s="45">
        <f t="shared" si="12"/>
        <v>0</v>
      </c>
      <c r="F28" s="537">
        <f t="shared" si="13"/>
        <v>1941</v>
      </c>
      <c r="G28" s="52">
        <f t="shared" si="0"/>
        <v>0</v>
      </c>
      <c r="H28" s="537">
        <f t="shared" si="14"/>
        <v>20894</v>
      </c>
      <c r="I28" s="380">
        <f t="shared" si="1"/>
        <v>0</v>
      </c>
      <c r="J28" s="66">
        <f t="shared" si="15"/>
        <v>0</v>
      </c>
      <c r="K28" s="537">
        <f t="shared" si="16"/>
        <v>2371</v>
      </c>
      <c r="L28" s="52">
        <f t="shared" si="17"/>
        <v>0</v>
      </c>
      <c r="M28" s="537">
        <f t="shared" si="18"/>
        <v>175129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224</v>
      </c>
      <c r="C29" s="537">
        <f t="shared" si="35"/>
        <v>230</v>
      </c>
      <c r="D29" s="45">
        <f t="shared" si="49"/>
        <v>0</v>
      </c>
      <c r="E29" s="45">
        <f t="shared" si="12"/>
        <v>0</v>
      </c>
      <c r="F29" s="537">
        <f t="shared" si="13"/>
        <v>1941</v>
      </c>
      <c r="G29" s="52">
        <f t="shared" si="0"/>
        <v>0</v>
      </c>
      <c r="H29" s="537">
        <f t="shared" si="14"/>
        <v>20894</v>
      </c>
      <c r="I29" s="380">
        <f t="shared" si="1"/>
        <v>0</v>
      </c>
      <c r="J29" s="66">
        <f t="shared" si="15"/>
        <v>0</v>
      </c>
      <c r="K29" s="537">
        <f t="shared" si="16"/>
        <v>2371</v>
      </c>
      <c r="L29" s="52">
        <f t="shared" si="17"/>
        <v>0</v>
      </c>
      <c r="M29" s="537">
        <f t="shared" si="18"/>
        <v>175129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224</v>
      </c>
      <c r="C30" s="537">
        <f t="shared" si="35"/>
        <v>230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1941</v>
      </c>
      <c r="G30" s="52">
        <f t="shared" ref="G30" si="56">F30-F29</f>
        <v>0</v>
      </c>
      <c r="H30" s="537">
        <f t="shared" si="14"/>
        <v>20894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2371</v>
      </c>
      <c r="L30" s="52">
        <f t="shared" ref="L30" si="59">K30-K29</f>
        <v>0</v>
      </c>
      <c r="M30" s="537">
        <f t="shared" si="18"/>
        <v>175129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224</v>
      </c>
      <c r="C31" s="537">
        <f t="shared" si="35"/>
        <v>230</v>
      </c>
      <c r="D31" s="45">
        <f t="shared" si="49"/>
        <v>0</v>
      </c>
      <c r="E31" s="45">
        <f t="shared" si="12"/>
        <v>0</v>
      </c>
      <c r="F31" s="537">
        <f t="shared" si="13"/>
        <v>1941</v>
      </c>
      <c r="G31" s="52">
        <f t="shared" si="0"/>
        <v>0</v>
      </c>
      <c r="H31" s="537">
        <f t="shared" si="14"/>
        <v>20894</v>
      </c>
      <c r="I31" s="380">
        <f t="shared" si="1"/>
        <v>0</v>
      </c>
      <c r="J31" s="66">
        <f t="shared" si="15"/>
        <v>0</v>
      </c>
      <c r="K31" s="537">
        <f t="shared" si="16"/>
        <v>2371</v>
      </c>
      <c r="L31" s="52">
        <f t="shared" si="17"/>
        <v>0</v>
      </c>
      <c r="M31" s="537">
        <f t="shared" si="18"/>
        <v>175129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224</v>
      </c>
      <c r="C32" s="537">
        <f t="shared" si="35"/>
        <v>230</v>
      </c>
      <c r="D32" s="45">
        <f t="shared" si="49"/>
        <v>0</v>
      </c>
      <c r="E32" s="45">
        <f t="shared" si="12"/>
        <v>0</v>
      </c>
      <c r="F32" s="537">
        <f t="shared" si="13"/>
        <v>1941</v>
      </c>
      <c r="G32" s="52">
        <f t="shared" si="0"/>
        <v>0</v>
      </c>
      <c r="H32" s="537">
        <f t="shared" si="14"/>
        <v>20894</v>
      </c>
      <c r="I32" s="380">
        <f t="shared" si="1"/>
        <v>0</v>
      </c>
      <c r="J32" s="66">
        <f t="shared" si="15"/>
        <v>0</v>
      </c>
      <c r="K32" s="537">
        <f t="shared" si="16"/>
        <v>2371</v>
      </c>
      <c r="L32" s="52">
        <f t="shared" si="17"/>
        <v>0</v>
      </c>
      <c r="M32" s="537">
        <f t="shared" si="18"/>
        <v>175129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224</v>
      </c>
      <c r="C33" s="537">
        <f t="shared" si="35"/>
        <v>230</v>
      </c>
      <c r="D33" s="45">
        <f>C32-C33</f>
        <v>0</v>
      </c>
      <c r="E33" s="45">
        <f>D33*8.38</f>
        <v>0</v>
      </c>
      <c r="F33" s="537">
        <f t="shared" si="13"/>
        <v>1941</v>
      </c>
      <c r="G33" s="52">
        <f>F33-F32</f>
        <v>0</v>
      </c>
      <c r="H33" s="537">
        <f t="shared" si="14"/>
        <v>20894</v>
      </c>
      <c r="I33" s="380">
        <f>SUM(H33-H32)</f>
        <v>0</v>
      </c>
      <c r="J33" s="66">
        <f>IF(G33&gt;0,I33/G33,0)</f>
        <v>0</v>
      </c>
      <c r="K33" s="537">
        <f t="shared" si="16"/>
        <v>2371</v>
      </c>
      <c r="L33" s="52">
        <f>K33-K32</f>
        <v>0</v>
      </c>
      <c r="M33" s="537">
        <f t="shared" si="18"/>
        <v>175129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224</v>
      </c>
      <c r="C34" s="537">
        <f t="shared" si="35"/>
        <v>230</v>
      </c>
      <c r="D34" s="45">
        <f>C33-C34</f>
        <v>0</v>
      </c>
      <c r="E34" s="45">
        <f>D34*8.38</f>
        <v>0</v>
      </c>
      <c r="F34" s="537">
        <f t="shared" si="13"/>
        <v>1941</v>
      </c>
      <c r="G34" s="52">
        <f>F34-F33</f>
        <v>0</v>
      </c>
      <c r="H34" s="537">
        <f t="shared" si="14"/>
        <v>20894</v>
      </c>
      <c r="I34" s="380">
        <f>SUM(H34-H33)</f>
        <v>0</v>
      </c>
      <c r="J34" s="66">
        <f>IF(G34&gt;0,I34/G34,0)</f>
        <v>0</v>
      </c>
      <c r="K34" s="537">
        <f t="shared" si="16"/>
        <v>2371</v>
      </c>
      <c r="L34" s="52">
        <f>K34-K33</f>
        <v>0</v>
      </c>
      <c r="M34" s="537">
        <f t="shared" si="18"/>
        <v>175129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224</v>
      </c>
      <c r="C35" s="537">
        <f t="shared" si="35"/>
        <v>230</v>
      </c>
      <c r="D35" s="45">
        <f>C34-C35</f>
        <v>0</v>
      </c>
      <c r="E35" s="45">
        <f>D35*8.38</f>
        <v>0</v>
      </c>
      <c r="F35" s="537">
        <f t="shared" si="13"/>
        <v>1941</v>
      </c>
      <c r="G35" s="52">
        <f>F35-F34</f>
        <v>0</v>
      </c>
      <c r="H35" s="537">
        <f t="shared" si="14"/>
        <v>20894</v>
      </c>
      <c r="I35" s="380">
        <f>SUM(H35-H34)</f>
        <v>0</v>
      </c>
      <c r="J35" s="66">
        <f>IF(G35&gt;0,I35/G35,0)</f>
        <v>0</v>
      </c>
      <c r="K35" s="537">
        <f t="shared" si="16"/>
        <v>2371</v>
      </c>
      <c r="L35" s="52">
        <f>K35-K34</f>
        <v>0</v>
      </c>
      <c r="M35" s="537">
        <f t="shared" si="18"/>
        <v>175129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70.807692307692307</v>
      </c>
      <c r="U36" s="70">
        <f>SUM(U5:U35)</f>
        <v>25</v>
      </c>
      <c r="V36" s="62">
        <f>SUM(V5:V35)</f>
        <v>1542</v>
      </c>
      <c r="AE36" s="71" t="s">
        <v>379</v>
      </c>
      <c r="AG36" s="329"/>
      <c r="AH36" s="62">
        <f>SUM(AH5:AH35)</f>
        <v>0</v>
      </c>
      <c r="AL36" s="62">
        <f>SUM(AL5:AL35)</f>
        <v>25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61.68</v>
      </c>
      <c r="AH37" s="62">
        <f>AF37+AA37</f>
        <v>0</v>
      </c>
      <c r="AI37" s="306">
        <f>SUM(AI5:AI35)</f>
        <v>1542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9" activePane="bottomLeft" state="frozen"/>
      <selection pane="bottomLeft" activeCell="G21" sqref="G21:G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>G20</f>
        <v>626310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v>119</v>
      </c>
      <c r="AY21" s="409">
        <f>AS21*AT21</f>
        <v>162.9</v>
      </c>
      <c r="AZ21" s="409">
        <f>AU21*AV21</f>
        <v>139.70000000000002</v>
      </c>
      <c r="BA21" s="409">
        <f>AW21*AX21</f>
        <v>345.09999999999997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2.8999999999999773</v>
      </c>
      <c r="BE21" s="24">
        <f t="shared" si="31"/>
        <v>2.8999999999999773</v>
      </c>
      <c r="BF21" s="96">
        <f t="shared" si="4"/>
        <v>-2.8999999999999773</v>
      </c>
      <c r="BG21" s="82">
        <f t="shared" si="5"/>
        <v>2.8999999999999773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ref="G22:G36" si="49">G21</f>
        <v>626310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50">AS21</f>
        <v>0.9</v>
      </c>
      <c r="AT22" s="201">
        <f t="shared" si="50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119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345.09999999999997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49"/>
        <v>626310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50"/>
        <v>0.9</v>
      </c>
      <c r="AT23" s="201">
        <f t="shared" si="50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119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345.09999999999997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49"/>
        <v>626310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16.5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50"/>
        <v>0.9</v>
      </c>
      <c r="AT24" s="201">
        <f t="shared" si="50"/>
        <v>181</v>
      </c>
      <c r="AU24" s="408">
        <f t="shared" si="43"/>
        <v>1.1000000000000001</v>
      </c>
      <c r="AV24" s="201">
        <v>126</v>
      </c>
      <c r="AW24" s="5">
        <v>2.9</v>
      </c>
      <c r="AX24" s="201">
        <v>110</v>
      </c>
      <c r="AY24" s="409">
        <f t="shared" si="37"/>
        <v>162.9</v>
      </c>
      <c r="AZ24" s="409">
        <f t="shared" si="38"/>
        <v>138.60000000000002</v>
      </c>
      <c r="BA24" s="409">
        <f t="shared" si="39"/>
        <v>319</v>
      </c>
      <c r="BB24" s="21">
        <f t="shared" si="48"/>
        <v>0</v>
      </c>
      <c r="BC24" s="21">
        <f t="shared" si="48"/>
        <v>-1.0999999999999943</v>
      </c>
      <c r="BD24" s="21">
        <f t="shared" si="48"/>
        <v>-26.099999999999966</v>
      </c>
      <c r="BE24" s="24">
        <f t="shared" si="31"/>
        <v>-27.19999999999996</v>
      </c>
      <c r="BF24" s="96">
        <f t="shared" si="4"/>
        <v>27.19999999999996</v>
      </c>
      <c r="BG24" s="82">
        <f t="shared" si="5"/>
        <v>-27.19999999999996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49"/>
        <v>626310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6971</v>
      </c>
      <c r="L25" s="263">
        <f t="shared" si="41"/>
        <v>2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-2</v>
      </c>
      <c r="AL25" s="312">
        <f t="shared" si="27"/>
        <v>0</v>
      </c>
      <c r="AM25" s="312">
        <f>'General information '!D24</f>
        <v>13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50"/>
        <v>0.9</v>
      </c>
      <c r="AT25" s="201">
        <f t="shared" si="50"/>
        <v>181</v>
      </c>
      <c r="AU25" s="408">
        <f t="shared" si="43"/>
        <v>1.1000000000000001</v>
      </c>
      <c r="AV25" s="201">
        <f t="shared" si="35"/>
        <v>126</v>
      </c>
      <c r="AW25" s="5">
        <v>2.9</v>
      </c>
      <c r="AX25" s="201">
        <v>109</v>
      </c>
      <c r="AY25" s="409">
        <f t="shared" si="37"/>
        <v>162.9</v>
      </c>
      <c r="AZ25" s="409">
        <f t="shared" si="38"/>
        <v>138.60000000000002</v>
      </c>
      <c r="BA25" s="409">
        <f t="shared" si="39"/>
        <v>316.09999999999997</v>
      </c>
      <c r="BB25" s="21">
        <f t="shared" si="48"/>
        <v>0</v>
      </c>
      <c r="BC25" s="21">
        <f t="shared" si="48"/>
        <v>0</v>
      </c>
      <c r="BD25" s="21">
        <f t="shared" si="48"/>
        <v>-2.9000000000000341</v>
      </c>
      <c r="BE25" s="24">
        <f t="shared" si="31"/>
        <v>-2.9000000000000341</v>
      </c>
      <c r="BF25" s="96">
        <f t="shared" si="4"/>
        <v>2.9000000000000341</v>
      </c>
      <c r="BG25" s="82">
        <f t="shared" si="5"/>
        <v>-2.9000000000000341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49"/>
        <v>626310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6971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50"/>
        <v>0.9</v>
      </c>
      <c r="AT26" s="201">
        <v>181</v>
      </c>
      <c r="AU26" s="408">
        <f t="shared" si="43"/>
        <v>1.1000000000000001</v>
      </c>
      <c r="AV26" s="201">
        <v>126</v>
      </c>
      <c r="AW26" s="5">
        <v>2.9</v>
      </c>
      <c r="AX26" s="201">
        <v>107</v>
      </c>
      <c r="AY26" s="409">
        <f t="shared" si="37"/>
        <v>162.9</v>
      </c>
      <c r="AZ26" s="409">
        <f t="shared" si="38"/>
        <v>138.60000000000002</v>
      </c>
      <c r="BA26" s="409">
        <f t="shared" si="39"/>
        <v>310.3</v>
      </c>
      <c r="BB26" s="21">
        <f>AY26-AY25</f>
        <v>0</v>
      </c>
      <c r="BC26" s="21">
        <f t="shared" si="48"/>
        <v>0</v>
      </c>
      <c r="BD26" s="21">
        <f t="shared" si="48"/>
        <v>-5.7999999999999545</v>
      </c>
      <c r="BE26" s="24">
        <f t="shared" si="31"/>
        <v>-5.7999999999999545</v>
      </c>
      <c r="BF26" s="96">
        <f t="shared" si="4"/>
        <v>5.7999999999999545</v>
      </c>
      <c r="BG26" s="82">
        <f t="shared" si="5"/>
        <v>-5.7999999999999545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49"/>
        <v>626310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6971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50"/>
        <v>0.9</v>
      </c>
      <c r="AT27" s="201">
        <f t="shared" si="50"/>
        <v>181</v>
      </c>
      <c r="AU27" s="408">
        <f t="shared" si="43"/>
        <v>1.1000000000000001</v>
      </c>
      <c r="AV27" s="201">
        <f t="shared" si="35"/>
        <v>126</v>
      </c>
      <c r="AW27" s="5">
        <v>2.9</v>
      </c>
      <c r="AX27" s="201">
        <f>AX26</f>
        <v>107</v>
      </c>
      <c r="AY27" s="409">
        <f t="shared" si="37"/>
        <v>162.9</v>
      </c>
      <c r="AZ27" s="409">
        <f t="shared" si="38"/>
        <v>138.60000000000002</v>
      </c>
      <c r="BA27" s="409">
        <f t="shared" si="39"/>
        <v>310.3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49"/>
        <v>626310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6971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50"/>
        <v>0.9</v>
      </c>
      <c r="AT28" s="201">
        <f t="shared" si="50"/>
        <v>181</v>
      </c>
      <c r="AU28" s="408">
        <f t="shared" si="43"/>
        <v>1.1000000000000001</v>
      </c>
      <c r="AV28" s="201">
        <f t="shared" si="35"/>
        <v>126</v>
      </c>
      <c r="AW28" s="5">
        <v>2.9</v>
      </c>
      <c r="AX28" s="201">
        <f t="shared" si="36"/>
        <v>107</v>
      </c>
      <c r="AY28" s="409">
        <f t="shared" si="37"/>
        <v>162.9</v>
      </c>
      <c r="AZ28" s="409">
        <f t="shared" si="38"/>
        <v>138.60000000000002</v>
      </c>
      <c r="BA28" s="409">
        <f t="shared" si="39"/>
        <v>310.3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49"/>
        <v>626310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6971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50"/>
        <v>0.9</v>
      </c>
      <c r="AT29" s="201">
        <f t="shared" si="50"/>
        <v>181</v>
      </c>
      <c r="AU29" s="408">
        <f t="shared" si="43"/>
        <v>1.1000000000000001</v>
      </c>
      <c r="AV29" s="201">
        <f t="shared" si="35"/>
        <v>126</v>
      </c>
      <c r="AW29" s="5">
        <v>2.9</v>
      </c>
      <c r="AX29" s="201">
        <f t="shared" si="36"/>
        <v>107</v>
      </c>
      <c r="AY29" s="409">
        <f t="shared" si="37"/>
        <v>162.9</v>
      </c>
      <c r="AZ29" s="409">
        <f t="shared" si="38"/>
        <v>138.60000000000002</v>
      </c>
      <c r="BA29" s="409">
        <f t="shared" si="39"/>
        <v>310.3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49"/>
        <v>626310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6971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50"/>
        <v>0.9</v>
      </c>
      <c r="AT30" s="201">
        <f t="shared" si="50"/>
        <v>181</v>
      </c>
      <c r="AU30" s="408">
        <f t="shared" si="43"/>
        <v>1.1000000000000001</v>
      </c>
      <c r="AV30" s="201">
        <f t="shared" si="35"/>
        <v>126</v>
      </c>
      <c r="AW30" s="5">
        <v>2.9</v>
      </c>
      <c r="AX30" s="201">
        <f t="shared" si="36"/>
        <v>107</v>
      </c>
      <c r="AY30" s="409">
        <f t="shared" si="37"/>
        <v>162.9</v>
      </c>
      <c r="AZ30" s="409">
        <f t="shared" si="38"/>
        <v>138.60000000000002</v>
      </c>
      <c r="BA30" s="409">
        <f t="shared" si="39"/>
        <v>310.3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49"/>
        <v>626310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6971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50"/>
        <v>0.9</v>
      </c>
      <c r="AT31" s="201">
        <f t="shared" si="50"/>
        <v>181</v>
      </c>
      <c r="AU31" s="408">
        <f t="shared" si="43"/>
        <v>1.1000000000000001</v>
      </c>
      <c r="AV31" s="201">
        <f t="shared" si="35"/>
        <v>126</v>
      </c>
      <c r="AW31" s="5">
        <v>2.9</v>
      </c>
      <c r="AX31" s="201">
        <f t="shared" si="36"/>
        <v>107</v>
      </c>
      <c r="AY31" s="409">
        <f t="shared" si="37"/>
        <v>162.9</v>
      </c>
      <c r="AZ31" s="409">
        <f>AU31*AV31</f>
        <v>138.60000000000002</v>
      </c>
      <c r="BA31" s="409">
        <f t="shared" si="39"/>
        <v>310.3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49"/>
        <v>626310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6971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50"/>
        <v>0.9</v>
      </c>
      <c r="AT32" s="201">
        <f t="shared" si="50"/>
        <v>181</v>
      </c>
      <c r="AU32" s="408">
        <f t="shared" si="43"/>
        <v>1.1000000000000001</v>
      </c>
      <c r="AV32" s="201">
        <f t="shared" si="35"/>
        <v>126</v>
      </c>
      <c r="AW32" s="5">
        <v>2.9</v>
      </c>
      <c r="AX32" s="201">
        <f t="shared" si="36"/>
        <v>107</v>
      </c>
      <c r="AY32" s="409">
        <f t="shared" si="37"/>
        <v>162.9</v>
      </c>
      <c r="AZ32" s="409">
        <f t="shared" si="38"/>
        <v>138.60000000000002</v>
      </c>
      <c r="BA32" s="409">
        <f t="shared" si="39"/>
        <v>310.3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49"/>
        <v>626310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6971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50"/>
        <v>0.9</v>
      </c>
      <c r="AT33" s="201">
        <f t="shared" si="50"/>
        <v>181</v>
      </c>
      <c r="AU33" s="408">
        <f t="shared" si="43"/>
        <v>1.1000000000000001</v>
      </c>
      <c r="AV33" s="201">
        <f t="shared" si="35"/>
        <v>126</v>
      </c>
      <c r="AW33" s="5">
        <v>2.9</v>
      </c>
      <c r="AX33" s="201">
        <f t="shared" si="36"/>
        <v>107</v>
      </c>
      <c r="AY33" s="409">
        <f t="shared" si="37"/>
        <v>162.9</v>
      </c>
      <c r="AZ33" s="409">
        <f t="shared" si="38"/>
        <v>138.60000000000002</v>
      </c>
      <c r="BA33" s="409">
        <f t="shared" si="39"/>
        <v>310.3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49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6971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1">AT33</f>
        <v>181</v>
      </c>
      <c r="AU34" s="408">
        <f>AU33</f>
        <v>1.1000000000000001</v>
      </c>
      <c r="AV34" s="201">
        <f t="shared" si="35"/>
        <v>126</v>
      </c>
      <c r="AW34" s="5">
        <v>2.9</v>
      </c>
      <c r="AX34" s="201">
        <f t="shared" si="36"/>
        <v>107</v>
      </c>
      <c r="AY34" s="409">
        <f t="shared" si="37"/>
        <v>162.9</v>
      </c>
      <c r="AZ34" s="409">
        <f>AU34*AV34</f>
        <v>138.60000000000002</v>
      </c>
      <c r="BA34" s="409">
        <f>AW34*AX34</f>
        <v>310.3</v>
      </c>
      <c r="BB34" s="21">
        <f t="shared" ref="BB34:BD34" si="52">AY34-AY33</f>
        <v>0</v>
      </c>
      <c r="BC34" s="21">
        <f t="shared" si="52"/>
        <v>0</v>
      </c>
      <c r="BD34" s="21">
        <f t="shared" si="52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49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6971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1"/>
        <v>181</v>
      </c>
      <c r="AU35" s="408">
        <f>AU34</f>
        <v>1.1000000000000001</v>
      </c>
      <c r="AV35" s="201">
        <f t="shared" si="35"/>
        <v>126</v>
      </c>
      <c r="AW35" s="5">
        <v>2.9</v>
      </c>
      <c r="AX35" s="201">
        <f t="shared" si="36"/>
        <v>107</v>
      </c>
      <c r="AY35" s="409">
        <f t="shared" si="37"/>
        <v>162.9</v>
      </c>
      <c r="AZ35" s="409">
        <f>AU35*AV35</f>
        <v>138.60000000000002</v>
      </c>
      <c r="BA35" s="409">
        <f>AW35*AX35</f>
        <v>310.3</v>
      </c>
      <c r="BB35" s="21">
        <f t="shared" ref="BB35" si="53">AY35-AY34</f>
        <v>0</v>
      </c>
      <c r="BC35" s="21">
        <f>AZ35-AZ34</f>
        <v>0</v>
      </c>
      <c r="BD35" s="21">
        <f t="shared" ref="BD35" si="54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49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6971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1"/>
        <v>181</v>
      </c>
      <c r="AU36" s="408">
        <f>AU35</f>
        <v>1.1000000000000001</v>
      </c>
      <c r="AV36" s="201">
        <f t="shared" si="35"/>
        <v>126</v>
      </c>
      <c r="AW36" s="5">
        <v>2.9</v>
      </c>
      <c r="AX36" s="201">
        <f t="shared" si="36"/>
        <v>107</v>
      </c>
      <c r="AY36" s="409">
        <f t="shared" ref="AY36" si="55">AS36*AT36</f>
        <v>162.9</v>
      </c>
      <c r="AZ36" s="409">
        <f>AU36*AV36</f>
        <v>138.60000000000002</v>
      </c>
      <c r="BA36" s="409">
        <f>AW36*AX36</f>
        <v>310.3</v>
      </c>
      <c r="BB36" s="21">
        <f t="shared" ref="BB36" si="56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332</v>
      </c>
      <c r="I37" s="395">
        <f>SUM(I6:I36)</f>
        <v>332</v>
      </c>
      <c r="L37" s="258">
        <f>SUM(L7:L36)</f>
        <v>17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-17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332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332</v>
      </c>
      <c r="H39" s="1">
        <f>SUM(H38+C38)</f>
        <v>7500</v>
      </c>
      <c r="K39" s="1">
        <f>SUM(H39/G39)</f>
        <v>22.590361445783131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O23" sqref="O2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v>11265</v>
      </c>
      <c r="C18" s="276">
        <f t="shared" si="9"/>
        <v>20</v>
      </c>
      <c r="D18" s="503">
        <f t="shared" si="10"/>
        <v>579266</v>
      </c>
      <c r="E18" s="276">
        <f t="shared" si="11"/>
        <v>5000</v>
      </c>
      <c r="F18" s="276">
        <f t="shared" si="0"/>
        <v>250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20</v>
      </c>
      <c r="AA18" s="276">
        <f t="shared" si="21"/>
        <v>5000</v>
      </c>
      <c r="AB18" s="276">
        <f t="shared" si="22"/>
        <v>500</v>
      </c>
      <c r="AC18" s="276">
        <f t="shared" si="23"/>
        <v>250</v>
      </c>
      <c r="AD18" s="73">
        <f>ELEC!Q19</f>
        <v>9922.0000000022992</v>
      </c>
      <c r="AE18" s="73">
        <f t="shared" si="28"/>
        <v>496.10000000011496</v>
      </c>
      <c r="AF18" s="387">
        <f t="shared" si="29"/>
        <v>0.31006250000007185</v>
      </c>
      <c r="AG18" s="387">
        <f t="shared" si="29"/>
        <v>1.9378906250004492E-4</v>
      </c>
      <c r="AH18" s="388">
        <f t="shared" si="24"/>
        <v>249.99980621093749</v>
      </c>
      <c r="AI18" s="73">
        <f t="shared" si="31"/>
        <v>2553.7637130807607</v>
      </c>
      <c r="AJ18" s="278">
        <f t="shared" si="7"/>
        <v>0.25738396624472576</v>
      </c>
      <c r="AK18" s="278">
        <f t="shared" si="8"/>
        <v>127.68818565403804</v>
      </c>
      <c r="AL18">
        <f t="shared" si="25"/>
        <v>1</v>
      </c>
    </row>
    <row r="19" spans="1:38" ht="16.5" thickBot="1">
      <c r="A19" s="4">
        <f>ELEC!C20</f>
        <v>44547</v>
      </c>
      <c r="B19" s="502">
        <f t="shared" si="26"/>
        <v>11265</v>
      </c>
      <c r="C19" s="276">
        <f t="shared" si="9"/>
        <v>0</v>
      </c>
      <c r="D19" s="503">
        <f t="shared" si="10"/>
        <v>579266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11265</v>
      </c>
      <c r="C20" s="276">
        <f>B20-B19</f>
        <v>0</v>
      </c>
      <c r="D20" s="503">
        <f t="shared" si="10"/>
        <v>579266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v>11275</v>
      </c>
      <c r="C21" s="276">
        <f>B21-B20</f>
        <v>10</v>
      </c>
      <c r="D21" s="503">
        <f t="shared" si="10"/>
        <v>581766</v>
      </c>
      <c r="E21" s="276">
        <f t="shared" si="11"/>
        <v>2500</v>
      </c>
      <c r="F21" s="276">
        <f t="shared" si="0"/>
        <v>250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v>13379</v>
      </c>
      <c r="S21" s="276">
        <f t="shared" si="4"/>
        <v>2</v>
      </c>
      <c r="T21" s="503">
        <f t="shared" si="18"/>
        <v>284246</v>
      </c>
      <c r="U21" s="276">
        <f t="shared" si="19"/>
        <v>500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12</v>
      </c>
      <c r="AA21" s="276">
        <f t="shared" si="21"/>
        <v>3000</v>
      </c>
      <c r="AB21" s="276">
        <f t="shared" si="22"/>
        <v>500</v>
      </c>
      <c r="AC21" s="276">
        <f t="shared" si="23"/>
        <v>250</v>
      </c>
      <c r="AD21" s="73">
        <f>ELEC!Q22</f>
        <v>5358.0000000001746</v>
      </c>
      <c r="AE21" s="73">
        <f t="shared" si="28"/>
        <v>446.50000000001455</v>
      </c>
      <c r="AF21" s="387">
        <f t="shared" si="29"/>
        <v>0.27906250000000909</v>
      </c>
      <c r="AG21" s="387">
        <f t="shared" si="29"/>
        <v>1.7441406250000567E-4</v>
      </c>
      <c r="AH21" s="388">
        <f t="shared" si="24"/>
        <v>249.99982558593749</v>
      </c>
      <c r="AI21" s="73">
        <f t="shared" si="31"/>
        <v>1379.0632911392856</v>
      </c>
      <c r="AJ21" s="278">
        <f t="shared" si="7"/>
        <v>0.25738396624472576</v>
      </c>
      <c r="AK21" s="278">
        <f t="shared" si="8"/>
        <v>114.9219409282738</v>
      </c>
      <c r="AL21">
        <f t="shared" si="25"/>
        <v>1</v>
      </c>
    </row>
    <row r="22" spans="1:38" ht="16.5" thickBot="1">
      <c r="A22" s="4">
        <f>ELEC!C23</f>
        <v>44550</v>
      </c>
      <c r="B22" s="502">
        <v>11278</v>
      </c>
      <c r="C22" s="276">
        <f t="shared" si="9"/>
        <v>3</v>
      </c>
      <c r="D22" s="503">
        <f t="shared" si="10"/>
        <v>582516</v>
      </c>
      <c r="E22" s="276">
        <f>150*C22</f>
        <v>450</v>
      </c>
      <c r="F22" s="276">
        <f t="shared" si="0"/>
        <v>150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13387</v>
      </c>
      <c r="S22" s="276">
        <f t="shared" si="4"/>
        <v>8</v>
      </c>
      <c r="T22" s="503">
        <f t="shared" si="18"/>
        <v>286246</v>
      </c>
      <c r="U22" s="276">
        <f t="shared" si="19"/>
        <v>2000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11</v>
      </c>
      <c r="AA22" s="276">
        <f t="shared" si="21"/>
        <v>2450</v>
      </c>
      <c r="AB22" s="276">
        <f t="shared" si="22"/>
        <v>400</v>
      </c>
      <c r="AC22" s="276">
        <f t="shared" si="23"/>
        <v>222.72727272727272</v>
      </c>
      <c r="AD22" s="73">
        <f>ELEC!Q23</f>
        <v>5701.9999999974971</v>
      </c>
      <c r="AE22" s="73">
        <f t="shared" si="28"/>
        <v>518.36363636340877</v>
      </c>
      <c r="AF22" s="387">
        <f t="shared" si="29"/>
        <v>0.32397727272713051</v>
      </c>
      <c r="AG22" s="387">
        <f t="shared" si="29"/>
        <v>2.0248579545445656E-4</v>
      </c>
      <c r="AH22" s="388">
        <f t="shared" si="24"/>
        <v>222.72707024147726</v>
      </c>
      <c r="AI22" s="73">
        <f t="shared" si="31"/>
        <v>1467.603375526782</v>
      </c>
      <c r="AJ22" s="278">
        <f t="shared" si="7"/>
        <v>0.25738396624472576</v>
      </c>
      <c r="AK22" s="278">
        <f t="shared" si="8"/>
        <v>133.41848868425291</v>
      </c>
      <c r="AL22">
        <f t="shared" si="25"/>
        <v>1</v>
      </c>
    </row>
    <row r="23" spans="1:38" ht="16.5" thickBot="1">
      <c r="A23" s="4">
        <f>ELEC!C24</f>
        <v>44551</v>
      </c>
      <c r="B23" s="502">
        <v>11290</v>
      </c>
      <c r="C23" s="276">
        <f t="shared" si="9"/>
        <v>12</v>
      </c>
      <c r="D23" s="503">
        <f t="shared" si="10"/>
        <v>585516</v>
      </c>
      <c r="E23" s="276">
        <f>150*C23</f>
        <v>1800</v>
      </c>
      <c r="F23" s="276">
        <f t="shared" si="0"/>
        <v>150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13387</v>
      </c>
      <c r="S23" s="276">
        <f>R23-R22</f>
        <v>0</v>
      </c>
      <c r="T23" s="503">
        <f t="shared" si="18"/>
        <v>286246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12</v>
      </c>
      <c r="AA23" s="276">
        <f t="shared" si="21"/>
        <v>1800</v>
      </c>
      <c r="AB23" s="276">
        <f t="shared" si="22"/>
        <v>400</v>
      </c>
      <c r="AC23" s="276">
        <f t="shared" si="23"/>
        <v>150</v>
      </c>
      <c r="AD23" s="73">
        <f>ELEC!Q24</f>
        <v>6401.0000000016589</v>
      </c>
      <c r="AE23" s="73">
        <f t="shared" si="28"/>
        <v>533.41666666680487</v>
      </c>
      <c r="AF23" s="387">
        <f t="shared" si="29"/>
        <v>0.33338541666675303</v>
      </c>
      <c r="AG23" s="387">
        <f t="shared" si="29"/>
        <v>2.0836588541672064E-4</v>
      </c>
      <c r="AH23" s="388">
        <f t="shared" si="24"/>
        <v>149.99979163411459</v>
      </c>
      <c r="AI23" s="73">
        <f t="shared" si="31"/>
        <v>1647.5147679329166</v>
      </c>
      <c r="AJ23" s="278">
        <f t="shared" si="7"/>
        <v>0.25738396624472576</v>
      </c>
      <c r="AK23" s="278">
        <f t="shared" si="8"/>
        <v>137.29289732774305</v>
      </c>
      <c r="AL23">
        <f t="shared" si="25"/>
        <v>1</v>
      </c>
    </row>
    <row r="24" spans="1:38" ht="16.5" thickBot="1">
      <c r="A24" s="4">
        <f>ELEC!C25</f>
        <v>44552</v>
      </c>
      <c r="B24" s="502">
        <f t="shared" si="26"/>
        <v>11290</v>
      </c>
      <c r="C24" s="276">
        <f t="shared" si="9"/>
        <v>0</v>
      </c>
      <c r="D24" s="503">
        <f t="shared" si="10"/>
        <v>585516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13387</v>
      </c>
      <c r="S24" s="276">
        <f t="shared" si="4"/>
        <v>0</v>
      </c>
      <c r="T24" s="503">
        <f t="shared" si="18"/>
        <v>286246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11290</v>
      </c>
      <c r="C25" s="276">
        <f t="shared" si="9"/>
        <v>0</v>
      </c>
      <c r="D25" s="503">
        <f t="shared" si="10"/>
        <v>585516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13387</v>
      </c>
      <c r="S25" s="276">
        <f t="shared" si="4"/>
        <v>0</v>
      </c>
      <c r="T25" s="503">
        <f t="shared" si="18"/>
        <v>286246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11290</v>
      </c>
      <c r="C26" s="276">
        <f>B26-B25</f>
        <v>0</v>
      </c>
      <c r="D26" s="503">
        <f t="shared" si="10"/>
        <v>585516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13387</v>
      </c>
      <c r="S26" s="276">
        <f t="shared" ref="S26" si="35">R26-R25</f>
        <v>0</v>
      </c>
      <c r="T26" s="503">
        <f t="shared" si="18"/>
        <v>286246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11290</v>
      </c>
      <c r="C27" s="276">
        <f>B27-B26</f>
        <v>0</v>
      </c>
      <c r="D27" s="503">
        <f t="shared" si="10"/>
        <v>585516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13387</v>
      </c>
      <c r="S27" s="276">
        <f t="shared" si="4"/>
        <v>0</v>
      </c>
      <c r="T27" s="503">
        <f t="shared" si="18"/>
        <v>286246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11290</v>
      </c>
      <c r="C28" s="276">
        <f t="shared" si="9"/>
        <v>0</v>
      </c>
      <c r="D28" s="503">
        <f t="shared" si="10"/>
        <v>585516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13387</v>
      </c>
      <c r="S28" s="276">
        <f t="shared" si="4"/>
        <v>0</v>
      </c>
      <c r="T28" s="503">
        <f t="shared" si="18"/>
        <v>286246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11290</v>
      </c>
      <c r="C29" s="276">
        <f t="shared" si="9"/>
        <v>0</v>
      </c>
      <c r="D29" s="503">
        <f t="shared" si="10"/>
        <v>585516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13387</v>
      </c>
      <c r="S29" s="276">
        <f t="shared" si="4"/>
        <v>0</v>
      </c>
      <c r="T29" s="503">
        <f>T28+U29</f>
        <v>286246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11290</v>
      </c>
      <c r="C30" s="276">
        <f t="shared" si="9"/>
        <v>0</v>
      </c>
      <c r="D30" s="503">
        <f t="shared" si="10"/>
        <v>585516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13387</v>
      </c>
      <c r="S30" s="276">
        <f t="shared" si="4"/>
        <v>0</v>
      </c>
      <c r="T30" s="503">
        <f t="shared" si="18"/>
        <v>286246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11290</v>
      </c>
      <c r="C31" s="276">
        <f>B31-B30</f>
        <v>0</v>
      </c>
      <c r="D31" s="503">
        <f t="shared" si="10"/>
        <v>585516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13387</v>
      </c>
      <c r="S31" s="276">
        <f>R31-R30</f>
        <v>0</v>
      </c>
      <c r="T31" s="503">
        <f t="shared" si="18"/>
        <v>286246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11290</v>
      </c>
      <c r="C32" s="276">
        <f>B32-B31</f>
        <v>0</v>
      </c>
      <c r="D32" s="503">
        <f t="shared" si="10"/>
        <v>585516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13387</v>
      </c>
      <c r="S32" s="276">
        <f>R32-R31</f>
        <v>0</v>
      </c>
      <c r="T32" s="503">
        <f t="shared" si="18"/>
        <v>286246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11290</v>
      </c>
      <c r="C33" s="276">
        <f>B33-B32</f>
        <v>0</v>
      </c>
      <c r="D33" s="503">
        <f t="shared" si="10"/>
        <v>585516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13387</v>
      </c>
      <c r="S33" s="276">
        <f>R33-R32</f>
        <v>0</v>
      </c>
      <c r="T33" s="503">
        <f t="shared" si="18"/>
        <v>286246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167</v>
      </c>
      <c r="V34" s="40"/>
      <c r="X34">
        <v>341</v>
      </c>
      <c r="Z34" s="404">
        <f>SUM(Z3:Z33)</f>
        <v>167</v>
      </c>
      <c r="AF34" s="387">
        <f t="shared" si="38"/>
        <v>0</v>
      </c>
      <c r="AL34">
        <f>SUM(AL3:AL33)</f>
        <v>15</v>
      </c>
    </row>
    <row r="35" spans="1:38">
      <c r="C35" s="40">
        <f>SUM(C3:C33)</f>
        <v>92</v>
      </c>
      <c r="K35" s="40">
        <f>SUM(K3:K33)</f>
        <v>0</v>
      </c>
      <c r="S35" s="40">
        <f>SUM(S3:S33)</f>
        <v>75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10" zoomScale="85" zoomScaleNormal="85" workbookViewId="0">
      <pane xSplit="1" topLeftCell="AK1" activePane="topRight" state="frozen"/>
      <selection pane="topRight" activeCell="AT32" sqref="AT3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2553.7637130807607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-2523.4193548386902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-2523.4193548386902</v>
      </c>
      <c r="AY21" s="37">
        <f t="shared" si="39"/>
        <v>-2523.4193548386902</v>
      </c>
      <c r="AZ21" s="100">
        <f>ELEC!A19</f>
        <v>0</v>
      </c>
      <c r="BA21" s="118">
        <f>'General information '!D20</f>
        <v>15.5</v>
      </c>
      <c r="BB21" s="378">
        <f>SUM('General information '!E20)</f>
        <v>0.72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-315.42741935483627</v>
      </c>
      <c r="BK21" s="538">
        <f>GEN!AF18</f>
        <v>0.31006250000007185</v>
      </c>
    </row>
    <row r="22" spans="1:64">
      <c r="A22" s="425">
        <f>ELEC!C20</f>
        <v>44547</v>
      </c>
      <c r="B22">
        <f>'B5'!B21</f>
        <v>211</v>
      </c>
      <c r="C22" s="203">
        <f t="shared" si="18"/>
        <v>4539.9032258064517</v>
      </c>
      <c r="D22">
        <f t="shared" si="19"/>
        <v>211</v>
      </c>
      <c r="E22" s="203">
        <f t="shared" si="18"/>
        <v>4539.9032258064517</v>
      </c>
      <c r="F22">
        <f t="shared" si="20"/>
        <v>211</v>
      </c>
      <c r="G22" s="203">
        <f t="shared" si="1"/>
        <v>4539.9032258064517</v>
      </c>
      <c r="H22" s="203">
        <f t="shared" si="21"/>
        <v>211</v>
      </c>
      <c r="I22" s="203">
        <f t="shared" si="2"/>
        <v>4539.9032258064517</v>
      </c>
      <c r="J22" s="203">
        <f t="shared" si="22"/>
        <v>211</v>
      </c>
      <c r="K22" s="203">
        <f t="shared" si="3"/>
        <v>4539.9032258064517</v>
      </c>
      <c r="L22" s="203">
        <f t="shared" si="23"/>
        <v>211</v>
      </c>
      <c r="M22" s="203">
        <f t="shared" si="4"/>
        <v>4539.9032258064517</v>
      </c>
      <c r="N22" s="203">
        <f t="shared" si="24"/>
        <v>211</v>
      </c>
      <c r="O22" s="203">
        <f t="shared" si="5"/>
        <v>4539.9032258064517</v>
      </c>
      <c r="P22" s="203">
        <f t="shared" si="25"/>
        <v>211</v>
      </c>
      <c r="Q22" s="203">
        <f t="shared" si="6"/>
        <v>4539.9032258064517</v>
      </c>
      <c r="R22" s="203">
        <f t="shared" si="26"/>
        <v>211</v>
      </c>
      <c r="S22" s="203">
        <f t="shared" si="7"/>
        <v>4539.9032258064517</v>
      </c>
      <c r="T22" s="203">
        <f t="shared" si="27"/>
        <v>211</v>
      </c>
      <c r="U22" s="203">
        <f t="shared" si="8"/>
        <v>4539.9032258064517</v>
      </c>
      <c r="V22" s="203">
        <f t="shared" si="28"/>
        <v>211</v>
      </c>
      <c r="W22" s="203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3">
        <f>'B5'!C21</f>
        <v>218</v>
      </c>
      <c r="AA22" s="203">
        <f t="shared" si="30"/>
        <v>2180</v>
      </c>
      <c r="AB22" s="203">
        <f t="shared" si="31"/>
        <v>218</v>
      </c>
      <c r="AC22" s="203">
        <f t="shared" si="30"/>
        <v>2180</v>
      </c>
      <c r="AD22" s="203">
        <f t="shared" si="32"/>
        <v>218</v>
      </c>
      <c r="AE22" s="203">
        <f t="shared" si="11"/>
        <v>2180</v>
      </c>
      <c r="AF22" s="203">
        <f t="shared" si="33"/>
        <v>218</v>
      </c>
      <c r="AG22" s="203">
        <f t="shared" si="12"/>
        <v>2180</v>
      </c>
      <c r="AH22" s="203">
        <f t="shared" si="34"/>
        <v>218</v>
      </c>
      <c r="AI22" s="203">
        <f t="shared" si="13"/>
        <v>2180</v>
      </c>
      <c r="AJ22" s="203">
        <f t="shared" si="35"/>
        <v>218</v>
      </c>
      <c r="AK22" s="203">
        <f t="shared" si="14"/>
        <v>2180</v>
      </c>
      <c r="AL22" s="203">
        <f t="shared" si="36"/>
        <v>218</v>
      </c>
      <c r="AM22" s="203">
        <f t="shared" si="15"/>
        <v>2180</v>
      </c>
      <c r="AN22" s="35">
        <f t="shared" si="16"/>
        <v>0.77857142857142858</v>
      </c>
      <c r="AO22" s="36">
        <f t="shared" si="41"/>
        <v>15260</v>
      </c>
      <c r="AQ22" s="223">
        <f t="shared" si="37"/>
        <v>0.70129004500237691</v>
      </c>
      <c r="AR22" s="38">
        <f t="shared" si="38"/>
        <v>65198.935483870977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211</v>
      </c>
      <c r="C23" s="203">
        <f t="shared" si="18"/>
        <v>4539.9032258064517</v>
      </c>
      <c r="D23">
        <f t="shared" si="19"/>
        <v>211</v>
      </c>
      <c r="E23" s="203">
        <f t="shared" si="18"/>
        <v>4539.9032258064517</v>
      </c>
      <c r="F23">
        <f t="shared" si="20"/>
        <v>211</v>
      </c>
      <c r="G23" s="203">
        <f t="shared" si="1"/>
        <v>4539.9032258064517</v>
      </c>
      <c r="H23" s="203">
        <f t="shared" si="21"/>
        <v>211</v>
      </c>
      <c r="I23" s="203">
        <f t="shared" si="2"/>
        <v>4539.9032258064517</v>
      </c>
      <c r="J23" s="203">
        <f t="shared" si="22"/>
        <v>211</v>
      </c>
      <c r="K23" s="203">
        <f t="shared" si="3"/>
        <v>4539.9032258064517</v>
      </c>
      <c r="L23" s="203">
        <f t="shared" si="23"/>
        <v>211</v>
      </c>
      <c r="M23" s="203">
        <f t="shared" si="4"/>
        <v>4539.9032258064517</v>
      </c>
      <c r="N23" s="203">
        <f t="shared" si="24"/>
        <v>211</v>
      </c>
      <c r="O23" s="203">
        <f t="shared" si="5"/>
        <v>4539.9032258064517</v>
      </c>
      <c r="P23" s="203">
        <f t="shared" si="25"/>
        <v>211</v>
      </c>
      <c r="Q23" s="203">
        <f t="shared" si="6"/>
        <v>4539.9032258064517</v>
      </c>
      <c r="R23" s="203">
        <f t="shared" si="26"/>
        <v>211</v>
      </c>
      <c r="S23" s="203">
        <f t="shared" si="7"/>
        <v>4539.9032258064517</v>
      </c>
      <c r="T23" s="203">
        <f t="shared" si="27"/>
        <v>211</v>
      </c>
      <c r="U23" s="203">
        <f t="shared" si="8"/>
        <v>4539.9032258064517</v>
      </c>
      <c r="V23" s="203">
        <f t="shared" si="28"/>
        <v>211</v>
      </c>
      <c r="W23" s="203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3">
        <f>'B5'!C22</f>
        <v>218</v>
      </c>
      <c r="AA23" s="203">
        <f t="shared" si="30"/>
        <v>2180</v>
      </c>
      <c r="AB23" s="203">
        <f t="shared" si="31"/>
        <v>218</v>
      </c>
      <c r="AC23" s="203">
        <f t="shared" si="30"/>
        <v>2180</v>
      </c>
      <c r="AD23" s="203">
        <f t="shared" si="32"/>
        <v>218</v>
      </c>
      <c r="AE23" s="203">
        <f t="shared" si="11"/>
        <v>2180</v>
      </c>
      <c r="AF23" s="203">
        <f t="shared" si="33"/>
        <v>218</v>
      </c>
      <c r="AG23" s="203">
        <f t="shared" si="12"/>
        <v>2180</v>
      </c>
      <c r="AH23" s="203">
        <f t="shared" si="34"/>
        <v>218</v>
      </c>
      <c r="AI23" s="203">
        <f t="shared" si="13"/>
        <v>2180</v>
      </c>
      <c r="AJ23" s="203">
        <f t="shared" si="35"/>
        <v>218</v>
      </c>
      <c r="AK23" s="203">
        <f t="shared" si="14"/>
        <v>2180</v>
      </c>
      <c r="AL23" s="203">
        <f t="shared" si="36"/>
        <v>218</v>
      </c>
      <c r="AM23" s="203">
        <f t="shared" si="15"/>
        <v>2180</v>
      </c>
      <c r="AN23" s="35">
        <f t="shared" si="16"/>
        <v>0.77857142857142858</v>
      </c>
      <c r="AO23" s="36">
        <f t="shared" si="41"/>
        <v>15260</v>
      </c>
      <c r="AQ23" s="223">
        <f t="shared" si="37"/>
        <v>0.70129004500237691</v>
      </c>
      <c r="AR23" s="38">
        <f t="shared" si="38"/>
        <v>65198.935483870977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1379.0632911392856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200</v>
      </c>
      <c r="C24" s="203">
        <f t="shared" si="18"/>
        <v>4303.2258064516127</v>
      </c>
      <c r="D24">
        <f t="shared" si="19"/>
        <v>200</v>
      </c>
      <c r="E24" s="203">
        <f t="shared" si="18"/>
        <v>4303.2258064516127</v>
      </c>
      <c r="F24">
        <f t="shared" si="20"/>
        <v>200</v>
      </c>
      <c r="G24" s="203">
        <f t="shared" si="1"/>
        <v>4303.2258064516127</v>
      </c>
      <c r="H24" s="203">
        <f t="shared" si="21"/>
        <v>200</v>
      </c>
      <c r="I24" s="203">
        <f t="shared" si="2"/>
        <v>4303.2258064516127</v>
      </c>
      <c r="J24" s="203">
        <f t="shared" si="22"/>
        <v>200</v>
      </c>
      <c r="K24" s="203">
        <f t="shared" si="3"/>
        <v>4303.2258064516127</v>
      </c>
      <c r="L24" s="203">
        <f t="shared" si="23"/>
        <v>200</v>
      </c>
      <c r="M24" s="203">
        <f t="shared" si="4"/>
        <v>4303.2258064516127</v>
      </c>
      <c r="N24" s="203">
        <f t="shared" si="24"/>
        <v>200</v>
      </c>
      <c r="O24" s="203">
        <f t="shared" si="5"/>
        <v>4303.2258064516127</v>
      </c>
      <c r="P24" s="203">
        <f t="shared" si="25"/>
        <v>200</v>
      </c>
      <c r="Q24" s="203">
        <f t="shared" si="6"/>
        <v>4303.2258064516127</v>
      </c>
      <c r="R24" s="203">
        <f t="shared" si="26"/>
        <v>200</v>
      </c>
      <c r="S24" s="203">
        <f t="shared" si="7"/>
        <v>4303.2258064516127</v>
      </c>
      <c r="T24" s="203">
        <f t="shared" si="27"/>
        <v>200</v>
      </c>
      <c r="U24" s="203">
        <f t="shared" si="8"/>
        <v>4303.2258064516127</v>
      </c>
      <c r="V24" s="203">
        <f t="shared" si="28"/>
        <v>200</v>
      </c>
      <c r="W24" s="203">
        <f t="shared" si="9"/>
        <v>4303.2258064516127</v>
      </c>
      <c r="X24" s="35">
        <f t="shared" si="10"/>
        <v>0.64516129032258063</v>
      </c>
      <c r="Y24" s="36">
        <f t="shared" si="29"/>
        <v>47335.483870967742</v>
      </c>
      <c r="Z24" s="203">
        <f>'B5'!C23</f>
        <v>208</v>
      </c>
      <c r="AA24" s="203">
        <f t="shared" si="30"/>
        <v>2080</v>
      </c>
      <c r="AB24" s="203">
        <f t="shared" si="31"/>
        <v>208</v>
      </c>
      <c r="AC24" s="203">
        <f t="shared" si="30"/>
        <v>2080</v>
      </c>
      <c r="AD24" s="203">
        <f t="shared" si="32"/>
        <v>208</v>
      </c>
      <c r="AE24" s="203">
        <f t="shared" si="11"/>
        <v>2080</v>
      </c>
      <c r="AF24" s="203">
        <f t="shared" si="33"/>
        <v>208</v>
      </c>
      <c r="AG24" s="203">
        <f t="shared" si="12"/>
        <v>2080</v>
      </c>
      <c r="AH24" s="203">
        <f t="shared" si="34"/>
        <v>208</v>
      </c>
      <c r="AI24" s="203">
        <f t="shared" si="13"/>
        <v>2080</v>
      </c>
      <c r="AJ24" s="203">
        <f t="shared" si="35"/>
        <v>208</v>
      </c>
      <c r="AK24" s="203">
        <f t="shared" si="14"/>
        <v>2080</v>
      </c>
      <c r="AL24" s="203">
        <f t="shared" si="36"/>
        <v>208</v>
      </c>
      <c r="AM24" s="203">
        <f t="shared" si="15"/>
        <v>2080</v>
      </c>
      <c r="AN24" s="35">
        <f t="shared" si="16"/>
        <v>0.74285714285714288</v>
      </c>
      <c r="AO24" s="36">
        <f t="shared" si="41"/>
        <v>14560</v>
      </c>
      <c r="AQ24" s="223">
        <f t="shared" si="37"/>
        <v>0.6657575978376653</v>
      </c>
      <c r="AR24" s="38">
        <f t="shared" si="38"/>
        <v>61895.483870967742</v>
      </c>
      <c r="AS24" s="197">
        <f t="shared" si="47"/>
        <v>-3303.4516129032345</v>
      </c>
      <c r="AT24" s="340"/>
      <c r="AU24" s="549"/>
      <c r="AV24" s="485">
        <f t="shared" si="43"/>
        <v>0.60699999999999998</v>
      </c>
      <c r="AW24" s="279">
        <f>-SUM('B5'!AI23)</f>
        <v>-285</v>
      </c>
      <c r="AX24" s="279">
        <f t="shared" si="17"/>
        <v>-3018.4516129032345</v>
      </c>
      <c r="AY24" s="37">
        <f t="shared" si="39"/>
        <v>-3303.4516129032345</v>
      </c>
      <c r="AZ24" s="100">
        <f>ELEC!A22</f>
        <v>0</v>
      </c>
      <c r="BA24" s="118">
        <f>'General information '!D23</f>
        <v>16.5</v>
      </c>
      <c r="BB24" s="378">
        <f>SUM('General information '!E23)</f>
        <v>0.5</v>
      </c>
      <c r="BC24" s="3">
        <f t="shared" si="44"/>
        <v>0</v>
      </c>
      <c r="BD24" s="102">
        <v>19222</v>
      </c>
      <c r="BE24" s="14">
        <f>(305/1185)*ELEC!Q23</f>
        <v>1467.603375526782</v>
      </c>
      <c r="BF24" s="14"/>
      <c r="BG24" s="14" t="e">
        <f>#REF!-BE24</f>
        <v>#REF!</v>
      </c>
      <c r="BH24" s="11"/>
      <c r="BI24">
        <v>11</v>
      </c>
      <c r="BJ24">
        <f t="shared" si="46"/>
        <v>-274.40469208211221</v>
      </c>
      <c r="BK24" s="538">
        <f>GEN!AF21</f>
        <v>0.27906250000000909</v>
      </c>
    </row>
    <row r="25" spans="1:64">
      <c r="A25" s="425">
        <f>ELEC!C23</f>
        <v>44550</v>
      </c>
      <c r="B25">
        <f>'B5'!B24</f>
        <v>194</v>
      </c>
      <c r="C25" s="203">
        <f t="shared" si="18"/>
        <v>4174.1290322580644</v>
      </c>
      <c r="D25">
        <f t="shared" si="19"/>
        <v>194</v>
      </c>
      <c r="E25" s="203">
        <f t="shared" si="18"/>
        <v>4174.1290322580644</v>
      </c>
      <c r="F25">
        <f t="shared" si="20"/>
        <v>194</v>
      </c>
      <c r="G25" s="203">
        <f t="shared" si="1"/>
        <v>4174.1290322580644</v>
      </c>
      <c r="H25" s="203">
        <f t="shared" si="21"/>
        <v>194</v>
      </c>
      <c r="I25" s="203">
        <f t="shared" si="2"/>
        <v>4174.1290322580644</v>
      </c>
      <c r="J25" s="203">
        <f t="shared" si="22"/>
        <v>194</v>
      </c>
      <c r="K25" s="203">
        <f t="shared" si="3"/>
        <v>4174.1290322580644</v>
      </c>
      <c r="L25" s="203">
        <f t="shared" si="23"/>
        <v>194</v>
      </c>
      <c r="M25" s="203">
        <f t="shared" si="4"/>
        <v>4174.1290322580644</v>
      </c>
      <c r="N25" s="203">
        <f t="shared" si="24"/>
        <v>194</v>
      </c>
      <c r="O25" s="203">
        <f t="shared" si="5"/>
        <v>4174.1290322580644</v>
      </c>
      <c r="P25" s="203">
        <f t="shared" si="25"/>
        <v>194</v>
      </c>
      <c r="Q25" s="203">
        <f t="shared" si="6"/>
        <v>4174.1290322580644</v>
      </c>
      <c r="R25" s="203">
        <f t="shared" si="26"/>
        <v>194</v>
      </c>
      <c r="S25" s="203">
        <f t="shared" si="7"/>
        <v>4174.1290322580644</v>
      </c>
      <c r="T25" s="203">
        <f t="shared" si="27"/>
        <v>194</v>
      </c>
      <c r="U25" s="203">
        <f t="shared" si="8"/>
        <v>4174.1290322580644</v>
      </c>
      <c r="V25" s="203">
        <f t="shared" si="28"/>
        <v>194</v>
      </c>
      <c r="W25" s="203">
        <f t="shared" si="9"/>
        <v>4174.1290322580644</v>
      </c>
      <c r="X25" s="35">
        <f t="shared" si="10"/>
        <v>0.62580645161290305</v>
      </c>
      <c r="Y25" s="36">
        <f t="shared" si="29"/>
        <v>45915.419354838697</v>
      </c>
      <c r="Z25" s="203">
        <f>'B5'!C24</f>
        <v>200</v>
      </c>
      <c r="AA25" s="203">
        <f t="shared" si="30"/>
        <v>2000</v>
      </c>
      <c r="AB25" s="203">
        <f t="shared" si="31"/>
        <v>200</v>
      </c>
      <c r="AC25" s="203">
        <f t="shared" si="30"/>
        <v>2000</v>
      </c>
      <c r="AD25" s="203">
        <f t="shared" si="32"/>
        <v>200</v>
      </c>
      <c r="AE25" s="203">
        <f t="shared" si="11"/>
        <v>2000</v>
      </c>
      <c r="AF25" s="203">
        <f t="shared" si="33"/>
        <v>200</v>
      </c>
      <c r="AG25" s="203">
        <f t="shared" si="12"/>
        <v>2000</v>
      </c>
      <c r="AH25" s="203">
        <f t="shared" si="34"/>
        <v>200</v>
      </c>
      <c r="AI25" s="203">
        <f t="shared" si="13"/>
        <v>2000</v>
      </c>
      <c r="AJ25" s="203">
        <f t="shared" si="35"/>
        <v>200</v>
      </c>
      <c r="AK25" s="203">
        <f t="shared" si="14"/>
        <v>2000</v>
      </c>
      <c r="AL25" s="203">
        <f t="shared" si="36"/>
        <v>200</v>
      </c>
      <c r="AM25" s="203">
        <f t="shared" si="15"/>
        <v>2000</v>
      </c>
      <c r="AN25" s="35">
        <f t="shared" si="16"/>
        <v>0.7142857142857143</v>
      </c>
      <c r="AO25" s="36">
        <f t="shared" si="41"/>
        <v>14000</v>
      </c>
      <c r="AQ25" s="223">
        <f t="shared" si="37"/>
        <v>0.6444597112492062</v>
      </c>
      <c r="AR25" s="38">
        <f>Y25+AO25</f>
        <v>59915.419354838697</v>
      </c>
      <c r="AS25" s="197">
        <f t="shared" si="47"/>
        <v>-1980.0645161290449</v>
      </c>
      <c r="AT25" s="340"/>
      <c r="AU25" s="550"/>
      <c r="AV25" s="485">
        <f t="shared" si="43"/>
        <v>0.60699999999999998</v>
      </c>
      <c r="AW25" s="279">
        <f>-SUM('B5'!AI24)</f>
        <v>-199</v>
      </c>
      <c r="AX25" s="279">
        <f t="shared" si="17"/>
        <v>-1781.0645161290449</v>
      </c>
      <c r="AY25" s="37">
        <f t="shared" si="39"/>
        <v>-1980.0645161290449</v>
      </c>
      <c r="AZ25" s="100">
        <f>ELEC!A23</f>
        <v>0</v>
      </c>
      <c r="BA25" s="118">
        <f>'General information '!D24</f>
        <v>13</v>
      </c>
      <c r="BB25" s="378">
        <f>SUM('General information '!E24)</f>
        <v>0.61</v>
      </c>
      <c r="BC25" s="3">
        <f t="shared" si="44"/>
        <v>0</v>
      </c>
      <c r="BD25" s="102">
        <v>19222</v>
      </c>
      <c r="BE25" s="14">
        <f>(305/1185)*ELEC!Q24</f>
        <v>1647.5147679329166</v>
      </c>
      <c r="BF25" s="14"/>
      <c r="BG25" s="14" t="e">
        <f>#REF!-BE25</f>
        <v>#REF!</v>
      </c>
      <c r="BH25" s="11"/>
      <c r="BI25">
        <v>12</v>
      </c>
      <c r="BJ25">
        <f t="shared" si="46"/>
        <v>-148.42204301075375</v>
      </c>
      <c r="BK25" s="538">
        <f>GEN!AF22</f>
        <v>0.32397727272713051</v>
      </c>
    </row>
    <row r="26" spans="1:64">
      <c r="A26" s="425">
        <f>ELEC!C24</f>
        <v>44551</v>
      </c>
      <c r="B26">
        <f>'B5'!B25</f>
        <v>224</v>
      </c>
      <c r="C26" s="203">
        <f t="shared" si="18"/>
        <v>4819.6129032258068</v>
      </c>
      <c r="D26">
        <f t="shared" si="19"/>
        <v>224</v>
      </c>
      <c r="E26" s="203">
        <f t="shared" si="18"/>
        <v>4819.6129032258068</v>
      </c>
      <c r="F26">
        <f t="shared" si="20"/>
        <v>224</v>
      </c>
      <c r="G26" s="203">
        <f t="shared" si="1"/>
        <v>4819.6129032258068</v>
      </c>
      <c r="H26" s="203">
        <f t="shared" si="21"/>
        <v>224</v>
      </c>
      <c r="I26" s="203">
        <f t="shared" si="2"/>
        <v>4819.6129032258068</v>
      </c>
      <c r="J26" s="203">
        <f t="shared" si="22"/>
        <v>224</v>
      </c>
      <c r="K26" s="203">
        <f t="shared" si="3"/>
        <v>4819.6129032258068</v>
      </c>
      <c r="L26" s="203">
        <f t="shared" si="23"/>
        <v>224</v>
      </c>
      <c r="M26" s="203">
        <f t="shared" si="4"/>
        <v>4819.6129032258068</v>
      </c>
      <c r="N26" s="203">
        <f t="shared" si="24"/>
        <v>224</v>
      </c>
      <c r="O26" s="203">
        <f t="shared" si="5"/>
        <v>4819.6129032258068</v>
      </c>
      <c r="P26" s="203">
        <f t="shared" si="25"/>
        <v>224</v>
      </c>
      <c r="Q26" s="203">
        <f t="shared" si="6"/>
        <v>4819.6129032258068</v>
      </c>
      <c r="R26" s="203">
        <f t="shared" si="26"/>
        <v>224</v>
      </c>
      <c r="S26" s="203">
        <f t="shared" si="7"/>
        <v>4819.6129032258068</v>
      </c>
      <c r="T26" s="203">
        <f t="shared" si="27"/>
        <v>224</v>
      </c>
      <c r="U26" s="203">
        <f t="shared" si="8"/>
        <v>4819.6129032258068</v>
      </c>
      <c r="V26" s="203">
        <f t="shared" si="28"/>
        <v>224</v>
      </c>
      <c r="W26" s="203">
        <f t="shared" si="9"/>
        <v>4819.6129032258068</v>
      </c>
      <c r="X26" s="35">
        <f t="shared" si="10"/>
        <v>0.72258064516129028</v>
      </c>
      <c r="Y26" s="36">
        <f t="shared" si="29"/>
        <v>53015.741935483864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41"/>
        <v>16100</v>
      </c>
      <c r="AQ26" s="223">
        <f t="shared" si="37"/>
        <v>0.74341983366122255</v>
      </c>
      <c r="AR26" s="38">
        <f t="shared" si="38"/>
        <v>69115.741935483864</v>
      </c>
      <c r="AS26" s="197">
        <f t="shared" si="47"/>
        <v>-799.67741935483355</v>
      </c>
      <c r="AT26" s="340">
        <v>10000</v>
      </c>
      <c r="AU26" s="549">
        <v>0.60399999999999998</v>
      </c>
      <c r="AV26" s="485">
        <f t="shared" si="43"/>
        <v>0.60399999999999998</v>
      </c>
      <c r="AW26" s="279">
        <f>-SUM('B5'!AI25)</f>
        <v>-120</v>
      </c>
      <c r="AX26" s="279">
        <f t="shared" si="17"/>
        <v>-679.67741935483355</v>
      </c>
      <c r="AY26" s="37">
        <f t="shared" si="39"/>
        <v>-799.67741935483355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1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-52.282878411910275</v>
      </c>
      <c r="BK26" s="538">
        <f>GEN!AF23</f>
        <v>0.33338541666675303</v>
      </c>
    </row>
    <row r="27" spans="1:64">
      <c r="A27" s="425">
        <f>ELEC!C25</f>
        <v>44552</v>
      </c>
      <c r="B27">
        <f>'B5'!B26</f>
        <v>224</v>
      </c>
      <c r="C27" s="203">
        <f t="shared" si="18"/>
        <v>4819.6129032258068</v>
      </c>
      <c r="D27">
        <f t="shared" si="19"/>
        <v>224</v>
      </c>
      <c r="E27" s="203">
        <f t="shared" si="18"/>
        <v>4819.6129032258068</v>
      </c>
      <c r="F27">
        <f t="shared" si="20"/>
        <v>224</v>
      </c>
      <c r="G27" s="203">
        <f t="shared" si="1"/>
        <v>4819.6129032258068</v>
      </c>
      <c r="H27" s="203">
        <f t="shared" si="21"/>
        <v>224</v>
      </c>
      <c r="I27" s="203">
        <f t="shared" si="2"/>
        <v>4819.6129032258068</v>
      </c>
      <c r="J27" s="203">
        <f t="shared" si="22"/>
        <v>224</v>
      </c>
      <c r="K27" s="203">
        <f t="shared" si="3"/>
        <v>4819.6129032258068</v>
      </c>
      <c r="L27" s="203">
        <f t="shared" si="23"/>
        <v>224</v>
      </c>
      <c r="M27" s="203">
        <f t="shared" si="4"/>
        <v>4819.6129032258068</v>
      </c>
      <c r="N27" s="203">
        <f t="shared" si="24"/>
        <v>224</v>
      </c>
      <c r="O27" s="203">
        <f t="shared" si="5"/>
        <v>4819.6129032258068</v>
      </c>
      <c r="P27" s="203">
        <f t="shared" si="25"/>
        <v>224</v>
      </c>
      <c r="Q27" s="203">
        <f t="shared" si="6"/>
        <v>4819.6129032258068</v>
      </c>
      <c r="R27" s="203">
        <f t="shared" si="26"/>
        <v>224</v>
      </c>
      <c r="S27" s="203">
        <f t="shared" si="7"/>
        <v>4819.6129032258068</v>
      </c>
      <c r="T27" s="203">
        <f t="shared" si="27"/>
        <v>224</v>
      </c>
      <c r="U27" s="203">
        <f t="shared" si="8"/>
        <v>4819.6129032258068</v>
      </c>
      <c r="V27" s="203">
        <f t="shared" si="28"/>
        <v>224</v>
      </c>
      <c r="W27" s="203">
        <f t="shared" si="9"/>
        <v>4819.6129032258068</v>
      </c>
      <c r="X27" s="35">
        <f t="shared" si="10"/>
        <v>0.72258064516129028</v>
      </c>
      <c r="Y27" s="36">
        <f t="shared" si="29"/>
        <v>53015.741935483864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41"/>
        <v>16100</v>
      </c>
      <c r="AQ27" s="223">
        <f t="shared" si="37"/>
        <v>0.74341983366122255</v>
      </c>
      <c r="AR27" s="38">
        <f t="shared" si="38"/>
        <v>69115.741935483864</v>
      </c>
      <c r="AS27" s="197">
        <f t="shared" si="47"/>
        <v>0</v>
      </c>
      <c r="AT27" s="340"/>
      <c r="AU27" s="549"/>
      <c r="AV27" s="485">
        <f t="shared" si="43"/>
        <v>0.60399999999999998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41"/>
        <v>16100</v>
      </c>
      <c r="AQ28" s="223">
        <f t="shared" si="37"/>
        <v>0.74341983366122255</v>
      </c>
      <c r="AR28" s="38">
        <f t="shared" si="38"/>
        <v>69115.741935483864</v>
      </c>
      <c r="AS28" s="197">
        <f t="shared" si="47"/>
        <v>0</v>
      </c>
      <c r="AT28" s="340"/>
      <c r="AU28" s="550"/>
      <c r="AV28" s="485">
        <f t="shared" si="43"/>
        <v>0.60399999999999998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41"/>
        <v>16100</v>
      </c>
      <c r="AQ29" s="223">
        <f t="shared" si="37"/>
        <v>0.74341983366122255</v>
      </c>
      <c r="AR29" s="38">
        <f t="shared" si="38"/>
        <v>69115.741935483864</v>
      </c>
      <c r="AS29" s="197">
        <f>SUM(AR29-AR28-AT29)</f>
        <v>0</v>
      </c>
      <c r="AT29" s="340"/>
      <c r="AU29" s="550"/>
      <c r="AV29" s="485">
        <f t="shared" si="43"/>
        <v>0.60399999999999998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224</v>
      </c>
      <c r="C30" s="203">
        <f t="shared" si="18"/>
        <v>4819.6129032258068</v>
      </c>
      <c r="D30">
        <f t="shared" ref="D30:D35" si="48">SUM(B30)</f>
        <v>224</v>
      </c>
      <c r="E30" s="203">
        <f t="shared" si="18"/>
        <v>4819.6129032258068</v>
      </c>
      <c r="F30">
        <f t="shared" ref="F30:F35" si="49">SUM(D30)</f>
        <v>224</v>
      </c>
      <c r="G30" s="203">
        <f t="shared" si="1"/>
        <v>4819.6129032258068</v>
      </c>
      <c r="H30" s="203">
        <f t="shared" ref="H30:H35" si="50">SUM(F30)</f>
        <v>224</v>
      </c>
      <c r="I30" s="203">
        <f t="shared" si="2"/>
        <v>4819.6129032258068</v>
      </c>
      <c r="J30" s="203">
        <f t="shared" ref="J30:J35" si="51">SUM(H30)</f>
        <v>224</v>
      </c>
      <c r="K30" s="203">
        <f t="shared" si="3"/>
        <v>4819.6129032258068</v>
      </c>
      <c r="L30" s="203">
        <f t="shared" ref="L30:L35" si="52">SUM(J30)</f>
        <v>224</v>
      </c>
      <c r="M30" s="203">
        <f t="shared" si="4"/>
        <v>4819.6129032258068</v>
      </c>
      <c r="N30" s="203">
        <f t="shared" ref="N30:N35" si="53">SUM(L30)</f>
        <v>224</v>
      </c>
      <c r="O30" s="203">
        <f t="shared" si="5"/>
        <v>4819.6129032258068</v>
      </c>
      <c r="P30" s="203">
        <f t="shared" ref="P30:P35" si="54">SUM(N30)</f>
        <v>224</v>
      </c>
      <c r="Q30" s="203">
        <f t="shared" si="6"/>
        <v>4819.6129032258068</v>
      </c>
      <c r="R30" s="203">
        <f t="shared" ref="R30:R35" si="55">SUM(P30)</f>
        <v>224</v>
      </c>
      <c r="S30" s="203">
        <f t="shared" si="7"/>
        <v>4819.6129032258068</v>
      </c>
      <c r="T30" s="203">
        <f t="shared" ref="T30:T35" si="56">SUM(R30)</f>
        <v>224</v>
      </c>
      <c r="U30" s="203">
        <f t="shared" si="8"/>
        <v>4819.6129032258068</v>
      </c>
      <c r="V30" s="203">
        <f t="shared" ref="V30:V35" si="57">SUM(T30)</f>
        <v>224</v>
      </c>
      <c r="W30" s="203">
        <f t="shared" si="9"/>
        <v>4819.6129032258068</v>
      </c>
      <c r="X30" s="35">
        <f t="shared" ref="X30:X35" si="58">SUM(Y30/73370)</f>
        <v>0.72258064516129028</v>
      </c>
      <c r="Y30" s="36">
        <f t="shared" ref="Y30:Y35" si="59">SUM(C30+E30+G30+I30+K30+M30+O30+Q30+S30+U30+W30)</f>
        <v>53015.741935483864</v>
      </c>
      <c r="Z30" s="203">
        <f>'B5'!C29</f>
        <v>230</v>
      </c>
      <c r="AA30" s="203">
        <f t="shared" si="30"/>
        <v>2300</v>
      </c>
      <c r="AB30" s="203">
        <f t="shared" ref="AB30:AB35" si="60">SUM(Z30)</f>
        <v>230</v>
      </c>
      <c r="AC30" s="203">
        <f t="shared" si="30"/>
        <v>2300</v>
      </c>
      <c r="AD30" s="203">
        <f t="shared" ref="AD30:AD35" si="61">SUM(AB30)</f>
        <v>230</v>
      </c>
      <c r="AE30" s="203">
        <f t="shared" si="11"/>
        <v>2300</v>
      </c>
      <c r="AF30" s="203">
        <f t="shared" ref="AF30:AF35" si="62">SUM(AD30)</f>
        <v>230</v>
      </c>
      <c r="AG30" s="203">
        <f t="shared" si="12"/>
        <v>2300</v>
      </c>
      <c r="AH30" s="203">
        <f t="shared" ref="AH30:AH35" si="63">SUM(AF30)</f>
        <v>230</v>
      </c>
      <c r="AI30" s="203">
        <f t="shared" si="13"/>
        <v>2300</v>
      </c>
      <c r="AJ30" s="203">
        <f t="shared" ref="AJ30:AJ35" si="64">SUM(AH30)</f>
        <v>230</v>
      </c>
      <c r="AK30" s="203">
        <f t="shared" si="14"/>
        <v>2300</v>
      </c>
      <c r="AL30" s="203">
        <f t="shared" ref="AL30:AL35" si="65">SUM(AJ30)</f>
        <v>230</v>
      </c>
      <c r="AM30" s="203">
        <f t="shared" si="15"/>
        <v>2300</v>
      </c>
      <c r="AN30" s="35">
        <f t="shared" ref="AN30:AN35" si="66">SUM(AO30/19600)</f>
        <v>0.8214285714285714</v>
      </c>
      <c r="AO30" s="36">
        <f t="shared" ref="AO30:AO35" si="67">SUM(AA30+AC30+AE30+AG30+AI30+AK30+AM30)</f>
        <v>16100</v>
      </c>
      <c r="AQ30" s="223">
        <f t="shared" si="37"/>
        <v>0.74341983366122255</v>
      </c>
      <c r="AR30" s="38">
        <f t="shared" si="38"/>
        <v>69115.741935483864</v>
      </c>
      <c r="AS30" s="197">
        <f>SUM(AR30-AR29-AT30)</f>
        <v>0</v>
      </c>
      <c r="AT30" s="340"/>
      <c r="AU30" s="550"/>
      <c r="AV30" s="485">
        <f t="shared" si="43"/>
        <v>0.60399999999999998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224</v>
      </c>
      <c r="C31" s="203">
        <f t="shared" si="18"/>
        <v>4819.6129032258068</v>
      </c>
      <c r="D31">
        <f t="shared" si="48"/>
        <v>224</v>
      </c>
      <c r="E31" s="203">
        <f t="shared" si="18"/>
        <v>4819.6129032258068</v>
      </c>
      <c r="F31">
        <f t="shared" si="49"/>
        <v>224</v>
      </c>
      <c r="G31" s="203">
        <f t="shared" si="1"/>
        <v>4819.6129032258068</v>
      </c>
      <c r="H31" s="203">
        <f t="shared" si="50"/>
        <v>224</v>
      </c>
      <c r="I31" s="203">
        <f t="shared" si="2"/>
        <v>4819.6129032258068</v>
      </c>
      <c r="J31" s="203">
        <f t="shared" si="51"/>
        <v>224</v>
      </c>
      <c r="K31" s="203">
        <f t="shared" si="3"/>
        <v>4819.6129032258068</v>
      </c>
      <c r="L31" s="203">
        <f t="shared" si="52"/>
        <v>224</v>
      </c>
      <c r="M31" s="203">
        <f t="shared" si="4"/>
        <v>4819.6129032258068</v>
      </c>
      <c r="N31" s="203">
        <f t="shared" si="53"/>
        <v>224</v>
      </c>
      <c r="O31" s="203">
        <f t="shared" si="5"/>
        <v>4819.6129032258068</v>
      </c>
      <c r="P31" s="203">
        <f t="shared" si="54"/>
        <v>224</v>
      </c>
      <c r="Q31" s="203">
        <f t="shared" si="6"/>
        <v>4819.6129032258068</v>
      </c>
      <c r="R31" s="203">
        <f t="shared" si="55"/>
        <v>224</v>
      </c>
      <c r="S31" s="203">
        <f t="shared" si="7"/>
        <v>4819.6129032258068</v>
      </c>
      <c r="T31" s="203">
        <f t="shared" si="56"/>
        <v>224</v>
      </c>
      <c r="U31" s="203">
        <f t="shared" si="8"/>
        <v>4819.6129032258068</v>
      </c>
      <c r="V31" s="203">
        <f t="shared" si="57"/>
        <v>224</v>
      </c>
      <c r="W31" s="203">
        <f t="shared" si="9"/>
        <v>4819.6129032258068</v>
      </c>
      <c r="X31" s="35">
        <f t="shared" si="58"/>
        <v>0.72258064516129028</v>
      </c>
      <c r="Y31" s="36">
        <f t="shared" si="59"/>
        <v>53015.741935483864</v>
      </c>
      <c r="Z31" s="203">
        <f>'B5'!C30</f>
        <v>230</v>
      </c>
      <c r="AA31" s="203">
        <f t="shared" si="30"/>
        <v>2300</v>
      </c>
      <c r="AB31" s="203">
        <f t="shared" si="60"/>
        <v>230</v>
      </c>
      <c r="AC31" s="203">
        <f t="shared" si="30"/>
        <v>2300</v>
      </c>
      <c r="AD31" s="203">
        <f t="shared" si="61"/>
        <v>230</v>
      </c>
      <c r="AE31" s="203">
        <f t="shared" si="11"/>
        <v>2300</v>
      </c>
      <c r="AF31" s="203">
        <f t="shared" si="62"/>
        <v>230</v>
      </c>
      <c r="AG31" s="203">
        <f t="shared" si="12"/>
        <v>2300</v>
      </c>
      <c r="AH31" s="203">
        <f t="shared" si="63"/>
        <v>230</v>
      </c>
      <c r="AI31" s="203">
        <f t="shared" si="13"/>
        <v>2300</v>
      </c>
      <c r="AJ31" s="203">
        <f t="shared" si="64"/>
        <v>230</v>
      </c>
      <c r="AK31" s="203">
        <f t="shared" si="14"/>
        <v>2300</v>
      </c>
      <c r="AL31" s="203">
        <f t="shared" si="65"/>
        <v>230</v>
      </c>
      <c r="AM31" s="203">
        <f t="shared" si="15"/>
        <v>2300</v>
      </c>
      <c r="AN31" s="35">
        <f t="shared" si="66"/>
        <v>0.8214285714285714</v>
      </c>
      <c r="AO31" s="36">
        <f t="shared" si="67"/>
        <v>16100</v>
      </c>
      <c r="AQ31" s="223">
        <f t="shared" si="37"/>
        <v>0.74341983366122255</v>
      </c>
      <c r="AR31" s="38">
        <f t="shared" si="38"/>
        <v>69115.741935483864</v>
      </c>
      <c r="AS31" s="197">
        <f t="shared" si="47"/>
        <v>0</v>
      </c>
      <c r="AT31" s="340"/>
      <c r="AU31" s="575"/>
      <c r="AV31" s="485">
        <f t="shared" si="43"/>
        <v>0.60399999999999998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224</v>
      </c>
      <c r="C32" s="203">
        <f t="shared" si="18"/>
        <v>4819.6129032258068</v>
      </c>
      <c r="D32">
        <f t="shared" si="48"/>
        <v>224</v>
      </c>
      <c r="E32" s="203">
        <f t="shared" si="18"/>
        <v>4819.6129032258068</v>
      </c>
      <c r="F32">
        <f t="shared" si="49"/>
        <v>224</v>
      </c>
      <c r="G32" s="203">
        <f t="shared" si="1"/>
        <v>4819.6129032258068</v>
      </c>
      <c r="H32" s="203">
        <f t="shared" si="50"/>
        <v>224</v>
      </c>
      <c r="I32" s="203">
        <f t="shared" si="2"/>
        <v>4819.6129032258068</v>
      </c>
      <c r="J32" s="203">
        <f t="shared" si="51"/>
        <v>224</v>
      </c>
      <c r="K32" s="203">
        <f t="shared" si="3"/>
        <v>4819.6129032258068</v>
      </c>
      <c r="L32" s="203">
        <f t="shared" si="52"/>
        <v>224</v>
      </c>
      <c r="M32" s="203">
        <f t="shared" si="4"/>
        <v>4819.6129032258068</v>
      </c>
      <c r="N32" s="203">
        <f t="shared" si="53"/>
        <v>224</v>
      </c>
      <c r="O32" s="203">
        <f t="shared" si="5"/>
        <v>4819.6129032258068</v>
      </c>
      <c r="P32" s="203">
        <f t="shared" si="54"/>
        <v>224</v>
      </c>
      <c r="Q32" s="203">
        <f t="shared" si="6"/>
        <v>4819.6129032258068</v>
      </c>
      <c r="R32" s="203">
        <f t="shared" si="55"/>
        <v>224</v>
      </c>
      <c r="S32" s="203">
        <f t="shared" si="7"/>
        <v>4819.6129032258068</v>
      </c>
      <c r="T32" s="203">
        <f t="shared" si="56"/>
        <v>224</v>
      </c>
      <c r="U32" s="203">
        <f t="shared" si="8"/>
        <v>4819.6129032258068</v>
      </c>
      <c r="V32" s="203">
        <f t="shared" si="57"/>
        <v>224</v>
      </c>
      <c r="W32" s="203">
        <f t="shared" si="9"/>
        <v>4819.6129032258068</v>
      </c>
      <c r="X32" s="35">
        <f t="shared" si="58"/>
        <v>0.72258064516129028</v>
      </c>
      <c r="Y32" s="36">
        <f t="shared" si="59"/>
        <v>53015.741935483864</v>
      </c>
      <c r="Z32" s="203">
        <f>'B5'!C31</f>
        <v>230</v>
      </c>
      <c r="AA32" s="203">
        <f t="shared" si="30"/>
        <v>2300</v>
      </c>
      <c r="AB32" s="203">
        <f t="shared" si="60"/>
        <v>230</v>
      </c>
      <c r="AC32" s="203">
        <f t="shared" si="30"/>
        <v>2300</v>
      </c>
      <c r="AD32" s="203">
        <f t="shared" si="61"/>
        <v>230</v>
      </c>
      <c r="AE32" s="203">
        <f t="shared" si="11"/>
        <v>2300</v>
      </c>
      <c r="AF32" s="203">
        <f t="shared" si="62"/>
        <v>230</v>
      </c>
      <c r="AG32" s="203">
        <f t="shared" si="12"/>
        <v>2300</v>
      </c>
      <c r="AH32" s="203">
        <f t="shared" si="63"/>
        <v>230</v>
      </c>
      <c r="AI32" s="203">
        <f t="shared" si="13"/>
        <v>2300</v>
      </c>
      <c r="AJ32" s="203">
        <f t="shared" si="64"/>
        <v>230</v>
      </c>
      <c r="AK32" s="203">
        <f t="shared" si="14"/>
        <v>2300</v>
      </c>
      <c r="AL32" s="203">
        <f t="shared" si="65"/>
        <v>230</v>
      </c>
      <c r="AM32" s="203">
        <f t="shared" si="15"/>
        <v>2300</v>
      </c>
      <c r="AN32" s="35">
        <f t="shared" si="66"/>
        <v>0.8214285714285714</v>
      </c>
      <c r="AO32" s="36">
        <f t="shared" si="67"/>
        <v>16100</v>
      </c>
      <c r="AQ32" s="223">
        <f t="shared" si="37"/>
        <v>0.74341983366122255</v>
      </c>
      <c r="AR32" s="38">
        <f t="shared" si="38"/>
        <v>69115.741935483864</v>
      </c>
      <c r="AS32" s="197">
        <f t="shared" si="47"/>
        <v>0</v>
      </c>
      <c r="AT32" s="340"/>
      <c r="AU32" s="549"/>
      <c r="AV32" s="485">
        <f>IF(AT32&gt;0,AU32,AV31)</f>
        <v>0.60399999999999998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224</v>
      </c>
      <c r="C33" s="203">
        <f t="shared" si="18"/>
        <v>4819.6129032258068</v>
      </c>
      <c r="D33">
        <f t="shared" si="48"/>
        <v>224</v>
      </c>
      <c r="E33" s="203">
        <f t="shared" si="18"/>
        <v>4819.6129032258068</v>
      </c>
      <c r="F33">
        <f t="shared" si="49"/>
        <v>224</v>
      </c>
      <c r="G33" s="203">
        <f t="shared" si="1"/>
        <v>4819.6129032258068</v>
      </c>
      <c r="H33" s="203">
        <f t="shared" si="50"/>
        <v>224</v>
      </c>
      <c r="I33" s="203">
        <f t="shared" si="2"/>
        <v>4819.6129032258068</v>
      </c>
      <c r="J33" s="203">
        <f t="shared" si="51"/>
        <v>224</v>
      </c>
      <c r="K33" s="203">
        <f t="shared" si="3"/>
        <v>4819.6129032258068</v>
      </c>
      <c r="L33" s="203">
        <f t="shared" si="52"/>
        <v>224</v>
      </c>
      <c r="M33" s="203">
        <f t="shared" si="4"/>
        <v>4819.6129032258068</v>
      </c>
      <c r="N33" s="203">
        <f t="shared" si="53"/>
        <v>224</v>
      </c>
      <c r="O33" s="203">
        <f t="shared" si="5"/>
        <v>4819.6129032258068</v>
      </c>
      <c r="P33" s="203">
        <f t="shared" si="54"/>
        <v>224</v>
      </c>
      <c r="Q33" s="203">
        <f t="shared" si="6"/>
        <v>4819.6129032258068</v>
      </c>
      <c r="R33" s="203">
        <f t="shared" si="55"/>
        <v>224</v>
      </c>
      <c r="S33" s="203">
        <f t="shared" si="7"/>
        <v>4819.6129032258068</v>
      </c>
      <c r="T33" s="203">
        <f t="shared" si="56"/>
        <v>224</v>
      </c>
      <c r="U33" s="203">
        <f t="shared" si="8"/>
        <v>4819.6129032258068</v>
      </c>
      <c r="V33" s="203">
        <f t="shared" si="57"/>
        <v>224</v>
      </c>
      <c r="W33" s="203">
        <f t="shared" si="9"/>
        <v>4819.6129032258068</v>
      </c>
      <c r="X33" s="35">
        <f t="shared" si="58"/>
        <v>0.72258064516129028</v>
      </c>
      <c r="Y33" s="36">
        <f t="shared" si="59"/>
        <v>53015.741935483864</v>
      </c>
      <c r="Z33" s="203">
        <f>'B5'!C32</f>
        <v>230</v>
      </c>
      <c r="AA33" s="203">
        <f t="shared" si="30"/>
        <v>2300</v>
      </c>
      <c r="AB33" s="203">
        <f t="shared" si="60"/>
        <v>230</v>
      </c>
      <c r="AC33" s="203">
        <f t="shared" si="30"/>
        <v>2300</v>
      </c>
      <c r="AD33" s="203">
        <f t="shared" si="61"/>
        <v>230</v>
      </c>
      <c r="AE33" s="203">
        <f t="shared" si="11"/>
        <v>2300</v>
      </c>
      <c r="AF33" s="203">
        <f t="shared" si="62"/>
        <v>230</v>
      </c>
      <c r="AG33" s="203">
        <f t="shared" si="12"/>
        <v>2300</v>
      </c>
      <c r="AH33" s="203">
        <f t="shared" si="63"/>
        <v>230</v>
      </c>
      <c r="AI33" s="203">
        <f t="shared" si="13"/>
        <v>2300</v>
      </c>
      <c r="AJ33" s="203">
        <f t="shared" si="64"/>
        <v>230</v>
      </c>
      <c r="AK33" s="203">
        <f t="shared" si="14"/>
        <v>2300</v>
      </c>
      <c r="AL33" s="203">
        <f t="shared" si="65"/>
        <v>230</v>
      </c>
      <c r="AM33" s="203">
        <f t="shared" si="15"/>
        <v>2300</v>
      </c>
      <c r="AN33" s="35">
        <f t="shared" si="66"/>
        <v>0.8214285714285714</v>
      </c>
      <c r="AO33" s="36">
        <f t="shared" si="67"/>
        <v>16100</v>
      </c>
      <c r="AQ33" s="223">
        <f t="shared" si="37"/>
        <v>0.74341983366122255</v>
      </c>
      <c r="AR33" s="38">
        <f t="shared" si="38"/>
        <v>69115.741935483864</v>
      </c>
      <c r="AS33" s="197">
        <f>SUM(AR33-AR32-AT33)</f>
        <v>0</v>
      </c>
      <c r="AT33" s="340"/>
      <c r="AU33" s="549"/>
      <c r="AV33" s="485">
        <f>IF(AT33&gt;0,AU33,AV32)</f>
        <v>0.60399999999999998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224</v>
      </c>
      <c r="C34" s="203">
        <f>B34*$B$4</f>
        <v>4819.6129032258068</v>
      </c>
      <c r="D34">
        <f t="shared" si="48"/>
        <v>224</v>
      </c>
      <c r="E34" s="203">
        <f>D34*$B$4</f>
        <v>4819.6129032258068</v>
      </c>
      <c r="F34">
        <f t="shared" si="49"/>
        <v>224</v>
      </c>
      <c r="G34" s="203">
        <f>F34*$B$4</f>
        <v>4819.6129032258068</v>
      </c>
      <c r="H34" s="203">
        <f t="shared" si="50"/>
        <v>224</v>
      </c>
      <c r="I34" s="203">
        <f>H34*$B$4</f>
        <v>4819.6129032258068</v>
      </c>
      <c r="J34" s="203">
        <f t="shared" si="51"/>
        <v>224</v>
      </c>
      <c r="K34" s="203">
        <f>J34*$B$4</f>
        <v>4819.6129032258068</v>
      </c>
      <c r="L34" s="203">
        <f t="shared" si="52"/>
        <v>224</v>
      </c>
      <c r="M34" s="203">
        <f>L34*$B$4</f>
        <v>4819.6129032258068</v>
      </c>
      <c r="N34" s="203">
        <f t="shared" si="53"/>
        <v>224</v>
      </c>
      <c r="O34" s="203">
        <f>N34*$B$4</f>
        <v>4819.6129032258068</v>
      </c>
      <c r="P34" s="203">
        <f t="shared" si="54"/>
        <v>224</v>
      </c>
      <c r="Q34" s="203">
        <f>P34*$B$4</f>
        <v>4819.6129032258068</v>
      </c>
      <c r="R34" s="203">
        <f t="shared" si="55"/>
        <v>224</v>
      </c>
      <c r="S34" s="203">
        <f>R34*$B$4</f>
        <v>4819.6129032258068</v>
      </c>
      <c r="T34" s="203">
        <f t="shared" si="56"/>
        <v>224</v>
      </c>
      <c r="U34" s="203">
        <f>T34*$B$4</f>
        <v>4819.6129032258068</v>
      </c>
      <c r="V34" s="203">
        <f t="shared" si="57"/>
        <v>224</v>
      </c>
      <c r="W34" s="203">
        <f>V34*$B$4</f>
        <v>4819.6129032258068</v>
      </c>
      <c r="X34" s="35">
        <f t="shared" si="58"/>
        <v>0.72258064516129028</v>
      </c>
      <c r="Y34" s="36">
        <f t="shared" si="59"/>
        <v>53015.741935483864</v>
      </c>
      <c r="Z34" s="203">
        <f>'B5'!C33</f>
        <v>230</v>
      </c>
      <c r="AA34" s="203">
        <f>SUM(Z34*$Z$4)</f>
        <v>2300</v>
      </c>
      <c r="AB34" s="203">
        <f t="shared" si="60"/>
        <v>230</v>
      </c>
      <c r="AC34" s="203">
        <f>SUM(AB34*$Z$4)</f>
        <v>2300</v>
      </c>
      <c r="AD34" s="203">
        <f t="shared" si="61"/>
        <v>230</v>
      </c>
      <c r="AE34" s="203">
        <f>SUM(AD34*$Z$4)</f>
        <v>2300</v>
      </c>
      <c r="AF34" s="203">
        <f t="shared" si="62"/>
        <v>230</v>
      </c>
      <c r="AG34" s="203">
        <f>SUM(AF34*$Z$4)</f>
        <v>2300</v>
      </c>
      <c r="AH34" s="203">
        <f t="shared" si="63"/>
        <v>230</v>
      </c>
      <c r="AI34" s="203">
        <f>SUM(AH34*$Z$4)</f>
        <v>2300</v>
      </c>
      <c r="AJ34" s="203">
        <f t="shared" si="64"/>
        <v>230</v>
      </c>
      <c r="AK34" s="203">
        <f>SUM(AJ34*$Z$4)</f>
        <v>2300</v>
      </c>
      <c r="AL34" s="203">
        <f t="shared" si="65"/>
        <v>230</v>
      </c>
      <c r="AM34" s="203">
        <f>SUM(AL34*$Z$4)</f>
        <v>2300</v>
      </c>
      <c r="AN34" s="35">
        <f t="shared" si="66"/>
        <v>0.8214285714285714</v>
      </c>
      <c r="AO34" s="36">
        <f t="shared" si="67"/>
        <v>16100</v>
      </c>
      <c r="AQ34" s="223">
        <f>SUM(AR34/92970)</f>
        <v>0.74341983366122255</v>
      </c>
      <c r="AR34" s="38">
        <f t="shared" si="38"/>
        <v>69115.741935483864</v>
      </c>
      <c r="AS34" s="197">
        <f t="shared" si="47"/>
        <v>0</v>
      </c>
      <c r="AT34" s="340"/>
      <c r="AU34" s="549"/>
      <c r="AV34" s="485">
        <f>IF(AT34&gt;0,AU34,AV33)</f>
        <v>0.60399999999999998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224</v>
      </c>
      <c r="C35" s="203">
        <f>B35*$B$4</f>
        <v>4819.6129032258068</v>
      </c>
      <c r="D35">
        <f t="shared" si="48"/>
        <v>224</v>
      </c>
      <c r="E35" s="203">
        <f>D35*$B$4</f>
        <v>4819.6129032258068</v>
      </c>
      <c r="F35">
        <f t="shared" si="49"/>
        <v>224</v>
      </c>
      <c r="G35" s="203">
        <f>F35*$B$4</f>
        <v>4819.6129032258068</v>
      </c>
      <c r="H35" s="203">
        <f t="shared" si="50"/>
        <v>224</v>
      </c>
      <c r="I35" s="203">
        <f>H35*$B$4</f>
        <v>4819.6129032258068</v>
      </c>
      <c r="J35" s="203">
        <f t="shared" si="51"/>
        <v>224</v>
      </c>
      <c r="K35" s="203">
        <f>J35*$B$4</f>
        <v>4819.6129032258068</v>
      </c>
      <c r="L35" s="203">
        <f t="shared" si="52"/>
        <v>224</v>
      </c>
      <c r="M35" s="203">
        <f>L35*$B$4</f>
        <v>4819.6129032258068</v>
      </c>
      <c r="N35" s="203">
        <f t="shared" si="53"/>
        <v>224</v>
      </c>
      <c r="O35" s="203">
        <f>N35*$B$4</f>
        <v>4819.6129032258068</v>
      </c>
      <c r="P35" s="203">
        <f t="shared" si="54"/>
        <v>224</v>
      </c>
      <c r="Q35" s="203">
        <f>P35*$B$4</f>
        <v>4819.6129032258068</v>
      </c>
      <c r="R35" s="203">
        <f t="shared" si="55"/>
        <v>224</v>
      </c>
      <c r="S35" s="203">
        <f>R35*$B$4</f>
        <v>4819.6129032258068</v>
      </c>
      <c r="T35" s="203">
        <f t="shared" si="56"/>
        <v>224</v>
      </c>
      <c r="U35" s="203">
        <f>T35*$B$4</f>
        <v>4819.6129032258068</v>
      </c>
      <c r="V35" s="203">
        <f t="shared" si="57"/>
        <v>224</v>
      </c>
      <c r="W35" s="203">
        <f>V35*$B$4</f>
        <v>4819.6129032258068</v>
      </c>
      <c r="X35" s="35">
        <f t="shared" si="58"/>
        <v>0.72258064516129028</v>
      </c>
      <c r="Y35" s="36">
        <f t="shared" si="59"/>
        <v>53015.741935483864</v>
      </c>
      <c r="Z35" s="203">
        <f>'B5'!C34</f>
        <v>230</v>
      </c>
      <c r="AA35" s="203">
        <f>SUM(Z35*$Z$4)</f>
        <v>2300</v>
      </c>
      <c r="AB35" s="203">
        <f t="shared" si="60"/>
        <v>230</v>
      </c>
      <c r="AC35" s="203">
        <f>SUM(AB35*$Z$4)</f>
        <v>2300</v>
      </c>
      <c r="AD35" s="203">
        <f t="shared" si="61"/>
        <v>230</v>
      </c>
      <c r="AE35" s="203">
        <f>SUM(AD35*$Z$4)</f>
        <v>2300</v>
      </c>
      <c r="AF35" s="203">
        <f t="shared" si="62"/>
        <v>230</v>
      </c>
      <c r="AG35" s="203">
        <f>SUM(AF35*$Z$4)</f>
        <v>2300</v>
      </c>
      <c r="AH35" s="203">
        <f t="shared" si="63"/>
        <v>230</v>
      </c>
      <c r="AI35" s="203">
        <f>SUM(AH35*$Z$4)</f>
        <v>2300</v>
      </c>
      <c r="AJ35" s="203">
        <f t="shared" si="64"/>
        <v>230</v>
      </c>
      <c r="AK35" s="203">
        <f>SUM(AJ35*$Z$4)</f>
        <v>2300</v>
      </c>
      <c r="AL35" s="203">
        <f t="shared" si="65"/>
        <v>230</v>
      </c>
      <c r="AM35" s="203">
        <f>SUM(AL35*$Z$4)</f>
        <v>2300</v>
      </c>
      <c r="AN35" s="35">
        <f t="shared" si="66"/>
        <v>0.8214285714285714</v>
      </c>
      <c r="AO35" s="36">
        <f t="shared" si="67"/>
        <v>16100</v>
      </c>
      <c r="AQ35" s="223">
        <f>SUM(AR35/92970)</f>
        <v>0.74341983366122255</v>
      </c>
      <c r="AR35" s="38">
        <f t="shared" si="38"/>
        <v>69115.741935483864</v>
      </c>
      <c r="AS35" s="197">
        <f t="shared" si="47"/>
        <v>0</v>
      </c>
      <c r="AT35" s="340"/>
      <c r="AU35" s="549"/>
      <c r="AV35" s="539">
        <f>IF(AT35&gt;0,AU35,AV34)</f>
        <v>0.60399999999999998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224</v>
      </c>
      <c r="C36" s="203">
        <f>B36*$B$4</f>
        <v>4819.6129032258068</v>
      </c>
      <c r="D36">
        <f t="shared" ref="D36" si="68">SUM(B36)</f>
        <v>224</v>
      </c>
      <c r="E36" s="203">
        <f>D36*$B$4</f>
        <v>4819.6129032258068</v>
      </c>
      <c r="F36">
        <f t="shared" ref="F36" si="69">SUM(D36)</f>
        <v>224</v>
      </c>
      <c r="G36" s="203">
        <f>F36*$B$4</f>
        <v>4819.6129032258068</v>
      </c>
      <c r="H36" s="203">
        <f t="shared" ref="H36" si="70">SUM(F36)</f>
        <v>224</v>
      </c>
      <c r="I36" s="203">
        <f>H36*$B$4</f>
        <v>4819.6129032258068</v>
      </c>
      <c r="J36" s="203">
        <f t="shared" ref="J36" si="71">SUM(H36)</f>
        <v>224</v>
      </c>
      <c r="K36" s="203">
        <f>J36*$B$4</f>
        <v>4819.6129032258068</v>
      </c>
      <c r="L36" s="203">
        <f t="shared" ref="L36" si="72">SUM(J36)</f>
        <v>224</v>
      </c>
      <c r="M36" s="203">
        <f>L36*$B$4</f>
        <v>4819.6129032258068</v>
      </c>
      <c r="N36" s="203">
        <f t="shared" ref="N36" si="73">SUM(L36)</f>
        <v>224</v>
      </c>
      <c r="O36" s="203">
        <f>N36*$B$4</f>
        <v>4819.6129032258068</v>
      </c>
      <c r="P36" s="203">
        <f t="shared" ref="P36" si="74">SUM(N36)</f>
        <v>224</v>
      </c>
      <c r="Q36" s="203">
        <f>P36*$B$4</f>
        <v>4819.6129032258068</v>
      </c>
      <c r="R36" s="203">
        <f t="shared" ref="R36" si="75">SUM(P36)</f>
        <v>224</v>
      </c>
      <c r="S36" s="203">
        <f>R36*$B$4</f>
        <v>4819.6129032258068</v>
      </c>
      <c r="T36" s="203">
        <f t="shared" ref="T36" si="76">SUM(R36)</f>
        <v>224</v>
      </c>
      <c r="U36" s="203">
        <f>T36*$B$4</f>
        <v>4819.6129032258068</v>
      </c>
      <c r="V36" s="203">
        <f t="shared" ref="V36" si="77">SUM(T36)</f>
        <v>224</v>
      </c>
      <c r="W36" s="203">
        <f>V36*$B$4</f>
        <v>4819.6129032258068</v>
      </c>
      <c r="X36" s="35">
        <f t="shared" ref="X36" si="78">SUM(Y36/73370)</f>
        <v>0.72258064516129028</v>
      </c>
      <c r="Y36" s="36">
        <f t="shared" ref="Y36" si="79">SUM(C36+E36+G36+I36+K36+M36+O36+Q36+S36+U36+W36)</f>
        <v>53015.741935483864</v>
      </c>
      <c r="Z36" s="203">
        <f>'B5'!C35</f>
        <v>230</v>
      </c>
      <c r="AA36" s="203">
        <f>SUM(Z36*$Z$4)</f>
        <v>2300</v>
      </c>
      <c r="AB36" s="203">
        <f t="shared" ref="AB36" si="80">SUM(Z36)</f>
        <v>230</v>
      </c>
      <c r="AC36" s="203">
        <f>SUM(AB36*$Z$4)</f>
        <v>2300</v>
      </c>
      <c r="AD36" s="203">
        <f t="shared" ref="AD36" si="81">SUM(AB36)</f>
        <v>230</v>
      </c>
      <c r="AE36" s="203">
        <f>SUM(AD36*$Z$4)</f>
        <v>2300</v>
      </c>
      <c r="AF36" s="203">
        <f t="shared" ref="AF36" si="82">SUM(AD36)</f>
        <v>230</v>
      </c>
      <c r="AG36" s="203">
        <f>SUM(AF36*$Z$4)</f>
        <v>2300</v>
      </c>
      <c r="AH36" s="203">
        <f t="shared" ref="AH36" si="83">SUM(AF36)</f>
        <v>230</v>
      </c>
      <c r="AI36" s="203">
        <f>SUM(AH36*$Z$4)</f>
        <v>2300</v>
      </c>
      <c r="AJ36" s="203">
        <f t="shared" ref="AJ36" si="84">SUM(AH36)</f>
        <v>230</v>
      </c>
      <c r="AK36" s="203">
        <f>SUM(AJ36*$Z$4)</f>
        <v>2300</v>
      </c>
      <c r="AL36" s="203">
        <f t="shared" ref="AL36" si="85">SUM(AJ36)</f>
        <v>230</v>
      </c>
      <c r="AM36" s="203">
        <f>SUM(AL36*$Z$4)</f>
        <v>2300</v>
      </c>
      <c r="AN36" s="35">
        <f t="shared" ref="AN36" si="86">SUM(AO36/19600)</f>
        <v>0.8214285714285714</v>
      </c>
      <c r="AO36" s="36">
        <f t="shared" ref="AO36" si="87">SUM(AA36+AC36+AE36+AG36+AI36+AK36+AM36)</f>
        <v>16100</v>
      </c>
      <c r="AQ36" s="223">
        <f>SUM(AR36/92970)</f>
        <v>0.74341983366122255</v>
      </c>
      <c r="AR36" s="38">
        <f t="shared" si="38"/>
        <v>69115.741935483864</v>
      </c>
      <c r="AS36" s="197">
        <f t="shared" si="47"/>
        <v>0</v>
      </c>
      <c r="AT36" s="340"/>
      <c r="AU36" s="549"/>
      <c r="AV36" s="539">
        <f>IF(AT36&gt;0,AU36,AV35)</f>
        <v>0.60399999999999998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30000</v>
      </c>
      <c r="AU37" s="545">
        <f>SUM(AU6:AU36)/AS37</f>
        <v>0.6150000000000001</v>
      </c>
      <c r="AX37" s="203">
        <f>SUM(AX6:AX36)</f>
        <v>-26617.93548387097</v>
      </c>
      <c r="AY37" s="203">
        <f>SUM(AY6:AY36)</f>
        <v>-28159.93548387097</v>
      </c>
    </row>
    <row r="38" spans="1:63">
      <c r="AS38" s="206"/>
      <c r="AT38" s="82">
        <f>+AT37*AU37</f>
        <v>18450.000000000004</v>
      </c>
    </row>
    <row r="40" spans="1:63">
      <c r="AS40" s="165">
        <f>SUM(AS6:AS36)/'EDl log'!A35</f>
        <v>-4022.8479262672813</v>
      </c>
      <c r="AT40" s="203"/>
    </row>
    <row r="41" spans="1:63">
      <c r="AX41">
        <v>43309</v>
      </c>
    </row>
    <row r="42" spans="1:63">
      <c r="AR42" s="203">
        <f>AR36-22000</f>
        <v>47115.741935483864</v>
      </c>
      <c r="AU42" s="203"/>
      <c r="AX42">
        <f>AX37/AX41</f>
        <v>-0.61460517407169335</v>
      </c>
    </row>
    <row r="43" spans="1:63">
      <c r="AR43">
        <f>AR42/5500</f>
        <v>8.5664985337243387</v>
      </c>
    </row>
    <row r="44" spans="1:63">
      <c r="AR44">
        <f>AR43*2</f>
        <v>17.132997067448677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6" zoomScale="70" zoomScaleNormal="70" workbookViewId="0">
      <selection activeCell="J21" sqref="J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1422.7529032257992</v>
      </c>
      <c r="R4" s="285">
        <f>SUM(P4:Q4)</f>
        <v>1577.5559417963871</v>
      </c>
      <c r="S4" s="287">
        <f>SUM(ELEC!N4)</f>
        <v>6332</v>
      </c>
      <c r="T4" s="321">
        <f>IF(S4&gt;0,R4/S4,0)</f>
        <v>0.24914023085855766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0"/>
      <c r="AC4" s="661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1174.6896774193629</v>
      </c>
      <c r="R5" s="285">
        <f t="shared" ref="R5:R30" si="13">SUM(P5:Q5)</f>
        <v>1329.4927159899507</v>
      </c>
      <c r="S5" s="287">
        <f>SUM(ELEC!N5)</f>
        <v>5540</v>
      </c>
      <c r="T5" s="321">
        <f>IF(S5&gt;0,R5/S5,0)</f>
        <v>0.23998063465522576</v>
      </c>
      <c r="U5" s="245"/>
      <c r="V5" s="654"/>
      <c r="W5" s="655"/>
      <c r="X5" s="655"/>
      <c r="Y5" s="656"/>
      <c r="Z5" s="26" t="s">
        <v>202</v>
      </c>
      <c r="AA5" s="26">
        <v>5000</v>
      </c>
      <c r="AB5" s="662"/>
      <c r="AC5" s="663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7"/>
      <c r="W6" s="658"/>
      <c r="X6" s="658"/>
      <c r="Y6" s="659"/>
      <c r="Z6" s="666"/>
      <c r="AA6" s="667"/>
      <c r="AB6" s="662"/>
      <c r="AC6" s="663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49" t="s">
        <v>203</v>
      </c>
      <c r="W7" s="650"/>
      <c r="X7" s="651" t="s">
        <v>204</v>
      </c>
      <c r="Y7" s="652"/>
      <c r="Z7" s="653"/>
      <c r="AA7" s="170"/>
      <c r="AB7" s="664"/>
      <c r="AC7" s="665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81.993387096777383</v>
      </c>
      <c r="R8" s="285">
        <f t="shared" si="13"/>
        <v>236.7964256673653</v>
      </c>
      <c r="S8" s="287">
        <f>SUM(ELEC!N8)</f>
        <v>6729</v>
      </c>
      <c r="T8" s="321">
        <f>IF(S8&gt;0,R8/S8,0)</f>
        <v>3.5190433298761377E-2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1037.3462903225675</v>
      </c>
      <c r="R9" s="285">
        <f>SUM(P9:Q9)</f>
        <v>1276.8458463060906</v>
      </c>
      <c r="S9" s="287">
        <f>SUM(ELEC!N9)</f>
        <v>4979</v>
      </c>
      <c r="T9" s="321">
        <f t="shared" si="16"/>
        <v>0.25644624348385031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1650.917903225826</v>
      </c>
      <c r="R10" s="285">
        <f t="shared" si="13"/>
        <v>1813.6705272027157</v>
      </c>
      <c r="S10" s="287">
        <f>SUM(ELEC!N10)</f>
        <v>5333</v>
      </c>
      <c r="T10" s="321">
        <f t="shared" si="16"/>
        <v>0.34008447913045486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1234.1462903225677</v>
      </c>
      <c r="R11" s="285">
        <f t="shared" si="13"/>
        <v>1413.6047186112319</v>
      </c>
      <c r="S11" s="287">
        <f>SUM(ELEC!N11)</f>
        <v>5724</v>
      </c>
      <c r="T11" s="321">
        <f t="shared" si="16"/>
        <v>0.24696099207044583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1320.2462903225855</v>
      </c>
      <c r="R12" s="285">
        <f t="shared" si="13"/>
        <v>1483.0732094901884</v>
      </c>
      <c r="S12" s="287">
        <f>SUM(ELEC!N12)</f>
        <v>4995</v>
      </c>
      <c r="T12" s="321">
        <f t="shared" si="16"/>
        <v>0.29691155345148917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913.51306451612675</v>
      </c>
      <c r="R15" s="285">
        <f>SUM(P15:Q15)</f>
        <v>1068.3161030867147</v>
      </c>
      <c r="S15" s="287">
        <f>SUM(ELEC!N15)</f>
        <v>6833</v>
      </c>
      <c r="T15" s="321">
        <f>IF(S15&gt;0,R15/S15,0)</f>
        <v>0.15634656857701079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1173.261290322572</v>
      </c>
      <c r="R16" s="285">
        <f>SUM(P16:Q16)</f>
        <v>1328.0643288931599</v>
      </c>
      <c r="S16" s="287">
        <f>SUM(ELEC!N16)</f>
        <v>5512.2000000001863</v>
      </c>
      <c r="T16" s="321">
        <f>IF(S16&gt;0,R16/S16,0)</f>
        <v>0.2409318110542279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231.24000000000004</v>
      </c>
      <c r="R17" s="285">
        <f>SUM(P17:Q17)</f>
        <v>438.96244155566262</v>
      </c>
      <c r="S17" s="287">
        <f>SUM(ELEC!N17)</f>
        <v>5313.7999999998137</v>
      </c>
      <c r="T17" s="321">
        <f>IF(S17&gt;0,R17/S17,0)</f>
        <v>8.2608009626948323E-2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1208.3162903225943</v>
      </c>
      <c r="R18" s="285">
        <f t="shared" si="13"/>
        <v>1363.1193288931822</v>
      </c>
      <c r="S18" s="287">
        <f>SUM(ELEC!N18)</f>
        <v>5643</v>
      </c>
      <c r="T18" s="321">
        <f t="shared" si="16"/>
        <v>0.24155933526372181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v>1105583</v>
      </c>
      <c r="C19" s="254">
        <f t="shared" si="0"/>
        <v>597</v>
      </c>
      <c r="D19" s="295">
        <f t="shared" si="14"/>
        <v>594</v>
      </c>
      <c r="E19" s="295">
        <f t="shared" si="15"/>
        <v>1105580</v>
      </c>
      <c r="F19" s="607">
        <v>160089</v>
      </c>
      <c r="G19" s="160">
        <f t="shared" si="1"/>
        <v>0</v>
      </c>
      <c r="H19" s="607">
        <v>545420</v>
      </c>
      <c r="I19" s="161">
        <f t="shared" si="2"/>
        <v>232</v>
      </c>
      <c r="J19" s="607">
        <v>400069</v>
      </c>
      <c r="K19" s="162">
        <f t="shared" si="11"/>
        <v>362</v>
      </c>
      <c r="L19" s="284">
        <f t="shared" si="17"/>
        <v>0</v>
      </c>
      <c r="M19" s="284">
        <f t="shared" si="18"/>
        <v>17.23648424543947</v>
      </c>
      <c r="N19" s="284">
        <f t="shared" si="19"/>
        <v>19.210613598673302</v>
      </c>
      <c r="O19" s="284">
        <f t="shared" si="6"/>
        <v>154.80303857058792</v>
      </c>
      <c r="P19" s="285">
        <f t="shared" si="12"/>
        <v>191.25013641470071</v>
      </c>
      <c r="Q19" s="285">
        <f>SUM(-tanks!AX21*tanks!$AU$37)</f>
        <v>1551.9029032257947</v>
      </c>
      <c r="R19" s="285">
        <f t="shared" si="13"/>
        <v>1743.1530396404955</v>
      </c>
      <c r="S19" s="287">
        <f>SUM(ELEC!N19)</f>
        <v>9545</v>
      </c>
      <c r="T19" s="321">
        <f t="shared" si="16"/>
        <v>0.18262472913991573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1105583</v>
      </c>
      <c r="C20" s="254">
        <f t="shared" si="0"/>
        <v>0</v>
      </c>
      <c r="D20" s="295">
        <f t="shared" si="14"/>
        <v>0</v>
      </c>
      <c r="E20" s="295">
        <f t="shared" si="15"/>
        <v>1105583</v>
      </c>
      <c r="F20" s="607">
        <f t="shared" si="8"/>
        <v>160089</v>
      </c>
      <c r="G20" s="160">
        <f t="shared" si="1"/>
        <v>0</v>
      </c>
      <c r="H20" s="607">
        <f t="shared" si="9"/>
        <v>545420</v>
      </c>
      <c r="I20" s="161">
        <f t="shared" si="2"/>
        <v>0</v>
      </c>
      <c r="J20" s="624">
        <f>J19</f>
        <v>400069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1105583</v>
      </c>
      <c r="C21" s="254">
        <f t="shared" si="0"/>
        <v>0</v>
      </c>
      <c r="D21" s="295">
        <f t="shared" si="14"/>
        <v>0</v>
      </c>
      <c r="E21" s="295">
        <f t="shared" si="15"/>
        <v>1105583</v>
      </c>
      <c r="F21" s="607">
        <f t="shared" si="8"/>
        <v>160089</v>
      </c>
      <c r="G21" s="160">
        <f t="shared" si="1"/>
        <v>0</v>
      </c>
      <c r="H21" s="607">
        <f t="shared" si="9"/>
        <v>545420</v>
      </c>
      <c r="I21" s="161">
        <f t="shared" si="2"/>
        <v>0</v>
      </c>
      <c r="J21" s="607">
        <f t="shared" si="10"/>
        <v>400069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0"/>
      <c r="AC21" s="661"/>
    </row>
    <row r="22" spans="1:32" ht="20.100000000000001" customHeight="1">
      <c r="A22" s="163">
        <f>ELEC!C22</f>
        <v>44549</v>
      </c>
      <c r="B22" s="607">
        <f t="shared" si="7"/>
        <v>1105583</v>
      </c>
      <c r="C22" s="254">
        <f t="shared" si="0"/>
        <v>0</v>
      </c>
      <c r="D22" s="295">
        <f t="shared" si="14"/>
        <v>0</v>
      </c>
      <c r="E22" s="295">
        <f t="shared" si="15"/>
        <v>1105583</v>
      </c>
      <c r="F22" s="607">
        <f t="shared" si="8"/>
        <v>160089</v>
      </c>
      <c r="G22" s="160">
        <f t="shared" si="1"/>
        <v>0</v>
      </c>
      <c r="H22" s="607">
        <f t="shared" si="9"/>
        <v>545420</v>
      </c>
      <c r="I22" s="161">
        <f t="shared" si="2"/>
        <v>0</v>
      </c>
      <c r="J22" s="607">
        <f t="shared" si="10"/>
        <v>400069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1856.3477419354895</v>
      </c>
      <c r="R22" s="285">
        <f t="shared" si="13"/>
        <v>2011.1507805060774</v>
      </c>
      <c r="S22" s="287">
        <f>SUM(ELEC!N22)</f>
        <v>6388</v>
      </c>
      <c r="T22" s="321">
        <f t="shared" si="16"/>
        <v>0.31483262061773282</v>
      </c>
      <c r="V22" s="654"/>
      <c r="W22" s="655"/>
      <c r="X22" s="655"/>
      <c r="Y22" s="656"/>
      <c r="Z22" s="26" t="s">
        <v>202</v>
      </c>
      <c r="AA22" s="26">
        <v>5000</v>
      </c>
      <c r="AB22" s="662"/>
      <c r="AC22" s="663"/>
    </row>
    <row r="23" spans="1:32" ht="20.100000000000001" customHeight="1">
      <c r="A23" s="163">
        <f>ELEC!C23</f>
        <v>44550</v>
      </c>
      <c r="B23" s="607">
        <f t="shared" si="7"/>
        <v>1105583</v>
      </c>
      <c r="C23" s="254">
        <f t="shared" si="0"/>
        <v>0</v>
      </c>
      <c r="D23" s="295">
        <f t="shared" si="14"/>
        <v>0</v>
      </c>
      <c r="E23" s="295">
        <f t="shared" si="15"/>
        <v>1105583</v>
      </c>
      <c r="F23" s="607">
        <f t="shared" si="8"/>
        <v>160089</v>
      </c>
      <c r="G23" s="160">
        <f t="shared" si="1"/>
        <v>0</v>
      </c>
      <c r="H23" s="607">
        <f t="shared" si="9"/>
        <v>545420</v>
      </c>
      <c r="I23" s="161">
        <f t="shared" si="2"/>
        <v>0</v>
      </c>
      <c r="J23" s="607">
        <f t="shared" si="10"/>
        <v>400069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1095.3546774193628</v>
      </c>
      <c r="R23" s="285">
        <f t="shared" si="13"/>
        <v>1250.1577159899507</v>
      </c>
      <c r="S23" s="287">
        <f>SUM(ELEC!N23)</f>
        <v>5544</v>
      </c>
      <c r="T23" s="321">
        <f t="shared" si="16"/>
        <v>0.22549742351911087</v>
      </c>
      <c r="V23" s="657"/>
      <c r="W23" s="658"/>
      <c r="X23" s="658"/>
      <c r="Y23" s="659"/>
      <c r="Z23" s="666"/>
      <c r="AA23" s="667"/>
      <c r="AB23" s="662"/>
      <c r="AC23" s="663"/>
    </row>
    <row r="24" spans="1:32" ht="20.100000000000001" customHeight="1">
      <c r="A24" s="163">
        <f>ELEC!C24</f>
        <v>44551</v>
      </c>
      <c r="B24" s="607">
        <f t="shared" si="7"/>
        <v>1105583</v>
      </c>
      <c r="C24" s="254">
        <f t="shared" si="0"/>
        <v>0</v>
      </c>
      <c r="D24" s="295">
        <f t="shared" si="14"/>
        <v>0</v>
      </c>
      <c r="E24" s="295">
        <f t="shared" si="15"/>
        <v>1105583</v>
      </c>
      <c r="F24" s="607">
        <f t="shared" si="8"/>
        <v>160089</v>
      </c>
      <c r="G24" s="160">
        <f t="shared" si="1"/>
        <v>0</v>
      </c>
      <c r="H24" s="607">
        <f t="shared" si="9"/>
        <v>545420</v>
      </c>
      <c r="I24" s="161">
        <f t="shared" si="2"/>
        <v>0</v>
      </c>
      <c r="J24" s="607">
        <f t="shared" si="10"/>
        <v>400069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418.00161290322268</v>
      </c>
      <c r="R24" s="285">
        <f t="shared" si="13"/>
        <v>572.80465147381062</v>
      </c>
      <c r="S24" s="287">
        <f>SUM(ELEC!N24)</f>
        <v>4191</v>
      </c>
      <c r="T24" s="321">
        <f t="shared" si="16"/>
        <v>0.13667493473486295</v>
      </c>
      <c r="V24" s="649" t="s">
        <v>203</v>
      </c>
      <c r="W24" s="650"/>
      <c r="X24" s="651" t="s">
        <v>204</v>
      </c>
      <c r="Y24" s="652"/>
      <c r="Z24" s="653"/>
      <c r="AA24" s="170"/>
      <c r="AB24" s="664"/>
      <c r="AC24" s="665"/>
    </row>
    <row r="25" spans="1:32" ht="20.100000000000001" customHeight="1">
      <c r="A25" s="163">
        <f>ELEC!C25</f>
        <v>44552</v>
      </c>
      <c r="B25" s="607">
        <f t="shared" si="7"/>
        <v>1105583</v>
      </c>
      <c r="C25" s="254">
        <f t="shared" si="0"/>
        <v>0</v>
      </c>
      <c r="D25" s="295">
        <f t="shared" si="14"/>
        <v>0</v>
      </c>
      <c r="E25" s="295">
        <f t="shared" si="15"/>
        <v>1105583</v>
      </c>
      <c r="F25" s="607">
        <f t="shared" si="8"/>
        <v>160089</v>
      </c>
      <c r="G25" s="160">
        <f t="shared" si="1"/>
        <v>0</v>
      </c>
      <c r="H25" s="607">
        <f t="shared" si="9"/>
        <v>545420</v>
      </c>
      <c r="I25" s="161">
        <f t="shared" si="2"/>
        <v>0</v>
      </c>
      <c r="J25" s="607">
        <f t="shared" si="10"/>
        <v>400069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1105583</v>
      </c>
      <c r="C26" s="254">
        <f t="shared" si="0"/>
        <v>0</v>
      </c>
      <c r="D26" s="295">
        <f t="shared" si="14"/>
        <v>0</v>
      </c>
      <c r="E26" s="295">
        <f t="shared" si="15"/>
        <v>1105583</v>
      </c>
      <c r="F26" s="607">
        <f t="shared" si="8"/>
        <v>160089</v>
      </c>
      <c r="G26" s="160">
        <f t="shared" si="1"/>
        <v>0</v>
      </c>
      <c r="H26" s="607">
        <f t="shared" si="9"/>
        <v>545420</v>
      </c>
      <c r="I26" s="161">
        <f t="shared" si="2"/>
        <v>0</v>
      </c>
      <c r="J26" s="607">
        <f t="shared" si="10"/>
        <v>400069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400069</v>
      </c>
      <c r="X26" s="172" t="s">
        <v>199</v>
      </c>
      <c r="Y26" s="172">
        <v>80</v>
      </c>
      <c r="Z26" s="172">
        <v>1</v>
      </c>
      <c r="AA26" s="323">
        <f>(W26-V26)*Z26</f>
        <v>453</v>
      </c>
      <c r="AB26" s="323">
        <f>AA26*Y26</f>
        <v>36240</v>
      </c>
      <c r="AC26" s="244">
        <f>AC9</f>
        <v>1033333</v>
      </c>
      <c r="AD26" s="476">
        <f>SUM(K36)</f>
        <v>0.17263719512195122</v>
      </c>
    </row>
    <row r="27" spans="1:32" ht="20.100000000000001" customHeight="1">
      <c r="A27" s="163">
        <f>ELEC!C27</f>
        <v>44554</v>
      </c>
      <c r="B27" s="607">
        <f t="shared" si="7"/>
        <v>1105583</v>
      </c>
      <c r="C27" s="254">
        <f t="shared" si="0"/>
        <v>0</v>
      </c>
      <c r="D27" s="295">
        <f t="shared" si="14"/>
        <v>0</v>
      </c>
      <c r="E27" s="295">
        <f t="shared" si="15"/>
        <v>1105583</v>
      </c>
      <c r="F27" s="607">
        <f t="shared" si="8"/>
        <v>160089</v>
      </c>
      <c r="G27" s="160">
        <f t="shared" si="1"/>
        <v>0</v>
      </c>
      <c r="H27" s="607">
        <f t="shared" si="9"/>
        <v>545420</v>
      </c>
      <c r="I27" s="161">
        <f t="shared" si="2"/>
        <v>0</v>
      </c>
      <c r="J27" s="607">
        <f t="shared" si="10"/>
        <v>400069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545420</v>
      </c>
      <c r="X27" s="172" t="s">
        <v>212</v>
      </c>
      <c r="Y27" s="172">
        <v>112</v>
      </c>
      <c r="Z27" s="172">
        <v>1</v>
      </c>
      <c r="AA27" s="323">
        <f>(W27-V27)*Z27</f>
        <v>1949</v>
      </c>
      <c r="AB27" s="323">
        <f>SUM(AA27*Y27)</f>
        <v>218288</v>
      </c>
      <c r="AC27" s="244">
        <f>AC10</f>
        <v>6200000</v>
      </c>
      <c r="AD27" s="476">
        <f>SUM(I36)</f>
        <v>0.74275914634146356</v>
      </c>
    </row>
    <row r="28" spans="1:32" ht="20.100000000000001" customHeight="1">
      <c r="A28" s="163">
        <f>ELEC!C28</f>
        <v>44555</v>
      </c>
      <c r="B28" s="607">
        <f t="shared" si="7"/>
        <v>1105583</v>
      </c>
      <c r="C28" s="254">
        <f t="shared" si="0"/>
        <v>0</v>
      </c>
      <c r="D28" s="295">
        <f t="shared" si="14"/>
        <v>0</v>
      </c>
      <c r="E28" s="295">
        <f>B27+D28</f>
        <v>1105583</v>
      </c>
      <c r="F28" s="607">
        <f t="shared" si="8"/>
        <v>160089</v>
      </c>
      <c r="G28" s="160">
        <f t="shared" si="1"/>
        <v>0</v>
      </c>
      <c r="H28" s="607">
        <f t="shared" si="9"/>
        <v>545420</v>
      </c>
      <c r="I28" s="161">
        <f t="shared" si="2"/>
        <v>0</v>
      </c>
      <c r="J28" s="607">
        <f t="shared" si="10"/>
        <v>400069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8.2317073170731711E-2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1105583</v>
      </c>
      <c r="C29" s="254">
        <f t="shared" si="0"/>
        <v>0</v>
      </c>
      <c r="D29" s="295">
        <f t="shared" si="14"/>
        <v>0</v>
      </c>
      <c r="E29" s="295">
        <f>B28+D29</f>
        <v>1105583</v>
      </c>
      <c r="F29" s="607">
        <f t="shared" si="8"/>
        <v>160089</v>
      </c>
      <c r="G29" s="160">
        <f t="shared" si="1"/>
        <v>0</v>
      </c>
      <c r="H29" s="607">
        <f t="shared" si="9"/>
        <v>545420</v>
      </c>
      <c r="I29" s="161">
        <f t="shared" si="2"/>
        <v>0</v>
      </c>
      <c r="J29" s="607">
        <f t="shared" si="10"/>
        <v>400069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2618</v>
      </c>
      <c r="AB29" s="323">
        <f>SUM(AB26:AB28)</f>
        <v>323648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1105583</v>
      </c>
      <c r="C30" s="254">
        <f t="shared" si="0"/>
        <v>0</v>
      </c>
      <c r="D30" s="295">
        <f t="shared" si="14"/>
        <v>0</v>
      </c>
      <c r="E30" s="295">
        <f t="shared" si="15"/>
        <v>1105583</v>
      </c>
      <c r="F30" s="607">
        <f t="shared" si="8"/>
        <v>160089</v>
      </c>
      <c r="G30" s="160">
        <f t="shared" si="1"/>
        <v>0</v>
      </c>
      <c r="H30" s="607">
        <f t="shared" si="9"/>
        <v>545420</v>
      </c>
      <c r="I30" s="161">
        <f t="shared" si="2"/>
        <v>0</v>
      </c>
      <c r="J30" s="607">
        <f t="shared" si="10"/>
        <v>400069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7557981</v>
      </c>
      <c r="AC30" s="244"/>
    </row>
    <row r="31" spans="1:32" ht="20.100000000000001" customHeight="1">
      <c r="A31" s="163">
        <f>ELEC!C31</f>
        <v>44558</v>
      </c>
      <c r="B31" s="607">
        <f t="shared" si="7"/>
        <v>1105583</v>
      </c>
      <c r="C31" s="254">
        <f>SUM(B31-B30)</f>
        <v>0</v>
      </c>
      <c r="D31" s="295">
        <f t="shared" si="14"/>
        <v>0</v>
      </c>
      <c r="E31" s="295">
        <f>B30+D31</f>
        <v>1105583</v>
      </c>
      <c r="F31" s="607">
        <f t="shared" si="8"/>
        <v>160089</v>
      </c>
      <c r="G31" s="160">
        <f>F31-F30</f>
        <v>0</v>
      </c>
      <c r="H31" s="607">
        <f t="shared" si="9"/>
        <v>545420</v>
      </c>
      <c r="I31" s="161">
        <f>H31-H30</f>
        <v>0</v>
      </c>
      <c r="J31" s="607">
        <f t="shared" si="10"/>
        <v>400069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1105583</v>
      </c>
      <c r="C32" s="254">
        <f>SUM(B32-B31)</f>
        <v>0</v>
      </c>
      <c r="D32" s="295">
        <f t="shared" si="14"/>
        <v>0</v>
      </c>
      <c r="E32" s="295">
        <f>B31+D32</f>
        <v>1105583</v>
      </c>
      <c r="F32" s="607">
        <f t="shared" si="8"/>
        <v>160089</v>
      </c>
      <c r="G32" s="160">
        <f>F32-F31</f>
        <v>0</v>
      </c>
      <c r="H32" s="607">
        <f t="shared" si="9"/>
        <v>545420</v>
      </c>
      <c r="I32" s="161">
        <f>H32-H31</f>
        <v>0</v>
      </c>
      <c r="J32" s="607">
        <f t="shared" si="10"/>
        <v>400069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167</v>
      </c>
      <c r="X32" s="222">
        <f>SUM(W32/A35)</f>
        <v>23.857142857142858</v>
      </c>
      <c r="Y32" s="250">
        <f>SUM(X32/1)</f>
        <v>23.857142857142858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1105583</v>
      </c>
      <c r="C33" s="254">
        <f>SUM(B33-B32)</f>
        <v>0</v>
      </c>
      <c r="D33" s="295">
        <f t="shared" si="14"/>
        <v>0</v>
      </c>
      <c r="E33" s="295">
        <f>B32+D33</f>
        <v>1105583</v>
      </c>
      <c r="F33" s="607">
        <f t="shared" si="8"/>
        <v>160089</v>
      </c>
      <c r="G33" s="160">
        <f>F33-F32</f>
        <v>0</v>
      </c>
      <c r="H33" s="607">
        <f t="shared" si="9"/>
        <v>545420</v>
      </c>
      <c r="I33" s="161">
        <f>H33-H32</f>
        <v>0</v>
      </c>
      <c r="J33" s="607">
        <f t="shared" si="10"/>
        <v>400069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831377.91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1105583</v>
      </c>
      <c r="C34" s="254">
        <f>SUM(B34-B33)</f>
        <v>0</v>
      </c>
      <c r="D34" s="295">
        <f t="shared" ref="D34" si="20">SUM(G34+I34+K34)</f>
        <v>0</v>
      </c>
      <c r="E34" s="295">
        <f>B33+D34</f>
        <v>1105583</v>
      </c>
      <c r="F34" s="607">
        <f t="shared" si="8"/>
        <v>160089</v>
      </c>
      <c r="G34" s="160">
        <f>F34-F33</f>
        <v>0</v>
      </c>
      <c r="H34" s="607">
        <f t="shared" si="9"/>
        <v>545420</v>
      </c>
      <c r="I34" s="161">
        <f>H34-H33</f>
        <v>0</v>
      </c>
      <c r="J34" s="607">
        <f t="shared" si="10"/>
        <v>400069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8389358.9100000001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374.85714285714283</v>
      </c>
      <c r="D35" s="173"/>
      <c r="E35" s="173"/>
      <c r="F35" s="568"/>
      <c r="G35" s="568">
        <f>SUM(G4:G34)/A35</f>
        <v>30.857142857142858</v>
      </c>
      <c r="H35" s="173"/>
      <c r="I35" s="173">
        <f>SUM(I4:I34)/A35</f>
        <v>278.42857142857144</v>
      </c>
      <c r="K35" s="173">
        <f>SUM(K4:K34)/A35</f>
        <v>64.714285714285708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0.99771341463414642</v>
      </c>
      <c r="G36" s="225">
        <f>IF(C35&gt;0,G35/C35,0)</f>
        <v>8.2317073170731711E-2</v>
      </c>
      <c r="H36" s="212"/>
      <c r="I36" s="225">
        <f>SUM(I35/C35)</f>
        <v>0.74275914634146356</v>
      </c>
      <c r="J36" s="212"/>
      <c r="K36" s="225">
        <f>SUM(K35/C35)</f>
        <v>0.17263719512195122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5013.5860696517411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5013.5860696517411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8"/>
      <c r="AC45" s="668"/>
      <c r="AD45" s="543"/>
      <c r="AE45" s="17"/>
      <c r="AF45" s="17"/>
    </row>
    <row r="46" spans="1:32">
      <c r="V46" s="668"/>
      <c r="W46" s="668"/>
      <c r="X46" s="668"/>
      <c r="Y46" s="668"/>
      <c r="Z46" s="508"/>
      <c r="AA46" s="508"/>
      <c r="AB46" s="668"/>
      <c r="AC46" s="668"/>
      <c r="AD46" s="543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43"/>
      <c r="AE47" s="17"/>
      <c r="AF47" s="17"/>
    </row>
    <row r="48" spans="1:32">
      <c r="V48" s="669"/>
      <c r="W48" s="669"/>
      <c r="X48" s="670"/>
      <c r="Y48" s="670"/>
      <c r="Z48" s="670"/>
      <c r="AA48" s="509"/>
      <c r="AB48" s="668"/>
      <c r="AC48" s="66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5" sqref="F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>
        <v>18</v>
      </c>
      <c r="C20" s="37">
        <v>13</v>
      </c>
      <c r="D20" s="26">
        <f>(C20+B20)/2</f>
        <v>15.5</v>
      </c>
      <c r="E20" s="325">
        <v>0.72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>
        <v>19</v>
      </c>
      <c r="C23" s="37">
        <v>14</v>
      </c>
      <c r="D23" s="26">
        <f>(C23+B23)/2</f>
        <v>16.5</v>
      </c>
      <c r="E23" s="378">
        <v>0.5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>
        <v>17</v>
      </c>
      <c r="C24" s="37">
        <v>9</v>
      </c>
      <c r="D24" s="26">
        <f t="shared" si="3"/>
        <v>13</v>
      </c>
      <c r="E24" s="325">
        <v>0.61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>
        <v>18</v>
      </c>
      <c r="C25" s="37">
        <v>14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37.857142857142854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5643</v>
      </c>
      <c r="D16" s="3">
        <f t="shared" si="0"/>
        <v>469.00000000093132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9545</v>
      </c>
      <c r="D17" s="3">
        <f t="shared" si="0"/>
        <v>-377.0000000022992</v>
      </c>
      <c r="E17" s="3">
        <f>ELEC!Q19</f>
        <v>9922.0000000022992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-2.1999999999999886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20</v>
      </c>
      <c r="G18" s="3">
        <f>WATER!C21+WATER!H21</f>
        <v>0</v>
      </c>
      <c r="H18" s="3">
        <f>WATER!L21</f>
        <v>0</v>
      </c>
      <c r="I18" s="15">
        <f>WATER!BC21+WATER!BD21+WATER!BE22-Sheet1!G18</f>
        <v>2.8999999999999773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2</v>
      </c>
      <c r="B20" s="3">
        <f>ELEC!AF22</f>
        <v>395</v>
      </c>
      <c r="C20" s="3">
        <f>ELEC!N22</f>
        <v>6388</v>
      </c>
      <c r="D20" s="3">
        <f t="shared" si="0"/>
        <v>1029.9999999998254</v>
      </c>
      <c r="E20" s="3">
        <f>ELEC!Q22</f>
        <v>5358.0000000001746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-27.19999999999996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5544</v>
      </c>
      <c r="D21" s="3">
        <f t="shared" si="0"/>
        <v>-157.99999999749707</v>
      </c>
      <c r="E21" s="3">
        <f>ELEC!Q23</f>
        <v>5701.9999999974971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-30.099999999999994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4191</v>
      </c>
      <c r="D22" s="3">
        <f t="shared" si="0"/>
        <v>-2210.0000000016589</v>
      </c>
      <c r="E22" s="3">
        <f>ELEC!Q24</f>
        <v>6401.0000000016589</v>
      </c>
      <c r="F22" s="3">
        <f>GEN!Z22</f>
        <v>11</v>
      </c>
      <c r="G22" s="3">
        <f>WATER!C25+WATER!H25</f>
        <v>0</v>
      </c>
      <c r="H22" s="3">
        <f>WATER!L25</f>
        <v>2</v>
      </c>
      <c r="I22" s="15">
        <f>WATER!BC25+WATER!BD25+WATER!BE26-Sheet1!G22</f>
        <v>-8.6999999999999886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-5.7999999999999545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1" t="s">
        <v>119</v>
      </c>
      <c r="C1" s="681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78" t="s">
        <v>115</v>
      </c>
      <c r="I1" s="679" t="s">
        <v>116</v>
      </c>
      <c r="J1" s="678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84"/>
      <c r="B2" s="682"/>
      <c r="C2" s="682"/>
      <c r="D2" s="685"/>
      <c r="E2" s="685"/>
      <c r="F2" s="686"/>
      <c r="G2" s="687"/>
      <c r="H2" s="678"/>
      <c r="I2" s="680"/>
      <c r="J2" s="678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469.00000000093132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2553.7637130807607</v>
      </c>
      <c r="E20" s="239">
        <f t="shared" si="0"/>
        <v>2553.7637130807607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9922.0000000022992</v>
      </c>
      <c r="J20" s="79">
        <f>ELEC!R19</f>
        <v>-377.0000000022992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2.8999999999999773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285</v>
      </c>
      <c r="C23" s="76">
        <f>'B5'!AH23</f>
        <v>0</v>
      </c>
      <c r="D23" s="76">
        <f>GEN!AI21</f>
        <v>1379.0632911392856</v>
      </c>
      <c r="E23" s="239">
        <f t="shared" si="0"/>
        <v>1664.0632911392856</v>
      </c>
      <c r="F23" s="75">
        <f>WATER!L23</f>
        <v>0</v>
      </c>
      <c r="G23" s="78">
        <f>WATER!BG23</f>
        <v>0</v>
      </c>
      <c r="H23" s="79">
        <f>ELEC!AF22</f>
        <v>395</v>
      </c>
      <c r="I23" s="79">
        <f>ELEC!Q22</f>
        <v>5358.0000000001746</v>
      </c>
      <c r="J23" s="79">
        <f>ELEC!R22</f>
        <v>1029.9999999998254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199</v>
      </c>
      <c r="C24" s="76">
        <f>'B5'!AH24</f>
        <v>0</v>
      </c>
      <c r="D24" s="76">
        <f>GEN!AI22</f>
        <v>1467.603375526782</v>
      </c>
      <c r="E24" s="239">
        <f t="shared" si="0"/>
        <v>1666.603375526782</v>
      </c>
      <c r="F24" s="75">
        <f>WATER!L24</f>
        <v>0</v>
      </c>
      <c r="G24" s="78">
        <f>WATER!BG24</f>
        <v>-27.19999999999996</v>
      </c>
      <c r="H24" s="79">
        <f>ELEC!AF23</f>
        <v>0</v>
      </c>
      <c r="I24" s="79">
        <f>ELEC!Q23</f>
        <v>5701.9999999974971</v>
      </c>
      <c r="J24" s="79">
        <f>ELEC!R23</f>
        <v>-157.99999999749707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120</v>
      </c>
      <c r="C25" s="76">
        <f>'B5'!AH25</f>
        <v>0</v>
      </c>
      <c r="D25" s="76">
        <f>GEN!AI23</f>
        <v>1647.5147679329166</v>
      </c>
      <c r="E25" s="239">
        <f t="shared" si="0"/>
        <v>1767.5147679329166</v>
      </c>
      <c r="F25" s="75">
        <f>WATER!L25</f>
        <v>2</v>
      </c>
      <c r="G25" s="78">
        <f>WATER!BG25</f>
        <v>-2.9000000000000341</v>
      </c>
      <c r="H25" s="79">
        <f>ELEC!AF24</f>
        <v>0</v>
      </c>
      <c r="I25" s="79">
        <f>ELEC!Q24</f>
        <v>6401.0000000016589</v>
      </c>
      <c r="J25" s="79">
        <f>ELEC!R24</f>
        <v>-2210.0000000016589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-5.7999999999999545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>
        <v>2.5</v>
      </c>
      <c r="C21" s="608">
        <v>7.9</v>
      </c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>
        <v>1</v>
      </c>
      <c r="C25" s="608">
        <v>7.8</v>
      </c>
      <c r="D25" s="608">
        <v>0</v>
      </c>
      <c r="E25" s="608">
        <v>0</v>
      </c>
      <c r="F25" s="608">
        <v>0</v>
      </c>
      <c r="G25" s="608">
        <v>0</v>
      </c>
      <c r="H25" s="604">
        <v>6971</v>
      </c>
      <c r="I25" s="602">
        <f t="shared" si="4"/>
        <v>2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>
        <v>1.4</v>
      </c>
      <c r="C26" s="608">
        <v>8</v>
      </c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6971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6971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6971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6971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6971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6971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6971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6971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6971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6971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6971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404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18</v>
      </c>
      <c r="W63" s="261">
        <f>'General information '!C20</f>
        <v>13</v>
      </c>
      <c r="X63" s="119">
        <f t="shared" si="5"/>
        <v>-2.8000000000000007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19</v>
      </c>
      <c r="W66" s="261">
        <f>'General information '!C23</f>
        <v>14</v>
      </c>
      <c r="X66" s="119">
        <f t="shared" si="5"/>
        <v>-1.8000000000000007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17</v>
      </c>
      <c r="W67" s="261">
        <f>'General information '!C24</f>
        <v>9</v>
      </c>
      <c r="X67" s="119">
        <f t="shared" si="5"/>
        <v>-5.3000000000000007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18</v>
      </c>
      <c r="W68" s="261">
        <f>'General information '!C25</f>
        <v>14</v>
      </c>
      <c r="X68" s="119">
        <f t="shared" si="5"/>
        <v>-2.3000000000000007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-308.70000000000005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-1633.7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332</v>
      </c>
      <c r="C7" s="184">
        <v>8200</v>
      </c>
      <c r="D7" s="187">
        <f>SUM(C7)*D4</f>
        <v>12361500</v>
      </c>
      <c r="E7" s="185">
        <f>SUM(I7/G4)</f>
        <v>414.33333333333331</v>
      </c>
      <c r="F7" s="185">
        <f>SUM(E7*F4)</f>
        <v>12844.333333333332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30000</v>
      </c>
      <c r="C8" s="466">
        <f>SUM(tanks!AU37)</f>
        <v>0.6150000000000001</v>
      </c>
      <c r="D8" s="191">
        <f>SUM(B8*C8)*D4</f>
        <v>27813375.000000004</v>
      </c>
      <c r="E8" s="192">
        <f>SUM(D8/D4/F4)</f>
        <v>595.16129032258073</v>
      </c>
      <c r="F8" s="192">
        <f>SUM(E8*F4)</f>
        <v>18450.000000000004</v>
      </c>
      <c r="G8" s="574">
        <f>E8*$G$4</f>
        <v>12498.387096774195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2618</v>
      </c>
      <c r="C10" s="181"/>
      <c r="D10" s="183">
        <f>'EDl log'!AB30</f>
        <v>7557981</v>
      </c>
      <c r="E10" s="182">
        <f>SUM(D10/D4/F4)</f>
        <v>161.72858289199164</v>
      </c>
      <c r="F10" s="182">
        <f>SUM(E10*F4)</f>
        <v>5013.5860696517411</v>
      </c>
      <c r="G10" s="478">
        <f>E10*$G$4</f>
        <v>3396.3002407318245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1171.2232065479056</v>
      </c>
      <c r="F12" s="180">
        <f>SUM(F6:F10)</f>
        <v>36307.919402985077</v>
      </c>
      <c r="G12" s="179">
        <f>SUM(G6:G10)</f>
        <v>24094.68733750602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-56034.21266249397</v>
      </c>
      <c r="I14" s="406">
        <f>SUM(G12-I12)</f>
        <v>-27149.232382924089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37.857142857142854</v>
      </c>
      <c r="C16" s="416">
        <f>'[17]Utility Cost '!B16</f>
        <v>16.903225806451612</v>
      </c>
      <c r="D16" s="415"/>
      <c r="E16" s="580">
        <f>B16-C16</f>
        <v>20.953917050691242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167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55</v>
      </c>
      <c r="F18" s="495">
        <f>B18-D18</f>
        <v>-35.666666666666657</v>
      </c>
    </row>
    <row r="19" spans="1:10">
      <c r="A19" s="489" t="s">
        <v>412</v>
      </c>
      <c r="B19" s="493">
        <f>GEN!AL34</f>
        <v>15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11.133333333333333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2021-12-22T09:16:13Z</dcterms:modified>
</cp:coreProperties>
</file>