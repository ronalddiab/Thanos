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8 - 2021" sheetId="5" r:id="rId3"/>
  </sheets>
  <definedNames>
    <definedName name="_xlnm.Print_Area" localSheetId="2">'8 - 2021'!$A$1:$J$35</definedName>
  </definedNames>
  <calcPr calcId="162913"/>
</workbook>
</file>

<file path=xl/calcChain.xml><?xml version="1.0" encoding="utf-8"?>
<calcChain xmlns="http://schemas.openxmlformats.org/spreadsheetml/2006/main"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J16" i="2" l="1"/>
  <c r="I16" i="2"/>
  <c r="H16" i="2"/>
  <c r="F16" i="2"/>
  <c r="E16" i="2"/>
  <c r="L16" i="3"/>
  <c r="K16" i="3"/>
  <c r="I16" i="3"/>
  <c r="G16" i="3"/>
  <c r="E16" i="3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L7" i="3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A8" i="5" l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K39" i="5" l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I26" i="2"/>
  <c r="H26" i="2"/>
  <c r="J26" i="2"/>
  <c r="F26" i="2"/>
  <c r="E26" i="2"/>
  <c r="L22" i="3" l="1"/>
  <c r="K22" i="3"/>
  <c r="I22" i="3"/>
  <c r="G22" i="3"/>
  <c r="E22" i="3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J8" i="2" l="1"/>
  <c r="I8" i="2"/>
  <c r="H8" i="2"/>
  <c r="F8" i="2"/>
  <c r="E8" i="2"/>
  <c r="L32" i="3" l="1"/>
  <c r="K32" i="3"/>
  <c r="I32" i="3"/>
  <c r="G32" i="3"/>
  <c r="E32" i="3"/>
  <c r="J32" i="2"/>
  <c r="I32" i="2"/>
  <c r="H32" i="2"/>
  <c r="F32" i="2"/>
  <c r="E32" i="2"/>
  <c r="B39" i="5"/>
  <c r="C39" i="5"/>
  <c r="D39" i="5"/>
  <c r="E39" i="5"/>
  <c r="F39" i="5"/>
  <c r="G39" i="5"/>
  <c r="H39" i="5"/>
  <c r="I39" i="5"/>
  <c r="J39" i="5"/>
  <c r="B32" i="3"/>
  <c r="B32" i="2"/>
  <c r="J22" i="2" l="1"/>
  <c r="I22" i="2"/>
  <c r="H22" i="2"/>
  <c r="F22" i="2"/>
  <c r="E22" i="2"/>
  <c r="L2" i="3" l="1"/>
  <c r="K2" i="3"/>
  <c r="I2" i="3"/>
  <c r="G2" i="3" l="1"/>
  <c r="E2" i="3"/>
  <c r="E2" i="2"/>
  <c r="J2" i="2" l="1"/>
  <c r="I2" i="2"/>
  <c r="H2" i="2"/>
  <c r="F2" i="2"/>
  <c r="I40" i="5" l="1"/>
  <c r="H40" i="5" l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<sst xmlns="http://schemas.openxmlformats.org/spreadsheetml/2006/main" count="107" uniqueCount="38">
  <si>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</si>
  <si>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</si>
  <si>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</si>
  <si>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</si>
  <si>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</si>
  <si>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</si>
  <si>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</si>
  <si>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</si>
  <si>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</si>
  <si>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</si>
  <si>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</si>
  <si>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</si>
  <si>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</si>
  <si>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</si>
  <si>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</si>
  <si>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</si>
  <si>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</si>
  <si>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</si>
  <si>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</si>
  <si>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</si>
  <si>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</si>
  <si>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</si>
  <si>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</si>
  <si>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</si>
  <si>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</si>
  <si>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</si>
  <si>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</si>
  <si>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</si>
  <si>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</si>
  <si>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</si>
  <si>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</si>
  <si>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</si>
  <si>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</si>
  <si>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</si>
  <si>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</si>
  <si>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</si>
  <si>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</si>
  <si>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AUGUST'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</si>
</sst>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 vertical="center"/>
    </xf>
    <xf numFmtId="43" fontId="6" fillId="2" borderId="1" xfId="2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5" fillId="0" borderId="20" xfId="2" applyFont="1" applyBorder="1" applyAlignment="1">
      <alignment horizontal="center"/>
    </xf>
    <xf numFmtId="9" fontId="5" fillId="0" borderId="20" xfId="0" applyNumberFormat="1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43" fontId="5" fillId="0" borderId="4" xfId="2" applyFont="1" applyBorder="1" applyAlignment="1">
      <alignment horizontal="center" wrapText="1"/>
    </xf>
    <xf numFmtId="1" fontId="5" fillId="0" borderId="4" xfId="0" applyNumberFormat="1" applyFont="1" applyBorder="1" applyAlignment="1">
      <alignment horizontal="center"/>
    </xf>
    <xf numFmtId="43" fontId="5" fillId="0" borderId="4" xfId="2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43" fontId="5" fillId="0" borderId="16" xfId="2" applyFont="1" applyBorder="1" applyAlignment="1">
      <alignment horizontal="center" vertical="center"/>
    </xf>
    <xf numFmtId="43" fontId="5" fillId="2" borderId="16" xfId="2" applyFont="1" applyFill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43" fontId="5" fillId="0" borderId="16" xfId="2" applyFont="1" applyFill="1" applyBorder="1" applyAlignment="1" applyProtection="1">
      <alignment horizontal="center" vertical="center"/>
      <protection locked="0"/>
    </xf>
    <xf numFmtId="43" fontId="5" fillId="0" borderId="16" xfId="2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43" fontId="5" fillId="0" borderId="17" xfId="2" applyFont="1" applyBorder="1" applyAlignment="1">
      <alignment horizontal="center"/>
    </xf>
    <xf numFmtId="43" fontId="4" fillId="0" borderId="1" xfId="2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4" fillId="0" borderId="1" xfId="2" applyFont="1" applyBorder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4" fillId="0" borderId="1" xfId="2" applyFont="1" applyFill="1" applyBorder="1" applyAlignment="1">
      <alignment horizontal="center" vertical="center"/>
    </xf>
    <xf numFmtId="43" fontId="4" fillId="0" borderId="0" xfId="2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R12" sqref="R12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3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8</v>
      </c>
      <c r="D2">
        <v>2021</v>
      </c>
      <c r="E2" s="18">
        <f>'8 - 2021'!B8-'8 - 2021'!B7+'8 - 2021'!C8-'8 - 2021'!C7</f>
        <v>9590</v>
      </c>
      <c r="F2" s="16">
        <v>0.11799999999999999</v>
      </c>
      <c r="G2" s="18">
        <f>'8 - 2021'!D8-'8 - 2021'!D7+'8 - 2021'!E8-'8 - 2021'!E7</f>
        <v>22.099999999999454</v>
      </c>
      <c r="H2" s="16">
        <v>0.99</v>
      </c>
      <c r="I2" s="18">
        <f>'8 - 2021'!J8-'8 - 2021'!J7</f>
        <v>44544</v>
      </c>
      <c r="J2" s="16">
        <v>8.1000000000000003E-2</v>
      </c>
      <c r="K2" s="34">
        <f>'8 - 2021'!H8-'8 - 2021'!H7</f>
        <v>0</v>
      </c>
      <c r="L2" s="18">
        <f>'8 - 2021'!I8-'8 - 2021'!I7</f>
        <v>86</v>
      </c>
      <c r="M2" s="17">
        <v>4.393629424766913</v>
      </c>
      <c r="N2" s="18">
        <v>26</v>
      </c>
    </row>
    <row r="3" spans="1:21" x14ac:dyDescent="0.25">
      <c r="A3" t="s">
        <v>27</v>
      </c>
      <c r="B3">
        <f>B2+1</f>
        <v>2</v>
      </c>
      <c r="C3" s="16">
        <v>8</v>
      </c>
      <c r="D3" s="16">
        <v>2021</v>
      </c>
      <c r="E3" s="18">
        <f>'8 - 2021'!B9-'8 - 2021'!B8+'8 - 2021'!C9-'8 - 2021'!C8</f>
        <v>9334</v>
      </c>
      <c r="F3" s="16">
        <v>0.11799999999999999</v>
      </c>
      <c r="G3" s="18">
        <f>'8 - 2021'!D9-'8 - 2021'!D8+'8 - 2021'!E9-'8 - 2021'!E8</f>
        <v>19.980000000000473</v>
      </c>
      <c r="H3" s="16">
        <v>0.99</v>
      </c>
      <c r="I3" s="18">
        <f>'8 - 2021'!J9-'8 - 2021'!J8</f>
        <v>38184</v>
      </c>
      <c r="J3" s="16">
        <v>8.1000000000000003E-2</v>
      </c>
      <c r="K3" s="34">
        <f>'8 - 2021'!H9-'8 - 2021'!H8</f>
        <v>0</v>
      </c>
      <c r="L3" s="18">
        <f>'8 - 2021'!I9-'8 - 2021'!I8</f>
        <v>84</v>
      </c>
      <c r="M3" s="17">
        <v>4.393629424766913</v>
      </c>
      <c r="N3" s="28">
        <v>25</v>
      </c>
    </row>
    <row r="4" spans="1:21" x14ac:dyDescent="0.25">
      <c r="A4" t="s">
        <v>27</v>
      </c>
      <c r="B4">
        <f t="shared" ref="B4:B32" si="0">B3+1</f>
        <v>3</v>
      </c>
      <c r="C4" s="16">
        <v>8</v>
      </c>
      <c r="D4" s="16">
        <v>2021</v>
      </c>
      <c r="E4" s="18">
        <f>'8 - 2021'!B10-'8 - 2021'!B9+'8 - 2021'!C10-'8 - 2021'!C9</f>
        <v>9379</v>
      </c>
      <c r="F4" s="16">
        <v>0.11799999999999999</v>
      </c>
      <c r="G4" s="18">
        <f>'8 - 2021'!D10-'8 - 2021'!D9+'8 - 2021'!E10-'8 - 2021'!E9</f>
        <v>22.389999999999418</v>
      </c>
      <c r="H4" s="16">
        <v>0.99</v>
      </c>
      <c r="I4" s="18">
        <f>'8 - 2021'!J10-'8 - 2021'!J9</f>
        <v>34664</v>
      </c>
      <c r="J4" s="16">
        <v>8.1000000000000003E-2</v>
      </c>
      <c r="K4" s="34">
        <f>'8 - 2021'!H10-'8 - 2021'!H9</f>
        <v>0</v>
      </c>
      <c r="L4" s="18">
        <f>'8 - 2021'!I10-'8 - 2021'!I9</f>
        <v>88</v>
      </c>
      <c r="M4" s="17">
        <v>4.393629424766913</v>
      </c>
      <c r="N4" s="28">
        <v>24</v>
      </c>
    </row>
    <row r="5" spans="1:21" x14ac:dyDescent="0.25">
      <c r="A5" t="s">
        <v>27</v>
      </c>
      <c r="B5">
        <f t="shared" si="0"/>
        <v>4</v>
      </c>
      <c r="C5" s="16">
        <v>8</v>
      </c>
      <c r="D5" s="16">
        <v>2021</v>
      </c>
      <c r="E5" s="18">
        <f>'8 - 2021'!B11-'8 - 2021'!B10+'8 - 2021'!C11-'8 - 2021'!C10</f>
        <v>9563</v>
      </c>
      <c r="F5" s="16">
        <v>0.11799999999999999</v>
      </c>
      <c r="G5" s="18">
        <f>'8 - 2021'!D11-'8 - 2021'!D10+'8 - 2021'!E11-'8 - 2021'!E10</f>
        <v>25.3700000000008</v>
      </c>
      <c r="H5" s="16">
        <v>0.99</v>
      </c>
      <c r="I5" s="18">
        <f>'8 - 2021'!J11-'8 - 2021'!J10</f>
        <v>38412</v>
      </c>
      <c r="J5" s="16">
        <v>8.1000000000000003E-2</v>
      </c>
      <c r="K5" s="34">
        <f>'8 - 2021'!H11-'8 - 2021'!H10</f>
        <v>0</v>
      </c>
      <c r="L5" s="18">
        <f>'8 - 2021'!I11-'8 - 2021'!I10</f>
        <v>84</v>
      </c>
      <c r="M5" s="17">
        <v>4.393629424766913</v>
      </c>
      <c r="N5" s="28">
        <v>28</v>
      </c>
      <c r="R5" s="16"/>
    </row>
    <row r="6" spans="1:21" x14ac:dyDescent="0.25">
      <c r="A6" t="s">
        <v>27</v>
      </c>
      <c r="B6">
        <f t="shared" si="0"/>
        <v>5</v>
      </c>
      <c r="C6" s="16">
        <v>8</v>
      </c>
      <c r="D6" s="16">
        <v>2021</v>
      </c>
      <c r="E6" s="18">
        <f>'8 - 2021'!B12-'8 - 2021'!B11+'8 - 2021'!C12-'8 - 2021'!C11</f>
        <v>9291</v>
      </c>
      <c r="F6" s="16">
        <v>0.11799999999999999</v>
      </c>
      <c r="G6" s="18">
        <f>'8 - 2021'!D12-'8 - 2021'!D11+'8 - 2021'!E12-'8 - 2021'!E11</f>
        <v>24.220000000000255</v>
      </c>
      <c r="H6" s="16">
        <v>0.99</v>
      </c>
      <c r="I6" s="18">
        <f>'8 - 2021'!J12-'8 - 2021'!J11</f>
        <v>39157</v>
      </c>
      <c r="J6" s="16">
        <v>8.1000000000000003E-2</v>
      </c>
      <c r="K6" s="34">
        <f>'8 - 2021'!H12-'8 - 2021'!H11</f>
        <v>0</v>
      </c>
      <c r="L6" s="18">
        <f>'8 - 2021'!I12-'8 - 2021'!I11</f>
        <v>94</v>
      </c>
      <c r="M6" s="17">
        <v>4.393629424766913</v>
      </c>
      <c r="N6" s="28">
        <v>36</v>
      </c>
    </row>
    <row r="7" spans="1:21" x14ac:dyDescent="0.25">
      <c r="A7" t="s">
        <v>27</v>
      </c>
      <c r="B7">
        <f t="shared" si="0"/>
        <v>6</v>
      </c>
      <c r="C7" s="16">
        <v>8</v>
      </c>
      <c r="D7" s="16">
        <v>2021</v>
      </c>
      <c r="E7" s="18">
        <f>'8 - 2021'!B13-'8 - 2021'!B12+'8 - 2021'!C13-'8 - 2021'!C12</f>
        <v>9246</v>
      </c>
      <c r="F7" s="16">
        <v>0.11799999999999999</v>
      </c>
      <c r="G7" s="18">
        <f>'8 - 2021'!D13-'8 - 2021'!D12+'8 - 2021'!E13-'8 - 2021'!E12</f>
        <v>19.829999999999927</v>
      </c>
      <c r="H7" s="16">
        <v>0.99</v>
      </c>
      <c r="I7" s="18">
        <f>'8 - 2021'!J13-'8 - 2021'!J12</f>
        <v>39547</v>
      </c>
      <c r="J7" s="16">
        <v>8.1000000000000003E-2</v>
      </c>
      <c r="K7" s="34">
        <f>'8 - 2021'!H13-'8 - 2021'!H12</f>
        <v>0</v>
      </c>
      <c r="L7" s="18">
        <f>'8 - 2021'!I13-'8 - 2021'!I12</f>
        <v>87</v>
      </c>
      <c r="M7" s="17">
        <v>4.393629424766913</v>
      </c>
      <c r="N7" s="28">
        <v>31</v>
      </c>
    </row>
    <row r="8" spans="1:21" x14ac:dyDescent="0.25">
      <c r="A8" t="s">
        <v>27</v>
      </c>
      <c r="B8">
        <f t="shared" si="0"/>
        <v>7</v>
      </c>
      <c r="C8" s="16">
        <v>8</v>
      </c>
      <c r="D8" s="16">
        <v>2021</v>
      </c>
      <c r="E8" s="18">
        <f>'8 - 2021'!B14-'8 - 2021'!B13+'8 - 2021'!C14-'8 - 2021'!C13</f>
        <v>9710</v>
      </c>
      <c r="F8" s="16">
        <v>0.11799999999999999</v>
      </c>
      <c r="G8" s="18">
        <f>'8 - 2021'!D14-'8 - 2021'!D13+'8 - 2021'!E14-'8 - 2021'!E13</f>
        <v>24.299999999999272</v>
      </c>
      <c r="H8" s="16">
        <v>0.99</v>
      </c>
      <c r="I8" s="18">
        <f>'8 - 2021'!J14-'8 - 2021'!J13</f>
        <v>40268</v>
      </c>
      <c r="J8" s="16">
        <v>8.1000000000000003E-2</v>
      </c>
      <c r="K8" s="34">
        <f>'8 - 2021'!H14-'8 - 2021'!H13</f>
        <v>0</v>
      </c>
      <c r="L8" s="18">
        <f>'8 - 2021'!I14-'8 - 2021'!I13</f>
        <v>84</v>
      </c>
      <c r="M8" s="17">
        <v>4.393629424766913</v>
      </c>
      <c r="N8" s="30">
        <v>30</v>
      </c>
      <c r="O8" s="18"/>
    </row>
    <row r="9" spans="1:21" x14ac:dyDescent="0.25">
      <c r="A9" t="s">
        <v>27</v>
      </c>
      <c r="B9">
        <f t="shared" si="0"/>
        <v>8</v>
      </c>
      <c r="C9" s="16">
        <v>8</v>
      </c>
      <c r="D9" s="16">
        <v>2021</v>
      </c>
      <c r="E9" s="18">
        <f>'8 - 2021'!B15-'8 - 2021'!B14+'8 - 2021'!C15-'8 - 2021'!C14</f>
        <v>9403</v>
      </c>
      <c r="F9" s="16">
        <v>0.11799999999999999</v>
      </c>
      <c r="G9" s="18">
        <f>'8 - 2021'!D15-'8 - 2021'!D14+'8 - 2021'!E15-'8 - 2021'!E14</f>
        <v>20.180000000000291</v>
      </c>
      <c r="H9" s="16">
        <v>0.99</v>
      </c>
      <c r="I9" s="18">
        <f>'8 - 2021'!J15-'8 - 2021'!J14</f>
        <v>42548</v>
      </c>
      <c r="J9" s="16">
        <v>8.1000000000000003E-2</v>
      </c>
      <c r="K9" s="34">
        <f>'8 - 2021'!H15-'8 - 2021'!H14</f>
        <v>0</v>
      </c>
      <c r="L9" s="18">
        <f>'8 - 2021'!I15-'8 - 2021'!I14</f>
        <v>86</v>
      </c>
      <c r="M9" s="17">
        <v>4.393629424766913</v>
      </c>
      <c r="N9" s="28">
        <v>27</v>
      </c>
    </row>
    <row r="10" spans="1:21" x14ac:dyDescent="0.25">
      <c r="A10" t="s">
        <v>27</v>
      </c>
      <c r="B10">
        <f t="shared" si="0"/>
        <v>9</v>
      </c>
      <c r="C10" s="16">
        <v>8</v>
      </c>
      <c r="D10" s="16">
        <v>2021</v>
      </c>
      <c r="E10" s="18">
        <f>'8 - 2021'!B16-'8 - 2021'!B15+'8 - 2021'!C16-'8 - 2021'!C15</f>
        <v>9040</v>
      </c>
      <c r="F10" s="16">
        <v>0.11799999999999999</v>
      </c>
      <c r="G10" s="18">
        <f>'8 - 2021'!D16-'8 - 2021'!D15+'8 - 2021'!E16-'8 - 2021'!E15</f>
        <v>23.940000000000509</v>
      </c>
      <c r="H10" s="16">
        <v>0.99</v>
      </c>
      <c r="I10" s="18">
        <f>'8 - 2021'!J16-'8 - 2021'!J15</f>
        <v>35816</v>
      </c>
      <c r="J10" s="16">
        <v>8.1000000000000003E-2</v>
      </c>
      <c r="K10" s="34">
        <f>'8 - 2021'!H16-'8 - 2021'!H15</f>
        <v>0</v>
      </c>
      <c r="L10" s="18">
        <f>'8 - 2021'!I16-'8 - 2021'!I15</f>
        <v>80</v>
      </c>
      <c r="M10" s="17">
        <v>4.393629424766913</v>
      </c>
      <c r="N10" s="28">
        <v>25</v>
      </c>
    </row>
    <row r="11" spans="1:21" x14ac:dyDescent="0.25">
      <c r="A11" t="s">
        <v>27</v>
      </c>
      <c r="B11">
        <f t="shared" si="0"/>
        <v>10</v>
      </c>
      <c r="C11" s="16">
        <v>8</v>
      </c>
      <c r="D11" s="16">
        <v>2021</v>
      </c>
      <c r="E11" s="18">
        <f>'8 - 2021'!B17-'8 - 2021'!B16+'8 - 2021'!C17-'8 - 2021'!C16</f>
        <v>9187</v>
      </c>
      <c r="F11" s="16">
        <v>0.11799999999999999</v>
      </c>
      <c r="G11" s="18">
        <f>'8 - 2021'!D17-'8 - 2021'!D16+'8 - 2021'!E17-'8 - 2021'!E16</f>
        <v>21.760000000000218</v>
      </c>
      <c r="H11" s="16">
        <v>0.99</v>
      </c>
      <c r="I11" s="18">
        <f>'8 - 2021'!J17-'8 - 2021'!J16</f>
        <v>32408</v>
      </c>
      <c r="J11" s="16">
        <v>8.1000000000000003E-2</v>
      </c>
      <c r="K11" s="34">
        <f>'8 - 2021'!H17-'8 - 2021'!H16</f>
        <v>0</v>
      </c>
      <c r="L11" s="18">
        <f>'8 - 2021'!I17-'8 - 2021'!I16</f>
        <v>85</v>
      </c>
      <c r="M11" s="17">
        <v>4.393629424766913</v>
      </c>
      <c r="N11" s="28">
        <v>24</v>
      </c>
    </row>
    <row r="12" spans="1:21" x14ac:dyDescent="0.25">
      <c r="A12" t="s">
        <v>27</v>
      </c>
      <c r="B12">
        <f t="shared" si="0"/>
        <v>11</v>
      </c>
      <c r="C12" s="16">
        <v>8</v>
      </c>
      <c r="D12" s="16">
        <v>2021</v>
      </c>
      <c r="E12" s="18">
        <f>'8 - 2021'!B18-'8 - 2021'!B17+'8 - 2021'!C18-'8 - 2021'!C17</f>
        <v>9020</v>
      </c>
      <c r="F12" s="16">
        <v>0.11799999999999999</v>
      </c>
      <c r="G12" s="18">
        <f>'8 - 2021'!D18-'8 - 2021'!D17+'8 - 2021'!E18-'8 - 2021'!E17</f>
        <v>22.249999999999091</v>
      </c>
      <c r="H12" s="16">
        <v>0.99</v>
      </c>
      <c r="I12" s="18">
        <f>'8 - 2021'!J18-'8 - 2021'!J17</f>
        <v>33051</v>
      </c>
      <c r="J12" s="16">
        <v>8.1000000000000003E-2</v>
      </c>
      <c r="K12" s="34">
        <f>'8 - 2021'!H18-'8 - 2021'!H17</f>
        <v>0</v>
      </c>
      <c r="L12" s="18">
        <f>'8 - 2021'!I18-'8 - 2021'!I17</f>
        <v>85</v>
      </c>
      <c r="M12" s="17">
        <v>4.393629424766913</v>
      </c>
      <c r="N12" s="18">
        <v>23</v>
      </c>
    </row>
    <row r="13" spans="1:21" x14ac:dyDescent="0.25">
      <c r="A13" t="s">
        <v>27</v>
      </c>
      <c r="B13">
        <f t="shared" si="0"/>
        <v>12</v>
      </c>
      <c r="C13" s="16">
        <v>8</v>
      </c>
      <c r="D13" s="16">
        <v>2021</v>
      </c>
      <c r="E13" s="18">
        <f>'8 - 2021'!B19-'8 - 2021'!B18+'8 - 2021'!C19-'8 - 2021'!C18</f>
        <v>9368</v>
      </c>
      <c r="F13" s="16">
        <v>0.11799999999999999</v>
      </c>
      <c r="G13" s="18">
        <f>'8 - 2021'!D19-'8 - 2021'!D18+'8 - 2021'!E19-'8 - 2021'!E18</f>
        <v>22.289999999999964</v>
      </c>
      <c r="H13" s="16">
        <v>0.99</v>
      </c>
      <c r="I13" s="18">
        <f>'8 - 2021'!J19-'8 - 2021'!J18</f>
        <v>36239</v>
      </c>
      <c r="J13" s="16">
        <v>8.1000000000000003E-2</v>
      </c>
      <c r="K13" s="34">
        <f>'8 - 2021'!H19-'8 - 2021'!H18</f>
        <v>0</v>
      </c>
      <c r="L13" s="18">
        <f>'8 - 2021'!I19-'8 - 2021'!I18</f>
        <v>100</v>
      </c>
      <c r="M13" s="17">
        <v>4.393629424766913</v>
      </c>
      <c r="N13" s="18">
        <v>27</v>
      </c>
    </row>
    <row r="14" spans="1:21" x14ac:dyDescent="0.25">
      <c r="A14" t="s">
        <v>27</v>
      </c>
      <c r="B14">
        <f t="shared" si="0"/>
        <v>13</v>
      </c>
      <c r="C14" s="16">
        <v>8</v>
      </c>
      <c r="D14" s="16">
        <v>2021</v>
      </c>
      <c r="E14" s="18">
        <f>'8 - 2021'!B20-'8 - 2021'!B19+'8 - 2021'!C20-'8 - 2021'!C19</f>
        <v>9737</v>
      </c>
      <c r="F14" s="16">
        <v>0.11799999999999999</v>
      </c>
      <c r="G14" s="18">
        <f>'8 - 2021'!D20-'8 - 2021'!D19+'8 - 2021'!E20-'8 - 2021'!E19</f>
        <v>22.889999999999418</v>
      </c>
      <c r="H14" s="16">
        <v>0.99</v>
      </c>
      <c r="I14" s="18">
        <f>'8 - 2021'!J20-'8 - 2021'!J19</f>
        <v>39810</v>
      </c>
      <c r="J14" s="16">
        <v>8.1000000000000003E-2</v>
      </c>
      <c r="K14" s="34">
        <f>'8 - 2021'!H20-'8 - 2021'!H19</f>
        <v>0</v>
      </c>
      <c r="L14" s="18">
        <f>'8 - 2021'!I20-'8 - 2021'!I19</f>
        <v>110</v>
      </c>
      <c r="M14" s="17">
        <v>4.393629424766913</v>
      </c>
      <c r="N14" s="18">
        <v>30</v>
      </c>
      <c r="O14" s="18"/>
    </row>
    <row r="15" spans="1:21" x14ac:dyDescent="0.25">
      <c r="A15" t="s">
        <v>27</v>
      </c>
      <c r="B15">
        <f t="shared" si="0"/>
        <v>14</v>
      </c>
      <c r="C15" s="16">
        <v>8</v>
      </c>
      <c r="D15" s="16">
        <v>2021</v>
      </c>
      <c r="E15" s="18">
        <f>'8 - 2021'!B21-'8 - 2021'!B20+'8 - 2021'!C21-'8 - 2021'!C20</f>
        <v>9220</v>
      </c>
      <c r="F15" s="16">
        <v>0.11799999999999999</v>
      </c>
      <c r="G15" s="18">
        <f>'8 - 2021'!D21-'8 - 2021'!D20+'8 - 2021'!E21-'8 - 2021'!E20</f>
        <v>21.840000000000146</v>
      </c>
      <c r="H15" s="16">
        <v>0.99</v>
      </c>
      <c r="I15" s="18">
        <f>'8 - 2021'!J21-'8 - 2021'!J20</f>
        <v>41700</v>
      </c>
      <c r="J15" s="16">
        <v>8.1000000000000003E-2</v>
      </c>
      <c r="K15" s="34">
        <f>'8 - 2021'!H21-'8 - 2021'!H20</f>
        <v>0</v>
      </c>
      <c r="L15" s="18">
        <f>'8 - 2021'!I21-'8 - 2021'!I20</f>
        <v>120</v>
      </c>
      <c r="M15" s="17">
        <v>4.393629424766913</v>
      </c>
      <c r="N15" s="18">
        <v>29</v>
      </c>
    </row>
    <row r="16" spans="1:21" x14ac:dyDescent="0.25">
      <c r="A16" t="s">
        <v>27</v>
      </c>
      <c r="B16">
        <f t="shared" si="0"/>
        <v>15</v>
      </c>
      <c r="C16" s="16">
        <v>8</v>
      </c>
      <c r="D16" s="16">
        <v>2021</v>
      </c>
      <c r="E16" s="18">
        <f>'8 - 2021'!B22-'8 - 2021'!B21+'8 - 2021'!C22-'8 - 2021'!C21</f>
        <v>9783</v>
      </c>
      <c r="F16" s="16">
        <v>0.11799999999999999</v>
      </c>
      <c r="G16" s="18">
        <f>'8 - 2021'!D22-'8 - 2021'!D21+'8 - 2021'!E22-'8 - 2021'!E21</f>
        <v>23.499999999999091</v>
      </c>
      <c r="H16" s="16">
        <v>0.99</v>
      </c>
      <c r="I16" s="18">
        <f>'8 - 2021'!J22-'8 - 2021'!J21</f>
        <v>39800</v>
      </c>
      <c r="J16" s="16">
        <v>8.1000000000000003E-2</v>
      </c>
      <c r="K16" s="34">
        <f>'8 - 2021'!H22-'8 - 2021'!H21</f>
        <v>0</v>
      </c>
      <c r="L16" s="18">
        <f>'8 - 2021'!I22-'8 - 2021'!I21</f>
        <v>140</v>
      </c>
      <c r="M16" s="17">
        <v>4.393629424766913</v>
      </c>
      <c r="N16" s="18">
        <v>20</v>
      </c>
      <c r="U16" s="16"/>
    </row>
    <row r="17" spans="1:17" x14ac:dyDescent="0.25">
      <c r="A17" t="s">
        <v>27</v>
      </c>
      <c r="B17">
        <f t="shared" si="0"/>
        <v>16</v>
      </c>
      <c r="C17" s="16">
        <v>8</v>
      </c>
      <c r="D17" s="16">
        <v>2021</v>
      </c>
      <c r="E17" s="18">
        <f>'8 - 2021'!B23-'8 - 2021'!B22+'8 - 2021'!C23-'8 - 2021'!C22</f>
        <v>8890</v>
      </c>
      <c r="F17" s="16">
        <v>0.11799999999999999</v>
      </c>
      <c r="G17" s="18">
        <f>'8 - 2021'!D23-'8 - 2021'!D22+'8 - 2021'!E23-'8 - 2021'!E22</f>
        <v>23.219999999999345</v>
      </c>
      <c r="H17" s="16">
        <v>0.99</v>
      </c>
      <c r="I17" s="18">
        <f>'8 - 2021'!J23-'8 - 2021'!J22</f>
        <v>41000</v>
      </c>
      <c r="J17" s="16">
        <v>8.1000000000000003E-2</v>
      </c>
      <c r="K17" s="34">
        <f>'8 - 2021'!H23-'8 - 2021'!H22</f>
        <v>0</v>
      </c>
      <c r="L17" s="18">
        <f>'8 - 2021'!I23-'8 - 2021'!I22</f>
        <v>93</v>
      </c>
      <c r="M17" s="17">
        <v>4.393629424766913</v>
      </c>
      <c r="N17" s="18">
        <v>25</v>
      </c>
      <c r="O17" s="16"/>
    </row>
    <row r="18" spans="1:17" x14ac:dyDescent="0.25">
      <c r="A18" t="s">
        <v>27</v>
      </c>
      <c r="B18">
        <f t="shared" si="0"/>
        <v>17</v>
      </c>
      <c r="C18" s="16">
        <v>8</v>
      </c>
      <c r="D18" s="16">
        <v>2021</v>
      </c>
      <c r="E18" s="18">
        <f>'8 - 2021'!B24-'8 - 2021'!B23+'8 - 2021'!C24-'8 - 2021'!C23</f>
        <v>9293</v>
      </c>
      <c r="F18" s="16">
        <v>0.11799999999999999</v>
      </c>
      <c r="G18" s="18">
        <f>'8 - 2021'!D24-'8 - 2021'!D23+'8 - 2021'!E24-'8 - 2021'!E23</f>
        <v>20.590000000000146</v>
      </c>
      <c r="H18" s="16">
        <v>0.99</v>
      </c>
      <c r="I18" s="18">
        <f>'8 - 2021'!J24-'8 - 2021'!J23</f>
        <v>43028</v>
      </c>
      <c r="J18" s="16">
        <v>8.1000000000000003E-2</v>
      </c>
      <c r="K18" s="34">
        <f>'8 - 2021'!H24-'8 - 2021'!H23</f>
        <v>0</v>
      </c>
      <c r="L18" s="18">
        <f>'8 - 2021'!I24-'8 - 2021'!I23</f>
        <v>84</v>
      </c>
      <c r="M18" s="17">
        <v>4.393629424766913</v>
      </c>
      <c r="N18" s="18">
        <v>22</v>
      </c>
      <c r="Q18" s="16"/>
    </row>
    <row r="19" spans="1:17" x14ac:dyDescent="0.25">
      <c r="A19" t="s">
        <v>27</v>
      </c>
      <c r="B19">
        <f>B18+1</f>
        <v>18</v>
      </c>
      <c r="C19" s="16">
        <v>8</v>
      </c>
      <c r="D19" s="16">
        <v>2021</v>
      </c>
      <c r="E19" s="18">
        <f>'8 - 2021'!B25-'8 - 2021'!B24+'8 - 2021'!C25-'8 - 2021'!C24</f>
        <v>9597.5300000000279</v>
      </c>
      <c r="F19" s="16">
        <v>0.11799999999999999</v>
      </c>
      <c r="G19" s="18">
        <f>'8 - 2021'!D25-'8 - 2021'!D24+'8 - 2021'!E25-'8 - 2021'!E24</f>
        <v>21.940000000000509</v>
      </c>
      <c r="H19" s="16">
        <v>0.99</v>
      </c>
      <c r="I19" s="18">
        <f>'8 - 2021'!J25-'8 - 2021'!J24</f>
        <v>38616</v>
      </c>
      <c r="J19" s="16">
        <v>8.1000000000000003E-2</v>
      </c>
      <c r="K19" s="34">
        <f>'8 - 2021'!H25-'8 - 2021'!H24</f>
        <v>0</v>
      </c>
      <c r="L19" s="18">
        <f>'8 - 2021'!I25-'8 - 2021'!I24</f>
        <v>92</v>
      </c>
      <c r="M19" s="17">
        <v>4.393629424766913</v>
      </c>
      <c r="N19" s="29">
        <v>31</v>
      </c>
    </row>
    <row r="20" spans="1:17" x14ac:dyDescent="0.25">
      <c r="A20" t="s">
        <v>27</v>
      </c>
      <c r="B20">
        <f t="shared" si="0"/>
        <v>19</v>
      </c>
      <c r="C20" s="16">
        <v>8</v>
      </c>
      <c r="D20" s="16">
        <v>2021</v>
      </c>
      <c r="E20" s="18">
        <f>'8 - 2021'!B26-'8 - 2021'!B25+'8 - 2021'!C26-'8 - 2021'!C25</f>
        <v>9349.4000000000233</v>
      </c>
      <c r="F20" s="16">
        <v>0.11799999999999999</v>
      </c>
      <c r="G20" s="18">
        <f>'8 - 2021'!D26-'8 - 2021'!D25+'8 - 2021'!E26-'8 - 2021'!E25</f>
        <v>21.929999999999382</v>
      </c>
      <c r="H20" s="16">
        <v>0.99</v>
      </c>
      <c r="I20" s="18">
        <f>'8 - 2021'!J26-'8 - 2021'!J25</f>
        <v>37716</v>
      </c>
      <c r="J20" s="16">
        <v>8.1000000000000003E-2</v>
      </c>
      <c r="K20" s="34">
        <f>'8 - 2021'!H26-'8 - 2021'!H25</f>
        <v>0</v>
      </c>
      <c r="L20" s="18">
        <f>'8 - 2021'!I26-'8 - 2021'!I25</f>
        <v>97</v>
      </c>
      <c r="M20" s="17">
        <v>4.393629424766913</v>
      </c>
      <c r="N20" s="18">
        <v>27</v>
      </c>
    </row>
    <row r="21" spans="1:17" x14ac:dyDescent="0.25">
      <c r="A21" t="s">
        <v>27</v>
      </c>
      <c r="B21">
        <f t="shared" si="0"/>
        <v>20</v>
      </c>
      <c r="C21" s="16">
        <v>8</v>
      </c>
      <c r="D21" s="16">
        <v>2021</v>
      </c>
      <c r="E21" s="18">
        <f>'8 - 2021'!B27-'8 - 2021'!B26+'8 - 2021'!C27-'8 - 2021'!C26</f>
        <v>9396.3699999999953</v>
      </c>
      <c r="F21" s="16">
        <v>0.11799999999999999</v>
      </c>
      <c r="G21" s="18">
        <f>'8 - 2021'!D27-'8 - 2021'!D26+'8 - 2021'!E27-'8 - 2021'!E26</f>
        <v>20.899999999999636</v>
      </c>
      <c r="H21" s="16">
        <v>0.99</v>
      </c>
      <c r="I21" s="18">
        <f>'8 - 2021'!J27-'8 - 2021'!J26</f>
        <v>36100</v>
      </c>
      <c r="J21" s="16">
        <v>8.1000000000000003E-2</v>
      </c>
      <c r="K21" s="34">
        <f>'8 - 2021'!H27-'8 - 2021'!H26</f>
        <v>0</v>
      </c>
      <c r="L21" s="18">
        <f>'8 - 2021'!I27-'8 - 2021'!I26</f>
        <v>93</v>
      </c>
      <c r="M21" s="17">
        <v>4.393629424766913</v>
      </c>
      <c r="N21" s="18">
        <v>26</v>
      </c>
    </row>
    <row r="22" spans="1:17" x14ac:dyDescent="0.25">
      <c r="A22" t="s">
        <v>27</v>
      </c>
      <c r="B22">
        <f t="shared" si="0"/>
        <v>21</v>
      </c>
      <c r="C22" s="16">
        <v>8</v>
      </c>
      <c r="D22" s="16">
        <v>2021</v>
      </c>
      <c r="E22" s="18">
        <f>'8 - 2021'!B28-'8 - 2021'!B27+'8 - 2021'!C28-'8 - 2021'!C27</f>
        <v>9336.1999999999534</v>
      </c>
      <c r="F22" s="16">
        <v>0.11799999999999999</v>
      </c>
      <c r="G22" s="18">
        <f>'8 - 2021'!D28-'8 - 2021'!D27+'8 - 2021'!E28-'8 - 2021'!E27</f>
        <v>20.139999999999418</v>
      </c>
      <c r="H22" s="16">
        <v>0.99</v>
      </c>
      <c r="I22" s="18">
        <f>'8 - 2021'!J28-'8 - 2021'!J27</f>
        <v>35190</v>
      </c>
      <c r="J22" s="16">
        <v>8.1000000000000003E-2</v>
      </c>
      <c r="K22" s="34">
        <f>'8 - 2021'!H28-'8 - 2021'!H27</f>
        <v>0</v>
      </c>
      <c r="L22" s="18">
        <f>'8 - 2021'!I28-'8 - 2021'!I27</f>
        <v>90</v>
      </c>
      <c r="M22" s="17">
        <v>4.393629424766913</v>
      </c>
      <c r="N22" s="18">
        <v>30</v>
      </c>
    </row>
    <row r="23" spans="1:17" x14ac:dyDescent="0.25">
      <c r="A23" t="s">
        <v>27</v>
      </c>
      <c r="B23">
        <f t="shared" si="0"/>
        <v>22</v>
      </c>
      <c r="C23" s="16">
        <v>8</v>
      </c>
      <c r="D23" s="16">
        <v>2021</v>
      </c>
      <c r="E23" s="18">
        <f>'8 - 2021'!B29-'8 - 2021'!B28+'8 - 2021'!C29-'8 - 2021'!C28</f>
        <v>9427.9000000000233</v>
      </c>
      <c r="F23" s="16">
        <v>0.11799999999999999</v>
      </c>
      <c r="G23" s="18">
        <f>'8 - 2021'!D29-'8 - 2021'!D28+'8 - 2021'!E29-'8 - 2021'!E28</f>
        <v>20.110000000000582</v>
      </c>
      <c r="H23" s="16">
        <v>0.99</v>
      </c>
      <c r="I23" s="18">
        <f>'8 - 2021'!J29-'8 - 2021'!J28</f>
        <v>36561</v>
      </c>
      <c r="J23" s="16">
        <v>8.1000000000000003E-2</v>
      </c>
      <c r="K23" s="34">
        <f>'8 - 2021'!H29-'8 - 2021'!H28</f>
        <v>0</v>
      </c>
      <c r="L23" s="18">
        <f>'8 - 2021'!I29-'8 - 2021'!I28</f>
        <v>96</v>
      </c>
      <c r="M23" s="17">
        <v>4.393629424766913</v>
      </c>
      <c r="N23" s="18">
        <v>31</v>
      </c>
    </row>
    <row r="24" spans="1:17" x14ac:dyDescent="0.25">
      <c r="A24" t="s">
        <v>27</v>
      </c>
      <c r="B24">
        <f t="shared" si="0"/>
        <v>23</v>
      </c>
      <c r="C24" s="16">
        <v>8</v>
      </c>
      <c r="D24" s="16">
        <v>2021</v>
      </c>
      <c r="E24" s="18">
        <f>'8 - 2021'!B30-'8 - 2021'!B29+'8 - 2021'!C30-'8 - 2021'!C29</f>
        <v>9121.9000000000233</v>
      </c>
      <c r="F24" s="16">
        <v>0.11799999999999999</v>
      </c>
      <c r="G24" s="18">
        <f>'8 - 2021'!D30-'8 - 2021'!D29+'8 - 2021'!E30-'8 - 2021'!E29</f>
        <v>21.3799999999992</v>
      </c>
      <c r="H24" s="16">
        <v>0.99</v>
      </c>
      <c r="I24" s="18">
        <f>'8 - 2021'!J30-'8 - 2021'!J29</f>
        <v>36389</v>
      </c>
      <c r="J24" s="16">
        <v>8.1000000000000003E-2</v>
      </c>
      <c r="K24" s="34">
        <f>'8 - 2021'!H30-'8 - 2021'!H29</f>
        <v>0</v>
      </c>
      <c r="L24" s="18">
        <f>'8 - 2021'!I30-'8 - 2021'!I29</f>
        <v>87</v>
      </c>
      <c r="M24" s="17">
        <v>4.393629424766913</v>
      </c>
      <c r="N24" s="18">
        <v>29</v>
      </c>
    </row>
    <row r="25" spans="1:17" x14ac:dyDescent="0.25">
      <c r="A25" t="s">
        <v>27</v>
      </c>
      <c r="B25">
        <f t="shared" si="0"/>
        <v>24</v>
      </c>
      <c r="C25" s="16">
        <v>8</v>
      </c>
      <c r="D25" s="16">
        <v>2021</v>
      </c>
      <c r="E25" s="18">
        <v>0</v>
      </c>
      <c r="F25" s="16">
        <v>0.11799999999999999</v>
      </c>
      <c r="G25" s="18">
        <v>0</v>
      </c>
      <c r="H25" s="16">
        <v>0.99</v>
      </c>
      <c r="I25" s="18">
        <v>0</v>
      </c>
      <c r="J25" s="16">
        <v>8.1000000000000003E-2</v>
      </c>
      <c r="K25" s="34">
        <v>0</v>
      </c>
      <c r="L25" s="18">
        <v>0</v>
      </c>
      <c r="M25" s="17">
        <v>4.393629424766913</v>
      </c>
      <c r="N25" s="18"/>
      <c r="P25" s="14"/>
    </row>
    <row r="26" spans="1:17" x14ac:dyDescent="0.25">
      <c r="A26" t="s">
        <v>27</v>
      </c>
      <c r="B26">
        <f>B25+1</f>
        <v>25</v>
      </c>
      <c r="C26" s="16">
        <v>8</v>
      </c>
      <c r="D26" s="16">
        <v>2021</v>
      </c>
      <c r="E26" s="18">
        <f>'8 - 2021'!B32-'8 - 2021'!B31+'8 - 2021'!C32-'8 - 2021'!C31</f>
        <v>0</v>
      </c>
      <c r="F26" s="16">
        <v>0.11799999999999999</v>
      </c>
      <c r="G26" s="18">
        <f>'8 - 2021'!D32-'8 - 2021'!D31+'8 - 2021'!E32-'8 - 2021'!E31</f>
        <v>0</v>
      </c>
      <c r="H26" s="16">
        <v>0.99</v>
      </c>
      <c r="I26" s="18">
        <f>'8 - 2021'!J32-'8 - 2021'!J31</f>
        <v>0</v>
      </c>
      <c r="J26" s="16">
        <v>8.1000000000000003E-2</v>
      </c>
      <c r="K26" s="34">
        <f>'8 - 2021'!H32-'8 - 2021'!H31</f>
        <v>0</v>
      </c>
      <c r="L26" s="18">
        <f>'8 - 2021'!I32-'8 - 2021'!I31</f>
        <v>0</v>
      </c>
      <c r="M26" s="17">
        <v>4.393629424766913</v>
      </c>
      <c r="N26" s="29"/>
    </row>
    <row r="27" spans="1:17" x14ac:dyDescent="0.25">
      <c r="A27" t="s">
        <v>27</v>
      </c>
      <c r="B27">
        <f t="shared" si="0"/>
        <v>26</v>
      </c>
      <c r="C27" s="16">
        <v>8</v>
      </c>
      <c r="D27" s="16">
        <v>2021</v>
      </c>
      <c r="E27" s="18">
        <f>'8 - 2021'!B33-'8 - 2021'!B32+'8 - 2021'!C33-'8 - 2021'!C32</f>
        <v>0</v>
      </c>
      <c r="F27" s="16">
        <v>0.11799999999999999</v>
      </c>
      <c r="G27" s="18">
        <f>'8 - 2021'!D33-'8 - 2021'!D32+'8 - 2021'!E33-'8 - 2021'!E32</f>
        <v>0</v>
      </c>
      <c r="H27" s="16">
        <v>0.99</v>
      </c>
      <c r="I27" s="18">
        <f>'8 - 2021'!J33-'8 - 2021'!J32</f>
        <v>0</v>
      </c>
      <c r="J27" s="16">
        <v>8.1000000000000003E-2</v>
      </c>
      <c r="K27" s="34">
        <f>'8 - 2021'!H33-'8 - 2021'!H32</f>
        <v>0</v>
      </c>
      <c r="L27" s="18">
        <f>'8 - 2021'!I33-'8 - 2021'!I32</f>
        <v>0</v>
      </c>
      <c r="M27" s="17">
        <v>4.393629424766913</v>
      </c>
      <c r="N27" s="29"/>
    </row>
    <row r="28" spans="1:17" x14ac:dyDescent="0.25">
      <c r="A28" t="s">
        <v>27</v>
      </c>
      <c r="B28">
        <f t="shared" si="0"/>
        <v>27</v>
      </c>
      <c r="C28" s="16">
        <v>8</v>
      </c>
      <c r="D28" s="16">
        <v>2021</v>
      </c>
      <c r="E28" s="18">
        <f>'8 - 2021'!B34-'8 - 2021'!B33+'8 - 2021'!C34-'8 - 2021'!C33</f>
        <v>0</v>
      </c>
      <c r="F28" s="16">
        <v>0.11799999999999999</v>
      </c>
      <c r="G28" s="18">
        <f>'8 - 2021'!D34-'8 - 2021'!D33+'8 - 2021'!E34-'8 - 2021'!E33</f>
        <v>0</v>
      </c>
      <c r="H28" s="16">
        <v>0.99</v>
      </c>
      <c r="I28" s="18">
        <f>'8 - 2021'!J34-'8 - 2021'!J33</f>
        <v>0</v>
      </c>
      <c r="J28" s="16">
        <v>8.1000000000000003E-2</v>
      </c>
      <c r="K28" s="34">
        <f>'8 - 2021'!H34-'8 - 2021'!H33</f>
        <v>0</v>
      </c>
      <c r="L28" s="18">
        <f>'8 - 2021'!I34-'8 - 2021'!I33</f>
        <v>0</v>
      </c>
      <c r="M28" s="17">
        <v>4.393629424766913</v>
      </c>
      <c r="N28" s="29"/>
    </row>
    <row r="29" spans="1:17" x14ac:dyDescent="0.25">
      <c r="A29" t="s">
        <v>27</v>
      </c>
      <c r="B29">
        <f t="shared" si="0"/>
        <v>28</v>
      </c>
      <c r="C29" s="16">
        <v>8</v>
      </c>
      <c r="D29" s="16">
        <v>2021</v>
      </c>
      <c r="E29" s="18">
        <f>'8 - 2021'!B35-'8 - 2021'!B34+'8 - 2021'!C35-'8 - 2021'!C34</f>
        <v>0</v>
      </c>
      <c r="F29" s="16">
        <v>0.11799999999999999</v>
      </c>
      <c r="G29" s="18">
        <f>'8 - 2021'!D35-'8 - 2021'!D34+'8 - 2021'!E35-'8 - 2021'!E34</f>
        <v>0</v>
      </c>
      <c r="H29" s="16">
        <v>0.99</v>
      </c>
      <c r="I29" s="18">
        <f>'8 - 2021'!J35-'8 - 2021'!J34</f>
        <v>0</v>
      </c>
      <c r="J29" s="16">
        <v>8.1000000000000003E-2</v>
      </c>
      <c r="K29" s="34">
        <f>'8 - 2021'!H35-'8 - 2021'!H34</f>
        <v>0</v>
      </c>
      <c r="L29" s="18">
        <f>'8 - 2021'!I35-'8 - 2021'!I34</f>
        <v>0</v>
      </c>
      <c r="M29" s="17">
        <v>4.393629424766913</v>
      </c>
      <c r="N29" s="29"/>
    </row>
    <row r="30" spans="1:17" x14ac:dyDescent="0.25">
      <c r="A30" s="16" t="s">
        <v>27</v>
      </c>
      <c r="B30" s="16">
        <f t="shared" si="0"/>
        <v>29</v>
      </c>
      <c r="C30" s="16">
        <v>8</v>
      </c>
      <c r="D30" s="16">
        <v>2021</v>
      </c>
      <c r="E30" s="18">
        <f>'8 - 2021'!B36-'8 - 2021'!B35+'8 - 2021'!C36-'8 - 2021'!C35</f>
        <v>0</v>
      </c>
      <c r="F30" s="16">
        <v>0.11799999999999999</v>
      </c>
      <c r="G30" s="18">
        <f>'8 - 2021'!D36-'8 - 2021'!D35+'8 - 2021'!E36-'8 - 2021'!E35</f>
        <v>0</v>
      </c>
      <c r="H30" s="16">
        <v>0.99</v>
      </c>
      <c r="I30" s="18">
        <f>'8 - 2021'!J36-'8 - 2021'!J35</f>
        <v>0</v>
      </c>
      <c r="J30" s="16">
        <v>8.1000000000000003E-2</v>
      </c>
      <c r="K30" s="34">
        <f>'8 - 2021'!H36-'8 - 2021'!H35</f>
        <v>0</v>
      </c>
      <c r="L30" s="18">
        <f>'8 - 2021'!I36-'8 - 2021'!I35</f>
        <v>0</v>
      </c>
      <c r="M30" s="17">
        <v>4.393629424766913</v>
      </c>
      <c r="N30" s="29"/>
    </row>
    <row r="31" spans="1:17" x14ac:dyDescent="0.25">
      <c r="A31" s="16" t="s">
        <v>27</v>
      </c>
      <c r="B31" s="16">
        <f t="shared" si="0"/>
        <v>30</v>
      </c>
      <c r="C31" s="16">
        <v>8</v>
      </c>
      <c r="D31" s="16">
        <v>2021</v>
      </c>
      <c r="E31" s="18">
        <f>'8 - 2021'!B37-'8 - 2021'!B36+'8 - 2021'!C37-'8 - 2021'!C36</f>
        <v>0</v>
      </c>
      <c r="F31" s="16">
        <v>0.11799999999999999</v>
      </c>
      <c r="G31" s="18">
        <f>'8 - 2021'!D37-'8 - 2021'!D36+'8 - 2021'!E37-'8 - 2021'!E36</f>
        <v>0</v>
      </c>
      <c r="H31" s="16">
        <v>0.99</v>
      </c>
      <c r="I31" s="18">
        <f>'8 - 2021'!J37-'8 - 2021'!J36</f>
        <v>0</v>
      </c>
      <c r="J31" s="16">
        <v>8.1000000000000003E-2</v>
      </c>
      <c r="K31" s="34">
        <f>'8 - 2021'!H37-'8 - 2021'!H36</f>
        <v>0</v>
      </c>
      <c r="L31" s="18">
        <f>'8 - 2021'!I37-'8 - 2021'!I36</f>
        <v>0</v>
      </c>
      <c r="M31" s="17">
        <v>4.393629424766913</v>
      </c>
    </row>
    <row r="32" spans="1:17" x14ac:dyDescent="0.25">
      <c r="A32" s="16" t="s">
        <v>27</v>
      </c>
      <c r="B32" s="16">
        <f t="shared" si="0"/>
        <v>31</v>
      </c>
      <c r="C32" s="16">
        <v>8</v>
      </c>
      <c r="D32" s="16">
        <v>2021</v>
      </c>
      <c r="E32" s="18">
        <f>'8 - 2021'!B38-'8 - 2021'!B37+'8 - 2021'!C38-'8 - 2021'!C37</f>
        <v>0</v>
      </c>
      <c r="F32" s="16">
        <v>0.11799999999999999</v>
      </c>
      <c r="G32" s="18">
        <f>'8 - 2021'!D38-'8 - 2021'!D37+'8 - 2021'!E38-'8 - 2021'!E37</f>
        <v>0</v>
      </c>
      <c r="H32" s="16">
        <v>0.99</v>
      </c>
      <c r="I32" s="18">
        <f>'8 - 2021'!J38-'8 - 2021'!J37</f>
        <v>0</v>
      </c>
      <c r="J32" s="16">
        <v>8.1000000000000003E-2</v>
      </c>
      <c r="K32" s="34">
        <f>'8 - 2021'!H38-'8 - 2021'!H37</f>
        <v>0</v>
      </c>
      <c r="L32" s="18">
        <f>'8 - 2021'!I38-'8 - 2021'!I37</f>
        <v>0</v>
      </c>
      <c r="M32" s="17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E20" sqref="E20:F24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8</v>
      </c>
      <c r="D2">
        <v>2021</v>
      </c>
      <c r="E2" s="18">
        <f>'8 - 2021'!B8-'8 - 2021'!B7</f>
        <v>3597</v>
      </c>
      <c r="F2" s="18">
        <f>'8 - 2021'!C8-'8 - 2021'!C7</f>
        <v>5993</v>
      </c>
      <c r="G2" s="16">
        <v>0.11799999999999999</v>
      </c>
      <c r="H2" s="18">
        <f>'8 - 2021'!E8-'8 - 2021'!E7</f>
        <v>22.149999999999636</v>
      </c>
      <c r="I2" s="18">
        <f>'8 - 2021'!F8-'8 - 2021'!F7</f>
        <v>6.4699999999999989</v>
      </c>
      <c r="J2" s="18">
        <f>'8 - 2021'!G8-'8 - 2021'!G7</f>
        <v>24.69999999999709</v>
      </c>
      <c r="K2" s="16">
        <v>0.74</v>
      </c>
      <c r="L2" s="18">
        <v>26</v>
      </c>
      <c r="M2" s="12"/>
    </row>
    <row r="3" spans="1:13" x14ac:dyDescent="0.25">
      <c r="A3" t="s">
        <v>27</v>
      </c>
      <c r="B3">
        <f>B2+1</f>
        <v>2</v>
      </c>
      <c r="C3" s="16">
        <v>8</v>
      </c>
      <c r="D3" s="16">
        <v>2021</v>
      </c>
      <c r="E3" s="18">
        <f>'8 - 2021'!B9-'8 - 2021'!B8</f>
        <v>3598</v>
      </c>
      <c r="F3" s="18">
        <f>'8 - 2021'!C9-'8 - 2021'!C8</f>
        <v>5736</v>
      </c>
      <c r="G3" s="16">
        <v>0.11799999999999999</v>
      </c>
      <c r="H3" s="18">
        <f>'8 - 2021'!E9-'8 - 2021'!E8</f>
        <v>20.030000000000655</v>
      </c>
      <c r="I3" s="18">
        <f>'8 - 2021'!F9-'8 - 2021'!F8</f>
        <v>6.0599999999999987</v>
      </c>
      <c r="J3" s="18">
        <f>'8 - 2021'!G9-'8 - 2021'!G8</f>
        <v>23.150000000001455</v>
      </c>
      <c r="K3" s="16">
        <v>0.74</v>
      </c>
      <c r="L3" s="28">
        <v>25</v>
      </c>
      <c r="M3" s="12"/>
    </row>
    <row r="4" spans="1:13" x14ac:dyDescent="0.25">
      <c r="A4" t="s">
        <v>27</v>
      </c>
      <c r="B4">
        <f t="shared" ref="B4:B32" si="0">B3+1</f>
        <v>3</v>
      </c>
      <c r="C4" s="16">
        <v>8</v>
      </c>
      <c r="D4" s="16">
        <v>2021</v>
      </c>
      <c r="E4" s="18">
        <f>'8 - 2021'!B10-'8 - 2021'!B9</f>
        <v>3602</v>
      </c>
      <c r="F4" s="18">
        <f>'8 - 2021'!C10-'8 - 2021'!C9</f>
        <v>5777</v>
      </c>
      <c r="G4" s="16">
        <v>0.11799999999999999</v>
      </c>
      <c r="H4" s="18">
        <f>'8 - 2021'!E10-'8 - 2021'!E9</f>
        <v>22.4399999999996</v>
      </c>
      <c r="I4" s="18">
        <f>'8 - 2021'!F10-'8 - 2021'!F9</f>
        <v>3.9200000000000017</v>
      </c>
      <c r="J4" s="18">
        <f>'8 - 2021'!G10-'8 - 2021'!G9</f>
        <v>24.619999999998981</v>
      </c>
      <c r="K4" s="16">
        <v>0.74</v>
      </c>
      <c r="L4" s="28">
        <v>24</v>
      </c>
      <c r="M4" s="12"/>
    </row>
    <row r="5" spans="1:13" x14ac:dyDescent="0.25">
      <c r="A5" t="s">
        <v>27</v>
      </c>
      <c r="B5">
        <f t="shared" si="0"/>
        <v>4</v>
      </c>
      <c r="C5" s="16">
        <v>8</v>
      </c>
      <c r="D5" s="16">
        <v>2021</v>
      </c>
      <c r="E5" s="18">
        <f>'8 - 2021'!B11-'8 - 2021'!B10</f>
        <v>3742</v>
      </c>
      <c r="F5" s="18">
        <f>'8 - 2021'!C11-'8 - 2021'!C10</f>
        <v>5821</v>
      </c>
      <c r="G5" s="16">
        <v>0.11799999999999999</v>
      </c>
      <c r="H5" s="18">
        <f>'8 - 2021'!E11-'8 - 2021'!E10</f>
        <v>24.850000000000364</v>
      </c>
      <c r="I5" s="18">
        <f>'8 - 2021'!F11-'8 - 2021'!F10</f>
        <v>5.490000000000002</v>
      </c>
      <c r="J5" s="18">
        <f>'8 - 2021'!G11-'8 - 2021'!G10</f>
        <v>24.890000000003056</v>
      </c>
      <c r="K5" s="16">
        <v>0.74</v>
      </c>
      <c r="L5" s="28">
        <v>28</v>
      </c>
      <c r="M5" s="12"/>
    </row>
    <row r="6" spans="1:13" x14ac:dyDescent="0.25">
      <c r="A6" t="s">
        <v>27</v>
      </c>
      <c r="B6">
        <f t="shared" si="0"/>
        <v>5</v>
      </c>
      <c r="C6" s="16">
        <v>8</v>
      </c>
      <c r="D6" s="16">
        <v>2021</v>
      </c>
      <c r="E6" s="18">
        <f>'8 - 2021'!B12-'8 - 2021'!B11</f>
        <v>3634</v>
      </c>
      <c r="F6" s="18">
        <f>'8 - 2021'!C12-'8 - 2021'!C11</f>
        <v>5657</v>
      </c>
      <c r="G6" s="16">
        <v>0.11799999999999999</v>
      </c>
      <c r="H6" s="18">
        <f>'8 - 2021'!E12-'8 - 2021'!E11</f>
        <v>24.289999999999964</v>
      </c>
      <c r="I6" s="18">
        <f>'8 - 2021'!F12-'8 - 2021'!F11</f>
        <v>4.6000000000000014</v>
      </c>
      <c r="J6" s="18">
        <f>'8 - 2021'!G12-'8 - 2021'!G11</f>
        <v>26.599999999998545</v>
      </c>
      <c r="K6" s="16">
        <v>0.74</v>
      </c>
      <c r="L6" s="28">
        <v>36</v>
      </c>
      <c r="M6" s="13"/>
    </row>
    <row r="7" spans="1:13" x14ac:dyDescent="0.25">
      <c r="A7" t="s">
        <v>27</v>
      </c>
      <c r="B7">
        <f t="shared" si="0"/>
        <v>6</v>
      </c>
      <c r="C7" s="16">
        <v>8</v>
      </c>
      <c r="D7" s="16">
        <v>2021</v>
      </c>
      <c r="E7" s="18">
        <f>'8 - 2021'!B13-'8 - 2021'!B12</f>
        <v>3614</v>
      </c>
      <c r="F7" s="18">
        <f>'8 - 2021'!C13-'8 - 2021'!C12</f>
        <v>5632</v>
      </c>
      <c r="G7" s="16">
        <v>0.11799999999999999</v>
      </c>
      <c r="H7" s="18">
        <f>'8 - 2021'!E13-'8 - 2021'!E12</f>
        <v>19.909999999999854</v>
      </c>
      <c r="I7" s="18">
        <f>'8 - 2021'!F13-'8 - 2021'!F12</f>
        <v>6.029999999999994</v>
      </c>
      <c r="J7" s="18">
        <f>'8 - 2021'!G13-'8 - 2021'!G12</f>
        <v>29.639999999999418</v>
      </c>
      <c r="K7" s="16">
        <v>0.74</v>
      </c>
      <c r="L7" s="28">
        <v>31</v>
      </c>
      <c r="M7" s="13"/>
    </row>
    <row r="8" spans="1:13" x14ac:dyDescent="0.25">
      <c r="A8" t="s">
        <v>27</v>
      </c>
      <c r="B8">
        <f t="shared" si="0"/>
        <v>7</v>
      </c>
      <c r="C8" s="16">
        <v>8</v>
      </c>
      <c r="D8" s="16">
        <v>2021</v>
      </c>
      <c r="E8" s="18">
        <f>'8 - 2021'!B14-'8 - 2021'!B13</f>
        <v>3830</v>
      </c>
      <c r="F8" s="18">
        <f>'8 - 2021'!C14-'8 - 2021'!C13</f>
        <v>5880</v>
      </c>
      <c r="G8" s="16">
        <v>0.11799999999999999</v>
      </c>
      <c r="H8" s="18">
        <f>'8 - 2021'!E14-'8 - 2021'!E13</f>
        <v>24.359999999999673</v>
      </c>
      <c r="I8" s="18">
        <f>'8 - 2021'!F14-'8 - 2021'!F13</f>
        <v>6.4300000000000068</v>
      </c>
      <c r="J8" s="18">
        <f>'8 - 2021'!G14-'8 - 2021'!G13</f>
        <v>27.069999999999709</v>
      </c>
      <c r="K8" s="16">
        <v>0.74</v>
      </c>
      <c r="L8" s="28">
        <v>30</v>
      </c>
      <c r="M8" s="13"/>
    </row>
    <row r="9" spans="1:13" x14ac:dyDescent="0.25">
      <c r="A9" t="s">
        <v>27</v>
      </c>
      <c r="B9">
        <f t="shared" si="0"/>
        <v>8</v>
      </c>
      <c r="C9" s="16">
        <v>8</v>
      </c>
      <c r="D9" s="16">
        <v>2021</v>
      </c>
      <c r="E9" s="18">
        <f>'8 - 2021'!B15-'8 - 2021'!B14</f>
        <v>3621</v>
      </c>
      <c r="F9" s="18">
        <f>'8 - 2021'!C15-'8 - 2021'!C14</f>
        <v>5782</v>
      </c>
      <c r="G9" s="16">
        <v>0.11799999999999999</v>
      </c>
      <c r="H9" s="18">
        <f>'8 - 2021'!E15-'8 - 2021'!E14</f>
        <v>20.260000000000218</v>
      </c>
      <c r="I9" s="18">
        <f>'8 - 2021'!F15-'8 - 2021'!F14</f>
        <v>7.2999999999999972</v>
      </c>
      <c r="J9" s="18">
        <f>'8 - 2021'!G15-'8 - 2021'!G14</f>
        <v>26.56000000000131</v>
      </c>
      <c r="K9" s="16">
        <v>0.74</v>
      </c>
      <c r="L9" s="28">
        <v>27</v>
      </c>
      <c r="M9" s="13"/>
    </row>
    <row r="10" spans="1:13" x14ac:dyDescent="0.25">
      <c r="A10" t="s">
        <v>27</v>
      </c>
      <c r="B10">
        <f t="shared" si="0"/>
        <v>9</v>
      </c>
      <c r="C10" s="16">
        <v>8</v>
      </c>
      <c r="D10" s="16">
        <v>2021</v>
      </c>
      <c r="E10" s="18">
        <f>'8 - 2021'!B16-'8 - 2021'!B15</f>
        <v>3535</v>
      </c>
      <c r="F10" s="18">
        <f>'8 - 2021'!C16-'8 - 2021'!C15</f>
        <v>5505</v>
      </c>
      <c r="G10" s="16">
        <v>0.11799999999999999</v>
      </c>
      <c r="H10" s="18">
        <f>'8 - 2021'!E16-'8 - 2021'!E15</f>
        <v>24.010000000000218</v>
      </c>
      <c r="I10" s="18">
        <f>'8 - 2021'!F16-'8 - 2021'!F15</f>
        <v>6.1099999999999994</v>
      </c>
      <c r="J10" s="18">
        <f>'8 - 2021'!G16-'8 - 2021'!G15</f>
        <v>24.090000000000146</v>
      </c>
      <c r="K10" s="16">
        <v>0.74</v>
      </c>
      <c r="L10" s="28">
        <v>25</v>
      </c>
      <c r="M10" s="13"/>
    </row>
    <row r="11" spans="1:13" x14ac:dyDescent="0.25">
      <c r="A11" t="s">
        <v>27</v>
      </c>
      <c r="B11">
        <f t="shared" si="0"/>
        <v>10</v>
      </c>
      <c r="C11" s="16">
        <v>8</v>
      </c>
      <c r="D11" s="16">
        <v>2021</v>
      </c>
      <c r="E11" s="18">
        <f>'8 - 2021'!B17-'8 - 2021'!B16</f>
        <v>3629</v>
      </c>
      <c r="F11" s="18">
        <f>'8 - 2021'!C17-'8 - 2021'!C16</f>
        <v>5558</v>
      </c>
      <c r="G11" s="16">
        <v>0.11799999999999999</v>
      </c>
      <c r="H11" s="18">
        <f>'8 - 2021'!E17-'8 - 2021'!E16</f>
        <v>21.840000000000146</v>
      </c>
      <c r="I11" s="18">
        <f>'8 - 2021'!F17-'8 - 2021'!F16</f>
        <v>5.269999999999996</v>
      </c>
      <c r="J11" s="18">
        <f>'8 - 2021'!G17-'8 - 2021'!G16</f>
        <v>23.959999999999127</v>
      </c>
      <c r="K11" s="16">
        <v>0.74</v>
      </c>
      <c r="L11" s="28">
        <v>24</v>
      </c>
      <c r="M11" s="13"/>
    </row>
    <row r="12" spans="1:13" x14ac:dyDescent="0.25">
      <c r="A12" t="s">
        <v>27</v>
      </c>
      <c r="B12">
        <f t="shared" si="0"/>
        <v>11</v>
      </c>
      <c r="C12" s="16">
        <v>8</v>
      </c>
      <c r="D12" s="16">
        <v>2021</v>
      </c>
      <c r="E12" s="18">
        <f>'8 - 2021'!B18-'8 - 2021'!B17</f>
        <v>3556</v>
      </c>
      <c r="F12" s="18">
        <f>'8 - 2021'!C18-'8 - 2021'!C17</f>
        <v>5464</v>
      </c>
      <c r="G12" s="16">
        <v>0.11799999999999999</v>
      </c>
      <c r="H12" s="18">
        <f>'8 - 2021'!E18-'8 - 2021'!E17</f>
        <v>22.309999999999491</v>
      </c>
      <c r="I12" s="18">
        <f>'8 - 2021'!F18-'8 - 2021'!F17</f>
        <v>6.1700000000000017</v>
      </c>
      <c r="J12" s="18">
        <f>'8 - 2021'!G18-'8 - 2021'!G17</f>
        <v>25.81000000000131</v>
      </c>
      <c r="K12" s="16">
        <v>0.74</v>
      </c>
      <c r="L12" s="18">
        <v>23</v>
      </c>
      <c r="M12" s="13"/>
    </row>
    <row r="13" spans="1:13" x14ac:dyDescent="0.25">
      <c r="A13" t="s">
        <v>27</v>
      </c>
      <c r="B13">
        <f t="shared" si="0"/>
        <v>12</v>
      </c>
      <c r="C13" s="16">
        <v>8</v>
      </c>
      <c r="D13" s="16">
        <v>2021</v>
      </c>
      <c r="E13" s="18">
        <f>'8 - 2021'!B19-'8 - 2021'!B18</f>
        <v>3644</v>
      </c>
      <c r="F13" s="18">
        <f>'8 - 2021'!C19-'8 - 2021'!C18</f>
        <v>5724</v>
      </c>
      <c r="G13" s="16">
        <v>0.11799999999999999</v>
      </c>
      <c r="H13" s="18">
        <f>'8 - 2021'!E19-'8 - 2021'!E18</f>
        <v>21.840000000000146</v>
      </c>
      <c r="I13" s="18">
        <f>'8 - 2021'!F19-'8 - 2021'!F18</f>
        <v>6.519999999999996</v>
      </c>
      <c r="J13" s="18">
        <f>'8 - 2021'!G19-'8 - 2021'!G18</f>
        <v>25.309999999997672</v>
      </c>
      <c r="K13" s="16">
        <v>0.74</v>
      </c>
      <c r="L13" s="18">
        <v>27</v>
      </c>
      <c r="M13" s="13"/>
    </row>
    <row r="14" spans="1:13" x14ac:dyDescent="0.25">
      <c r="A14" t="s">
        <v>27</v>
      </c>
      <c r="B14">
        <f t="shared" si="0"/>
        <v>13</v>
      </c>
      <c r="C14" s="16">
        <v>8</v>
      </c>
      <c r="D14" s="16">
        <v>2021</v>
      </c>
      <c r="E14" s="18">
        <f>'8 - 2021'!B20-'8 - 2021'!B19</f>
        <v>3761</v>
      </c>
      <c r="F14" s="18">
        <f>'8 - 2021'!C20-'8 - 2021'!C19</f>
        <v>5976</v>
      </c>
      <c r="G14" s="16">
        <v>0.11799999999999999</v>
      </c>
      <c r="H14" s="18">
        <f>'8 - 2021'!E20-'8 - 2021'!E19</f>
        <v>22.949999999999818</v>
      </c>
      <c r="I14" s="18">
        <f>'8 - 2021'!F20-'8 - 2021'!F19</f>
        <v>6.5400000000000063</v>
      </c>
      <c r="J14" s="18">
        <f>'8 - 2021'!G20-'8 - 2021'!G19</f>
        <v>26.970000000001164</v>
      </c>
      <c r="K14" s="16">
        <v>0.74</v>
      </c>
      <c r="L14" s="18">
        <v>30</v>
      </c>
      <c r="M14" s="13"/>
    </row>
    <row r="15" spans="1:13" x14ac:dyDescent="0.25">
      <c r="A15" t="s">
        <v>27</v>
      </c>
      <c r="B15">
        <f t="shared" si="0"/>
        <v>14</v>
      </c>
      <c r="C15" s="16">
        <v>8</v>
      </c>
      <c r="D15" s="16">
        <v>2021</v>
      </c>
      <c r="E15" s="18">
        <f>'8 - 2021'!B21-'8 - 2021'!B20</f>
        <v>3562</v>
      </c>
      <c r="F15" s="18">
        <f>'8 - 2021'!C21-'8 - 2021'!C20</f>
        <v>5658</v>
      </c>
      <c r="G15" s="16">
        <v>0.11799999999999999</v>
      </c>
      <c r="H15" s="18">
        <f>'8 - 2021'!E21-'8 - 2021'!E20</f>
        <v>21.900000000000546</v>
      </c>
      <c r="I15" s="18">
        <f>'8 - 2021'!F21-'8 - 2021'!F20</f>
        <v>6.3299999999999983</v>
      </c>
      <c r="J15" s="18">
        <f>'8 - 2021'!G21-'8 - 2021'!G20</f>
        <v>26.68999999999869</v>
      </c>
      <c r="K15" s="16">
        <v>0.74</v>
      </c>
      <c r="L15" s="18">
        <v>29</v>
      </c>
      <c r="M15" s="13"/>
    </row>
    <row r="16" spans="1:13" x14ac:dyDescent="0.25">
      <c r="A16" t="s">
        <v>27</v>
      </c>
      <c r="B16">
        <f t="shared" si="0"/>
        <v>15</v>
      </c>
      <c r="C16" s="16">
        <v>8</v>
      </c>
      <c r="D16" s="16">
        <v>2021</v>
      </c>
      <c r="E16" s="18">
        <f>'8 - 2021'!B22-'8 - 2021'!B21</f>
        <v>3784</v>
      </c>
      <c r="F16" s="18">
        <f>'8 - 2021'!C22-'8 - 2021'!C21</f>
        <v>5999</v>
      </c>
      <c r="G16" s="16">
        <v>0.11799999999999999</v>
      </c>
      <c r="H16" s="18">
        <f>'8 - 2021'!E22-'8 - 2021'!E21</f>
        <v>23.559999999999491</v>
      </c>
      <c r="I16" s="18">
        <f>'8 - 2021'!F22-'8 - 2021'!F21</f>
        <v>7.0400000000000063</v>
      </c>
      <c r="J16" s="18">
        <f>'8 - 2021'!G22-'8 - 2021'!G21</f>
        <v>27.030000000002474</v>
      </c>
      <c r="K16" s="16">
        <v>0.74</v>
      </c>
      <c r="L16" s="18">
        <v>20</v>
      </c>
      <c r="M16" s="13"/>
    </row>
    <row r="17" spans="1:13" x14ac:dyDescent="0.25">
      <c r="A17" t="s">
        <v>27</v>
      </c>
      <c r="B17">
        <f t="shared" si="0"/>
        <v>16</v>
      </c>
      <c r="C17" s="16">
        <v>8</v>
      </c>
      <c r="D17" s="16">
        <v>2021</v>
      </c>
      <c r="E17" s="18">
        <f>'8 - 2021'!B23-'8 - 2021'!B22</f>
        <v>3407</v>
      </c>
      <c r="F17" s="18">
        <f>'8 - 2021'!C23-'8 - 2021'!C22</f>
        <v>5483</v>
      </c>
      <c r="G17" s="16">
        <v>0.11799999999999999</v>
      </c>
      <c r="H17" s="18">
        <f>'8 - 2021'!E23-'8 - 2021'!E22</f>
        <v>23.279999999999745</v>
      </c>
      <c r="I17" s="18">
        <f>'8 - 2021'!F23-'8 - 2021'!F22</f>
        <v>5.7999999999999972</v>
      </c>
      <c r="J17" s="18">
        <f>'8 - 2021'!G23-'8 - 2021'!G22</f>
        <v>23.599999999998545</v>
      </c>
      <c r="K17" s="16">
        <v>0.74</v>
      </c>
      <c r="L17" s="18">
        <v>25</v>
      </c>
      <c r="M17" s="13"/>
    </row>
    <row r="18" spans="1:13" x14ac:dyDescent="0.25">
      <c r="A18" t="s">
        <v>27</v>
      </c>
      <c r="B18">
        <f t="shared" si="0"/>
        <v>17</v>
      </c>
      <c r="C18" s="16">
        <v>8</v>
      </c>
      <c r="D18" s="16">
        <v>2021</v>
      </c>
      <c r="E18" s="18">
        <f>'8 - 2021'!B24-'8 - 2021'!B23</f>
        <v>3535</v>
      </c>
      <c r="F18" s="18">
        <f>'8 - 2021'!C24-'8 - 2021'!C23</f>
        <v>5758</v>
      </c>
      <c r="G18" s="16">
        <v>0.11799999999999999</v>
      </c>
      <c r="H18" s="18">
        <f>'8 - 2021'!E24-'8 - 2021'!E23</f>
        <v>20.670000000000073</v>
      </c>
      <c r="I18" s="18">
        <f>'8 - 2021'!F24-'8 - 2021'!F23</f>
        <v>6.7800000000000011</v>
      </c>
      <c r="J18" s="18">
        <f>'8 - 2021'!G24-'8 - 2021'!G23</f>
        <v>22</v>
      </c>
      <c r="K18" s="16">
        <v>0.74</v>
      </c>
      <c r="L18" s="18">
        <v>22</v>
      </c>
      <c r="M18" s="13"/>
    </row>
    <row r="19" spans="1:13" x14ac:dyDescent="0.25">
      <c r="A19" t="s">
        <v>27</v>
      </c>
      <c r="B19">
        <f>B18+1</f>
        <v>18</v>
      </c>
      <c r="C19" s="16">
        <v>8</v>
      </c>
      <c r="D19" s="16">
        <v>2021</v>
      </c>
      <c r="E19" s="18">
        <f>'8 - 2021'!B25-'8 - 2021'!B24</f>
        <v>3733.5300000000279</v>
      </c>
      <c r="F19" s="18">
        <f>'8 - 2021'!C25-'8 - 2021'!C24</f>
        <v>5864</v>
      </c>
      <c r="G19" s="16">
        <v>0.11799999999999999</v>
      </c>
      <c r="H19" s="18">
        <f>'8 - 2021'!E25-'8 - 2021'!E24</f>
        <v>22.020000000000437</v>
      </c>
      <c r="I19" s="18">
        <f>'8 - 2021'!F25-'8 - 2021'!F24</f>
        <v>7.2099999999999937</v>
      </c>
      <c r="J19" s="18">
        <f>'8 - 2021'!G25-'8 - 2021'!G24</f>
        <v>25.639999999999418</v>
      </c>
      <c r="K19" s="16">
        <v>0.74</v>
      </c>
      <c r="L19" s="18">
        <v>31</v>
      </c>
      <c r="M19" s="13"/>
    </row>
    <row r="20" spans="1:13" x14ac:dyDescent="0.25">
      <c r="A20" t="s">
        <v>27</v>
      </c>
      <c r="B20">
        <f t="shared" si="0"/>
        <v>19</v>
      </c>
      <c r="C20" s="16">
        <v>8</v>
      </c>
      <c r="D20" s="16">
        <v>2021</v>
      </c>
      <c r="E20" s="18">
        <f>'8 - 2021'!B26-'8 - 2021'!B25</f>
        <v>3683.4000000000233</v>
      </c>
      <c r="F20" s="18">
        <f>'8 - 2021'!C26-'8 - 2021'!C25</f>
        <v>5666</v>
      </c>
      <c r="G20" s="16">
        <v>0.11799999999999999</v>
      </c>
      <c r="H20" s="18">
        <f>'8 - 2021'!E26-'8 - 2021'!E25</f>
        <v>21.989999999999782</v>
      </c>
      <c r="I20" s="18">
        <f>'8 - 2021'!F26-'8 - 2021'!F25</f>
        <v>6.1299999999999955</v>
      </c>
      <c r="J20" s="18">
        <f>'8 - 2021'!G26-'8 - 2021'!G25</f>
        <v>27.139999999999418</v>
      </c>
      <c r="K20" s="16">
        <v>0.74</v>
      </c>
      <c r="L20" s="6">
        <v>27</v>
      </c>
      <c r="M20" s="13"/>
    </row>
    <row r="21" spans="1:13" x14ac:dyDescent="0.25">
      <c r="A21" t="s">
        <v>27</v>
      </c>
      <c r="B21">
        <f t="shared" si="0"/>
        <v>20</v>
      </c>
      <c r="C21" s="16">
        <v>8</v>
      </c>
      <c r="D21" s="16">
        <v>2021</v>
      </c>
      <c r="E21" s="45">
        <f>'8 - 2021'!B27-'8 - 2021'!B26</f>
        <v>3666.3699999999953</v>
      </c>
      <c r="F21" s="18">
        <f>'8 - 2021'!C27-'8 - 2021'!C26</f>
        <v>5730</v>
      </c>
      <c r="G21" s="16">
        <v>0.11799999999999999</v>
      </c>
      <c r="H21" s="18">
        <f>'8 - 2021'!E27-'8 - 2021'!E26</f>
        <v>20.949999999999818</v>
      </c>
      <c r="I21" s="18">
        <f>'8 - 2021'!F27-'8 - 2021'!F26</f>
        <v>6.2199999999999989</v>
      </c>
      <c r="J21" s="18">
        <f>'8 - 2021'!G27-'8 - 2021'!G26</f>
        <v>26.990000000001601</v>
      </c>
      <c r="K21" s="16">
        <v>0.74</v>
      </c>
      <c r="L21" s="6">
        <v>26</v>
      </c>
      <c r="M21" s="13"/>
    </row>
    <row r="22" spans="1:13" x14ac:dyDescent="0.25">
      <c r="A22" t="s">
        <v>27</v>
      </c>
      <c r="B22">
        <f t="shared" si="0"/>
        <v>21</v>
      </c>
      <c r="C22" s="16">
        <v>8</v>
      </c>
      <c r="D22" s="16">
        <v>2021</v>
      </c>
      <c r="E22" s="45">
        <f>'8 - 2021'!B28-'8 - 2021'!B27</f>
        <v>3666.1999999999534</v>
      </c>
      <c r="F22" s="18">
        <f>'8 - 2021'!C28-'8 - 2021'!C27</f>
        <v>5670</v>
      </c>
      <c r="G22" s="16">
        <v>0.11799999999999999</v>
      </c>
      <c r="H22" s="18">
        <f>'8 - 2021'!E28-'8 - 2021'!E27</f>
        <v>20.199999999999818</v>
      </c>
      <c r="I22" s="18">
        <f>'8 - 2021'!F28-'8 - 2021'!F27</f>
        <v>6.210000000000008</v>
      </c>
      <c r="J22" s="18">
        <f>'8 - 2021'!G28-'8 - 2021'!G27</f>
        <v>26</v>
      </c>
      <c r="K22" s="16">
        <v>0.74</v>
      </c>
      <c r="L22" s="18">
        <v>30</v>
      </c>
      <c r="M22" s="13"/>
    </row>
    <row r="23" spans="1:13" x14ac:dyDescent="0.25">
      <c r="A23" t="s">
        <v>27</v>
      </c>
      <c r="B23">
        <f t="shared" si="0"/>
        <v>22</v>
      </c>
      <c r="C23" s="16">
        <v>8</v>
      </c>
      <c r="D23" s="16">
        <v>2021</v>
      </c>
      <c r="E23" s="45">
        <f>'8 - 2021'!B29-'8 - 2021'!B28</f>
        <v>3724.9000000000233</v>
      </c>
      <c r="F23" s="18">
        <f>'8 - 2021'!C29-'8 - 2021'!C28</f>
        <v>5703</v>
      </c>
      <c r="G23" s="16">
        <v>0.11799999999999999</v>
      </c>
      <c r="H23" s="18">
        <f>'8 - 2021'!E29-'8 - 2021'!E28</f>
        <v>19.540000000000873</v>
      </c>
      <c r="I23" s="18">
        <f>'8 - 2021'!F29-'8 - 2021'!F28</f>
        <v>6.1500000000000057</v>
      </c>
      <c r="J23" s="18">
        <f>'8 - 2021'!G29-'8 - 2021'!G28</f>
        <v>28.06000000000131</v>
      </c>
      <c r="K23" s="16">
        <v>0.74</v>
      </c>
      <c r="L23" s="18">
        <v>31</v>
      </c>
      <c r="M23" s="13"/>
    </row>
    <row r="24" spans="1:13" x14ac:dyDescent="0.25">
      <c r="A24" t="s">
        <v>27</v>
      </c>
      <c r="B24">
        <f t="shared" si="0"/>
        <v>23</v>
      </c>
      <c r="C24" s="16">
        <v>8</v>
      </c>
      <c r="D24" s="16">
        <v>2021</v>
      </c>
      <c r="E24" s="45">
        <f>'8 - 2021'!B30-'8 - 2021'!B29</f>
        <v>3587.9000000000233</v>
      </c>
      <c r="F24" s="18">
        <f>'8 - 2021'!C30-'8 - 2021'!C29</f>
        <v>5534</v>
      </c>
      <c r="G24" s="16">
        <v>0.11799999999999999</v>
      </c>
      <c r="H24" s="18">
        <f>'8 - 2021'!E30-'8 - 2021'!E29</f>
        <v>21.4399999999996</v>
      </c>
      <c r="I24" s="18">
        <f>'8 - 2021'!F30-'8 - 2021'!F29</f>
        <v>5.9099999999999966</v>
      </c>
      <c r="J24" s="18">
        <f>'8 - 2021'!G30-'8 - 2021'!G29</f>
        <v>28.809999999997672</v>
      </c>
      <c r="K24" s="16">
        <v>0.74</v>
      </c>
      <c r="L24" s="18">
        <v>29</v>
      </c>
      <c r="M24" s="13"/>
    </row>
    <row r="25" spans="1:13" x14ac:dyDescent="0.25">
      <c r="A25" t="s">
        <v>27</v>
      </c>
      <c r="B25">
        <f t="shared" si="0"/>
        <v>24</v>
      </c>
      <c r="C25" s="16">
        <v>8</v>
      </c>
      <c r="D25" s="16">
        <v>2021</v>
      </c>
      <c r="E25" s="18">
        <v>0</v>
      </c>
      <c r="F25" s="18">
        <v>0</v>
      </c>
      <c r="G25" s="16">
        <v>0.11799999999999999</v>
      </c>
      <c r="H25" s="18">
        <v>0</v>
      </c>
      <c r="I25" s="18">
        <v>0</v>
      </c>
      <c r="J25" s="18"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8</v>
      </c>
      <c r="D26" s="16">
        <v>2021</v>
      </c>
      <c r="E26" s="18">
        <f>'8 - 2021'!B32-'8 - 2021'!B31</f>
        <v>0</v>
      </c>
      <c r="F26" s="18">
        <f>'8 - 2021'!C32-'8 - 2021'!C31</f>
        <v>0</v>
      </c>
      <c r="G26" s="16">
        <v>0.11799999999999999</v>
      </c>
      <c r="H26" s="18">
        <f>'8 - 2021'!E32-'8 - 2021'!E31</f>
        <v>0</v>
      </c>
      <c r="I26" s="18">
        <f>'8 - 2021'!F32-'8 - 2021'!F31</f>
        <v>0</v>
      </c>
      <c r="J26" s="18">
        <f>'8 - 2021'!G32-'8 - 2021'!G31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8</v>
      </c>
      <c r="D27" s="16">
        <v>2021</v>
      </c>
      <c r="E27" s="18">
        <f>'8 - 2021'!B33-'8 - 2021'!B32</f>
        <v>0</v>
      </c>
      <c r="F27" s="18">
        <f>'8 - 2021'!C33-'8 - 2021'!C32</f>
        <v>0</v>
      </c>
      <c r="G27" s="16">
        <v>0.11799999999999999</v>
      </c>
      <c r="H27" s="18">
        <f>'8 - 2021'!E33-'8 - 2021'!E32</f>
        <v>0</v>
      </c>
      <c r="I27" s="18">
        <f>'8 - 2021'!F33-'8 - 2021'!F32</f>
        <v>0</v>
      </c>
      <c r="J27" s="18">
        <f>'8 - 2021'!G33-'8 - 2021'!G32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8</v>
      </c>
      <c r="D28" s="16">
        <v>2021</v>
      </c>
      <c r="E28" s="18">
        <f>'8 - 2021'!B34-'8 - 2021'!B33</f>
        <v>0</v>
      </c>
      <c r="F28" s="18">
        <f>'8 - 2021'!C34-'8 - 2021'!C33</f>
        <v>0</v>
      </c>
      <c r="G28" s="16">
        <v>0.11799999999999999</v>
      </c>
      <c r="H28" s="18">
        <f>'8 - 2021'!E34-'8 - 2021'!E33</f>
        <v>0</v>
      </c>
      <c r="I28" s="18">
        <f>'8 - 2021'!F34-'8 - 2021'!F33</f>
        <v>0</v>
      </c>
      <c r="J28" s="18">
        <f>'8 - 2021'!G34-'8 - 2021'!G33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8</v>
      </c>
      <c r="D29" s="16">
        <v>2021</v>
      </c>
      <c r="E29" s="18">
        <f>'8 - 2021'!B35-'8 - 2021'!B34</f>
        <v>0</v>
      </c>
      <c r="F29" s="18">
        <f>'8 - 2021'!C35-'8 - 2021'!C34</f>
        <v>0</v>
      </c>
      <c r="G29" s="16">
        <v>0.11799999999999999</v>
      </c>
      <c r="H29" s="18">
        <f>'8 - 2021'!E35-'8 - 2021'!E34</f>
        <v>0</v>
      </c>
      <c r="I29" s="18">
        <f>'8 - 2021'!F35-'8 - 2021'!F34</f>
        <v>0</v>
      </c>
      <c r="J29" s="18">
        <f>'8 - 2021'!G35-'8 - 2021'!G34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8</v>
      </c>
      <c r="D30" s="16">
        <v>2021</v>
      </c>
      <c r="E30" s="18">
        <f>'8 - 2021'!B36-'8 - 2021'!B35</f>
        <v>0</v>
      </c>
      <c r="F30" s="18">
        <f>'8 - 2021'!C36-'8 - 2021'!C35</f>
        <v>0</v>
      </c>
      <c r="G30" s="16">
        <v>0.11799999999999999</v>
      </c>
      <c r="H30" s="18">
        <f>'8 - 2021'!E36-'8 - 2021'!E35</f>
        <v>0</v>
      </c>
      <c r="I30" s="18">
        <f>'8 - 2021'!F36-'8 - 2021'!F35</f>
        <v>0</v>
      </c>
      <c r="J30" s="18">
        <f>'8 - 2021'!G36-'8 - 2021'!G35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8</v>
      </c>
      <c r="D31" s="16">
        <v>2021</v>
      </c>
      <c r="E31" s="18">
        <f>'8 - 2021'!B37-'8 - 2021'!B36</f>
        <v>0</v>
      </c>
      <c r="F31" s="18">
        <f>'8 - 2021'!C37-'8 - 2021'!C36</f>
        <v>0</v>
      </c>
      <c r="G31" s="16">
        <v>0.11799999999999999</v>
      </c>
      <c r="H31" s="18">
        <f>'8 - 2021'!E37-'8 - 2021'!E36</f>
        <v>0</v>
      </c>
      <c r="I31" s="18">
        <f>'8 - 2021'!F37-'8 - 2021'!F36</f>
        <v>0</v>
      </c>
      <c r="J31" s="18">
        <f>'8 - 2021'!G37-'8 - 2021'!G36</f>
        <v>0</v>
      </c>
      <c r="K31" s="16">
        <v>0.74</v>
      </c>
      <c r="L31" s="18"/>
    </row>
    <row r="32" spans="1:13" x14ac:dyDescent="0.25">
      <c r="A32" s="16" t="s">
        <v>27</v>
      </c>
      <c r="B32" s="16">
        <f t="shared" si="0"/>
        <v>31</v>
      </c>
      <c r="C32" s="16">
        <v>8</v>
      </c>
      <c r="D32" s="16">
        <v>2021</v>
      </c>
      <c r="E32" s="18">
        <f>'8 - 2021'!B38-'8 - 2021'!B37</f>
        <v>0</v>
      </c>
      <c r="F32" s="18">
        <f>'8 - 2021'!C38-'8 - 2021'!C37</f>
        <v>0</v>
      </c>
      <c r="G32" s="16">
        <v>0.11799999999999999</v>
      </c>
      <c r="H32" s="18">
        <f>'8 - 2021'!E38-'8 - 2021'!E37</f>
        <v>0</v>
      </c>
      <c r="I32" s="18">
        <f>'8 - 2021'!F38-'8 - 2021'!F37</f>
        <v>0</v>
      </c>
      <c r="J32" s="18">
        <f>'8 - 2021'!G38-'8 - 2021'!G37</f>
        <v>0</v>
      </c>
      <c r="K32" s="16">
        <v>0.74</v>
      </c>
      <c r="L3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zoomScaleNormal="100" workbookViewId="0">
      <selection activeCell="C33" sqref="C33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93" t="s">
        <v>30</v>
      </c>
      <c r="B3" s="93"/>
      <c r="C3" s="93"/>
      <c r="D3" s="93"/>
      <c r="E3" s="93"/>
      <c r="F3" s="93"/>
      <c r="G3" s="93"/>
      <c r="H3" s="93"/>
      <c r="I3" s="93"/>
      <c r="J3" s="93"/>
    </row>
    <row r="4" spans="1:17" ht="16.5" thickBot="1" x14ac:dyDescent="0.3">
      <c r="A4" s="94" t="s">
        <v>37</v>
      </c>
      <c r="B4" s="94"/>
      <c r="C4" s="94"/>
      <c r="D4" s="94"/>
      <c r="E4" s="94"/>
      <c r="F4" s="94"/>
      <c r="G4" s="94"/>
      <c r="H4" s="94"/>
      <c r="I4" s="94"/>
      <c r="J4" s="94"/>
    </row>
    <row r="5" spans="1:17" ht="16.5" thickBot="1" x14ac:dyDescent="0.3">
      <c r="A5" s="2"/>
      <c r="B5" s="95" t="s">
        <v>36</v>
      </c>
      <c r="C5" s="96"/>
      <c r="D5" s="95" t="s">
        <v>0</v>
      </c>
      <c r="E5" s="97"/>
      <c r="F5" s="97"/>
      <c r="G5" s="98"/>
      <c r="H5" s="99" t="s">
        <v>1</v>
      </c>
      <c r="I5" s="100"/>
      <c r="J5" s="19" t="s">
        <v>2</v>
      </c>
      <c r="K5" s="3"/>
    </row>
    <row r="6" spans="1:17" ht="50.25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9" t="s">
        <v>31</v>
      </c>
      <c r="L6" s="50" t="s">
        <v>32</v>
      </c>
    </row>
    <row r="7" spans="1:17" s="14" customFormat="1" ht="12.95" customHeight="1" x14ac:dyDescent="0.25">
      <c r="A7" s="51">
        <v>44408</v>
      </c>
      <c r="B7" s="52">
        <v>935721</v>
      </c>
      <c r="C7" s="53">
        <v>165665</v>
      </c>
      <c r="D7" s="54">
        <v>0.48</v>
      </c>
      <c r="E7" s="44">
        <v>4430.42</v>
      </c>
      <c r="F7" s="40">
        <v>24.34</v>
      </c>
      <c r="G7" s="40">
        <v>31631.72</v>
      </c>
      <c r="H7" s="52">
        <v>14528</v>
      </c>
      <c r="I7" s="52">
        <v>126527</v>
      </c>
      <c r="J7" s="52">
        <v>48708452</v>
      </c>
      <c r="K7" s="48"/>
      <c r="L7" s="32"/>
      <c r="M7" s="26"/>
    </row>
    <row r="8" spans="1:17" s="60" customFormat="1" ht="12.95" customHeight="1" x14ac:dyDescent="0.25">
      <c r="A8" s="25">
        <f>A7+1</f>
        <v>44409</v>
      </c>
      <c r="B8" s="55">
        <v>939318</v>
      </c>
      <c r="C8" s="55">
        <v>171658</v>
      </c>
      <c r="D8" s="56">
        <v>0.43</v>
      </c>
      <c r="E8" s="57">
        <v>4452.57</v>
      </c>
      <c r="F8" s="57">
        <v>30.81</v>
      </c>
      <c r="G8" s="55">
        <v>31656.42</v>
      </c>
      <c r="H8" s="55">
        <v>14528</v>
      </c>
      <c r="I8" s="55">
        <v>126613</v>
      </c>
      <c r="J8" s="55">
        <v>48752996</v>
      </c>
      <c r="K8" s="58"/>
      <c r="L8" s="58"/>
      <c r="M8" s="59"/>
    </row>
    <row r="9" spans="1:17" s="60" customFormat="1" ht="12.95" customHeight="1" x14ac:dyDescent="0.25">
      <c r="A9" s="25">
        <f t="shared" ref="A9:A38" si="0">A8+1</f>
        <v>44410</v>
      </c>
      <c r="B9" s="61">
        <v>942916</v>
      </c>
      <c r="C9" s="38">
        <v>177394</v>
      </c>
      <c r="D9" s="62">
        <v>0.38</v>
      </c>
      <c r="E9" s="38">
        <v>4472.6000000000004</v>
      </c>
      <c r="F9" s="38">
        <v>36.869999999999997</v>
      </c>
      <c r="G9" s="38">
        <v>31679.57</v>
      </c>
      <c r="H9" s="61">
        <v>14528</v>
      </c>
      <c r="I9" s="63">
        <v>126697</v>
      </c>
      <c r="J9" s="63">
        <v>48791180</v>
      </c>
      <c r="K9" s="64"/>
      <c r="L9" s="64"/>
      <c r="M9" s="59"/>
    </row>
    <row r="10" spans="1:17" s="60" customFormat="1" ht="12.95" customHeight="1" x14ac:dyDescent="0.25">
      <c r="A10" s="25">
        <f t="shared" si="0"/>
        <v>44411</v>
      </c>
      <c r="B10" s="87">
        <v>946518</v>
      </c>
      <c r="C10" s="87">
        <v>183171</v>
      </c>
      <c r="D10" s="88">
        <v>0.33</v>
      </c>
      <c r="E10" s="38">
        <v>4495.04</v>
      </c>
      <c r="F10" s="38">
        <v>40.79</v>
      </c>
      <c r="G10" s="38">
        <v>31704.19</v>
      </c>
      <c r="H10" s="61">
        <v>14528</v>
      </c>
      <c r="I10" s="63">
        <v>126785</v>
      </c>
      <c r="J10" s="43">
        <v>48825844</v>
      </c>
      <c r="K10" s="64"/>
      <c r="L10" s="64"/>
      <c r="M10" s="59"/>
    </row>
    <row r="11" spans="1:17" s="60" customFormat="1" ht="12.95" customHeight="1" x14ac:dyDescent="0.25">
      <c r="A11" s="25">
        <f t="shared" si="0"/>
        <v>44412</v>
      </c>
      <c r="B11" s="63">
        <v>950260</v>
      </c>
      <c r="C11" s="63">
        <v>188992</v>
      </c>
      <c r="D11" s="62">
        <v>0.85</v>
      </c>
      <c r="E11" s="38">
        <v>4519.8900000000003</v>
      </c>
      <c r="F11" s="38">
        <v>46.28</v>
      </c>
      <c r="G11" s="38">
        <v>31729.08</v>
      </c>
      <c r="H11" s="61">
        <v>14528</v>
      </c>
      <c r="I11" s="63">
        <v>126869</v>
      </c>
      <c r="J11" s="63">
        <v>48864256</v>
      </c>
      <c r="K11" s="64">
        <v>4000</v>
      </c>
      <c r="L11" s="64"/>
      <c r="M11" s="59"/>
    </row>
    <row r="12" spans="1:17" s="60" customFormat="1" ht="12.95" customHeight="1" x14ac:dyDescent="0.25">
      <c r="A12" s="25">
        <f t="shared" si="0"/>
        <v>44413</v>
      </c>
      <c r="B12" s="89">
        <v>953894</v>
      </c>
      <c r="C12" s="89">
        <v>194649</v>
      </c>
      <c r="D12" s="88">
        <v>0.78</v>
      </c>
      <c r="E12" s="61">
        <v>4544.18</v>
      </c>
      <c r="F12" s="61">
        <v>50.88</v>
      </c>
      <c r="G12" s="61">
        <v>31755.68</v>
      </c>
      <c r="H12" s="61">
        <v>14528</v>
      </c>
      <c r="I12" s="61">
        <v>126963</v>
      </c>
      <c r="J12" s="61">
        <v>48903413</v>
      </c>
      <c r="K12" s="64"/>
      <c r="L12" s="64"/>
      <c r="M12" s="59"/>
      <c r="N12" s="59"/>
    </row>
    <row r="13" spans="1:17" s="60" customFormat="1" ht="12.95" customHeight="1" x14ac:dyDescent="0.25">
      <c r="A13" s="25">
        <f t="shared" si="0"/>
        <v>44414</v>
      </c>
      <c r="B13" s="90">
        <v>957508</v>
      </c>
      <c r="C13" s="91">
        <v>200281</v>
      </c>
      <c r="D13" s="88">
        <v>0.7</v>
      </c>
      <c r="E13" s="38">
        <v>4564.09</v>
      </c>
      <c r="F13" s="38">
        <v>56.91</v>
      </c>
      <c r="G13" s="38">
        <v>31785.32</v>
      </c>
      <c r="H13" s="63">
        <v>14528</v>
      </c>
      <c r="I13" s="38">
        <v>127050</v>
      </c>
      <c r="J13" s="38">
        <v>48942960</v>
      </c>
      <c r="K13" s="64"/>
      <c r="L13" s="65"/>
      <c r="M13" s="59"/>
      <c r="N13" s="66"/>
      <c r="O13" s="66"/>
      <c r="P13" s="66"/>
      <c r="Q13" s="66"/>
    </row>
    <row r="14" spans="1:17" s="60" customFormat="1" ht="12.95" customHeight="1" x14ac:dyDescent="0.25">
      <c r="A14" s="25">
        <f t="shared" si="0"/>
        <v>44415</v>
      </c>
      <c r="B14" s="87">
        <v>961338</v>
      </c>
      <c r="C14" s="87">
        <v>206161</v>
      </c>
      <c r="D14" s="88">
        <v>0.64</v>
      </c>
      <c r="E14" s="38">
        <v>4588.45</v>
      </c>
      <c r="F14" s="38">
        <v>63.34</v>
      </c>
      <c r="G14" s="38">
        <v>31812.39</v>
      </c>
      <c r="H14" s="63">
        <v>14528</v>
      </c>
      <c r="I14" s="63">
        <v>127134</v>
      </c>
      <c r="J14" s="63">
        <v>48983228</v>
      </c>
      <c r="K14" s="64"/>
      <c r="L14" s="64"/>
      <c r="M14" s="59"/>
      <c r="N14" s="66"/>
      <c r="O14" s="66"/>
      <c r="P14" s="66"/>
      <c r="Q14" s="66"/>
    </row>
    <row r="15" spans="1:17" s="60" customFormat="1" ht="12.95" customHeight="1" x14ac:dyDescent="0.25">
      <c r="A15" s="25">
        <f t="shared" si="0"/>
        <v>44416</v>
      </c>
      <c r="B15" s="63">
        <v>964959</v>
      </c>
      <c r="C15" s="63">
        <v>211943</v>
      </c>
      <c r="D15" s="62">
        <v>0.56000000000000005</v>
      </c>
      <c r="E15" s="38">
        <v>4608.71</v>
      </c>
      <c r="F15" s="67">
        <v>70.64</v>
      </c>
      <c r="G15" s="38">
        <v>31838.95</v>
      </c>
      <c r="H15" s="63">
        <v>14528</v>
      </c>
      <c r="I15" s="63">
        <v>127220</v>
      </c>
      <c r="J15" s="63">
        <v>49025776</v>
      </c>
      <c r="K15" s="64"/>
      <c r="L15" s="64"/>
      <c r="M15" s="59"/>
      <c r="N15" s="66"/>
      <c r="O15" s="66"/>
      <c r="P15" s="66"/>
      <c r="Q15" s="66"/>
    </row>
    <row r="16" spans="1:17" s="60" customFormat="1" ht="12.95" customHeight="1" x14ac:dyDescent="0.25">
      <c r="A16" s="25">
        <f t="shared" si="0"/>
        <v>44417</v>
      </c>
      <c r="B16" s="68">
        <v>968494</v>
      </c>
      <c r="C16" s="63">
        <v>217448</v>
      </c>
      <c r="D16" s="62">
        <v>0.49</v>
      </c>
      <c r="E16" s="38">
        <v>4632.72</v>
      </c>
      <c r="F16" s="67">
        <v>76.75</v>
      </c>
      <c r="G16" s="38">
        <v>31863.040000000001</v>
      </c>
      <c r="H16" s="63">
        <v>14528</v>
      </c>
      <c r="I16" s="63">
        <v>127300</v>
      </c>
      <c r="J16" s="63">
        <v>49061592</v>
      </c>
      <c r="K16" s="64"/>
      <c r="L16" s="64"/>
      <c r="M16" s="59"/>
      <c r="N16" s="66"/>
      <c r="O16" s="66"/>
      <c r="P16" s="66"/>
      <c r="Q16" s="66"/>
    </row>
    <row r="17" spans="1:19" s="60" customFormat="1" ht="12.95" customHeight="1" x14ac:dyDescent="0.25">
      <c r="A17" s="25">
        <f t="shared" si="0"/>
        <v>44418</v>
      </c>
      <c r="B17" s="38">
        <v>972123</v>
      </c>
      <c r="C17" s="38">
        <v>223006</v>
      </c>
      <c r="D17" s="69">
        <v>0.41</v>
      </c>
      <c r="E17" s="38">
        <v>4654.5600000000004</v>
      </c>
      <c r="F17" s="67">
        <v>82.02</v>
      </c>
      <c r="G17" s="38">
        <v>31887</v>
      </c>
      <c r="H17" s="63">
        <v>14528</v>
      </c>
      <c r="I17" s="38">
        <v>127385</v>
      </c>
      <c r="J17" s="38">
        <v>49094000</v>
      </c>
      <c r="K17" s="64"/>
      <c r="L17" s="64"/>
      <c r="M17" s="59"/>
      <c r="N17" s="66"/>
      <c r="O17" s="66"/>
      <c r="P17" s="66"/>
      <c r="Q17" s="66"/>
    </row>
    <row r="18" spans="1:19" s="60" customFormat="1" ht="12.95" customHeight="1" x14ac:dyDescent="0.25">
      <c r="A18" s="25">
        <f t="shared" si="0"/>
        <v>44419</v>
      </c>
      <c r="B18" s="87">
        <v>975679</v>
      </c>
      <c r="C18" s="87">
        <v>228470</v>
      </c>
      <c r="D18" s="88">
        <v>0.35</v>
      </c>
      <c r="E18" s="38">
        <v>4676.87</v>
      </c>
      <c r="F18" s="38">
        <v>88.19</v>
      </c>
      <c r="G18" s="38">
        <v>31912.81</v>
      </c>
      <c r="H18" s="63">
        <v>14528</v>
      </c>
      <c r="I18" s="63">
        <v>127470</v>
      </c>
      <c r="J18" s="63">
        <v>49127051</v>
      </c>
      <c r="K18" s="64"/>
      <c r="L18" s="64"/>
      <c r="M18" s="59"/>
      <c r="N18" s="66"/>
      <c r="O18" s="70"/>
      <c r="P18" s="66"/>
      <c r="Q18" s="66"/>
    </row>
    <row r="19" spans="1:19" s="60" customFormat="1" ht="12.95" customHeight="1" x14ac:dyDescent="0.25">
      <c r="A19" s="25">
        <f t="shared" si="0"/>
        <v>44420</v>
      </c>
      <c r="B19" s="42">
        <v>979323</v>
      </c>
      <c r="C19" s="42">
        <v>234194</v>
      </c>
      <c r="D19" s="88">
        <v>0.8</v>
      </c>
      <c r="E19" s="38">
        <v>4698.71</v>
      </c>
      <c r="F19" s="38">
        <v>94.71</v>
      </c>
      <c r="G19" s="39">
        <v>31938.12</v>
      </c>
      <c r="H19" s="63">
        <v>14528</v>
      </c>
      <c r="I19" s="42">
        <v>127570</v>
      </c>
      <c r="J19" s="42">
        <v>49163290</v>
      </c>
      <c r="K19" s="64"/>
      <c r="L19" s="65"/>
      <c r="M19" s="59"/>
      <c r="N19" s="66"/>
      <c r="O19" s="70"/>
      <c r="P19" s="66"/>
      <c r="Q19" s="66"/>
    </row>
    <row r="20" spans="1:19" s="60" customFormat="1" ht="12.95" customHeight="1" x14ac:dyDescent="0.25">
      <c r="A20" s="25">
        <f t="shared" si="0"/>
        <v>44421</v>
      </c>
      <c r="B20" s="42">
        <v>983084</v>
      </c>
      <c r="C20" s="42">
        <v>240170</v>
      </c>
      <c r="D20" s="88">
        <v>0.74</v>
      </c>
      <c r="E20" s="61">
        <v>4721.66</v>
      </c>
      <c r="F20" s="61">
        <v>101.25</v>
      </c>
      <c r="G20" s="39">
        <v>31965.09</v>
      </c>
      <c r="H20" s="63">
        <v>14528</v>
      </c>
      <c r="I20" s="42">
        <v>127680</v>
      </c>
      <c r="J20" s="42">
        <v>49203100</v>
      </c>
      <c r="K20" s="64"/>
      <c r="L20" s="71"/>
      <c r="M20" s="59"/>
      <c r="N20" s="72"/>
      <c r="O20" s="66"/>
      <c r="P20" s="66"/>
      <c r="Q20" s="66"/>
    </row>
    <row r="21" spans="1:19" s="60" customFormat="1" ht="12.95" customHeight="1" x14ac:dyDescent="0.25">
      <c r="A21" s="25">
        <f t="shared" si="0"/>
        <v>44422</v>
      </c>
      <c r="B21" s="42">
        <v>986646</v>
      </c>
      <c r="C21" s="42">
        <v>245828</v>
      </c>
      <c r="D21" s="88">
        <v>0.68</v>
      </c>
      <c r="E21" s="39">
        <v>4743.5600000000004</v>
      </c>
      <c r="F21" s="38">
        <v>107.58</v>
      </c>
      <c r="G21" s="39">
        <v>31991.78</v>
      </c>
      <c r="H21" s="63">
        <v>14528</v>
      </c>
      <c r="I21" s="42">
        <v>127800</v>
      </c>
      <c r="J21" s="42">
        <v>49244800</v>
      </c>
      <c r="K21" s="64"/>
      <c r="L21" s="71"/>
      <c r="M21" s="59"/>
      <c r="N21" s="72"/>
      <c r="O21" s="72"/>
      <c r="P21" s="73"/>
      <c r="Q21" s="73"/>
      <c r="S21" s="59"/>
    </row>
    <row r="22" spans="1:19" s="60" customFormat="1" ht="12.95" customHeight="1" x14ac:dyDescent="0.25">
      <c r="A22" s="25">
        <f t="shared" si="0"/>
        <v>44423</v>
      </c>
      <c r="B22" s="89">
        <v>990430</v>
      </c>
      <c r="C22" s="92">
        <v>251827</v>
      </c>
      <c r="D22" s="88">
        <v>0.62</v>
      </c>
      <c r="E22" s="38">
        <v>4767.12</v>
      </c>
      <c r="F22" s="38">
        <v>114.62</v>
      </c>
      <c r="G22" s="39">
        <v>32018.81</v>
      </c>
      <c r="H22" s="87">
        <v>14528</v>
      </c>
      <c r="I22" s="39">
        <v>127940</v>
      </c>
      <c r="J22" s="42">
        <v>49284600</v>
      </c>
      <c r="K22" s="64"/>
      <c r="L22" s="71"/>
      <c r="M22" s="59"/>
      <c r="N22" s="72"/>
      <c r="O22" s="72"/>
      <c r="P22" s="66"/>
      <c r="Q22" s="66"/>
    </row>
    <row r="23" spans="1:19" s="60" customFormat="1" ht="12.95" customHeight="1" x14ac:dyDescent="0.25">
      <c r="A23" s="25">
        <f t="shared" si="0"/>
        <v>44424</v>
      </c>
      <c r="B23" s="42">
        <v>993837</v>
      </c>
      <c r="C23" s="42">
        <v>257310</v>
      </c>
      <c r="D23" s="62">
        <v>0.56000000000000005</v>
      </c>
      <c r="E23" s="39">
        <v>4790.3999999999996</v>
      </c>
      <c r="F23" s="38">
        <v>120.42</v>
      </c>
      <c r="G23" s="39">
        <v>32042.41</v>
      </c>
      <c r="H23" s="63">
        <v>14528</v>
      </c>
      <c r="I23" s="42">
        <v>128033</v>
      </c>
      <c r="J23" s="42">
        <v>49325600</v>
      </c>
      <c r="K23" s="64"/>
      <c r="L23" s="71"/>
      <c r="M23" s="59"/>
      <c r="N23" s="72"/>
      <c r="O23" s="66"/>
      <c r="P23" s="66"/>
      <c r="Q23" s="66"/>
    </row>
    <row r="24" spans="1:19" s="60" customFormat="1" ht="12.95" customHeight="1" x14ac:dyDescent="0.25">
      <c r="A24" s="25">
        <f t="shared" si="0"/>
        <v>44425</v>
      </c>
      <c r="B24" s="42">
        <v>997372</v>
      </c>
      <c r="C24" s="42">
        <v>263068</v>
      </c>
      <c r="D24" s="62">
        <v>0.48</v>
      </c>
      <c r="E24" s="39">
        <v>4811.07</v>
      </c>
      <c r="F24" s="38">
        <v>127.2</v>
      </c>
      <c r="G24" s="39">
        <v>32064.41</v>
      </c>
      <c r="H24" s="63">
        <v>14528</v>
      </c>
      <c r="I24" s="42">
        <v>128117</v>
      </c>
      <c r="J24" s="42">
        <v>49368628</v>
      </c>
      <c r="K24" s="64"/>
      <c r="L24" s="74"/>
      <c r="M24" s="59"/>
      <c r="N24" s="72"/>
      <c r="O24" s="72"/>
      <c r="P24" s="66"/>
      <c r="Q24" s="66"/>
    </row>
    <row r="25" spans="1:19" s="60" customFormat="1" ht="12.95" customHeight="1" x14ac:dyDescent="0.25">
      <c r="A25" s="25">
        <f t="shared" si="0"/>
        <v>44426</v>
      </c>
      <c r="B25" s="39">
        <v>1001105.53</v>
      </c>
      <c r="C25" s="39">
        <v>268932</v>
      </c>
      <c r="D25" s="62">
        <v>0.4</v>
      </c>
      <c r="E25" s="39">
        <v>4833.09</v>
      </c>
      <c r="F25" s="38">
        <v>134.41</v>
      </c>
      <c r="G25" s="39">
        <v>32090.05</v>
      </c>
      <c r="H25" s="63">
        <v>14528</v>
      </c>
      <c r="I25" s="42">
        <v>128209</v>
      </c>
      <c r="J25" s="42">
        <v>49407244</v>
      </c>
      <c r="K25" s="75"/>
      <c r="L25" s="74"/>
      <c r="M25" s="59"/>
      <c r="N25" s="72"/>
      <c r="O25" s="72"/>
      <c r="P25" s="66"/>
      <c r="Q25" s="66"/>
    </row>
    <row r="26" spans="1:19" s="60" customFormat="1" ht="12.95" customHeight="1" x14ac:dyDescent="0.25">
      <c r="A26" s="25">
        <f t="shared" si="0"/>
        <v>44427</v>
      </c>
      <c r="B26" s="39">
        <v>1004788.93</v>
      </c>
      <c r="C26" s="39">
        <v>274598</v>
      </c>
      <c r="D26" s="69">
        <v>0.34</v>
      </c>
      <c r="E26" s="39">
        <v>4855.08</v>
      </c>
      <c r="F26" s="38">
        <v>140.54</v>
      </c>
      <c r="G26" s="39">
        <v>32117.19</v>
      </c>
      <c r="H26" s="63">
        <v>14528</v>
      </c>
      <c r="I26" s="42">
        <v>128306</v>
      </c>
      <c r="J26" s="42">
        <v>49444960</v>
      </c>
      <c r="K26" s="64"/>
      <c r="L26" s="74"/>
      <c r="M26" s="59"/>
      <c r="N26" s="72"/>
      <c r="O26" s="72"/>
      <c r="P26" s="66"/>
      <c r="Q26" s="66"/>
    </row>
    <row r="27" spans="1:19" s="60" customFormat="1" ht="12.95" customHeight="1" x14ac:dyDescent="0.25">
      <c r="A27" s="25">
        <f t="shared" si="0"/>
        <v>44428</v>
      </c>
      <c r="B27" s="42">
        <v>1008455.3</v>
      </c>
      <c r="C27" s="42">
        <v>280328</v>
      </c>
      <c r="D27" s="62">
        <v>0.28999999999999998</v>
      </c>
      <c r="E27" s="39">
        <v>4876.03</v>
      </c>
      <c r="F27" s="38">
        <v>146.76</v>
      </c>
      <c r="G27" s="39">
        <v>32144.18</v>
      </c>
      <c r="H27" s="63">
        <v>14528</v>
      </c>
      <c r="I27" s="42">
        <v>128399</v>
      </c>
      <c r="J27" s="42">
        <v>49481060</v>
      </c>
      <c r="K27" s="64"/>
      <c r="L27" s="76"/>
      <c r="M27" s="59"/>
    </row>
    <row r="28" spans="1:19" s="60" customFormat="1" ht="12.95" customHeight="1" x14ac:dyDescent="0.25">
      <c r="A28" s="25">
        <f t="shared" si="0"/>
        <v>44429</v>
      </c>
      <c r="B28" s="41">
        <v>1012121.5</v>
      </c>
      <c r="C28" s="42">
        <v>285998</v>
      </c>
      <c r="D28" s="62">
        <v>0.23</v>
      </c>
      <c r="E28" s="39">
        <v>4896.2299999999996</v>
      </c>
      <c r="F28" s="38">
        <v>152.97</v>
      </c>
      <c r="G28" s="39">
        <v>32170.18</v>
      </c>
      <c r="H28" s="63">
        <v>14528</v>
      </c>
      <c r="I28" s="42">
        <v>128489</v>
      </c>
      <c r="J28" s="42">
        <v>49516250</v>
      </c>
      <c r="K28" s="64">
        <v>4000</v>
      </c>
      <c r="L28" s="76"/>
      <c r="M28" s="59"/>
    </row>
    <row r="29" spans="1:19" s="60" customFormat="1" ht="12.95" customHeight="1" x14ac:dyDescent="0.25">
      <c r="A29" s="25">
        <f t="shared" si="0"/>
        <v>44430</v>
      </c>
      <c r="B29" s="42">
        <v>1015846.4</v>
      </c>
      <c r="C29" s="42">
        <v>291701</v>
      </c>
      <c r="D29" s="62">
        <v>0.8</v>
      </c>
      <c r="E29" s="39">
        <v>4915.7700000000004</v>
      </c>
      <c r="F29" s="38">
        <v>159.12</v>
      </c>
      <c r="G29" s="39">
        <v>32198.240000000002</v>
      </c>
      <c r="H29" s="63">
        <v>14528</v>
      </c>
      <c r="I29" s="42">
        <v>128585</v>
      </c>
      <c r="J29" s="42">
        <v>49552811</v>
      </c>
      <c r="K29" s="64"/>
      <c r="L29" s="76"/>
      <c r="M29" s="59"/>
      <c r="N29" s="59"/>
    </row>
    <row r="30" spans="1:19" s="60" customFormat="1" ht="12.95" customHeight="1" x14ac:dyDescent="0.25">
      <c r="A30" s="25">
        <f t="shared" si="0"/>
        <v>44431</v>
      </c>
      <c r="B30" s="42">
        <v>1019434.3</v>
      </c>
      <c r="C30" s="42">
        <v>297235</v>
      </c>
      <c r="D30" s="62">
        <v>0.74</v>
      </c>
      <c r="E30" s="39">
        <v>4937.21</v>
      </c>
      <c r="F30" s="38">
        <v>165.03</v>
      </c>
      <c r="G30" s="39">
        <v>32227.05</v>
      </c>
      <c r="H30" s="63">
        <v>14528</v>
      </c>
      <c r="I30" s="42">
        <v>128672</v>
      </c>
      <c r="J30" s="42">
        <v>49589200</v>
      </c>
      <c r="K30" s="64"/>
      <c r="L30" s="76"/>
      <c r="M30" s="59"/>
    </row>
    <row r="31" spans="1:19" s="60" customFormat="1" ht="12.95" customHeight="1" x14ac:dyDescent="0.25">
      <c r="A31" s="25">
        <f t="shared" si="0"/>
        <v>44432</v>
      </c>
      <c r="B31" s="42"/>
      <c r="C31" s="42"/>
      <c r="D31" s="62"/>
      <c r="E31" s="39"/>
      <c r="F31" s="38"/>
      <c r="G31" s="39"/>
      <c r="H31" s="63"/>
      <c r="I31" s="42"/>
      <c r="J31" s="42"/>
      <c r="K31" s="64"/>
      <c r="L31" s="76"/>
      <c r="M31" s="59"/>
      <c r="N31" s="59"/>
      <c r="O31" s="59"/>
    </row>
    <row r="32" spans="1:19" s="60" customFormat="1" ht="12.95" customHeight="1" x14ac:dyDescent="0.25">
      <c r="A32" s="25">
        <f t="shared" si="0"/>
        <v>44433</v>
      </c>
      <c r="B32" s="42"/>
      <c r="C32" s="42"/>
      <c r="D32" s="62"/>
      <c r="E32" s="39"/>
      <c r="F32" s="38"/>
      <c r="G32" s="39"/>
      <c r="H32" s="63"/>
      <c r="I32" s="42"/>
      <c r="J32" s="42"/>
      <c r="K32" s="64"/>
      <c r="L32" s="76"/>
      <c r="M32" s="59"/>
      <c r="N32" s="59"/>
      <c r="O32" s="59"/>
    </row>
    <row r="33" spans="1:16" s="60" customFormat="1" ht="12.95" customHeight="1" x14ac:dyDescent="0.25">
      <c r="A33" s="25">
        <f t="shared" si="0"/>
        <v>44434</v>
      </c>
      <c r="B33" s="42"/>
      <c r="C33" s="42"/>
      <c r="D33" s="62"/>
      <c r="E33" s="39"/>
      <c r="F33" s="38"/>
      <c r="G33" s="39"/>
      <c r="H33" s="63"/>
      <c r="I33" s="42"/>
      <c r="J33" s="42"/>
      <c r="K33" s="64"/>
      <c r="L33" s="76"/>
      <c r="N33" s="59"/>
      <c r="O33" s="59"/>
    </row>
    <row r="34" spans="1:16" s="60" customFormat="1" ht="12.95" customHeight="1" x14ac:dyDescent="0.25">
      <c r="A34" s="25">
        <f t="shared" si="0"/>
        <v>44435</v>
      </c>
      <c r="B34" s="42"/>
      <c r="C34" s="42"/>
      <c r="D34" s="69"/>
      <c r="E34" s="39"/>
      <c r="F34" s="38"/>
      <c r="G34" s="39"/>
      <c r="H34" s="63"/>
      <c r="I34" s="39"/>
      <c r="J34" s="39"/>
      <c r="K34" s="64"/>
      <c r="L34" s="77"/>
      <c r="N34" s="59"/>
      <c r="P34" s="59"/>
    </row>
    <row r="35" spans="1:16" s="60" customFormat="1" ht="12.95" customHeight="1" x14ac:dyDescent="0.25">
      <c r="A35" s="25">
        <f>A34+1</f>
        <v>44436</v>
      </c>
      <c r="B35" s="63"/>
      <c r="C35" s="78"/>
      <c r="D35" s="62"/>
      <c r="E35" s="39"/>
      <c r="F35" s="38"/>
      <c r="G35" s="38"/>
      <c r="H35" s="63"/>
      <c r="I35" s="63"/>
      <c r="J35" s="63"/>
      <c r="K35" s="64"/>
      <c r="L35" s="76"/>
      <c r="M35" s="59"/>
      <c r="N35" s="59"/>
      <c r="O35" s="59"/>
    </row>
    <row r="36" spans="1:16" s="79" customFormat="1" x14ac:dyDescent="0.25">
      <c r="A36" s="46">
        <f t="shared" si="0"/>
        <v>44437</v>
      </c>
      <c r="B36" s="63"/>
      <c r="C36" s="78"/>
      <c r="D36" s="62"/>
      <c r="E36" s="39"/>
      <c r="F36" s="38"/>
      <c r="G36" s="38"/>
      <c r="H36" s="63"/>
      <c r="I36" s="63"/>
      <c r="J36" s="63"/>
      <c r="K36" s="64"/>
      <c r="L36" s="76"/>
    </row>
    <row r="37" spans="1:16" s="79" customFormat="1" x14ac:dyDescent="0.25">
      <c r="A37" s="46">
        <f t="shared" si="0"/>
        <v>44438</v>
      </c>
      <c r="B37" s="63"/>
      <c r="C37" s="78"/>
      <c r="D37" s="62"/>
      <c r="E37" s="39"/>
      <c r="F37" s="38"/>
      <c r="G37" s="38"/>
      <c r="H37" s="63"/>
      <c r="I37" s="63"/>
      <c r="J37" s="63"/>
      <c r="K37" s="64"/>
      <c r="L37" s="76"/>
    </row>
    <row r="38" spans="1:16" s="79" customFormat="1" ht="15.75" thickBot="1" x14ac:dyDescent="0.3">
      <c r="A38" s="47">
        <f t="shared" si="0"/>
        <v>44439</v>
      </c>
      <c r="B38" s="80"/>
      <c r="C38" s="81"/>
      <c r="D38" s="82"/>
      <c r="E38" s="83"/>
      <c r="F38" s="84"/>
      <c r="G38" s="84"/>
      <c r="H38" s="80"/>
      <c r="I38" s="80"/>
      <c r="J38" s="80"/>
      <c r="K38" s="85"/>
      <c r="L38" s="86"/>
    </row>
    <row r="39" spans="1:16" s="35" customFormat="1" ht="15" customHeight="1" x14ac:dyDescent="0.25">
      <c r="A39" s="27" t="s">
        <v>35</v>
      </c>
      <c r="B39" s="20">
        <f t="shared" ref="B39:J39" si="1">B38-B7</f>
        <v>-935721</v>
      </c>
      <c r="C39" s="20">
        <f t="shared" si="1"/>
        <v>-165665</v>
      </c>
      <c r="D39" s="20">
        <f t="shared" si="1"/>
        <v>-0.48</v>
      </c>
      <c r="E39" s="20">
        <f t="shared" si="1"/>
        <v>-4430.42</v>
      </c>
      <c r="F39" s="20">
        <f t="shared" si="1"/>
        <v>-24.34</v>
      </c>
      <c r="G39" s="20">
        <f t="shared" si="1"/>
        <v>-31631.72</v>
      </c>
      <c r="H39" s="20">
        <f t="shared" si="1"/>
        <v>-14528</v>
      </c>
      <c r="I39" s="20">
        <f t="shared" si="1"/>
        <v>-126527</v>
      </c>
      <c r="J39" s="20">
        <f t="shared" si="1"/>
        <v>-48708452</v>
      </c>
      <c r="K39" s="20">
        <f>SUM(K7:K38)</f>
        <v>8000</v>
      </c>
      <c r="L39" s="16"/>
    </row>
    <row r="40" spans="1:16" ht="15" customHeight="1" x14ac:dyDescent="0.25">
      <c r="C40" s="20"/>
      <c r="E40" s="18"/>
      <c r="F40" s="18"/>
      <c r="G40" s="18"/>
      <c r="H40" s="15">
        <f>H39*219.969</f>
        <v>-3195709.6319999998</v>
      </c>
      <c r="I40" s="20">
        <f>I39*219.969</f>
        <v>-27832017.662999999</v>
      </c>
      <c r="J40" s="18"/>
    </row>
    <row r="41" spans="1:16" x14ac:dyDescent="0.25">
      <c r="C41" s="18"/>
    </row>
    <row r="42" spans="1:16" x14ac:dyDescent="0.25">
      <c r="J42" s="36"/>
    </row>
    <row r="43" spans="1:16" x14ac:dyDescent="0.25">
      <c r="C43" s="37"/>
      <c r="I43" s="36"/>
    </row>
    <row r="50" spans="9:9" x14ac:dyDescent="0.25">
      <c r="I50" s="18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8 - 2021</vt:lpstr>
      <vt:lpstr>'8 - 2021'!Print_Area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2021-08-23T05:04:07Z</dcterms:modified>
</cp:coreProperties>
</file>