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0 - 2020" sheetId="1" r:id="rId3"/>
  </sheets>
  <definedNames>
    <definedName name="_xlnm.Print_Area" localSheetId="2">'10 - 2020'!$A$1:$J$36</definedName>
  </definedNames>
  <calcPr calcId="162913"/>
</workbook>
</file>

<file path=xl/calcChain.xml><?xml version="1.0" encoding="utf-8"?>
<calcChain xmlns="http://schemas.openxmlformats.org/spreadsheetml/2006/main"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J17" i="2" l="1"/>
  <c r="I17" i="2"/>
  <c r="H17" i="2"/>
  <c r="F17" i="2"/>
  <c r="E17" i="2"/>
  <c r="E19" i="3"/>
  <c r="G19" i="3"/>
  <c r="L19" i="3"/>
  <c r="K19" i="3"/>
  <c r="I19" i="3"/>
  <c r="L18" i="3"/>
  <c r="K18" i="3"/>
  <c r="I18" i="3"/>
  <c r="G18" i="3"/>
  <c r="E18" i="3"/>
  <c r="L17" i="3"/>
  <c r="K17" i="3"/>
  <c r="I17" i="3"/>
  <c r="G17" i="3"/>
  <c r="E17" i="3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L10" i="3"/>
  <c r="K10" i="3"/>
  <c r="I10" i="3"/>
  <c r="G10" i="3"/>
  <c r="E10" i="3"/>
  <c r="J11" i="2"/>
  <c r="I11" i="2"/>
  <c r="H11" i="2"/>
  <c r="F11" i="2"/>
  <c r="E11" i="2"/>
  <c r="J10" i="2"/>
  <c r="I10" i="2"/>
  <c r="H10" i="2"/>
  <c r="F10" i="2"/>
  <c r="E10" i="2"/>
  <c r="J9" i="2" l="1"/>
  <c r="I9" i="2"/>
  <c r="H9" i="2"/>
  <c r="F9" i="2"/>
  <c r="E9" i="2"/>
  <c r="L9" i="3"/>
  <c r="K9" i="3"/>
  <c r="I9" i="3"/>
  <c r="G9" i="3"/>
  <c r="E9" i="3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L3" i="3"/>
  <c r="K3" i="3"/>
  <c r="I3" i="3"/>
  <c r="G3" i="3"/>
  <c r="E3" i="3"/>
  <c r="J4" i="2"/>
  <c r="I4" i="2"/>
  <c r="H4" i="2"/>
  <c r="F4" i="2"/>
  <c r="E4" i="2"/>
  <c r="J3" i="2"/>
  <c r="I3" i="2"/>
  <c r="H3" i="2"/>
  <c r="F3" i="2"/>
  <c r="E3" i="2"/>
  <c r="L2" i="3" l="1"/>
  <c r="K2" i="3"/>
  <c r="I2" i="3"/>
  <c r="G2" i="3"/>
  <c r="E2" i="3"/>
  <c r="J2" i="2"/>
  <c r="I2" i="2"/>
  <c r="H2" i="2"/>
  <c r="F2" i="2"/>
  <c r="E2" i="2"/>
  <c r="J32" i="2" l="1"/>
  <c r="I32" i="2"/>
  <c r="H32" i="2"/>
  <c r="F32" i="2"/>
  <c r="E32" i="2"/>
  <c r="L32" i="3"/>
  <c r="K32" i="3"/>
  <c r="I32" i="3"/>
  <c r="G32" i="3"/>
  <c r="E32" i="3"/>
  <c r="I40" i="1"/>
  <c r="H40" i="1"/>
  <c r="K39" i="1"/>
  <c r="J39" i="1"/>
  <c r="I39" i="1"/>
  <c r="H39" i="1"/>
  <c r="G39" i="1"/>
  <c r="F39" i="1"/>
  <c r="E39" i="1"/>
  <c r="C39" i="1"/>
  <c r="B39" i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J29" i="2" l="1"/>
  <c r="I29" i="2"/>
  <c r="H29" i="2"/>
  <c r="F29" i="2"/>
  <c r="E29" i="2"/>
  <c r="L29" i="3"/>
  <c r="K29" i="3"/>
  <c r="I29" i="3"/>
  <c r="G29" i="3"/>
  <c r="E29" i="3"/>
  <c r="J28" i="2" l="1"/>
  <c r="I28" i="2"/>
  <c r="H28" i="2"/>
  <c r="F28" i="2"/>
  <c r="E28" i="2"/>
  <c r="L28" i="3"/>
  <c r="K28" i="3"/>
  <c r="I28" i="3"/>
  <c r="G28" i="3"/>
  <c r="E28" i="3"/>
  <c r="J27" i="2" l="1"/>
  <c r="I27" i="2"/>
  <c r="H27" i="2"/>
  <c r="F27" i="2"/>
  <c r="E27" i="2"/>
  <c r="J26" i="2"/>
  <c r="I26" i="2"/>
  <c r="H26" i="2"/>
  <c r="F26" i="2"/>
  <c r="E26" i="2"/>
  <c r="L27" i="3"/>
  <c r="K27" i="3"/>
  <c r="I27" i="3"/>
  <c r="G27" i="3"/>
  <c r="E27" i="3"/>
  <c r="L26" i="3"/>
  <c r="K26" i="3"/>
  <c r="I26" i="3"/>
  <c r="G26" i="3"/>
  <c r="E26" i="3"/>
  <c r="L25" i="3" l="1"/>
  <c r="K25" i="3"/>
  <c r="I25" i="3"/>
  <c r="G25" i="3"/>
  <c r="E25" i="3"/>
  <c r="J25" i="2"/>
  <c r="I25" i="2"/>
  <c r="H25" i="2"/>
  <c r="F25" i="2"/>
  <c r="E25" i="2"/>
  <c r="J19" i="2" l="1"/>
  <c r="I19" i="2"/>
  <c r="H19" i="2"/>
  <c r="F19" i="2"/>
  <c r="E19" i="2"/>
  <c r="J18" i="2" l="1"/>
  <c r="I18" i="2"/>
  <c r="H18" i="2"/>
  <c r="F18" i="2"/>
  <c r="E18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<sst xmlns="http://schemas.openxmlformats.org/spreadsheetml/2006/main" count="107" uniqueCount="38">
  <si>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</si>
  <si>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</si>
  <si>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</si>
  <si>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</si>
  <si>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</si>
  <si>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</si>
  <si>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</si>
  <si>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</si>
  <si>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</si>
  <si>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</si>
  <si>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</si>
  <si>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</si>
  <si>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</si>
  <si>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</si>
  <si>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</si>
  <si>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</si>
  <si>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</si>
  <si>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</si>
  <si>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</si>
  <si>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</si>
  <si>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</si>
  <si>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</si>
  <si>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</si>
  <si>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</si>
  <si>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</si>
  <si>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</si>
  <si>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</si>
  <si>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</si>
  <si>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</si>
  <si>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</si>
  <si>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</si>
  <si>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</si>
  <si>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</si>
  <si>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</si>
  <si>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</si>
  <si>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</si>
  <si>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</si>
  <si>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OCTOBER'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</si>
</sst>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N23" sqref="N23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10</v>
      </c>
      <c r="D2">
        <v>2020</v>
      </c>
      <c r="E2" s="24">
        <f>'10 - 2020'!B8-'10 - 2020'!B7+'10 - 2020'!C8-'10 - 2020'!C7</f>
        <v>8431</v>
      </c>
      <c r="F2" s="22">
        <v>0.11799999999999999</v>
      </c>
      <c r="G2" s="24">
        <f>(('10 - 2020'!E8-'10 - 2020'!E7)+('10 - 2020'!F8-'10 - 2020'!F7)+('10 - 2020'!G8-'10 - 2020'!G7))*1.81</f>
        <v>90.5</v>
      </c>
      <c r="H2" s="22">
        <v>0.99</v>
      </c>
      <c r="I2" s="24">
        <f>'10 - 2020'!J8-'10 - 2020'!J7</f>
        <v>25232</v>
      </c>
      <c r="J2" s="22">
        <v>8.1000000000000003E-2</v>
      </c>
      <c r="K2" s="56">
        <f>'10 - 2020'!H8-'10 - 2020'!H7</f>
        <v>0</v>
      </c>
      <c r="L2" s="24">
        <f>'10 - 2020'!I8-'10 - 2020'!I7</f>
        <v>61</v>
      </c>
      <c r="M2" s="23">
        <v>4.393629424766913</v>
      </c>
      <c r="N2" s="48">
        <v>29</v>
      </c>
    </row>
    <row r="3" spans="1:15" x14ac:dyDescent="0.25">
      <c r="A3" t="s">
        <v>27</v>
      </c>
      <c r="B3">
        <f>B2+1</f>
        <v>2</v>
      </c>
      <c r="C3" s="22">
        <v>10</v>
      </c>
      <c r="D3" s="22">
        <v>2020</v>
      </c>
      <c r="E3" s="24">
        <f>'10 - 2020'!B9-'10 - 2020'!B8+'10 - 2020'!C9-'10 - 2020'!C8</f>
        <v>8622</v>
      </c>
      <c r="F3" s="22">
        <v>0.11799999999999999</v>
      </c>
      <c r="G3" s="24">
        <f>(('10 - 2020'!E9-'10 - 2020'!E8)+('10 - 2020'!F9-'10 - 2020'!F8)+('10 - 2020'!G9-'10 - 2020'!G8))*1.81</f>
        <v>99.55</v>
      </c>
      <c r="H3" s="22">
        <v>0.99</v>
      </c>
      <c r="I3" s="24">
        <f>'10 - 2020'!J9-'10 - 2020'!J8</f>
        <v>23134</v>
      </c>
      <c r="J3" s="22">
        <v>8.1000000000000003E-2</v>
      </c>
      <c r="K3" s="56">
        <f>'10 - 2020'!H9-'10 - 2020'!H8</f>
        <v>0</v>
      </c>
      <c r="L3" s="24">
        <f>'10 - 2020'!I9-'10 - 2020'!I8</f>
        <v>67</v>
      </c>
      <c r="M3" s="23">
        <v>4.393629424766913</v>
      </c>
      <c r="N3" s="48">
        <v>28</v>
      </c>
    </row>
    <row r="4" spans="1:15" x14ac:dyDescent="0.25">
      <c r="A4" t="s">
        <v>27</v>
      </c>
      <c r="B4">
        <f t="shared" ref="B4:B31" si="0">B3+1</f>
        <v>3</v>
      </c>
      <c r="C4" s="22">
        <v>10</v>
      </c>
      <c r="D4" s="22">
        <v>2020</v>
      </c>
      <c r="E4" s="24">
        <f>'10 - 2020'!B10-'10 - 2020'!B9+'10 - 2020'!C10-'10 - 2020'!C9</f>
        <v>8673</v>
      </c>
      <c r="F4" s="22">
        <v>0.11799999999999999</v>
      </c>
      <c r="G4" s="24">
        <f>(('10 - 2020'!E10-'10 - 2020'!E9)+('10 - 2020'!F10-'10 - 2020'!F9)+('10 - 2020'!G10-'10 - 2020'!G9))*1.81</f>
        <v>101.36</v>
      </c>
      <c r="H4" s="22">
        <v>0.99</v>
      </c>
      <c r="I4" s="24">
        <f>'10 - 2020'!J10-'10 - 2020'!J9</f>
        <v>26353</v>
      </c>
      <c r="J4" s="22">
        <v>8.1000000000000003E-2</v>
      </c>
      <c r="K4" s="56">
        <f>'10 - 2020'!H10-'10 - 2020'!H9</f>
        <v>0</v>
      </c>
      <c r="L4" s="24">
        <f>'10 - 2020'!I10-'10 - 2020'!I9</f>
        <v>65</v>
      </c>
      <c r="M4" s="23">
        <v>4.393629424766913</v>
      </c>
      <c r="N4" s="48">
        <v>27</v>
      </c>
    </row>
    <row r="5" spans="1:15" x14ac:dyDescent="0.25">
      <c r="A5" t="s">
        <v>27</v>
      </c>
      <c r="B5">
        <f t="shared" si="0"/>
        <v>4</v>
      </c>
      <c r="C5" s="22">
        <v>10</v>
      </c>
      <c r="D5" s="22">
        <v>2020</v>
      </c>
      <c r="E5" s="24">
        <f>'10 - 2020'!B11-'10 - 2020'!B10+'10 - 2020'!C11-'10 - 2020'!C10</f>
        <v>8505</v>
      </c>
      <c r="F5" s="22">
        <v>0.11799999999999999</v>
      </c>
      <c r="G5" s="24">
        <f>(('10 - 2020'!E11-'10 - 2020'!E10)+('10 - 2020'!F11-'10 - 2020'!F10)+('10 - 2020'!G11-'10 - 2020'!G10))*1.81</f>
        <v>94.12</v>
      </c>
      <c r="H5" s="22">
        <v>0.99</v>
      </c>
      <c r="I5" s="24">
        <f>'10 - 2020'!J11-'10 - 2020'!J10</f>
        <v>31317</v>
      </c>
      <c r="J5" s="22">
        <v>8.1000000000000003E-2</v>
      </c>
      <c r="K5" s="56">
        <f>'10 - 2020'!H11-'10 - 2020'!H10</f>
        <v>0</v>
      </c>
      <c r="L5" s="24">
        <f>'10 - 2020'!I11-'10 - 2020'!I10</f>
        <v>62</v>
      </c>
      <c r="M5" s="23">
        <v>4.393629424766913</v>
      </c>
      <c r="N5" s="48">
        <v>23</v>
      </c>
    </row>
    <row r="6" spans="1:15" x14ac:dyDescent="0.25">
      <c r="A6" t="s">
        <v>27</v>
      </c>
      <c r="B6">
        <f t="shared" si="0"/>
        <v>5</v>
      </c>
      <c r="C6" s="22">
        <v>10</v>
      </c>
      <c r="D6" s="22">
        <v>2020</v>
      </c>
      <c r="E6" s="24">
        <f>'10 - 2020'!B12-'10 - 2020'!B11+'10 - 2020'!C12-'10 - 2020'!C11</f>
        <v>8262</v>
      </c>
      <c r="F6" s="22">
        <v>0.11799999999999999</v>
      </c>
      <c r="G6" s="24">
        <f>(('10 - 2020'!E12-'10 - 2020'!E11)+('10 - 2020'!F12-'10 - 2020'!F11)+('10 - 2020'!G12-'10 - 2020'!G11))*1.81</f>
        <v>94.898300000000532</v>
      </c>
      <c r="H6" s="22">
        <v>0.99</v>
      </c>
      <c r="I6" s="24">
        <f>'10 - 2020'!J12-'10 - 2020'!J11</f>
        <v>29713</v>
      </c>
      <c r="J6" s="22">
        <v>8.1000000000000003E-2</v>
      </c>
      <c r="K6" s="56">
        <f>'10 - 2020'!H12-'10 - 2020'!H11</f>
        <v>0</v>
      </c>
      <c r="L6" s="24">
        <f>'10 - 2020'!I12-'10 - 2020'!I11</f>
        <v>53</v>
      </c>
      <c r="M6" s="23">
        <v>4.393629424766913</v>
      </c>
      <c r="N6" s="48">
        <v>25</v>
      </c>
    </row>
    <row r="7" spans="1:15" x14ac:dyDescent="0.25">
      <c r="A7" t="s">
        <v>27</v>
      </c>
      <c r="B7">
        <f t="shared" si="0"/>
        <v>6</v>
      </c>
      <c r="C7" s="22">
        <v>10</v>
      </c>
      <c r="D7" s="22">
        <v>2020</v>
      </c>
      <c r="E7" s="24">
        <f>'10 - 2020'!B13-'10 - 2020'!B12+'10 - 2020'!C13-'10 - 2020'!C12</f>
        <v>8573</v>
      </c>
      <c r="F7" s="22">
        <v>0.11799999999999999</v>
      </c>
      <c r="G7" s="24">
        <f>(('10 - 2020'!E13-'10 - 2020'!E12)+('10 - 2020'!F13-'10 - 2020'!F12)+('10 - 2020'!G13-'10 - 2020'!G12))*1.81</f>
        <v>102.28309999999793</v>
      </c>
      <c r="H7" s="22">
        <v>0.99</v>
      </c>
      <c r="I7" s="24">
        <f>'10 - 2020'!J13-'10 - 2020'!J12</f>
        <v>30040</v>
      </c>
      <c r="J7" s="22">
        <v>8.1000000000000003E-2</v>
      </c>
      <c r="K7" s="56">
        <f>'10 - 2020'!H13-'10 - 2020'!H12</f>
        <v>0</v>
      </c>
      <c r="L7" s="24">
        <f>'10 - 2020'!I13-'10 - 2020'!I12</f>
        <v>61</v>
      </c>
      <c r="M7" s="23">
        <v>4.393629424766913</v>
      </c>
      <c r="N7" s="48">
        <v>28</v>
      </c>
    </row>
    <row r="8" spans="1:15" x14ac:dyDescent="0.25">
      <c r="A8" t="s">
        <v>27</v>
      </c>
      <c r="B8">
        <f t="shared" si="0"/>
        <v>7</v>
      </c>
      <c r="C8" s="22">
        <v>10</v>
      </c>
      <c r="D8" s="22">
        <v>2020</v>
      </c>
      <c r="E8" s="24">
        <f>'10 - 2020'!B14-'10 - 2020'!B13+'10 - 2020'!C14-'10 - 2020'!C13</f>
        <v>8893</v>
      </c>
      <c r="F8" s="22">
        <v>0.11799999999999999</v>
      </c>
      <c r="G8" s="24">
        <f>(('10 - 2020'!E14-'10 - 2020'!E13)+('10 - 2020'!F14-'10 - 2020'!F13)+('10 - 2020'!G14-'10 - 2020'!G13))*1.81</f>
        <v>89.196800000002838</v>
      </c>
      <c r="H8" s="22">
        <v>0.99</v>
      </c>
      <c r="I8" s="24">
        <f>'10 - 2020'!J14-'10 - 2020'!J13</f>
        <v>35324</v>
      </c>
      <c r="J8" s="22">
        <v>8.1000000000000003E-2</v>
      </c>
      <c r="K8" s="56">
        <f>'10 - 2020'!H14-'10 - 2020'!H13</f>
        <v>0</v>
      </c>
      <c r="L8" s="24">
        <f>'10 - 2020'!I14-'10 - 2020'!I13</f>
        <v>54</v>
      </c>
      <c r="M8" s="23">
        <v>4.393629424766913</v>
      </c>
      <c r="N8" s="48">
        <v>34</v>
      </c>
      <c r="O8" s="24"/>
    </row>
    <row r="9" spans="1:15" x14ac:dyDescent="0.25">
      <c r="A9" t="s">
        <v>27</v>
      </c>
      <c r="B9">
        <f t="shared" si="0"/>
        <v>8</v>
      </c>
      <c r="C9" s="22">
        <v>10</v>
      </c>
      <c r="D9" s="22">
        <v>2020</v>
      </c>
      <c r="E9" s="24">
        <f>'10 - 2020'!B15-'10 - 2020'!B14+'10 - 2020'!C15-'10 - 2020'!C14</f>
        <v>8410</v>
      </c>
      <c r="F9" s="22">
        <v>0.11799999999999999</v>
      </c>
      <c r="G9" s="24">
        <f>(('10 - 2020'!E15-'10 - 2020'!E14)+('10 - 2020'!F15-'10 - 2020'!F14)+('10 - 2020'!G15-'10 - 2020'!G14))*1.81</f>
        <v>90.934400000000437</v>
      </c>
      <c r="H9" s="22">
        <v>0.99</v>
      </c>
      <c r="I9" s="24">
        <f>'10 - 2020'!J15-'10 - 2020'!J14</f>
        <v>28012</v>
      </c>
      <c r="J9" s="22">
        <v>8.1000000000000003E-2</v>
      </c>
      <c r="K9" s="56">
        <f>'10 - 2020'!H15-'10 - 2020'!H14</f>
        <v>0</v>
      </c>
      <c r="L9" s="24">
        <f>'10 - 2020'!I15-'10 - 2020'!I14</f>
        <v>60</v>
      </c>
      <c r="M9" s="23">
        <v>4.393629424766913</v>
      </c>
      <c r="N9" s="48">
        <v>37</v>
      </c>
    </row>
    <row r="10" spans="1:15" x14ac:dyDescent="0.25">
      <c r="A10" t="s">
        <v>27</v>
      </c>
      <c r="B10">
        <f t="shared" si="0"/>
        <v>9</v>
      </c>
      <c r="C10" s="22">
        <v>10</v>
      </c>
      <c r="D10" s="22">
        <v>2020</v>
      </c>
      <c r="E10" s="24">
        <f>'10 - 2020'!B16-'10 - 2020'!B15+'10 - 2020'!C16-'10 - 2020'!C15</f>
        <v>9379</v>
      </c>
      <c r="F10" s="22">
        <v>0.11799999999999999</v>
      </c>
      <c r="G10" s="24">
        <f>(('10 - 2020'!E16-'10 - 2020'!E15)+('10 - 2020'!F16-'10 - 2020'!F15)+('10 - 2020'!G16-'10 - 2020'!G15))*1.81</f>
        <v>99.332799999998556</v>
      </c>
      <c r="H10" s="22">
        <v>0.99</v>
      </c>
      <c r="I10" s="24">
        <f>'10 - 2020'!J16-'10 - 2020'!J15</f>
        <v>35024</v>
      </c>
      <c r="J10" s="22">
        <v>8.1000000000000003E-2</v>
      </c>
      <c r="K10" s="56">
        <f>'10 - 2020'!H16-'10 - 2020'!H15</f>
        <v>0</v>
      </c>
      <c r="L10" s="24">
        <f>'10 - 2020'!I16-'10 - 2020'!I15</f>
        <v>73</v>
      </c>
      <c r="M10" s="23">
        <v>4.393629424766913</v>
      </c>
      <c r="N10" s="48">
        <v>44</v>
      </c>
    </row>
    <row r="11" spans="1:15" x14ac:dyDescent="0.25">
      <c r="A11" t="s">
        <v>27</v>
      </c>
      <c r="B11">
        <f t="shared" si="0"/>
        <v>10</v>
      </c>
      <c r="C11" s="22">
        <v>10</v>
      </c>
      <c r="D11" s="22">
        <v>2020</v>
      </c>
      <c r="E11" s="24">
        <f>'10 - 2020'!B17-'10 - 2020'!B16+'10 - 2020'!C17-'10 - 2020'!C16</f>
        <v>8811</v>
      </c>
      <c r="F11" s="22">
        <v>0.11799999999999999</v>
      </c>
      <c r="G11" s="24">
        <f>(('10 - 2020'!E17-'10 - 2020'!E16)+('10 - 2020'!F17-'10 - 2020'!F16)+('10 - 2020'!G17-'10 - 2020'!G16))*1.81</f>
        <v>101.74010000000089</v>
      </c>
      <c r="H11" s="22">
        <v>0.99</v>
      </c>
      <c r="I11" s="24">
        <f>'10 - 2020'!J17-'10 - 2020'!J16</f>
        <v>35500</v>
      </c>
      <c r="J11" s="22">
        <v>8.1000000000000003E-2</v>
      </c>
      <c r="K11" s="56">
        <f>'10 - 2020'!H17-'10 - 2020'!H16</f>
        <v>0</v>
      </c>
      <c r="L11" s="24">
        <f>'10 - 2020'!I17-'10 - 2020'!I16</f>
        <v>73</v>
      </c>
      <c r="M11" s="23">
        <v>4.393629424766913</v>
      </c>
      <c r="N11" s="48">
        <v>44</v>
      </c>
    </row>
    <row r="12" spans="1:15" x14ac:dyDescent="0.25">
      <c r="A12" t="s">
        <v>27</v>
      </c>
      <c r="B12">
        <f t="shared" si="0"/>
        <v>11</v>
      </c>
      <c r="C12" s="22">
        <v>10</v>
      </c>
      <c r="D12" s="22">
        <v>2020</v>
      </c>
      <c r="E12" s="24">
        <f>'10 - 2020'!B18-'10 - 2020'!B17+'10 - 2020'!C18-'10 - 2020'!C17</f>
        <v>8867</v>
      </c>
      <c r="F12" s="22">
        <v>0.11799999999999999</v>
      </c>
      <c r="G12" s="24">
        <f>(('10 - 2020'!E18-'10 - 2020'!E17)+('10 - 2020'!F18-'10 - 2020'!F17)+('10 - 2020'!G18-'10 - 2020'!G17))*1.81</f>
        <v>94.662999999999514</v>
      </c>
      <c r="H12" s="22">
        <v>0.99</v>
      </c>
      <c r="I12" s="24">
        <f>'10 - 2020'!J18-'10 - 2020'!J17</f>
        <v>28923</v>
      </c>
      <c r="J12" s="22">
        <v>8.1000000000000003E-2</v>
      </c>
      <c r="K12" s="56">
        <f>'10 - 2020'!H18-'10 - 2020'!H17</f>
        <v>0</v>
      </c>
      <c r="L12" s="24">
        <f>'10 - 2020'!I18-'10 - 2020'!I17</f>
        <v>55</v>
      </c>
      <c r="M12" s="23">
        <v>4.393629424766913</v>
      </c>
      <c r="N12" s="24">
        <v>34</v>
      </c>
    </row>
    <row r="13" spans="1:15" x14ac:dyDescent="0.25">
      <c r="A13" t="s">
        <v>27</v>
      </c>
      <c r="B13">
        <f t="shared" si="0"/>
        <v>12</v>
      </c>
      <c r="C13" s="22">
        <v>10</v>
      </c>
      <c r="D13" s="22">
        <v>2020</v>
      </c>
      <c r="E13" s="24">
        <f>'10 - 2020'!B19-'10 - 2020'!B18+'10 - 2020'!C19-'10 - 2020'!C18</f>
        <v>8961</v>
      </c>
      <c r="F13" s="22">
        <v>0.11799999999999999</v>
      </c>
      <c r="G13" s="24">
        <f>(('10 - 2020'!E19-'10 - 2020'!E18)+('10 - 2020'!F19-'10 - 2020'!F18)+('10 - 2020'!G19-'10 - 2020'!G18))*1.81</f>
        <v>91.803199999998</v>
      </c>
      <c r="H13" s="22">
        <v>0.99</v>
      </c>
      <c r="I13" s="24">
        <f>'10 - 2020'!J19-'10 - 2020'!J18</f>
        <v>26808</v>
      </c>
      <c r="J13" s="22">
        <v>8.1000000000000003E-2</v>
      </c>
      <c r="K13" s="56">
        <f>'10 - 2020'!H19-'10 - 2020'!H18</f>
        <v>0</v>
      </c>
      <c r="L13" s="24">
        <f>'10 - 2020'!I19-'10 - 2020'!I18</f>
        <v>60</v>
      </c>
      <c r="M13" s="23">
        <v>4.393629424766913</v>
      </c>
      <c r="N13" s="24">
        <v>28</v>
      </c>
    </row>
    <row r="14" spans="1:15" x14ac:dyDescent="0.25">
      <c r="A14" t="s">
        <v>27</v>
      </c>
      <c r="B14">
        <f t="shared" si="0"/>
        <v>13</v>
      </c>
      <c r="C14" s="22">
        <v>10</v>
      </c>
      <c r="D14" s="22">
        <v>2020</v>
      </c>
      <c r="E14" s="24">
        <f>'10 - 2020'!B20-'10 - 2020'!B19+'10 - 2020'!C20-'10 - 2020'!C19</f>
        <v>9411</v>
      </c>
      <c r="F14" s="22">
        <v>0.11799999999999999</v>
      </c>
      <c r="G14" s="24">
        <f>(('10 - 2020'!E20-'10 - 2020'!E19)+('10 - 2020'!F20-'10 - 2020'!F19)+('10 - 2020'!G20-'10 - 2020'!G19))*1.81</f>
        <v>98.626900000002081</v>
      </c>
      <c r="H14" s="22">
        <v>0.99</v>
      </c>
      <c r="I14" s="24">
        <f>'10 - 2020'!J20-'10 - 2020'!J19</f>
        <v>27642</v>
      </c>
      <c r="J14" s="22">
        <v>8.1000000000000003E-2</v>
      </c>
      <c r="K14" s="56">
        <f>'10 - 2020'!H20-'10 - 2020'!H19</f>
        <v>0</v>
      </c>
      <c r="L14" s="24">
        <f>'10 - 2020'!I20-'10 - 2020'!I19</f>
        <v>61</v>
      </c>
      <c r="M14" s="23">
        <v>4.393629424766913</v>
      </c>
      <c r="N14" s="24">
        <v>32</v>
      </c>
      <c r="O14" s="24"/>
    </row>
    <row r="15" spans="1:15" x14ac:dyDescent="0.25">
      <c r="A15" t="s">
        <v>27</v>
      </c>
      <c r="B15">
        <f t="shared" si="0"/>
        <v>14</v>
      </c>
      <c r="C15" s="22">
        <v>10</v>
      </c>
      <c r="D15" s="22">
        <v>2020</v>
      </c>
      <c r="E15" s="24">
        <f>'10 - 2020'!B21-'10 - 2020'!B20+'10 - 2020'!C21-'10 - 2020'!C20</f>
        <v>8851</v>
      </c>
      <c r="F15" s="22">
        <v>0.11799999999999999</v>
      </c>
      <c r="G15" s="24">
        <f>(('10 - 2020'!E21-'10 - 2020'!E20)+('10 - 2020'!F21-'10 - 2020'!F20)+('10 - 2020'!G21-'10 - 2020'!G20))*1.81</f>
        <v>85.051899999997133</v>
      </c>
      <c r="H15" s="22">
        <v>0.99</v>
      </c>
      <c r="I15" s="24">
        <f>'10 - 2020'!J21-'10 - 2020'!J20</f>
        <v>24040</v>
      </c>
      <c r="J15" s="22">
        <v>8.1000000000000003E-2</v>
      </c>
      <c r="K15" s="56">
        <f>'10 - 2020'!H21-'10 - 2020'!H20</f>
        <v>0</v>
      </c>
      <c r="L15" s="24">
        <f>'10 - 2020'!I21-'10 - 2020'!I20</f>
        <v>64</v>
      </c>
      <c r="M15" s="23">
        <v>4.393629424766913</v>
      </c>
      <c r="N15" s="24">
        <v>34</v>
      </c>
    </row>
    <row r="16" spans="1:15" x14ac:dyDescent="0.25">
      <c r="A16" t="s">
        <v>27</v>
      </c>
      <c r="B16">
        <f t="shared" si="0"/>
        <v>15</v>
      </c>
      <c r="C16" s="22">
        <v>10</v>
      </c>
      <c r="D16" s="22">
        <v>2020</v>
      </c>
      <c r="E16" s="24">
        <f>'10 - 2020'!B22-'10 - 2020'!B21+'10 - 2020'!C22-'10 - 2020'!C21</f>
        <v>8058</v>
      </c>
      <c r="F16" s="22">
        <v>0.11799999999999999</v>
      </c>
      <c r="G16" s="24">
        <f>(('10 - 2020'!E22-'10 - 2020'!E21)+('10 - 2020'!F22-'10 - 2020'!F21)+('10 - 2020'!G22-'10 - 2020'!G21))*1.81</f>
        <v>84.128800000002499</v>
      </c>
      <c r="H16" s="22">
        <v>0.99</v>
      </c>
      <c r="I16" s="24">
        <f>'10 - 2020'!J22-'10 - 2020'!J21</f>
        <v>18639</v>
      </c>
      <c r="J16" s="22">
        <v>8.1000000000000003E-2</v>
      </c>
      <c r="K16" s="56">
        <f>'10 - 2020'!H22-'10 - 2020'!H21</f>
        <v>0</v>
      </c>
      <c r="L16" s="24">
        <f>'10 - 2020'!I22-'10 - 2020'!I21</f>
        <v>48</v>
      </c>
      <c r="M16" s="23">
        <v>4.393629424766913</v>
      </c>
      <c r="N16" s="24">
        <v>30</v>
      </c>
    </row>
    <row r="17" spans="1:16" x14ac:dyDescent="0.25">
      <c r="A17" t="s">
        <v>27</v>
      </c>
      <c r="B17">
        <f t="shared" si="0"/>
        <v>16</v>
      </c>
      <c r="C17" s="22">
        <v>10</v>
      </c>
      <c r="D17" s="22">
        <v>2020</v>
      </c>
      <c r="E17" s="24">
        <f>'10 - 2020'!B23-'10 - 2020'!B22+'10 - 2020'!C23-'10 - 2020'!C22</f>
        <v>9144</v>
      </c>
      <c r="F17" s="22">
        <v>0.11799999999999999</v>
      </c>
      <c r="G17" s="24">
        <f>(('10 - 2020'!E23-'10 - 2020'!E22)+('10 - 2020'!F23-'10 - 2020'!F22)+('10 - 2020'!G23-'10 - 2020'!G22))*1.81</f>
        <v>100.87130000000003</v>
      </c>
      <c r="H17" s="22">
        <v>0.99</v>
      </c>
      <c r="I17" s="24">
        <f>'10 - 2020'!J23-'10 - 2020'!J22</f>
        <v>20112</v>
      </c>
      <c r="J17" s="22">
        <v>8.1000000000000003E-2</v>
      </c>
      <c r="K17" s="56">
        <f>'10 - 2020'!H23-'10 - 2020'!H22</f>
        <v>0</v>
      </c>
      <c r="L17" s="24">
        <f>'10 - 2020'!I23-'10 - 2020'!I22</f>
        <v>60</v>
      </c>
      <c r="M17" s="23">
        <v>4.393629424766913</v>
      </c>
      <c r="N17" s="24">
        <v>36</v>
      </c>
    </row>
    <row r="18" spans="1:16" x14ac:dyDescent="0.25">
      <c r="A18" t="s">
        <v>27</v>
      </c>
      <c r="B18">
        <f t="shared" si="0"/>
        <v>17</v>
      </c>
      <c r="C18" s="22">
        <v>10</v>
      </c>
      <c r="D18" s="22">
        <v>2020</v>
      </c>
      <c r="E18" s="24">
        <f>'10 - 2020'!B24-'10 - 2020'!B23+'10 - 2020'!C24-'10 - 2020'!C23</f>
        <v>9279</v>
      </c>
      <c r="F18" s="22">
        <v>0.11799999999999999</v>
      </c>
      <c r="G18" s="24">
        <f>(('10 - 2020'!E24-'10 - 2020'!E23)+('10 - 2020'!F24-'10 - 2020'!F23)+('10 - 2020'!G24-'10 - 2020'!G23))*1.81</f>
        <v>103.78540000000027</v>
      </c>
      <c r="H18" s="22">
        <v>0.99</v>
      </c>
      <c r="I18" s="24">
        <f>'10 - 2020'!J24-'10 - 2020'!J23</f>
        <v>21095</v>
      </c>
      <c r="J18" s="22">
        <v>8.1000000000000003E-2</v>
      </c>
      <c r="K18" s="56">
        <f>'10 - 2020'!H24-'10 - 2020'!H23</f>
        <v>0</v>
      </c>
      <c r="L18" s="24">
        <f>'10 - 2020'!I24-'10 - 2020'!I23</f>
        <v>67</v>
      </c>
      <c r="M18" s="23">
        <v>4.393629424766913</v>
      </c>
      <c r="N18" s="24">
        <v>39</v>
      </c>
    </row>
    <row r="19" spans="1:16" x14ac:dyDescent="0.25">
      <c r="A19" t="s">
        <v>27</v>
      </c>
      <c r="B19">
        <f>B18+1</f>
        <v>18</v>
      </c>
      <c r="C19" s="22">
        <v>10</v>
      </c>
      <c r="D19" s="22">
        <v>2020</v>
      </c>
      <c r="E19" s="24">
        <f>'10 - 2020'!B25-'10 - 2020'!B24+'10 - 2020'!C25-'10 - 2020'!C24</f>
        <v>8604</v>
      </c>
      <c r="F19" s="22">
        <v>0.11799999999999999</v>
      </c>
      <c r="G19" s="24">
        <f>(('10 - 2020'!E25-'10 - 2020'!E24)+('10 - 2020'!F25-'10 - 2020'!F24)+('10 - 2020'!G25-'10 - 2020'!G24))*1.81</f>
        <v>100.92560000000122</v>
      </c>
      <c r="H19" s="22">
        <v>0.99</v>
      </c>
      <c r="I19" s="24">
        <f>'10 - 2020'!J25-'10 - 2020'!J24</f>
        <v>21817</v>
      </c>
      <c r="J19" s="22">
        <v>8.1000000000000003E-2</v>
      </c>
      <c r="K19" s="56">
        <f>'10 - 2020'!H25-'10 - 2020'!H24</f>
        <v>0</v>
      </c>
      <c r="L19" s="24">
        <f>'10 - 2020'!I25-'10 - 2020'!I24</f>
        <v>78</v>
      </c>
      <c r="M19" s="23">
        <v>4.393629424766913</v>
      </c>
      <c r="N19" s="49">
        <v>33</v>
      </c>
    </row>
    <row r="20" spans="1:16" x14ac:dyDescent="0.25">
      <c r="A20" t="s">
        <v>27</v>
      </c>
      <c r="B20">
        <f t="shared" si="0"/>
        <v>19</v>
      </c>
      <c r="C20" s="22">
        <v>10</v>
      </c>
      <c r="D20" s="22">
        <v>2020</v>
      </c>
      <c r="E20" s="24">
        <f>'10 - 2020'!B26-'10 - 2020'!B25+'10 - 2020'!C26-'10 - 2020'!C25</f>
        <v>8630</v>
      </c>
      <c r="F20" s="22">
        <v>0.11799999999999999</v>
      </c>
      <c r="G20" s="24">
        <f>(('10 - 2020'!E26-'10 - 2020'!E25)+('10 - 2020'!F26-'10 - 2020'!F25)+('10 - 2020'!G26-'10 - 2020'!G25))*1.81</f>
        <v>85.395799999997237</v>
      </c>
      <c r="H20" s="22">
        <v>0.99</v>
      </c>
      <c r="I20" s="24">
        <f>'10 - 2020'!J26-'10 - 2020'!J25</f>
        <v>17889</v>
      </c>
      <c r="J20" s="22">
        <v>8.1000000000000003E-2</v>
      </c>
      <c r="K20" s="56">
        <f>'10 - 2020'!H26-'10 - 2020'!H25</f>
        <v>0</v>
      </c>
      <c r="L20" s="24">
        <f>'10 - 2020'!I26-'10 - 2020'!I25</f>
        <v>63</v>
      </c>
      <c r="M20" s="23">
        <v>4.393629424766913</v>
      </c>
      <c r="N20" s="49">
        <v>27</v>
      </c>
    </row>
    <row r="21" spans="1:16" x14ac:dyDescent="0.25">
      <c r="A21" t="s">
        <v>27</v>
      </c>
      <c r="B21">
        <f t="shared" si="0"/>
        <v>20</v>
      </c>
      <c r="C21" s="22">
        <v>10</v>
      </c>
      <c r="D21" s="22">
        <v>2020</v>
      </c>
      <c r="E21" s="24">
        <f>'10 - 2020'!B27-'10 - 2020'!B26+'10 - 2020'!C27-'10 - 2020'!C26</f>
        <v>9138</v>
      </c>
      <c r="F21" s="22">
        <v>0.11799999999999999</v>
      </c>
      <c r="G21" s="24">
        <f>(('10 - 2020'!E27-'10 - 2020'!E26)+('10 - 2020'!F27-'10 - 2020'!F26)+('10 - 2020'!G27-'10 - 2020'!G26))*1.81</f>
        <v>88.092700000000136</v>
      </c>
      <c r="H21" s="22">
        <v>0.99</v>
      </c>
      <c r="I21" s="24">
        <f>'10 - 2020'!J27-'10 - 2020'!J26</f>
        <v>19497</v>
      </c>
      <c r="J21" s="22">
        <v>8.1000000000000003E-2</v>
      </c>
      <c r="K21" s="56">
        <f>'10 - 2020'!H27-'10 - 2020'!H26</f>
        <v>0</v>
      </c>
      <c r="L21" s="24">
        <f>'10 - 2020'!I27-'10 - 2020'!I26</f>
        <v>79</v>
      </c>
      <c r="M21" s="23">
        <v>4.393629424766913</v>
      </c>
      <c r="N21" s="49">
        <v>30</v>
      </c>
    </row>
    <row r="22" spans="1:16" x14ac:dyDescent="0.25">
      <c r="A22" t="s">
        <v>27</v>
      </c>
      <c r="B22">
        <f t="shared" si="0"/>
        <v>21</v>
      </c>
      <c r="C22" s="22">
        <v>10</v>
      </c>
      <c r="D22" s="22">
        <v>2020</v>
      </c>
      <c r="E22" s="24">
        <f>'10 - 2020'!B28-'10 - 2020'!B27+'10 - 2020'!C28-'10 - 2020'!C27</f>
        <v>8970</v>
      </c>
      <c r="F22" s="22">
        <v>0.11799999999999999</v>
      </c>
      <c r="G22" s="24">
        <f>(('10 - 2020'!E28-'10 - 2020'!E27)+('10 - 2020'!F28-'10 - 2020'!F27)+('10 - 2020'!G28-'10 - 2020'!G27))*1.81</f>
        <v>92.889199999997004</v>
      </c>
      <c r="H22" s="22">
        <v>0.99</v>
      </c>
      <c r="I22" s="24">
        <f>'10 - 2020'!J28-'10 - 2020'!J27</f>
        <v>19890</v>
      </c>
      <c r="J22" s="22">
        <v>8.1000000000000003E-2</v>
      </c>
      <c r="K22" s="56">
        <f>'10 - 2020'!H28-'10 - 2020'!H27</f>
        <v>0</v>
      </c>
      <c r="L22" s="24">
        <f>'10 - 2020'!I28-'10 - 2020'!I27</f>
        <v>49</v>
      </c>
      <c r="M22" s="23">
        <v>4.393629424766913</v>
      </c>
      <c r="N22" s="49">
        <v>34</v>
      </c>
    </row>
    <row r="23" spans="1:16" x14ac:dyDescent="0.25">
      <c r="A23" t="s">
        <v>27</v>
      </c>
      <c r="B23">
        <f t="shared" si="0"/>
        <v>22</v>
      </c>
      <c r="C23" s="22">
        <v>10</v>
      </c>
      <c r="D23" s="22">
        <v>2020</v>
      </c>
      <c r="E23" s="24">
        <f>'10 - 2020'!B29-'10 - 2020'!B28+'10 - 2020'!C29-'10 - 2020'!C28</f>
        <v>9178</v>
      </c>
      <c r="F23" s="22">
        <v>0.11799999999999999</v>
      </c>
      <c r="G23" s="24">
        <f>(('10 - 2020'!E29-'10 - 2020'!E28)+('10 - 2020'!F29-'10 - 2020'!F28)+('10 - 2020'!G29-'10 - 2020'!G28))*1.81</f>
        <v>93.522700000002601</v>
      </c>
      <c r="H23" s="22">
        <v>0.99</v>
      </c>
      <c r="I23" s="24">
        <f>'10 - 2020'!J29-'10 - 2020'!J28</f>
        <v>20228</v>
      </c>
      <c r="J23" s="22">
        <v>8.1000000000000003E-2</v>
      </c>
      <c r="K23" s="56">
        <f>'10 - 2020'!H29-'10 - 2020'!H28</f>
        <v>0</v>
      </c>
      <c r="L23" s="24">
        <f>'10 - 2020'!I29-'10 - 2020'!I28</f>
        <v>56</v>
      </c>
      <c r="M23" s="23">
        <v>4.393629424766913</v>
      </c>
      <c r="N23" s="49">
        <v>31</v>
      </c>
    </row>
    <row r="24" spans="1:16" x14ac:dyDescent="0.25">
      <c r="A24" t="s">
        <v>27</v>
      </c>
      <c r="B24">
        <f t="shared" si="0"/>
        <v>23</v>
      </c>
      <c r="C24" s="22">
        <v>10</v>
      </c>
      <c r="D24" s="22">
        <v>2020</v>
      </c>
      <c r="E24" s="24">
        <v>0</v>
      </c>
      <c r="F24" s="22">
        <v>0.11799999999999999</v>
      </c>
      <c r="G24" s="24">
        <v>0</v>
      </c>
      <c r="H24" s="22">
        <v>0.99</v>
      </c>
      <c r="I24" s="24">
        <v>0</v>
      </c>
      <c r="J24" s="22">
        <v>8.1000000000000003E-2</v>
      </c>
      <c r="K24" s="56">
        <v>0</v>
      </c>
      <c r="L24" s="24">
        <v>0</v>
      </c>
      <c r="M24" s="23">
        <v>4.3936294247669103</v>
      </c>
      <c r="N24" s="49"/>
    </row>
    <row r="25" spans="1:16" x14ac:dyDescent="0.25">
      <c r="A25" t="s">
        <v>27</v>
      </c>
      <c r="B25">
        <f t="shared" si="0"/>
        <v>24</v>
      </c>
      <c r="C25" s="22">
        <v>10</v>
      </c>
      <c r="D25" s="22">
        <v>2020</v>
      </c>
      <c r="E25" s="24">
        <f>'10 - 2020'!B31-'10 - 2020'!B30+'10 - 2020'!C31-'10 - 2020'!C30</f>
        <v>0</v>
      </c>
      <c r="F25" s="22">
        <v>0.11799999999999999</v>
      </c>
      <c r="G25" s="24">
        <f>(('10 - 2020'!E31-'10 - 2020'!E30)+('10 - 2020'!F31-'10 - 2020'!F30)+('10 - 2020'!G31-'10 - 2020'!G30))*1.81</f>
        <v>0</v>
      </c>
      <c r="H25" s="22">
        <v>0.99</v>
      </c>
      <c r="I25" s="24">
        <f>'10 - 2020'!J31-'10 - 2020'!J30</f>
        <v>0</v>
      </c>
      <c r="J25" s="22">
        <v>8.1000000000000003E-2</v>
      </c>
      <c r="K25" s="56">
        <f>'10 - 2020'!H31-'10 - 2020'!H30</f>
        <v>0</v>
      </c>
      <c r="L25" s="24">
        <f>'10 - 2020'!I31-'10 - 2020'!I30</f>
        <v>0</v>
      </c>
      <c r="M25" s="23">
        <v>4.3936294247669103</v>
      </c>
      <c r="N25" s="49"/>
      <c r="P25" s="14"/>
    </row>
    <row r="26" spans="1:16" x14ac:dyDescent="0.25">
      <c r="A26" t="s">
        <v>27</v>
      </c>
      <c r="B26">
        <f>B25+1</f>
        <v>25</v>
      </c>
      <c r="C26" s="22">
        <v>10</v>
      </c>
      <c r="D26" s="22">
        <v>2020</v>
      </c>
      <c r="E26" s="24">
        <f>'10 - 2020'!B32-'10 - 2020'!B31+'10 - 2020'!C32-'10 - 2020'!C31</f>
        <v>0</v>
      </c>
      <c r="F26" s="22">
        <v>0.11799999999999999</v>
      </c>
      <c r="G26" s="24">
        <f>(('10 - 2020'!E32-'10 - 2020'!E31)+('10 - 2020'!F32-'10 - 2020'!F31)+('10 - 2020'!G32-'10 - 2020'!G31))*1.81</f>
        <v>0</v>
      </c>
      <c r="H26" s="22">
        <v>0.99</v>
      </c>
      <c r="I26" s="24">
        <f>'10 - 2020'!J32-'10 - 2020'!J31</f>
        <v>0</v>
      </c>
      <c r="J26" s="22">
        <v>8.1000000000000003E-2</v>
      </c>
      <c r="K26" s="56">
        <f>'10 - 2020'!H32-'10 - 2020'!H31</f>
        <v>0</v>
      </c>
      <c r="L26" s="24">
        <f>'10 - 2020'!I32-'10 - 2020'!I31</f>
        <v>0</v>
      </c>
      <c r="M26" s="23">
        <v>4.3936294247669103</v>
      </c>
      <c r="N26" s="49"/>
    </row>
    <row r="27" spans="1:16" x14ac:dyDescent="0.25">
      <c r="A27" t="s">
        <v>27</v>
      </c>
      <c r="B27">
        <f t="shared" si="0"/>
        <v>26</v>
      </c>
      <c r="C27" s="22">
        <v>10</v>
      </c>
      <c r="D27" s="22">
        <v>2020</v>
      </c>
      <c r="E27" s="24">
        <f>'10 - 2020'!B33-'10 - 2020'!B32+'10 - 2020'!C33-'10 - 2020'!C32</f>
        <v>0</v>
      </c>
      <c r="F27" s="22">
        <v>0.11799999999999999</v>
      </c>
      <c r="G27" s="24">
        <f>(('10 - 2020'!E33-'10 - 2020'!E32)+('10 - 2020'!F33-'10 - 2020'!F32)+('10 - 2020'!G33-'10 - 2020'!G32))*1.81</f>
        <v>0</v>
      </c>
      <c r="H27" s="22">
        <v>0.99</v>
      </c>
      <c r="I27" s="24">
        <f>'10 - 2020'!J33-'10 - 2020'!J32</f>
        <v>0</v>
      </c>
      <c r="J27" s="22">
        <v>8.1000000000000003E-2</v>
      </c>
      <c r="K27" s="56">
        <f>'10 - 2020'!H33-'10 - 2020'!H32</f>
        <v>0</v>
      </c>
      <c r="L27" s="24">
        <f>'10 - 2020'!I33-'10 - 2020'!I32</f>
        <v>0</v>
      </c>
      <c r="M27" s="23">
        <v>4.3936294247669103</v>
      </c>
      <c r="N27" s="49"/>
    </row>
    <row r="28" spans="1:16" x14ac:dyDescent="0.25">
      <c r="A28" t="s">
        <v>27</v>
      </c>
      <c r="B28">
        <f t="shared" si="0"/>
        <v>27</v>
      </c>
      <c r="C28" s="22">
        <v>10</v>
      </c>
      <c r="D28" s="22">
        <v>2020</v>
      </c>
      <c r="E28" s="24">
        <f>'10 - 2020'!B34-'10 - 2020'!B33+'10 - 2020'!C34-'10 - 2020'!C33</f>
        <v>0</v>
      </c>
      <c r="F28" s="22">
        <v>0.11799999999999999</v>
      </c>
      <c r="G28" s="24">
        <f>(('10 - 2020'!E34-'10 - 2020'!E33)+('10 - 2020'!F34-'10 - 2020'!F33)+('10 - 2020'!G34-'10 - 2020'!G33))*1.81</f>
        <v>0</v>
      </c>
      <c r="H28" s="22">
        <v>0.99</v>
      </c>
      <c r="I28" s="24">
        <f>'10 - 2020'!J34-'10 - 2020'!J33</f>
        <v>0</v>
      </c>
      <c r="J28" s="22">
        <v>8.1000000000000003E-2</v>
      </c>
      <c r="K28" s="56">
        <f>'10 - 2020'!H34-'10 - 2020'!H33</f>
        <v>0</v>
      </c>
      <c r="L28" s="24">
        <f>'10 - 2020'!I34-'10 - 2020'!I33</f>
        <v>0</v>
      </c>
      <c r="M28" s="23">
        <v>4.3936294247669103</v>
      </c>
      <c r="N28" s="49"/>
    </row>
    <row r="29" spans="1:16" x14ac:dyDescent="0.25">
      <c r="A29" t="s">
        <v>27</v>
      </c>
      <c r="B29">
        <f t="shared" si="0"/>
        <v>28</v>
      </c>
      <c r="C29" s="22">
        <v>10</v>
      </c>
      <c r="D29" s="22">
        <v>2020</v>
      </c>
      <c r="E29" s="24">
        <f>'10 - 2020'!B35-'10 - 2020'!B34+'10 - 2020'!C35-'10 - 2020'!C34</f>
        <v>0</v>
      </c>
      <c r="F29" s="22">
        <v>0.11799999999999999</v>
      </c>
      <c r="G29" s="24">
        <f>(('10 - 2020'!E35-'10 - 2020'!E34)+('10 - 2020'!F35-'10 - 2020'!F34)+('10 - 2020'!G35-'10 - 2020'!G34))*1.81</f>
        <v>0</v>
      </c>
      <c r="H29" s="22">
        <v>0.99</v>
      </c>
      <c r="I29" s="24">
        <f>'10 - 2020'!J35-'10 - 2020'!J34</f>
        <v>0</v>
      </c>
      <c r="J29" s="22">
        <v>8.1000000000000003E-2</v>
      </c>
      <c r="K29" s="56">
        <f>'10 - 2020'!H35-'10 - 2020'!H34</f>
        <v>0</v>
      </c>
      <c r="L29" s="24">
        <f>'10 - 2020'!I35-'10 - 2020'!I34</f>
        <v>0</v>
      </c>
      <c r="M29" s="23">
        <v>4.3936294247669103</v>
      </c>
      <c r="N29" s="49"/>
    </row>
    <row r="30" spans="1:16" x14ac:dyDescent="0.25">
      <c r="A30" t="s">
        <v>27</v>
      </c>
      <c r="B30">
        <f t="shared" si="0"/>
        <v>29</v>
      </c>
      <c r="C30" s="22">
        <v>10</v>
      </c>
      <c r="D30" s="22">
        <v>2020</v>
      </c>
      <c r="E30" s="24">
        <f>'10 - 2020'!B36-'10 - 2020'!B35+'10 - 2020'!C36-'10 - 2020'!C35</f>
        <v>0</v>
      </c>
      <c r="F30" s="22">
        <v>0.11799999999999999</v>
      </c>
      <c r="G30" s="24">
        <f>(('10 - 2020'!E36-'10 - 2020'!E35)+('10 - 2020'!F36-'10 - 2020'!F35)+('10 - 2020'!G36-'10 - 2020'!G35))*1.81</f>
        <v>0</v>
      </c>
      <c r="H30" s="22">
        <v>0.99</v>
      </c>
      <c r="I30" s="24">
        <f>'10 - 2020'!J36-'10 - 2020'!J35</f>
        <v>0</v>
      </c>
      <c r="J30" s="22">
        <v>8.1000000000000003E-2</v>
      </c>
      <c r="K30" s="56">
        <f>'10 - 2020'!H36-'10 - 2020'!H35</f>
        <v>0</v>
      </c>
      <c r="L30" s="24">
        <f>'10 - 2020'!I36-'10 - 2020'!I35</f>
        <v>0</v>
      </c>
      <c r="M30" s="23">
        <v>4.3936294247669103</v>
      </c>
      <c r="N30" s="49"/>
    </row>
    <row r="31" spans="1:16" x14ac:dyDescent="0.25">
      <c r="A31" s="22" t="s">
        <v>27</v>
      </c>
      <c r="B31" s="22">
        <f t="shared" si="0"/>
        <v>30</v>
      </c>
      <c r="C31" s="22">
        <v>10</v>
      </c>
      <c r="D31" s="22">
        <v>2020</v>
      </c>
      <c r="E31" s="24">
        <f>'10 - 2020'!B37-'10 - 2020'!B36+'10 - 2020'!C37-'10 - 2020'!C36</f>
        <v>0</v>
      </c>
      <c r="F31" s="22">
        <v>0.11799999999999999</v>
      </c>
      <c r="G31" s="24">
        <f>(('10 - 2020'!E37-'10 - 2020'!E36)+('10 - 2020'!F37-'10 - 2020'!F36)+('10 - 2020'!G37-'10 - 2020'!G36))*1.81</f>
        <v>0</v>
      </c>
      <c r="H31" s="22">
        <v>0.99</v>
      </c>
      <c r="I31" s="24">
        <f>'10 - 2020'!J37-'10 - 2020'!J36</f>
        <v>0</v>
      </c>
      <c r="J31" s="22">
        <v>8.1000000000000003E-2</v>
      </c>
      <c r="K31" s="56">
        <f>'10 - 2020'!H37-'10 - 2020'!H36</f>
        <v>0</v>
      </c>
      <c r="L31" s="24">
        <f>'10 - 2020'!I37-'10 - 2020'!I36</f>
        <v>0</v>
      </c>
      <c r="M31" s="23">
        <v>4.3936294247669103</v>
      </c>
    </row>
    <row r="32" spans="1:16" x14ac:dyDescent="0.25">
      <c r="A32" s="22" t="s">
        <v>27</v>
      </c>
      <c r="B32">
        <v>31</v>
      </c>
      <c r="C32" s="22">
        <v>10</v>
      </c>
      <c r="D32" s="22">
        <v>2020</v>
      </c>
      <c r="E32" s="24">
        <f>'10 - 2020'!B38-'10 - 2020'!B37+'10 - 2020'!C38-'10 - 2020'!C37</f>
        <v>0</v>
      </c>
      <c r="F32" s="22">
        <v>0.11799999999999999</v>
      </c>
      <c r="G32" s="24">
        <f>(('10 - 2020'!E38-'10 - 2020'!E37)+('10 - 2020'!F38-'10 - 2020'!F37)+('10 - 2020'!G38-'10 - 2020'!G37))*1.81</f>
        <v>0</v>
      </c>
      <c r="H32" s="22">
        <v>0.99</v>
      </c>
      <c r="I32" s="24">
        <f>'10 - 2020'!J38-'10 - 2020'!J37</f>
        <v>0</v>
      </c>
      <c r="J32" s="22">
        <v>8.1000000000000003E-2</v>
      </c>
      <c r="K32" s="56">
        <f>'10 - 2020'!H38-'10 - 2020'!H37</f>
        <v>0</v>
      </c>
      <c r="L32" s="24">
        <f>'10 - 2020'!I38-'10 - 2020'!I37</f>
        <v>0</v>
      </c>
      <c r="M32" s="23">
        <v>4.3936294247669103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I20" sqref="I20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10</v>
      </c>
      <c r="D2">
        <v>2020</v>
      </c>
      <c r="E2" s="24">
        <f>'10 - 2020'!B8-'10 - 2020'!B7</f>
        <v>3006</v>
      </c>
      <c r="F2" s="24">
        <f>'10 - 2020'!C8-'10 - 2020'!C7</f>
        <v>5425</v>
      </c>
      <c r="G2" s="22">
        <v>0.11799999999999999</v>
      </c>
      <c r="H2" s="24">
        <f>'10 - 2020'!E8-'10 - 2020'!E7</f>
        <v>17</v>
      </c>
      <c r="I2" s="24">
        <f>'10 - 2020'!F8-'10 - 2020'!F7</f>
        <v>4</v>
      </c>
      <c r="J2" s="24">
        <f>'10 - 2020'!G8-'10 - 2020'!G7</f>
        <v>29</v>
      </c>
      <c r="K2" s="22">
        <v>0.74</v>
      </c>
      <c r="L2" s="24">
        <v>29</v>
      </c>
      <c r="M2" s="12"/>
    </row>
    <row r="3" spans="1:13" x14ac:dyDescent="0.25">
      <c r="A3" t="s">
        <v>27</v>
      </c>
      <c r="B3">
        <f>B2+1</f>
        <v>2</v>
      </c>
      <c r="C3" s="22">
        <v>10</v>
      </c>
      <c r="D3" s="22">
        <v>2020</v>
      </c>
      <c r="E3" s="24">
        <f>'10 - 2020'!B9-'10 - 2020'!B8</f>
        <v>3061</v>
      </c>
      <c r="F3" s="24">
        <f>'10 - 2020'!C9-'10 - 2020'!C8</f>
        <v>5561</v>
      </c>
      <c r="G3" s="22">
        <v>0.11799999999999999</v>
      </c>
      <c r="H3" s="24">
        <f>'10 - 2020'!E9-'10 - 2020'!E8</f>
        <v>21</v>
      </c>
      <c r="I3" s="24">
        <f>'10 - 2020'!F9-'10 - 2020'!F8</f>
        <v>5</v>
      </c>
      <c r="J3" s="24">
        <f>'10 - 2020'!G9-'10 - 2020'!G8</f>
        <v>29</v>
      </c>
      <c r="K3" s="22">
        <v>0.74</v>
      </c>
      <c r="L3" s="48">
        <v>28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10</v>
      </c>
      <c r="D4" s="22">
        <v>2020</v>
      </c>
      <c r="E4" s="24">
        <f>'10 - 2020'!B10-'10 - 2020'!B9</f>
        <v>3255</v>
      </c>
      <c r="F4" s="24">
        <f>'10 - 2020'!C10-'10 - 2020'!C9</f>
        <v>5418</v>
      </c>
      <c r="G4" s="22">
        <v>0.11799999999999999</v>
      </c>
      <c r="H4" s="24">
        <f>'10 - 2020'!E10-'10 - 2020'!E9</f>
        <v>24</v>
      </c>
      <c r="I4" s="24">
        <f>'10 - 2020'!F10-'10 - 2020'!F9</f>
        <v>5</v>
      </c>
      <c r="J4" s="24">
        <f>'10 - 2020'!G10-'10 - 2020'!G9</f>
        <v>27</v>
      </c>
      <c r="K4" s="22">
        <v>0.74</v>
      </c>
      <c r="L4" s="48">
        <v>27</v>
      </c>
      <c r="M4" s="12"/>
    </row>
    <row r="5" spans="1:13" x14ac:dyDescent="0.25">
      <c r="A5" t="s">
        <v>27</v>
      </c>
      <c r="B5">
        <f t="shared" si="0"/>
        <v>4</v>
      </c>
      <c r="C5" s="22">
        <v>10</v>
      </c>
      <c r="D5" s="22">
        <v>2020</v>
      </c>
      <c r="E5" s="24">
        <f>'10 - 2020'!B11-'10 - 2020'!B10</f>
        <v>2975</v>
      </c>
      <c r="F5" s="24">
        <f>'10 - 2020'!C11-'10 - 2020'!C10</f>
        <v>5530</v>
      </c>
      <c r="G5" s="22">
        <v>0.11799999999999999</v>
      </c>
      <c r="H5" s="24">
        <f>'10 - 2020'!E11-'10 - 2020'!E10</f>
        <v>21</v>
      </c>
      <c r="I5" s="24">
        <f>'10 - 2020'!F11-'10 - 2020'!F10</f>
        <v>4</v>
      </c>
      <c r="J5" s="24">
        <f>'10 - 2020'!G11-'10 - 2020'!G10</f>
        <v>27</v>
      </c>
      <c r="K5" s="22">
        <v>0.74</v>
      </c>
      <c r="L5" s="48">
        <v>23</v>
      </c>
      <c r="M5" s="12"/>
    </row>
    <row r="6" spans="1:13" x14ac:dyDescent="0.25">
      <c r="A6" t="s">
        <v>27</v>
      </c>
      <c r="B6">
        <f t="shared" si="0"/>
        <v>5</v>
      </c>
      <c r="C6" s="22">
        <v>10</v>
      </c>
      <c r="D6" s="22">
        <v>2020</v>
      </c>
      <c r="E6" s="24">
        <f>'10 - 2020'!B12-'10 - 2020'!B11</f>
        <v>2943</v>
      </c>
      <c r="F6" s="24">
        <f>'10 - 2020'!C12-'10 - 2020'!C11</f>
        <v>5319</v>
      </c>
      <c r="G6" s="22">
        <v>0.11799999999999999</v>
      </c>
      <c r="H6" s="24">
        <f>'10 - 2020'!E12-'10 - 2020'!E11</f>
        <v>23.430000000000291</v>
      </c>
      <c r="I6" s="24">
        <f>'10 - 2020'!F12-'10 - 2020'!F11</f>
        <v>5</v>
      </c>
      <c r="J6" s="24">
        <f>'10 - 2020'!G12-'10 - 2020'!G11</f>
        <v>24</v>
      </c>
      <c r="K6" s="22">
        <v>0.74</v>
      </c>
      <c r="L6" s="48">
        <v>25</v>
      </c>
      <c r="M6" s="13"/>
    </row>
    <row r="7" spans="1:13" x14ac:dyDescent="0.25">
      <c r="A7" t="s">
        <v>27</v>
      </c>
      <c r="B7">
        <f t="shared" si="0"/>
        <v>6</v>
      </c>
      <c r="C7" s="22">
        <v>10</v>
      </c>
      <c r="D7" s="22">
        <v>2020</v>
      </c>
      <c r="E7" s="24">
        <f>'10 - 2020'!B13-'10 - 2020'!B12</f>
        <v>2949</v>
      </c>
      <c r="F7" s="24">
        <f>'10 - 2020'!C13-'10 - 2020'!C12</f>
        <v>5624</v>
      </c>
      <c r="G7" s="22">
        <v>0.11799999999999999</v>
      </c>
      <c r="H7" s="24">
        <f>'10 - 2020'!E13-'10 - 2020'!E12</f>
        <v>25.690000000000509</v>
      </c>
      <c r="I7" s="24">
        <f>'10 - 2020'!F13-'10 - 2020'!F12</f>
        <v>3.6500000000000909</v>
      </c>
      <c r="J7" s="24">
        <f>'10 - 2020'!G13-'10 - 2020'!G12</f>
        <v>27.169999999998254</v>
      </c>
      <c r="K7" s="22">
        <v>0.74</v>
      </c>
      <c r="L7" s="48">
        <v>28</v>
      </c>
      <c r="M7" s="13"/>
    </row>
    <row r="8" spans="1:13" x14ac:dyDescent="0.25">
      <c r="A8" t="s">
        <v>27</v>
      </c>
      <c r="B8">
        <f t="shared" si="0"/>
        <v>7</v>
      </c>
      <c r="C8" s="22">
        <v>10</v>
      </c>
      <c r="D8" s="22">
        <v>2020</v>
      </c>
      <c r="E8" s="24">
        <f>'10 - 2020'!B14-'10 - 2020'!B13</f>
        <v>3023</v>
      </c>
      <c r="F8" s="24">
        <f>'10 - 2020'!C14-'10 - 2020'!C13</f>
        <v>5870</v>
      </c>
      <c r="G8" s="22">
        <v>0.11799999999999999</v>
      </c>
      <c r="H8" s="24">
        <f>'10 - 2020'!E14-'10 - 2020'!E13</f>
        <v>18.599999999998545</v>
      </c>
      <c r="I8" s="24">
        <f>'10 - 2020'!F14-'10 - 2020'!F13</f>
        <v>4.9499999999998181</v>
      </c>
      <c r="J8" s="24">
        <f>'10 - 2020'!G14-'10 - 2020'!G13</f>
        <v>25.730000000003201</v>
      </c>
      <c r="K8" s="22">
        <v>0.74</v>
      </c>
      <c r="L8" s="48">
        <v>34</v>
      </c>
      <c r="M8" s="13"/>
    </row>
    <row r="9" spans="1:13" x14ac:dyDescent="0.25">
      <c r="A9" t="s">
        <v>27</v>
      </c>
      <c r="B9">
        <f t="shared" si="0"/>
        <v>8</v>
      </c>
      <c r="C9" s="22">
        <v>10</v>
      </c>
      <c r="D9" s="22">
        <v>2020</v>
      </c>
      <c r="E9" s="24">
        <f>'10 - 2020'!B15-'10 - 2020'!B14</f>
        <v>2906</v>
      </c>
      <c r="F9" s="24">
        <f>'10 - 2020'!C15-'10 - 2020'!C14</f>
        <v>5504</v>
      </c>
      <c r="G9" s="22">
        <v>0.11799999999999999</v>
      </c>
      <c r="H9" s="24">
        <f>'10 - 2020'!E15-'10 - 2020'!E14</f>
        <v>18.780000000000655</v>
      </c>
      <c r="I9" s="24">
        <f>'10 - 2020'!F15-'10 - 2020'!F14</f>
        <v>4.3899999999998727</v>
      </c>
      <c r="J9" s="24">
        <f>'10 - 2020'!G15-'10 - 2020'!G14</f>
        <v>27.069999999999709</v>
      </c>
      <c r="K9" s="22">
        <v>0.74</v>
      </c>
      <c r="L9" s="48">
        <v>37</v>
      </c>
      <c r="M9" s="13"/>
    </row>
    <row r="10" spans="1:13" x14ac:dyDescent="0.25">
      <c r="A10" t="s">
        <v>27</v>
      </c>
      <c r="B10">
        <f t="shared" si="0"/>
        <v>9</v>
      </c>
      <c r="C10" s="22">
        <v>10</v>
      </c>
      <c r="D10" s="22">
        <v>2020</v>
      </c>
      <c r="E10" s="24">
        <f>'10 - 2020'!B16-'10 - 2020'!B15</f>
        <v>3116</v>
      </c>
      <c r="F10" s="24">
        <f>'10 - 2020'!C16-'10 - 2020'!C15</f>
        <v>6263</v>
      </c>
      <c r="G10" s="22">
        <v>0.11799999999999999</v>
      </c>
      <c r="H10" s="24">
        <f>'10 - 2020'!E16-'10 - 2020'!E15</f>
        <v>20.600000000000364</v>
      </c>
      <c r="I10" s="24">
        <f>'10 - 2020'!F16-'10 - 2020'!F15</f>
        <v>5.180000000000291</v>
      </c>
      <c r="J10" s="24">
        <f>'10 - 2020'!G16-'10 - 2020'!G15</f>
        <v>29.099999999998545</v>
      </c>
      <c r="K10" s="22">
        <v>0.74</v>
      </c>
      <c r="L10" s="48">
        <v>44</v>
      </c>
      <c r="M10" s="13"/>
    </row>
    <row r="11" spans="1:13" x14ac:dyDescent="0.25">
      <c r="A11" t="s">
        <v>27</v>
      </c>
      <c r="B11">
        <f t="shared" si="0"/>
        <v>10</v>
      </c>
      <c r="C11" s="22">
        <v>10</v>
      </c>
      <c r="D11" s="22">
        <v>2020</v>
      </c>
      <c r="E11" s="24">
        <f>'10 - 2020'!B17-'10 - 2020'!B16</f>
        <v>2867</v>
      </c>
      <c r="F11" s="24">
        <f>'10 - 2020'!C17-'10 - 2020'!C16</f>
        <v>5944</v>
      </c>
      <c r="G11" s="22">
        <v>0.11799999999999999</v>
      </c>
      <c r="H11" s="24">
        <f>'10 - 2020'!E17-'10 - 2020'!E16</f>
        <v>24.850000000000364</v>
      </c>
      <c r="I11" s="24">
        <f>'10 - 2020'!F17-'10 - 2020'!F16</f>
        <v>4.1100000000001273</v>
      </c>
      <c r="J11" s="24">
        <f>'10 - 2020'!G17-'10 - 2020'!G16</f>
        <v>27.25</v>
      </c>
      <c r="K11" s="22">
        <v>0.74</v>
      </c>
      <c r="L11" s="48">
        <v>44</v>
      </c>
      <c r="M11" s="13"/>
    </row>
    <row r="12" spans="1:13" x14ac:dyDescent="0.25">
      <c r="A12" t="s">
        <v>27</v>
      </c>
      <c r="B12">
        <f t="shared" si="0"/>
        <v>11</v>
      </c>
      <c r="C12" s="22">
        <v>10</v>
      </c>
      <c r="D12" s="22">
        <v>2020</v>
      </c>
      <c r="E12" s="24">
        <f>'10 - 2020'!B18-'10 - 2020'!B17</f>
        <v>2992</v>
      </c>
      <c r="F12" s="24">
        <f>'10 - 2020'!C18-'10 - 2020'!C17</f>
        <v>5875</v>
      </c>
      <c r="G12" s="22">
        <v>0.11799999999999999</v>
      </c>
      <c r="H12" s="24">
        <f>'10 - 2020'!E18-'10 - 2020'!E17</f>
        <v>21.429999999998472</v>
      </c>
      <c r="I12" s="24">
        <f>'10 - 2020'!F18-'10 - 2020'!F17</f>
        <v>3.7199999999997999</v>
      </c>
      <c r="J12" s="24">
        <f>'10 - 2020'!G18-'10 - 2020'!G17</f>
        <v>27.150000000001455</v>
      </c>
      <c r="K12" s="22">
        <v>0.74</v>
      </c>
      <c r="L12" s="24">
        <v>34</v>
      </c>
      <c r="M12" s="13"/>
    </row>
    <row r="13" spans="1:13" x14ac:dyDescent="0.25">
      <c r="A13" t="s">
        <v>27</v>
      </c>
      <c r="B13">
        <f t="shared" si="0"/>
        <v>12</v>
      </c>
      <c r="C13" s="22">
        <v>10</v>
      </c>
      <c r="D13" s="22">
        <v>2020</v>
      </c>
      <c r="E13" s="24">
        <f>'10 - 2020'!B19-'10 - 2020'!B18</f>
        <v>3108</v>
      </c>
      <c r="F13" s="24">
        <f>'10 - 2020'!C19-'10 - 2020'!C18</f>
        <v>5853</v>
      </c>
      <c r="G13" s="22">
        <v>0.11799999999999999</v>
      </c>
      <c r="H13" s="24">
        <f>'10 - 2020'!E19-'10 - 2020'!E18</f>
        <v>19.890000000001237</v>
      </c>
      <c r="I13" s="24">
        <f>'10 - 2020'!F19-'10 - 2020'!F18</f>
        <v>5.0199999999999818</v>
      </c>
      <c r="J13" s="24">
        <f>'10 - 2020'!G19-'10 - 2020'!G18</f>
        <v>25.809999999997672</v>
      </c>
      <c r="K13" s="22">
        <v>0.74</v>
      </c>
      <c r="L13" s="24">
        <v>28</v>
      </c>
      <c r="M13" s="13"/>
    </row>
    <row r="14" spans="1:13" x14ac:dyDescent="0.25">
      <c r="A14" t="s">
        <v>27</v>
      </c>
      <c r="B14">
        <f t="shared" si="0"/>
        <v>13</v>
      </c>
      <c r="C14" s="22">
        <v>10</v>
      </c>
      <c r="D14" s="22">
        <v>2020</v>
      </c>
      <c r="E14" s="24">
        <f>'10 - 2020'!B20-'10 - 2020'!B19</f>
        <v>3303</v>
      </c>
      <c r="F14" s="24">
        <f>'10 - 2020'!C20-'10 - 2020'!C19</f>
        <v>6108</v>
      </c>
      <c r="G14" s="22">
        <v>0.11799999999999999</v>
      </c>
      <c r="H14" s="24">
        <f>'10 - 2020'!E20-'10 - 2020'!E19</f>
        <v>23.329999999999927</v>
      </c>
      <c r="I14" s="24">
        <f>'10 - 2020'!F20-'10 - 2020'!F19</f>
        <v>4.2800000000002001</v>
      </c>
      <c r="J14" s="24">
        <f>'10 - 2020'!G20-'10 - 2020'!G19</f>
        <v>26.880000000001019</v>
      </c>
      <c r="K14" s="22">
        <v>0.74</v>
      </c>
      <c r="L14" s="24">
        <v>32</v>
      </c>
      <c r="M14" s="13"/>
    </row>
    <row r="15" spans="1:13" x14ac:dyDescent="0.25">
      <c r="A15" t="s">
        <v>27</v>
      </c>
      <c r="B15">
        <f t="shared" si="0"/>
        <v>14</v>
      </c>
      <c r="C15" s="22">
        <v>10</v>
      </c>
      <c r="D15" s="22">
        <v>2020</v>
      </c>
      <c r="E15" s="24">
        <f>'10 - 2020'!B21-'10 - 2020'!B20</f>
        <v>3112</v>
      </c>
      <c r="F15" s="24">
        <f>'10 - 2020'!C21-'10 - 2020'!C20</f>
        <v>5739</v>
      </c>
      <c r="G15" s="22">
        <v>0.11799999999999999</v>
      </c>
      <c r="H15" s="24">
        <f>'10 - 2020'!E21-'10 - 2020'!E20</f>
        <v>16.489999999999782</v>
      </c>
      <c r="I15" s="24">
        <f>'10 - 2020'!F21-'10 - 2020'!F20</f>
        <v>4.5599999999999454</v>
      </c>
      <c r="J15" s="24">
        <f>'10 - 2020'!G21-'10 - 2020'!G20</f>
        <v>25.93999999999869</v>
      </c>
      <c r="K15" s="22">
        <v>0.74</v>
      </c>
      <c r="L15" s="24">
        <v>34</v>
      </c>
      <c r="M15" s="13"/>
    </row>
    <row r="16" spans="1:13" x14ac:dyDescent="0.25">
      <c r="A16" t="s">
        <v>27</v>
      </c>
      <c r="B16">
        <f t="shared" si="0"/>
        <v>15</v>
      </c>
      <c r="C16" s="22">
        <v>10</v>
      </c>
      <c r="D16" s="22">
        <v>2020</v>
      </c>
      <c r="E16" s="24">
        <f>'10 - 2020'!B22-'10 - 2020'!B21</f>
        <v>2882</v>
      </c>
      <c r="F16" s="24">
        <f>'10 - 2020'!C22-'10 - 2020'!C21</f>
        <v>5176</v>
      </c>
      <c r="G16" s="22">
        <v>0.11799999999999999</v>
      </c>
      <c r="H16" s="24">
        <f>'10 - 2020'!E22-'10 - 2020'!E21</f>
        <v>18.709999999999127</v>
      </c>
      <c r="I16" s="24">
        <f>'10 - 2020'!F22-'10 - 2020'!F21</f>
        <v>4.3299999999999272</v>
      </c>
      <c r="J16" s="24">
        <f>'10 - 2020'!G22-'10 - 2020'!G21</f>
        <v>23.440000000002328</v>
      </c>
      <c r="K16" s="22">
        <v>0.74</v>
      </c>
      <c r="L16" s="24">
        <v>30</v>
      </c>
      <c r="M16" s="13"/>
    </row>
    <row r="17" spans="1:13" x14ac:dyDescent="0.25">
      <c r="A17" t="s">
        <v>27</v>
      </c>
      <c r="B17">
        <f t="shared" si="0"/>
        <v>16</v>
      </c>
      <c r="C17" s="22">
        <v>10</v>
      </c>
      <c r="D17" s="22">
        <v>2020</v>
      </c>
      <c r="E17" s="24">
        <f>'10 - 2020'!B23-'10 - 2020'!B22</f>
        <v>3184</v>
      </c>
      <c r="F17" s="24">
        <f>'10 - 2020'!C23-'10 - 2020'!C22</f>
        <v>5960</v>
      </c>
      <c r="G17" s="22">
        <v>0.11799999999999999</v>
      </c>
      <c r="H17" s="24">
        <f>'10 - 2020'!E23-'10 - 2020'!E22</f>
        <v>22.090000000000146</v>
      </c>
      <c r="I17" s="24">
        <f>'10 - 2020'!F23-'10 - 2020'!F22</f>
        <v>6.7300000000000182</v>
      </c>
      <c r="J17" s="24">
        <f>'10 - 2020'!G23-'10 - 2020'!G22</f>
        <v>26.909999999999854</v>
      </c>
      <c r="K17" s="22">
        <v>0.74</v>
      </c>
      <c r="L17" s="24">
        <v>36</v>
      </c>
      <c r="M17" s="13"/>
    </row>
    <row r="18" spans="1:13" x14ac:dyDescent="0.25">
      <c r="A18" t="s">
        <v>27</v>
      </c>
      <c r="B18">
        <f t="shared" si="0"/>
        <v>17</v>
      </c>
      <c r="C18" s="22">
        <v>10</v>
      </c>
      <c r="D18" s="22">
        <v>2020</v>
      </c>
      <c r="E18" s="24">
        <f>'10 - 2020'!B24-'10 - 2020'!B23</f>
        <v>3171</v>
      </c>
      <c r="F18" s="24">
        <f>'10 - 2020'!C24-'10 - 2020'!C23</f>
        <v>6108</v>
      </c>
      <c r="G18" s="22">
        <v>0.11799999999999999</v>
      </c>
      <c r="H18" s="24">
        <f>'10 - 2020'!E24-'10 - 2020'!E23</f>
        <v>23.8700000000008</v>
      </c>
      <c r="I18" s="24">
        <f>'10 - 2020'!F24-'10 - 2020'!F23</f>
        <v>2.4200000000000728</v>
      </c>
      <c r="J18" s="24">
        <f>'10 - 2020'!G24-'10 - 2020'!G23</f>
        <v>31.049999999999272</v>
      </c>
      <c r="K18" s="22">
        <v>0.74</v>
      </c>
      <c r="L18" s="24">
        <v>39</v>
      </c>
      <c r="M18" s="13"/>
    </row>
    <row r="19" spans="1:13" x14ac:dyDescent="0.25">
      <c r="A19" t="s">
        <v>27</v>
      </c>
      <c r="B19">
        <f>B18+1</f>
        <v>18</v>
      </c>
      <c r="C19" s="22">
        <v>10</v>
      </c>
      <c r="D19" s="22">
        <v>2020</v>
      </c>
      <c r="E19" s="24">
        <f>'10 - 2020'!B25-'10 - 2020'!B24</f>
        <v>2916</v>
      </c>
      <c r="F19" s="24">
        <f>'10 - 2020'!C25-'10 - 2020'!C24</f>
        <v>5688</v>
      </c>
      <c r="G19" s="22">
        <v>0.11799999999999999</v>
      </c>
      <c r="H19" s="24">
        <f>'10 - 2020'!E25-'10 - 2020'!E24</f>
        <v>23.659999999999854</v>
      </c>
      <c r="I19" s="24">
        <f>'10 - 2020'!F25-'10 - 2020'!F24</f>
        <v>4.1299999999996544</v>
      </c>
      <c r="J19" s="24">
        <f>'10 - 2020'!G25-'10 - 2020'!G24</f>
        <v>27.970000000001164</v>
      </c>
      <c r="K19" s="22">
        <v>0.74</v>
      </c>
      <c r="L19" s="24">
        <v>33</v>
      </c>
      <c r="M19" s="13"/>
    </row>
    <row r="20" spans="1:13" x14ac:dyDescent="0.25">
      <c r="A20" t="s">
        <v>27</v>
      </c>
      <c r="B20">
        <f t="shared" si="0"/>
        <v>19</v>
      </c>
      <c r="C20" s="22">
        <v>10</v>
      </c>
      <c r="D20" s="22">
        <v>2020</v>
      </c>
      <c r="E20" s="24">
        <f>'10 - 2020'!B26-'10 - 2020'!B25</f>
        <v>3060</v>
      </c>
      <c r="F20" s="24">
        <f>'10 - 2020'!C26-'10 - 2020'!C25</f>
        <v>5570</v>
      </c>
      <c r="G20" s="22">
        <v>0.11799999999999999</v>
      </c>
      <c r="H20" s="24">
        <f>'10 - 2020'!E26-'10 - 2020'!E25</f>
        <v>15.700000000000728</v>
      </c>
      <c r="I20" s="24">
        <f>'10 - 2020'!F26-'10 - 2020'!F25</f>
        <v>4.4200000000000728</v>
      </c>
      <c r="J20" s="24">
        <f>'10 - 2020'!G26-'10 - 2020'!G25</f>
        <v>27.059999999997672</v>
      </c>
      <c r="K20" s="22">
        <v>0.74</v>
      </c>
      <c r="L20" s="6">
        <v>27</v>
      </c>
      <c r="M20" s="13"/>
    </row>
    <row r="21" spans="1:13" x14ac:dyDescent="0.25">
      <c r="A21" t="s">
        <v>27</v>
      </c>
      <c r="B21">
        <f t="shared" si="0"/>
        <v>20</v>
      </c>
      <c r="C21" s="22">
        <v>10</v>
      </c>
      <c r="D21" s="22">
        <v>2020</v>
      </c>
      <c r="E21" s="24">
        <f>'10 - 2020'!B27-'10 - 2020'!B26</f>
        <v>3238</v>
      </c>
      <c r="F21" s="24">
        <f>'10 - 2020'!C27-'10 - 2020'!C26</f>
        <v>5900</v>
      </c>
      <c r="G21" s="22">
        <v>0.11799999999999999</v>
      </c>
      <c r="H21" s="24">
        <f>'10 - 2020'!E27-'10 - 2020'!E26</f>
        <v>17.609999999998763</v>
      </c>
      <c r="I21" s="24">
        <f>'10 - 2020'!F27-'10 - 2020'!F26</f>
        <v>5.0900000000001455</v>
      </c>
      <c r="J21" s="24">
        <f>'10 - 2020'!G27-'10 - 2020'!G26</f>
        <v>25.970000000001164</v>
      </c>
      <c r="K21" s="22">
        <v>0.74</v>
      </c>
      <c r="L21" s="6">
        <v>30</v>
      </c>
      <c r="M21" s="13"/>
    </row>
    <row r="22" spans="1:13" x14ac:dyDescent="0.25">
      <c r="A22" t="s">
        <v>27</v>
      </c>
      <c r="B22">
        <f t="shared" si="0"/>
        <v>21</v>
      </c>
      <c r="C22" s="22">
        <v>10</v>
      </c>
      <c r="D22" s="22">
        <v>2020</v>
      </c>
      <c r="E22" s="24">
        <f>'10 - 2020'!B28-'10 - 2020'!B27</f>
        <v>3273</v>
      </c>
      <c r="F22" s="24">
        <f>'10 - 2020'!C28-'10 - 2020'!C27</f>
        <v>5697</v>
      </c>
      <c r="G22" s="22">
        <v>0.11799999999999999</v>
      </c>
      <c r="H22" s="24">
        <f>'10 - 2020'!E28-'10 - 2020'!E27</f>
        <v>19.489999999999782</v>
      </c>
      <c r="I22" s="24">
        <f>'10 - 2020'!F28-'10 - 2020'!F27</f>
        <v>4.2300000000000182</v>
      </c>
      <c r="J22" s="24">
        <f>'10 - 2020'!G28-'10 - 2020'!G27</f>
        <v>27.599999999998545</v>
      </c>
      <c r="K22" s="22">
        <v>0.74</v>
      </c>
      <c r="L22" s="24">
        <v>34</v>
      </c>
      <c r="M22" s="13"/>
    </row>
    <row r="23" spans="1:13" x14ac:dyDescent="0.25">
      <c r="A23" t="s">
        <v>27</v>
      </c>
      <c r="B23">
        <f t="shared" si="0"/>
        <v>22</v>
      </c>
      <c r="C23" s="22">
        <v>10</v>
      </c>
      <c r="D23" s="22">
        <v>2020</v>
      </c>
      <c r="E23" s="24">
        <f>'10 - 2020'!B29-'10 - 2020'!B28</f>
        <v>3304</v>
      </c>
      <c r="F23" s="24">
        <f>'10 - 2020'!C29-'10 - 2020'!C28</f>
        <v>5874</v>
      </c>
      <c r="G23" s="22">
        <v>0.11799999999999999</v>
      </c>
      <c r="H23" s="24">
        <f>'10 - 2020'!E29-'10 - 2020'!E28</f>
        <v>21.380000000001019</v>
      </c>
      <c r="I23" s="24">
        <f>'10 - 2020'!F29-'10 - 2020'!F28</f>
        <v>4.1100000000001273</v>
      </c>
      <c r="J23" s="24">
        <f>'10 - 2020'!G29-'10 - 2020'!G28</f>
        <v>26.180000000000291</v>
      </c>
      <c r="K23" s="22">
        <v>0.74</v>
      </c>
      <c r="L23" s="24">
        <v>31</v>
      </c>
      <c r="M23" s="13"/>
    </row>
    <row r="24" spans="1:13" x14ac:dyDescent="0.25">
      <c r="A24" t="s">
        <v>27</v>
      </c>
      <c r="B24">
        <f t="shared" si="0"/>
        <v>23</v>
      </c>
      <c r="C24" s="22">
        <v>10</v>
      </c>
      <c r="D24" s="22">
        <v>2020</v>
      </c>
      <c r="E24" s="24">
        <v>0</v>
      </c>
      <c r="F24" s="24">
        <v>0</v>
      </c>
      <c r="G24" s="22">
        <v>0.11799999999999999</v>
      </c>
      <c r="H24" s="24">
        <v>0</v>
      </c>
      <c r="I24" s="24">
        <v>0</v>
      </c>
      <c r="J24" s="24"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10</v>
      </c>
      <c r="D25" s="22">
        <v>2020</v>
      </c>
      <c r="E25" s="24">
        <f>'10 - 2020'!B31-'10 - 2020'!B30</f>
        <v>0</v>
      </c>
      <c r="F25" s="24">
        <f>'10 - 2020'!C31-'10 - 2020'!C30</f>
        <v>0</v>
      </c>
      <c r="G25" s="22">
        <v>0.11799999999999999</v>
      </c>
      <c r="H25" s="24">
        <f>'10 - 2020'!E31-'10 - 2020'!E30</f>
        <v>0</v>
      </c>
      <c r="I25" s="24">
        <f>'10 - 2020'!F31-'10 - 2020'!F30</f>
        <v>0</v>
      </c>
      <c r="J25" s="24">
        <f>'10 - 2020'!G31-'10 - 2020'!G30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10</v>
      </c>
      <c r="D26" s="22">
        <v>2020</v>
      </c>
      <c r="E26" s="24">
        <f>'10 - 2020'!B32-'10 - 2020'!B31</f>
        <v>0</v>
      </c>
      <c r="F26" s="24">
        <f>'10 - 2020'!C32-'10 - 2020'!C31</f>
        <v>0</v>
      </c>
      <c r="G26" s="22">
        <v>0.11799999999999999</v>
      </c>
      <c r="H26" s="24">
        <f>'10 - 2020'!E32-'10 - 2020'!E31</f>
        <v>0</v>
      </c>
      <c r="I26" s="24">
        <f>'10 - 2020'!F32-'10 - 2020'!F31</f>
        <v>0</v>
      </c>
      <c r="J26" s="24">
        <f>'10 - 2020'!G32-'10 - 2020'!G31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10</v>
      </c>
      <c r="D27" s="22">
        <v>2020</v>
      </c>
      <c r="E27" s="24">
        <f>'10 - 2020'!B33-'10 - 2020'!B32</f>
        <v>0</v>
      </c>
      <c r="F27" s="24">
        <f>'10 - 2020'!C33-'10 - 2020'!C32</f>
        <v>0</v>
      </c>
      <c r="G27" s="22">
        <v>0.11799999999999999</v>
      </c>
      <c r="H27" s="24">
        <f>'10 - 2020'!E33-'10 - 2020'!E32</f>
        <v>0</v>
      </c>
      <c r="I27" s="24">
        <f>'10 - 2020'!F33-'10 - 2020'!F32</f>
        <v>0</v>
      </c>
      <c r="J27" s="24">
        <f>'10 - 2020'!G33-'10 - 2020'!G32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10</v>
      </c>
      <c r="D28" s="22">
        <v>2020</v>
      </c>
      <c r="E28" s="24">
        <f>'10 - 2020'!B34-'10 - 2020'!B33</f>
        <v>0</v>
      </c>
      <c r="F28" s="24">
        <f>'10 - 2020'!C34-'10 - 2020'!C33</f>
        <v>0</v>
      </c>
      <c r="G28" s="22">
        <v>0.11799999999999999</v>
      </c>
      <c r="H28" s="24">
        <f>'10 - 2020'!E34-'10 - 2020'!E33</f>
        <v>0</v>
      </c>
      <c r="I28" s="24">
        <f>'10 - 2020'!F34-'10 - 2020'!F33</f>
        <v>0</v>
      </c>
      <c r="J28" s="24">
        <f>'10 - 2020'!G34-'10 - 2020'!G33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10</v>
      </c>
      <c r="D29" s="22">
        <v>2020</v>
      </c>
      <c r="E29" s="24">
        <f>'10 - 2020'!B35-'10 - 2020'!B34</f>
        <v>0</v>
      </c>
      <c r="F29" s="24">
        <f>'10 - 2020'!C35-'10 - 2020'!C34</f>
        <v>0</v>
      </c>
      <c r="G29" s="22">
        <v>0.11799999999999999</v>
      </c>
      <c r="H29" s="24">
        <f>'10 - 2020'!E35-'10 - 2020'!E34</f>
        <v>0</v>
      </c>
      <c r="I29" s="24">
        <f>'10 - 2020'!F35-'10 - 2020'!F34</f>
        <v>0</v>
      </c>
      <c r="J29" s="24">
        <f>'10 - 2020'!G35-'10 - 2020'!G34</f>
        <v>0</v>
      </c>
      <c r="K29" s="22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2">
        <v>10</v>
      </c>
      <c r="D30" s="22">
        <v>2020</v>
      </c>
      <c r="E30" s="24">
        <f>'10 - 2020'!B36-'10 - 2020'!B35</f>
        <v>0</v>
      </c>
      <c r="F30" s="24">
        <f>'10 - 2020'!C36-'10 - 2020'!C35</f>
        <v>0</v>
      </c>
      <c r="G30" s="22">
        <v>0.11799999999999999</v>
      </c>
      <c r="H30" s="24">
        <f>'10 - 2020'!E36-'10 - 2020'!E35</f>
        <v>0</v>
      </c>
      <c r="I30" s="24">
        <f>'10 - 2020'!F36-'10 - 2020'!F35</f>
        <v>0</v>
      </c>
      <c r="J30" s="24">
        <f>'10 - 2020'!G36-'10 - 2020'!G35</f>
        <v>0</v>
      </c>
      <c r="K30" s="22">
        <v>0.74</v>
      </c>
      <c r="L30" s="6"/>
    </row>
    <row r="31" spans="1:13" x14ac:dyDescent="0.25">
      <c r="A31" s="22" t="s">
        <v>27</v>
      </c>
      <c r="B31" s="22">
        <v>30</v>
      </c>
      <c r="C31" s="22">
        <v>10</v>
      </c>
      <c r="D31" s="22">
        <v>2020</v>
      </c>
      <c r="E31" s="24">
        <f>'10 - 2020'!B37-'10 - 2020'!B36</f>
        <v>0</v>
      </c>
      <c r="F31" s="24">
        <f>'10 - 2020'!C37-'10 - 2020'!C36</f>
        <v>0</v>
      </c>
      <c r="G31" s="22">
        <v>0.11799999999999999</v>
      </c>
      <c r="H31" s="24">
        <f>'10 - 2020'!E37-'10 - 2020'!E36</f>
        <v>0</v>
      </c>
      <c r="I31" s="24">
        <f>'10 - 2020'!F37-'10 - 2020'!F36</f>
        <v>0</v>
      </c>
      <c r="J31" s="24">
        <f>'10 - 2020'!G37-'10 - 2020'!G36</f>
        <v>0</v>
      </c>
      <c r="K31" s="22">
        <v>0.74</v>
      </c>
      <c r="L31" s="24"/>
    </row>
    <row r="32" spans="1:13" x14ac:dyDescent="0.25">
      <c r="A32" s="22" t="s">
        <v>27</v>
      </c>
      <c r="B32">
        <v>31</v>
      </c>
      <c r="C32" s="22">
        <v>10</v>
      </c>
      <c r="D32" s="22">
        <v>2020</v>
      </c>
      <c r="E32" s="24">
        <f>'10 - 2020'!B38-'10 - 2020'!B37</f>
        <v>0</v>
      </c>
      <c r="F32" s="24">
        <f>'10 - 2020'!C38-'10 - 2020'!C37</f>
        <v>0</v>
      </c>
      <c r="G32" s="22">
        <v>0.11799999999999999</v>
      </c>
      <c r="H32" s="24">
        <f>'10 - 2020'!E38-'10 - 2020'!E37</f>
        <v>0</v>
      </c>
      <c r="I32" s="24">
        <f>'10 - 2020'!F38-'10 - 2020'!F37</f>
        <v>0</v>
      </c>
      <c r="J32" s="24">
        <f>'10 - 2020'!G38-'10 - 2020'!G37</f>
        <v>0</v>
      </c>
      <c r="K32" s="22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zoomScaleNormal="100" workbookViewId="0">
      <selection activeCell="B29" sqref="B29:J29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1" t="s">
        <v>30</v>
      </c>
      <c r="B3" s="71"/>
      <c r="C3" s="71"/>
      <c r="D3" s="71"/>
      <c r="E3" s="71"/>
      <c r="F3" s="71"/>
      <c r="G3" s="71"/>
      <c r="H3" s="71"/>
      <c r="I3" s="71"/>
      <c r="J3" s="71"/>
      <c r="K3" s="22"/>
      <c r="L3" s="22"/>
      <c r="M3" s="22"/>
    </row>
    <row r="4" spans="1:15" ht="16.5" thickBot="1" x14ac:dyDescent="0.3">
      <c r="A4" s="64" t="s">
        <v>37</v>
      </c>
      <c r="B4" s="64"/>
      <c r="C4" s="64"/>
      <c r="D4" s="64"/>
      <c r="E4" s="64"/>
      <c r="F4" s="64"/>
      <c r="G4" s="64"/>
      <c r="H4" s="64"/>
      <c r="I4" s="64"/>
      <c r="J4" s="64"/>
      <c r="K4" s="22"/>
      <c r="L4" s="22"/>
      <c r="M4" s="22"/>
    </row>
    <row r="5" spans="1:15" ht="16.5" thickBot="1" x14ac:dyDescent="0.3">
      <c r="A5" s="2"/>
      <c r="B5" s="65" t="s">
        <v>36</v>
      </c>
      <c r="C5" s="66"/>
      <c r="D5" s="65" t="s">
        <v>0</v>
      </c>
      <c r="E5" s="67"/>
      <c r="F5" s="67"/>
      <c r="G5" s="68"/>
      <c r="H5" s="69" t="s">
        <v>1</v>
      </c>
      <c r="I5" s="70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44104</v>
      </c>
      <c r="B7" s="15">
        <v>905004</v>
      </c>
      <c r="C7" s="15">
        <v>1440560</v>
      </c>
      <c r="D7" s="16">
        <v>0.44</v>
      </c>
      <c r="E7" s="17">
        <v>12353</v>
      </c>
      <c r="F7" s="17">
        <v>2447</v>
      </c>
      <c r="G7" s="17">
        <v>21739</v>
      </c>
      <c r="H7" s="15">
        <v>14528</v>
      </c>
      <c r="I7" s="15">
        <v>98896</v>
      </c>
      <c r="J7" s="15">
        <v>42086859</v>
      </c>
      <c r="K7" s="52"/>
      <c r="L7" s="53"/>
      <c r="M7" s="46"/>
    </row>
    <row r="8" spans="1:15" ht="12.75" customHeight="1" x14ac:dyDescent="0.25">
      <c r="A8" s="45">
        <v>44105</v>
      </c>
      <c r="B8" s="34">
        <v>908010</v>
      </c>
      <c r="C8" s="35">
        <v>1445985</v>
      </c>
      <c r="D8" s="36">
        <v>0.38</v>
      </c>
      <c r="E8" s="37">
        <v>12370</v>
      </c>
      <c r="F8" s="37">
        <v>2451</v>
      </c>
      <c r="G8" s="37">
        <v>21768</v>
      </c>
      <c r="H8" s="38">
        <v>14528</v>
      </c>
      <c r="I8" s="38">
        <v>98957</v>
      </c>
      <c r="J8" s="38">
        <v>42112091</v>
      </c>
      <c r="K8" s="39"/>
      <c r="L8" s="40"/>
      <c r="M8" s="46"/>
    </row>
    <row r="9" spans="1:15" ht="12.75" customHeight="1" x14ac:dyDescent="0.25">
      <c r="A9" s="45">
        <v>44106</v>
      </c>
      <c r="B9" s="25">
        <v>911071</v>
      </c>
      <c r="C9" s="19">
        <v>1451546</v>
      </c>
      <c r="D9" s="36">
        <v>0.31</v>
      </c>
      <c r="E9" s="21">
        <v>12391</v>
      </c>
      <c r="F9" s="21">
        <v>2456</v>
      </c>
      <c r="G9" s="21">
        <v>21797</v>
      </c>
      <c r="H9" s="19">
        <v>14528</v>
      </c>
      <c r="I9" s="15">
        <v>99024</v>
      </c>
      <c r="J9" s="15">
        <v>42135225</v>
      </c>
      <c r="K9" s="18"/>
      <c r="L9" s="30"/>
      <c r="M9" s="46"/>
    </row>
    <row r="10" spans="1:15" ht="12.75" customHeight="1" x14ac:dyDescent="0.25">
      <c r="A10" s="45">
        <v>44107</v>
      </c>
      <c r="B10" s="15">
        <v>914326</v>
      </c>
      <c r="C10" s="15">
        <v>1456964</v>
      </c>
      <c r="D10" s="16">
        <v>0.25</v>
      </c>
      <c r="E10" s="21">
        <v>12415</v>
      </c>
      <c r="F10" s="21">
        <v>2461</v>
      </c>
      <c r="G10" s="21">
        <v>21824</v>
      </c>
      <c r="H10" s="19">
        <v>14528</v>
      </c>
      <c r="I10" s="15">
        <v>99089</v>
      </c>
      <c r="J10" s="61">
        <v>42161578</v>
      </c>
      <c r="K10" s="18"/>
      <c r="L10" s="30"/>
      <c r="M10" s="46"/>
    </row>
    <row r="11" spans="1:15" ht="12.75" customHeight="1" x14ac:dyDescent="0.25">
      <c r="A11" s="45">
        <v>44108</v>
      </c>
      <c r="B11" s="15">
        <v>917301</v>
      </c>
      <c r="C11" s="15">
        <v>1462494</v>
      </c>
      <c r="D11" s="16">
        <v>0.85</v>
      </c>
      <c r="E11" s="21">
        <v>12436</v>
      </c>
      <c r="F11" s="21">
        <v>2465</v>
      </c>
      <c r="G11" s="21">
        <v>21851</v>
      </c>
      <c r="H11" s="19">
        <v>14528</v>
      </c>
      <c r="I11" s="15">
        <v>99151</v>
      </c>
      <c r="J11" s="15">
        <v>42192895</v>
      </c>
      <c r="K11" s="18">
        <v>4600</v>
      </c>
      <c r="L11" s="30"/>
      <c r="M11" s="46"/>
    </row>
    <row r="12" spans="1:15" ht="12.75" customHeight="1" x14ac:dyDescent="0.25">
      <c r="A12" s="45">
        <v>44109</v>
      </c>
      <c r="B12" s="15">
        <v>920244</v>
      </c>
      <c r="C12" s="15">
        <v>1467813</v>
      </c>
      <c r="D12" s="16">
        <v>0.8</v>
      </c>
      <c r="E12" s="21">
        <v>12459.43</v>
      </c>
      <c r="F12" s="21">
        <v>2470</v>
      </c>
      <c r="G12" s="21">
        <v>21875</v>
      </c>
      <c r="H12" s="15">
        <v>14528</v>
      </c>
      <c r="I12" s="15">
        <v>99204</v>
      </c>
      <c r="J12" s="15">
        <v>42222608</v>
      </c>
      <c r="K12" s="18"/>
      <c r="L12" s="30"/>
      <c r="M12" s="46"/>
    </row>
    <row r="13" spans="1:15" ht="12.75" customHeight="1" x14ac:dyDescent="0.25">
      <c r="A13" s="45">
        <v>44110</v>
      </c>
      <c r="B13" s="15">
        <v>923193</v>
      </c>
      <c r="C13" s="15">
        <v>1473437</v>
      </c>
      <c r="D13" s="16">
        <v>0.75</v>
      </c>
      <c r="E13" s="21">
        <v>12485.12</v>
      </c>
      <c r="F13" s="21">
        <v>2473.65</v>
      </c>
      <c r="G13" s="21">
        <v>21902.17</v>
      </c>
      <c r="H13" s="15">
        <v>14528</v>
      </c>
      <c r="I13" s="17">
        <v>99265</v>
      </c>
      <c r="J13" s="17">
        <v>42252648</v>
      </c>
      <c r="K13" s="18"/>
      <c r="L13" s="30"/>
      <c r="M13" s="46"/>
    </row>
    <row r="14" spans="1:15" ht="12.75" customHeight="1" x14ac:dyDescent="0.25">
      <c r="A14" s="45">
        <v>44111</v>
      </c>
      <c r="B14" s="15">
        <v>926216</v>
      </c>
      <c r="C14" s="15">
        <v>1479307</v>
      </c>
      <c r="D14" s="16">
        <v>0.7</v>
      </c>
      <c r="E14" s="21">
        <v>12503.72</v>
      </c>
      <c r="F14" s="21">
        <v>2478.6</v>
      </c>
      <c r="G14" s="17">
        <v>21927.9</v>
      </c>
      <c r="H14" s="15">
        <v>14528</v>
      </c>
      <c r="I14" s="15">
        <v>99319</v>
      </c>
      <c r="J14" s="15">
        <v>42287972</v>
      </c>
      <c r="K14" s="25"/>
      <c r="L14" s="30"/>
      <c r="M14" s="46"/>
      <c r="O14" s="24"/>
    </row>
    <row r="15" spans="1:15" ht="12.75" customHeight="1" x14ac:dyDescent="0.25">
      <c r="A15" s="45">
        <v>44112</v>
      </c>
      <c r="B15" s="19">
        <v>929122</v>
      </c>
      <c r="C15" s="15">
        <v>1484811</v>
      </c>
      <c r="D15" s="16">
        <v>0.65</v>
      </c>
      <c r="E15" s="21">
        <v>12522.5</v>
      </c>
      <c r="F15" s="21">
        <v>2482.9899999999998</v>
      </c>
      <c r="G15" s="17">
        <v>21954.97</v>
      </c>
      <c r="H15" s="15">
        <v>14528</v>
      </c>
      <c r="I15" s="15">
        <v>99379</v>
      </c>
      <c r="J15" s="15">
        <v>42315984</v>
      </c>
      <c r="K15" s="18"/>
      <c r="L15" s="30"/>
      <c r="M15" s="46"/>
      <c r="O15" s="24"/>
    </row>
    <row r="16" spans="1:15" ht="12.75" customHeight="1" x14ac:dyDescent="0.25">
      <c r="A16" s="45">
        <v>44113</v>
      </c>
      <c r="B16" s="46">
        <v>932238</v>
      </c>
      <c r="C16" s="15">
        <v>1491074</v>
      </c>
      <c r="D16" s="16">
        <v>0.6</v>
      </c>
      <c r="E16" s="21">
        <v>12543.1</v>
      </c>
      <c r="F16" s="21">
        <v>2488.17</v>
      </c>
      <c r="G16" s="17">
        <v>21984.07</v>
      </c>
      <c r="H16" s="15">
        <v>14528</v>
      </c>
      <c r="I16" s="15">
        <v>99452</v>
      </c>
      <c r="J16" s="15">
        <v>42351008</v>
      </c>
      <c r="K16" s="18"/>
      <c r="L16" s="30"/>
      <c r="M16" s="46"/>
    </row>
    <row r="17" spans="1:16" ht="12.75" customHeight="1" x14ac:dyDescent="0.25">
      <c r="A17" s="45">
        <v>44114</v>
      </c>
      <c r="B17" s="17">
        <v>935105</v>
      </c>
      <c r="C17" s="17">
        <v>1497018</v>
      </c>
      <c r="D17" s="26">
        <v>0.54</v>
      </c>
      <c r="E17" s="21">
        <v>12567.95</v>
      </c>
      <c r="F17" s="21">
        <v>2492.2800000000002</v>
      </c>
      <c r="G17" s="17">
        <v>22011.32</v>
      </c>
      <c r="H17" s="15">
        <v>14528</v>
      </c>
      <c r="I17" s="17">
        <v>99525</v>
      </c>
      <c r="J17" s="17">
        <v>42386508</v>
      </c>
      <c r="K17" s="18"/>
      <c r="L17" s="30"/>
      <c r="M17" s="46"/>
    </row>
    <row r="18" spans="1:16" ht="12.75" customHeight="1" x14ac:dyDescent="0.25">
      <c r="A18" s="45">
        <v>44115</v>
      </c>
      <c r="B18" s="15">
        <v>938097</v>
      </c>
      <c r="C18" s="15">
        <v>1502893</v>
      </c>
      <c r="D18" s="16">
        <v>0.44</v>
      </c>
      <c r="E18" s="21">
        <v>12589.38</v>
      </c>
      <c r="F18" s="21">
        <v>2496</v>
      </c>
      <c r="G18" s="17">
        <v>22038.47</v>
      </c>
      <c r="H18" s="15">
        <v>14528</v>
      </c>
      <c r="I18" s="15">
        <v>99580</v>
      </c>
      <c r="J18" s="15">
        <v>42415431</v>
      </c>
      <c r="K18" s="18"/>
      <c r="L18" s="30"/>
      <c r="M18" s="46"/>
      <c r="P18" s="24"/>
    </row>
    <row r="19" spans="1:16" ht="12.75" customHeight="1" x14ac:dyDescent="0.25">
      <c r="A19" s="45">
        <v>44116</v>
      </c>
      <c r="B19" s="57">
        <v>941205</v>
      </c>
      <c r="C19" s="57">
        <v>1508746</v>
      </c>
      <c r="D19" s="16">
        <v>0.39</v>
      </c>
      <c r="E19" s="58">
        <v>12609.27</v>
      </c>
      <c r="F19" s="21">
        <v>2501.02</v>
      </c>
      <c r="G19" s="58">
        <v>22064.28</v>
      </c>
      <c r="H19" s="15">
        <v>14528</v>
      </c>
      <c r="I19" s="57">
        <v>99640</v>
      </c>
      <c r="J19" s="57">
        <v>42442239</v>
      </c>
      <c r="K19" s="18"/>
      <c r="L19" s="30"/>
      <c r="M19" s="46"/>
      <c r="P19" s="24"/>
    </row>
    <row r="20" spans="1:16" ht="12.75" customHeight="1" x14ac:dyDescent="0.25">
      <c r="A20" s="45">
        <v>44117</v>
      </c>
      <c r="B20" s="57">
        <v>944508</v>
      </c>
      <c r="C20" s="57">
        <v>1514854</v>
      </c>
      <c r="D20" s="16">
        <v>0.85</v>
      </c>
      <c r="E20" s="58">
        <v>12632.6</v>
      </c>
      <c r="F20" s="21">
        <v>2505.3000000000002</v>
      </c>
      <c r="G20" s="58">
        <v>22091.16</v>
      </c>
      <c r="H20" s="15">
        <v>14528</v>
      </c>
      <c r="I20" s="57">
        <v>99701</v>
      </c>
      <c r="J20" s="57">
        <v>42469881</v>
      </c>
      <c r="K20" s="18">
        <v>3500</v>
      </c>
      <c r="L20" s="30"/>
      <c r="M20" s="46"/>
    </row>
    <row r="21" spans="1:16" ht="12.75" customHeight="1" x14ac:dyDescent="0.25">
      <c r="A21" s="45">
        <v>44118</v>
      </c>
      <c r="B21" s="57">
        <v>947620</v>
      </c>
      <c r="C21" s="57">
        <v>1520593</v>
      </c>
      <c r="D21" s="16">
        <v>0.8</v>
      </c>
      <c r="E21" s="58">
        <v>12649.09</v>
      </c>
      <c r="F21" s="21">
        <v>2509.86</v>
      </c>
      <c r="G21" s="58">
        <v>22117.1</v>
      </c>
      <c r="H21" s="15">
        <v>14528</v>
      </c>
      <c r="I21" s="57">
        <v>99765</v>
      </c>
      <c r="J21" s="57">
        <v>42493921</v>
      </c>
      <c r="K21" s="18"/>
      <c r="L21" s="30"/>
      <c r="M21" s="46"/>
    </row>
    <row r="22" spans="1:16" ht="12.75" customHeight="1" x14ac:dyDescent="0.25">
      <c r="A22" s="45">
        <v>44119</v>
      </c>
      <c r="B22" s="57">
        <v>950502</v>
      </c>
      <c r="C22" s="57">
        <v>1525769</v>
      </c>
      <c r="D22" s="16">
        <v>0.74</v>
      </c>
      <c r="E22" s="58">
        <v>12667.8</v>
      </c>
      <c r="F22" s="21">
        <v>2514.19</v>
      </c>
      <c r="G22" s="58">
        <v>22140.54</v>
      </c>
      <c r="H22" s="15">
        <v>14528</v>
      </c>
      <c r="I22" s="58">
        <v>99813</v>
      </c>
      <c r="J22" s="57">
        <v>42512560</v>
      </c>
      <c r="K22" s="25"/>
      <c r="L22" s="30"/>
      <c r="M22" s="46"/>
    </row>
    <row r="23" spans="1:16" ht="12.75" customHeight="1" x14ac:dyDescent="0.25">
      <c r="A23" s="45">
        <v>44120</v>
      </c>
      <c r="B23" s="57">
        <v>953686</v>
      </c>
      <c r="C23" s="57">
        <v>1531729</v>
      </c>
      <c r="D23" s="16">
        <v>0.68</v>
      </c>
      <c r="E23" s="58">
        <v>12689.89</v>
      </c>
      <c r="F23" s="21">
        <v>2520.92</v>
      </c>
      <c r="G23" s="58">
        <v>22167.45</v>
      </c>
      <c r="H23" s="15">
        <v>14528</v>
      </c>
      <c r="I23" s="57">
        <v>99873</v>
      </c>
      <c r="J23" s="57">
        <v>42532672</v>
      </c>
      <c r="K23" s="25"/>
      <c r="L23" s="30"/>
      <c r="M23" s="46"/>
    </row>
    <row r="24" spans="1:16" ht="12.75" customHeight="1" x14ac:dyDescent="0.25">
      <c r="A24" s="45">
        <v>44121</v>
      </c>
      <c r="B24" s="57">
        <v>956857</v>
      </c>
      <c r="C24" s="57">
        <v>1537837</v>
      </c>
      <c r="D24" s="16">
        <v>0.62</v>
      </c>
      <c r="E24" s="58">
        <v>12713.76</v>
      </c>
      <c r="F24" s="21">
        <v>2523.34</v>
      </c>
      <c r="G24" s="58">
        <v>22198.5</v>
      </c>
      <c r="H24" s="15">
        <v>14528</v>
      </c>
      <c r="I24" s="57">
        <v>99940</v>
      </c>
      <c r="J24" s="57">
        <v>42553767</v>
      </c>
      <c r="K24" s="18"/>
      <c r="L24" s="31"/>
      <c r="M24" s="46"/>
    </row>
    <row r="25" spans="1:16" ht="12.75" customHeight="1" x14ac:dyDescent="0.25">
      <c r="A25" s="45">
        <v>44122</v>
      </c>
      <c r="B25" s="58">
        <v>959773</v>
      </c>
      <c r="C25" s="58">
        <v>1543525</v>
      </c>
      <c r="D25" s="26">
        <v>0.55000000000000004</v>
      </c>
      <c r="E25" s="58">
        <v>12737.42</v>
      </c>
      <c r="F25" s="21">
        <v>2527.4699999999998</v>
      </c>
      <c r="G25" s="58">
        <v>22226.47</v>
      </c>
      <c r="H25" s="15">
        <v>14528</v>
      </c>
      <c r="I25" s="57">
        <v>100018</v>
      </c>
      <c r="J25" s="57">
        <v>42575584</v>
      </c>
      <c r="K25" s="25"/>
      <c r="L25" s="31"/>
      <c r="M25" s="46"/>
    </row>
    <row r="26" spans="1:16" ht="12.75" customHeight="1" x14ac:dyDescent="0.25">
      <c r="A26" s="45">
        <v>44123</v>
      </c>
      <c r="B26" s="58">
        <v>962833</v>
      </c>
      <c r="C26" s="58">
        <v>1549095</v>
      </c>
      <c r="D26" s="26">
        <v>0.78</v>
      </c>
      <c r="E26" s="58">
        <v>12753.12</v>
      </c>
      <c r="F26" s="21">
        <v>2531.89</v>
      </c>
      <c r="G26" s="58">
        <v>22253.53</v>
      </c>
      <c r="H26" s="15">
        <v>14528</v>
      </c>
      <c r="I26" s="57">
        <v>100081</v>
      </c>
      <c r="J26" s="57">
        <v>42593473</v>
      </c>
      <c r="K26" s="25"/>
      <c r="L26" s="31"/>
      <c r="M26" s="46"/>
    </row>
    <row r="27" spans="1:16" ht="12.75" customHeight="1" x14ac:dyDescent="0.25">
      <c r="A27" s="45">
        <v>44124</v>
      </c>
      <c r="B27" s="57">
        <v>966071</v>
      </c>
      <c r="C27" s="57">
        <v>1554995</v>
      </c>
      <c r="D27" s="16">
        <v>0.42</v>
      </c>
      <c r="E27" s="58">
        <v>12770.73</v>
      </c>
      <c r="F27" s="21">
        <v>2536.98</v>
      </c>
      <c r="G27" s="58">
        <v>22279.5</v>
      </c>
      <c r="H27" s="15">
        <v>14528</v>
      </c>
      <c r="I27" s="57">
        <v>100160</v>
      </c>
      <c r="J27" s="57">
        <v>42612970</v>
      </c>
      <c r="K27" s="18"/>
      <c r="L27" s="30"/>
      <c r="M27" s="46"/>
    </row>
    <row r="28" spans="1:16" ht="12.75" customHeight="1" x14ac:dyDescent="0.25">
      <c r="A28" s="45">
        <v>44125</v>
      </c>
      <c r="B28" s="59">
        <v>969344</v>
      </c>
      <c r="C28" s="57">
        <v>1560692</v>
      </c>
      <c r="D28" s="16">
        <v>0.37</v>
      </c>
      <c r="E28" s="58">
        <v>12790.22</v>
      </c>
      <c r="F28" s="21">
        <v>2541.21</v>
      </c>
      <c r="G28" s="58">
        <v>22307.1</v>
      </c>
      <c r="H28" s="15">
        <v>14528</v>
      </c>
      <c r="I28" s="57">
        <v>100209</v>
      </c>
      <c r="J28" s="57">
        <v>42632860</v>
      </c>
      <c r="K28" s="18"/>
      <c r="L28" s="30"/>
      <c r="M28" s="46"/>
    </row>
    <row r="29" spans="1:16" ht="12.75" customHeight="1" x14ac:dyDescent="0.25">
      <c r="A29" s="45">
        <v>44126</v>
      </c>
      <c r="B29" s="57">
        <v>972648</v>
      </c>
      <c r="C29" s="57">
        <v>1566566</v>
      </c>
      <c r="D29" s="16">
        <v>0.3</v>
      </c>
      <c r="E29" s="58">
        <v>12811.6</v>
      </c>
      <c r="F29" s="21">
        <v>2545.3200000000002</v>
      </c>
      <c r="G29" s="58">
        <v>22333.279999999999</v>
      </c>
      <c r="H29" s="15">
        <v>14528</v>
      </c>
      <c r="I29" s="57">
        <v>100265</v>
      </c>
      <c r="J29" s="57">
        <v>42653088</v>
      </c>
      <c r="K29" s="18"/>
      <c r="L29" s="30"/>
      <c r="M29" s="46"/>
      <c r="P29" s="6"/>
    </row>
    <row r="30" spans="1:16" ht="12.75" customHeight="1" x14ac:dyDescent="0.25">
      <c r="A30" s="45">
        <v>44127</v>
      </c>
      <c r="B30" s="57"/>
      <c r="C30" s="57"/>
      <c r="D30" s="16"/>
      <c r="E30" s="58"/>
      <c r="F30" s="21"/>
      <c r="G30" s="58"/>
      <c r="H30" s="15"/>
      <c r="I30" s="57"/>
      <c r="J30" s="57"/>
      <c r="K30" s="18"/>
      <c r="L30" s="30"/>
      <c r="M30" s="46"/>
      <c r="P30" s="6"/>
    </row>
    <row r="31" spans="1:16" ht="12.75" customHeight="1" x14ac:dyDescent="0.25">
      <c r="A31" s="45">
        <v>44128</v>
      </c>
      <c r="B31" s="57"/>
      <c r="C31" s="57"/>
      <c r="D31" s="16"/>
      <c r="E31" s="58"/>
      <c r="F31" s="21"/>
      <c r="G31" s="58"/>
      <c r="H31" s="15"/>
      <c r="I31" s="57"/>
      <c r="J31" s="57"/>
      <c r="K31" s="18"/>
      <c r="L31" s="32"/>
      <c r="M31" s="46"/>
      <c r="P31" s="6"/>
    </row>
    <row r="32" spans="1:16" ht="12.75" customHeight="1" x14ac:dyDescent="0.25">
      <c r="A32" s="45">
        <v>44129</v>
      </c>
      <c r="B32" s="57"/>
      <c r="C32" s="57"/>
      <c r="D32" s="16"/>
      <c r="E32" s="58"/>
      <c r="F32" s="21"/>
      <c r="G32" s="58"/>
      <c r="H32" s="15"/>
      <c r="I32" s="57"/>
      <c r="J32" s="57"/>
      <c r="K32" s="18"/>
      <c r="L32" s="32"/>
      <c r="M32" s="46"/>
      <c r="P32" s="6"/>
    </row>
    <row r="33" spans="1:16" ht="12.75" customHeight="1" x14ac:dyDescent="0.25">
      <c r="A33" s="45">
        <v>44130</v>
      </c>
      <c r="B33" s="57"/>
      <c r="C33" s="57"/>
      <c r="D33" s="16"/>
      <c r="E33" s="58"/>
      <c r="F33" s="21"/>
      <c r="G33" s="58"/>
      <c r="H33" s="15"/>
      <c r="I33" s="57"/>
      <c r="J33" s="57"/>
      <c r="K33" s="18"/>
      <c r="L33" s="30"/>
      <c r="M33" s="46"/>
      <c r="P33" s="6"/>
    </row>
    <row r="34" spans="1:16" ht="12.75" customHeight="1" x14ac:dyDescent="0.25">
      <c r="A34" s="45">
        <v>44131</v>
      </c>
      <c r="B34" s="58"/>
      <c r="C34" s="60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v>44132</v>
      </c>
      <c r="B35" s="15"/>
      <c r="C35" s="62"/>
      <c r="D35" s="16"/>
      <c r="E35" s="17"/>
      <c r="F35" s="17"/>
      <c r="G35" s="17"/>
      <c r="H35" s="15"/>
      <c r="I35" s="15"/>
      <c r="J35" s="15"/>
      <c r="K35" s="18"/>
      <c r="L35" s="30"/>
      <c r="M35" s="46"/>
    </row>
    <row r="36" spans="1:16" ht="12.75" customHeight="1" x14ac:dyDescent="0.25">
      <c r="A36" s="45">
        <v>44133</v>
      </c>
      <c r="B36" s="15"/>
      <c r="C36" s="62"/>
      <c r="D36" s="16"/>
      <c r="E36" s="17"/>
      <c r="F36" s="17"/>
      <c r="G36" s="17"/>
      <c r="H36" s="15"/>
      <c r="I36" s="15"/>
      <c r="J36" s="15"/>
      <c r="K36" s="18"/>
      <c r="L36" s="30"/>
      <c r="M36" s="46"/>
    </row>
    <row r="37" spans="1:16" s="22" customFormat="1" ht="12.75" customHeight="1" x14ac:dyDescent="0.25">
      <c r="A37" s="45">
        <v>44134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63">
        <v>44135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25"/>
      <c r="M38" s="46"/>
    </row>
    <row r="39" spans="1:16" x14ac:dyDescent="0.25">
      <c r="A39" s="47" t="s">
        <v>35</v>
      </c>
      <c r="B39" s="33">
        <f>B38-B7</f>
        <v>-905004</v>
      </c>
      <c r="C39" s="33">
        <f>C38-C7</f>
        <v>-1440560</v>
      </c>
      <c r="D39" s="33"/>
      <c r="E39" s="33">
        <f t="shared" ref="E39:J39" si="0">E38-E7</f>
        <v>-12353</v>
      </c>
      <c r="F39" s="33">
        <f t="shared" si="0"/>
        <v>-2447</v>
      </c>
      <c r="G39" s="33">
        <f t="shared" si="0"/>
        <v>-21739</v>
      </c>
      <c r="H39" s="33">
        <f t="shared" si="0"/>
        <v>-14528</v>
      </c>
      <c r="I39" s="33">
        <f t="shared" si="0"/>
        <v>-98896</v>
      </c>
      <c r="J39" s="33">
        <f t="shared" si="0"/>
        <v>-42086859</v>
      </c>
      <c r="K39" s="33">
        <f>SUM(K7:K38)</f>
        <v>8100</v>
      </c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-3195709.6319999998</v>
      </c>
      <c r="I40" s="33">
        <f>I39*219.969</f>
        <v>-21754054.223999999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10 - 2020</vt:lpstr>
      <vt:lpstr>'10 - 2020'!Print_Area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2020-10-22T05:04:38Z</dcterms:modified>
</cp:coreProperties>
</file>