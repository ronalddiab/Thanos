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K18" i="3" l="1"/>
  <c r="I18" i="3"/>
  <c r="G18" i="3"/>
  <c r="E18" i="3"/>
  <c r="J18" i="2"/>
  <c r="I18" i="2"/>
  <c r="H18" i="2"/>
  <c r="F18" i="2"/>
  <c r="E1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<sst xmlns="http://schemas.openxmlformats.org/spreadsheetml/2006/main" count="106" uniqueCount="39">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</sst>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R17" sqref="R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v>0</v>
      </c>
      <c r="F10" s="13">
        <v>0.11799999999999999</v>
      </c>
      <c r="G10" s="15">
        <v>0</v>
      </c>
      <c r="H10" s="13">
        <v>0.99</v>
      </c>
      <c r="I10" s="15">
        <v>0</v>
      </c>
      <c r="J10" s="13">
        <v>8.1000000000000003E-2</v>
      </c>
      <c r="K10" s="21">
        <v>0</v>
      </c>
      <c r="L10" s="15"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0</v>
      </c>
      <c r="F11" s="13">
        <v>0.11799999999999999</v>
      </c>
      <c r="G11" s="15">
        <f>'11 - 2022'!D17-'11 - 2022'!D16+'11 - 2022'!E17-'11 - 2022'!E16</f>
        <v>0</v>
      </c>
      <c r="H11" s="13">
        <v>0.99</v>
      </c>
      <c r="I11" s="15">
        <f>'11 - 2022'!J17-'11 - 2022'!J16</f>
        <v>0</v>
      </c>
      <c r="J11" s="13">
        <v>8.1000000000000003E-2</v>
      </c>
      <c r="K11" s="21">
        <f>'11 - 2022'!H17-'11 - 2022'!H16</f>
        <v>0</v>
      </c>
      <c r="L11" s="15">
        <f>'11 - 2022'!I17-'11 - 2022'!I16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J10" sqref="J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v>0</v>
      </c>
      <c r="F10" s="15">
        <v>0</v>
      </c>
      <c r="G10" s="13">
        <v>0.11799999999999999</v>
      </c>
      <c r="H10" s="15">
        <v>0</v>
      </c>
      <c r="I10" s="15">
        <v>0</v>
      </c>
      <c r="J10" s="15"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0</v>
      </c>
      <c r="F11" s="15">
        <f>'11 - 2022'!C17-'11 - 2022'!C16</f>
        <v>0</v>
      </c>
      <c r="G11" s="13">
        <v>0.11799999999999999</v>
      </c>
      <c r="H11" s="15">
        <f>'11 - 2022'!E17-'11 - 2022'!E16</f>
        <v>0</v>
      </c>
      <c r="I11" s="15">
        <f>'11 - 2022'!F17-'11 - 2022'!F16</f>
        <v>0</v>
      </c>
      <c r="J11" s="15">
        <f>'11 - 2022'!G17-'11 - 2022'!G16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B15" sqref="B15:J15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9"/>
      <c r="L3" s="49"/>
    </row>
    <row r="4" spans="1:17" ht="16.5" thickBot="1" x14ac:dyDescent="0.3">
      <c r="A4" s="94" t="s">
        <v>38</v>
      </c>
      <c r="B4" s="94"/>
      <c r="C4" s="94"/>
      <c r="D4" s="94"/>
      <c r="E4" s="94"/>
      <c r="F4" s="94"/>
      <c r="G4" s="94"/>
      <c r="H4" s="94"/>
      <c r="I4" s="94"/>
      <c r="J4" s="94"/>
      <c r="K4" s="49"/>
      <c r="L4" s="49"/>
    </row>
    <row r="5" spans="1:17" ht="16.5" thickBot="1" x14ac:dyDescent="0.3">
      <c r="A5" s="50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2" t="s">
        <v>31</v>
      </c>
      <c r="L6" s="73" t="s">
        <v>32</v>
      </c>
    </row>
    <row r="7" spans="1:17" s="27" customFormat="1" ht="12.95" customHeight="1" thickBot="1" x14ac:dyDescent="0.3">
      <c r="A7" s="74">
        <v>44865</v>
      </c>
      <c r="B7" s="75">
        <v>733438</v>
      </c>
      <c r="C7" s="76">
        <v>805563</v>
      </c>
      <c r="D7" s="77">
        <v>0.42</v>
      </c>
      <c r="E7" s="78">
        <v>5686.06</v>
      </c>
      <c r="F7" s="79">
        <v>3685.88</v>
      </c>
      <c r="G7" s="79">
        <v>47050.26</v>
      </c>
      <c r="H7" s="75">
        <v>14528</v>
      </c>
      <c r="I7" s="75">
        <v>176040</v>
      </c>
      <c r="J7" s="75">
        <v>61124038</v>
      </c>
      <c r="K7" s="80"/>
      <c r="L7" s="81"/>
      <c r="M7" s="26"/>
    </row>
    <row r="8" spans="1:17" s="29" customFormat="1" ht="12.95" customHeight="1" thickTop="1" x14ac:dyDescent="0.25">
      <c r="A8" s="86">
        <f>A7+1</f>
        <v>44866</v>
      </c>
      <c r="B8" s="87">
        <v>737533</v>
      </c>
      <c r="C8" s="87">
        <v>811658</v>
      </c>
      <c r="D8" s="88">
        <v>0.38</v>
      </c>
      <c r="E8" s="89">
        <v>5708.86</v>
      </c>
      <c r="F8" s="90">
        <v>3696.64</v>
      </c>
      <c r="G8" s="87">
        <v>47079.95</v>
      </c>
      <c r="H8" s="87">
        <v>14528</v>
      </c>
      <c r="I8" s="87">
        <v>176162</v>
      </c>
      <c r="J8" s="87">
        <v>61153249</v>
      </c>
      <c r="K8" s="91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59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59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92">
        <v>61207393</v>
      </c>
      <c r="K10" s="56"/>
      <c r="L10" s="60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60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61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60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59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2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59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60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3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60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43"/>
      <c r="C16" s="43"/>
      <c r="D16" s="42"/>
      <c r="E16" s="41"/>
      <c r="F16" s="63"/>
      <c r="G16" s="41"/>
      <c r="H16" s="43"/>
      <c r="I16" s="43"/>
      <c r="J16" s="43"/>
      <c r="K16" s="56"/>
      <c r="L16" s="60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/>
      <c r="C17" s="41"/>
      <c r="D17" s="42"/>
      <c r="E17" s="41"/>
      <c r="F17" s="63"/>
      <c r="G17" s="41"/>
      <c r="H17" s="43"/>
      <c r="I17" s="41"/>
      <c r="J17" s="41"/>
      <c r="K17" s="56"/>
      <c r="L17" s="60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/>
      <c r="C18" s="43"/>
      <c r="D18" s="42"/>
      <c r="E18" s="41"/>
      <c r="F18" s="41"/>
      <c r="G18" s="41"/>
      <c r="H18" s="43"/>
      <c r="I18" s="43"/>
      <c r="J18" s="43"/>
      <c r="K18" s="56"/>
      <c r="L18" s="60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/>
      <c r="C19" s="43"/>
      <c r="D19" s="42"/>
      <c r="E19" s="41"/>
      <c r="F19" s="41"/>
      <c r="G19" s="41"/>
      <c r="H19" s="43"/>
      <c r="I19" s="43"/>
      <c r="J19" s="43"/>
      <c r="K19" s="56"/>
      <c r="L19" s="60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/>
      <c r="C20" s="46"/>
      <c r="D20" s="42"/>
      <c r="E20" s="43"/>
      <c r="F20" s="43"/>
      <c r="G20" s="47"/>
      <c r="H20" s="43"/>
      <c r="I20" s="46"/>
      <c r="J20" s="46"/>
      <c r="K20" s="56"/>
      <c r="L20" s="64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/>
      <c r="C21" s="46"/>
      <c r="D21" s="42"/>
      <c r="E21" s="47"/>
      <c r="F21" s="41"/>
      <c r="G21" s="47"/>
      <c r="H21" s="43"/>
      <c r="I21" s="46"/>
      <c r="J21" s="46"/>
      <c r="K21" s="56"/>
      <c r="L21" s="64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4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4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5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6"/>
      <c r="L25" s="65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5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7"/>
      <c r="L27" s="64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4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4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4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4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4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4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8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4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9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4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70"/>
      <c r="F39" s="70"/>
      <c r="G39" s="70"/>
      <c r="H39" s="37">
        <f>H38*219.969</f>
        <v>-3195709.6319999998</v>
      </c>
      <c r="I39" s="36">
        <f>I38*219.969</f>
        <v>-38723342.759999998</v>
      </c>
      <c r="J39" s="70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71" t="s">
        <v>37</v>
      </c>
      <c r="I40" s="49"/>
      <c r="J40" s="49"/>
      <c r="K40" s="49"/>
      <c r="L40" s="49"/>
    </row>
    <row r="41" spans="1:16" x14ac:dyDescent="0.25">
      <c r="A41" s="82"/>
      <c r="B41" s="83">
        <f>B32-B10</f>
        <v>-745537</v>
      </c>
      <c r="C41" s="83">
        <f>C32-C10</f>
        <v>-823516</v>
      </c>
      <c r="D41" s="82"/>
      <c r="E41" s="83" t="e">
        <f>E32-#REF!</f>
        <v>#REF!</v>
      </c>
      <c r="F41" s="83">
        <f>F32-F10</f>
        <v>-3716.3</v>
      </c>
      <c r="G41" s="83">
        <f>G32-G10</f>
        <v>-47143.8</v>
      </c>
      <c r="H41" s="83">
        <f>H32-H10</f>
        <v>-14528</v>
      </c>
      <c r="I41" s="83">
        <f t="shared" ref="I41:J41" si="2">I32-I10</f>
        <v>-176410</v>
      </c>
      <c r="J41" s="83">
        <f t="shared" si="2"/>
        <v>-61207393</v>
      </c>
      <c r="K41" s="82"/>
      <c r="L41" s="82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70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4">
        <f>SUM(J42-J41)/J41</f>
        <v>-1.0125574863154194</v>
      </c>
      <c r="K44" s="49"/>
      <c r="L44" s="49"/>
    </row>
    <row r="45" spans="1:16" x14ac:dyDescent="0.25">
      <c r="A45" s="49"/>
      <c r="B45" s="49"/>
      <c r="C45" s="85">
        <f>SUM(C44-C43)/C43</f>
        <v>-1.1138661345410257</v>
      </c>
      <c r="D45" s="49"/>
      <c r="E45" s="49"/>
      <c r="F45" s="49"/>
      <c r="G45" s="49"/>
      <c r="H45" s="49"/>
      <c r="I45" s="84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2022-11-08T06:28:33Z</dcterms:modified>
</cp:coreProperties>
</file>