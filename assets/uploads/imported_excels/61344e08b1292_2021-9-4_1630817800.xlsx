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7"/>
  <workbookPr filterPrivacy="1" defaultThemeVersion="124226"/>
  <xr:revisionPtr revIDLastSave="0" documentId="13_ncr:1_{32A01881-4EC4-4D48-AE4B-477B4F6A9BD5}" xr6:coauthVersionLast="36" xr6:coauthVersionMax="36" xr10:uidLastSave="{00000000-0000-0000-0000-000000000000}"/>
  <bookViews>
    <workbookView xWindow="0" yWindow="0" windowWidth="1944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U23" i="2"/>
  <c r="T23" i="2"/>
  <c r="S23" i="2"/>
  <c r="R23" i="2"/>
  <c r="Q23" i="2"/>
  <c r="P23" i="2"/>
  <c r="O23" i="2"/>
  <c r="N23" i="2"/>
  <c r="M23" i="2"/>
  <c r="K23" i="2"/>
  <c r="J23" i="2"/>
  <c r="I23" i="2"/>
  <c r="G22" i="4" s="1"/>
  <c r="H23" i="2"/>
  <c r="G23" i="2"/>
  <c r="F23" i="2"/>
  <c r="E23" i="2"/>
  <c r="D23" i="2"/>
  <c r="C23" i="2"/>
  <c r="C17" i="8"/>
  <c r="J12" i="2"/>
  <c r="S8" i="8"/>
  <c r="S9" i="8"/>
  <c r="J8" i="2"/>
  <c r="G7" i="4" s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7" i="4" s="1"/>
  <c r="C9" i="2"/>
  <c r="C8" i="4" s="1"/>
  <c r="U8" i="2"/>
  <c r="K7" i="4" s="1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K9" i="2"/>
  <c r="K9" i="8"/>
  <c r="B29" i="2"/>
  <c r="B30" i="2"/>
  <c r="C29" i="3" s="1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B8" i="2"/>
  <c r="O17" i="8"/>
  <c r="C17" i="2"/>
  <c r="C18" i="2"/>
  <c r="C19" i="2"/>
  <c r="G17" i="8"/>
  <c r="H17" i="8" s="1"/>
  <c r="B8" i="8"/>
  <c r="B10" i="8"/>
  <c r="S27" i="2"/>
  <c r="B20" i="4"/>
  <c r="B3" i="4"/>
  <c r="H21" i="2"/>
  <c r="C21" i="2"/>
  <c r="C20" i="4" s="1"/>
  <c r="C22" i="2"/>
  <c r="C24" i="2"/>
  <c r="B5" i="8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5" i="8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C34" i="2"/>
  <c r="K34" i="2"/>
  <c r="H33" i="4" s="1"/>
  <c r="M34" i="2"/>
  <c r="N34" i="2"/>
  <c r="O34" i="2"/>
  <c r="P34" i="2"/>
  <c r="Q34" i="2"/>
  <c r="R34" i="2"/>
  <c r="S34" i="2"/>
  <c r="T34" i="2"/>
  <c r="J33" i="4" s="1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0" i="2"/>
  <c r="B11" i="2"/>
  <c r="C10" i="3" s="1"/>
  <c r="B12" i="2"/>
  <c r="C11" i="3" s="1"/>
  <c r="B13" i="2"/>
  <c r="B14" i="2"/>
  <c r="B15" i="2"/>
  <c r="B16" i="2"/>
  <c r="B17" i="2"/>
  <c r="B18" i="2"/>
  <c r="B19" i="2"/>
  <c r="C18" i="3" s="1"/>
  <c r="B20" i="2"/>
  <c r="C19" i="3" s="1"/>
  <c r="B21" i="2"/>
  <c r="B22" i="2"/>
  <c r="B23" i="2"/>
  <c r="B24" i="2"/>
  <c r="B25" i="2"/>
  <c r="B26" i="2"/>
  <c r="B27" i="2"/>
  <c r="C26" i="3" s="1"/>
  <c r="B28" i="2"/>
  <c r="C27" i="3" s="1"/>
  <c r="B31" i="2"/>
  <c r="B32" i="2"/>
  <c r="B33" i="2"/>
  <c r="B34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7" i="4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2" i="4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E7" i="3" s="1"/>
  <c r="B8" i="3"/>
  <c r="L8" i="3" s="1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D22" i="3" s="1"/>
  <c r="B23" i="3"/>
  <c r="D23" i="3" s="1"/>
  <c r="B24" i="3"/>
  <c r="B25" i="3"/>
  <c r="B26" i="3"/>
  <c r="B27" i="3"/>
  <c r="B28" i="3"/>
  <c r="C28" i="3" s="1"/>
  <c r="B29" i="3"/>
  <c r="B30" i="3"/>
  <c r="B31" i="3"/>
  <c r="B32" i="3"/>
  <c r="B33" i="3"/>
  <c r="B3" i="3"/>
  <c r="D3" i="4"/>
  <c r="I34" i="2"/>
  <c r="H34" i="2"/>
  <c r="G34" i="2"/>
  <c r="F34" i="2"/>
  <c r="E34" i="2"/>
  <c r="C33" i="2"/>
  <c r="C32" i="4" s="1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J33" i="8" s="1"/>
  <c r="C34" i="8"/>
  <c r="A34" i="8"/>
  <c r="C33" i="4"/>
  <c r="A33" i="4"/>
  <c r="A33" i="3"/>
  <c r="A34" i="2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P30" i="8" s="1"/>
  <c r="M30" i="8"/>
  <c r="N30" i="8" s="1"/>
  <c r="I30" i="8"/>
  <c r="E30" i="8"/>
  <c r="F30" i="8" s="1"/>
  <c r="C30" i="8"/>
  <c r="A30" i="8"/>
  <c r="W29" i="8"/>
  <c r="U29" i="8"/>
  <c r="S29" i="8"/>
  <c r="Q29" i="8"/>
  <c r="R29" i="8" s="1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P28" i="8" s="1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X22" i="8" s="1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H18" i="8" s="1"/>
  <c r="A18" i="8"/>
  <c r="W17" i="8"/>
  <c r="U17" i="8"/>
  <c r="S17" i="8"/>
  <c r="Q17" i="8"/>
  <c r="M17" i="8"/>
  <c r="N17" i="8" s="1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L14" i="8" s="1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H4" i="8" s="1"/>
  <c r="O4" i="8"/>
  <c r="M4" i="8"/>
  <c r="I4" i="8"/>
  <c r="E4" i="8"/>
  <c r="C4" i="8"/>
  <c r="V4" i="8" s="1"/>
  <c r="A4" i="8"/>
  <c r="D4" i="8"/>
  <c r="F13" i="8"/>
  <c r="L18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D3" i="3" s="1"/>
  <c r="T20" i="2"/>
  <c r="J7" i="2"/>
  <c r="U7" i="2"/>
  <c r="K6" i="4" s="1"/>
  <c r="N17" i="2"/>
  <c r="H15" i="2"/>
  <c r="I12" i="2"/>
  <c r="G11" i="2"/>
  <c r="F11" i="2"/>
  <c r="C11" i="2"/>
  <c r="C10" i="4" s="1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G17" i="4" s="1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7" i="2"/>
  <c r="C12" i="2"/>
  <c r="C13" i="2"/>
  <c r="C14" i="2"/>
  <c r="C13" i="4" s="1"/>
  <c r="C15" i="2"/>
  <c r="C14" i="4" s="1"/>
  <c r="C16" i="2"/>
  <c r="D15" i="3" s="1"/>
  <c r="C17" i="4"/>
  <c r="C20" i="2"/>
  <c r="C25" i="2"/>
  <c r="C26" i="2"/>
  <c r="C27" i="2"/>
  <c r="C26" i="4" s="1"/>
  <c r="C28" i="2"/>
  <c r="C27" i="4" s="1"/>
  <c r="C29" i="2"/>
  <c r="C30" i="2"/>
  <c r="D29" i="3" s="1"/>
  <c r="C31" i="2"/>
  <c r="C30" i="4" s="1"/>
  <c r="C32" i="2"/>
  <c r="C31" i="4" s="1"/>
  <c r="U6" i="2"/>
  <c r="K5" i="4" s="1"/>
  <c r="U11" i="2"/>
  <c r="L10" i="3" s="1"/>
  <c r="K10" i="4"/>
  <c r="U12" i="2"/>
  <c r="K11" i="4" s="1"/>
  <c r="U13" i="2"/>
  <c r="K12" i="4" s="1"/>
  <c r="U14" i="2"/>
  <c r="K13" i="4" s="1"/>
  <c r="U15" i="2"/>
  <c r="K14" i="4" s="1"/>
  <c r="U16" i="2"/>
  <c r="U17" i="2"/>
  <c r="U18" i="2"/>
  <c r="U19" i="2"/>
  <c r="L18" i="3" s="1"/>
  <c r="U20" i="2"/>
  <c r="L19" i="3" s="1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F12" i="4" s="1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F4" i="3" s="1"/>
  <c r="E6" i="2"/>
  <c r="E5" i="4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5" i="4" s="1"/>
  <c r="E17" i="2"/>
  <c r="E16" i="4" s="1"/>
  <c r="E18" i="2"/>
  <c r="E19" i="2"/>
  <c r="F18" i="3" s="1"/>
  <c r="E20" i="2"/>
  <c r="E19" i="4" s="1"/>
  <c r="E21" i="2"/>
  <c r="E20" i="4" s="1"/>
  <c r="E22" i="2"/>
  <c r="E21" i="4" s="1"/>
  <c r="E24" i="2"/>
  <c r="E25" i="2"/>
  <c r="E26" i="2"/>
  <c r="E27" i="2"/>
  <c r="F26" i="3" s="1"/>
  <c r="E28" i="2"/>
  <c r="E27" i="4" s="1"/>
  <c r="E29" i="2"/>
  <c r="E28" i="4" s="1"/>
  <c r="E30" i="2"/>
  <c r="E31" i="2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I18" i="3" s="1"/>
  <c r="K20" i="2"/>
  <c r="K21" i="2"/>
  <c r="H20" i="4" s="1"/>
  <c r="K22" i="2"/>
  <c r="K24" i="2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J14" i="4" s="1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J21" i="4" s="1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11" i="4"/>
  <c r="C12" i="4"/>
  <c r="C23" i="4"/>
  <c r="C25" i="4"/>
  <c r="D11" i="3"/>
  <c r="D7" i="3"/>
  <c r="E22" i="4"/>
  <c r="E19" i="3"/>
  <c r="D26" i="3"/>
  <c r="H7" i="4"/>
  <c r="C5" i="4"/>
  <c r="E3" i="3"/>
  <c r="C6" i="4"/>
  <c r="E28" i="3"/>
  <c r="K22" i="4"/>
  <c r="H10" i="3"/>
  <c r="J7" i="4"/>
  <c r="K16" i="4"/>
  <c r="E17" i="4"/>
  <c r="C24" i="4"/>
  <c r="C16" i="4"/>
  <c r="C19" i="4"/>
  <c r="E8" i="4"/>
  <c r="C22" i="4"/>
  <c r="K8" i="4"/>
  <c r="E30" i="4"/>
  <c r="H23" i="4"/>
  <c r="J22" i="4"/>
  <c r="E18" i="3"/>
  <c r="D16" i="3"/>
  <c r="E11" i="4"/>
  <c r="E10" i="3"/>
  <c r="G8" i="4"/>
  <c r="P8" i="8" l="1"/>
  <c r="R8" i="8"/>
  <c r="X8" i="8"/>
  <c r="I5" i="3"/>
  <c r="G4" i="4"/>
  <c r="N9" i="8"/>
  <c r="D18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D7" i="8"/>
  <c r="L3" i="3"/>
  <c r="I21" i="4"/>
  <c r="D28" i="8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D20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D6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D33" i="8"/>
  <c r="E8" i="3"/>
  <c r="F8" i="4"/>
  <c r="J23" i="3"/>
  <c r="I31" i="4"/>
  <c r="L32" i="8"/>
  <c r="R28" i="8"/>
  <c r="H28" i="8"/>
  <c r="E29" i="3"/>
  <c r="K18" i="4"/>
  <c r="J10" i="3"/>
  <c r="H7" i="8"/>
  <c r="D32" i="8"/>
  <c r="R6" i="8"/>
  <c r="R19" i="8"/>
  <c r="T20" i="8"/>
  <c r="T28" i="8"/>
  <c r="C23" i="3"/>
  <c r="C15" i="3"/>
  <c r="V7" i="2"/>
  <c r="M6" i="3" s="1"/>
  <c r="H25" i="8"/>
  <c r="H8" i="8"/>
  <c r="D30" i="8"/>
  <c r="D22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D13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V30" i="2"/>
  <c r="M29" i="3" s="1"/>
  <c r="E29" i="4"/>
  <c r="F29" i="3"/>
  <c r="D28" i="3"/>
  <c r="C28" i="4"/>
  <c r="J4" i="8"/>
  <c r="Y4" i="8"/>
  <c r="Z4" i="8" s="1"/>
  <c r="P7" i="8"/>
  <c r="Y7" i="8"/>
  <c r="Z7" i="8" s="1"/>
  <c r="J8" i="8"/>
  <c r="Y8" i="8"/>
  <c r="Z8" i="8" s="1"/>
  <c r="Y9" i="8"/>
  <c r="Z9" i="8" s="1"/>
  <c r="F9" i="8"/>
  <c r="P10" i="8"/>
  <c r="D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D31" i="8"/>
  <c r="H31" i="8"/>
  <c r="X31" i="8"/>
  <c r="V32" i="8"/>
  <c r="Y32" i="8"/>
  <c r="Z32" i="8" s="1"/>
  <c r="H34" i="8"/>
  <c r="D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V24" i="2"/>
  <c r="M23" i="3" s="1"/>
  <c r="C21" i="4"/>
  <c r="D21" i="3"/>
  <c r="K4" i="3"/>
  <c r="J4" i="4"/>
  <c r="G25" i="3"/>
  <c r="J28" i="3"/>
  <c r="I19" i="4"/>
  <c r="V10" i="2"/>
  <c r="M9" i="3" s="1"/>
  <c r="H9" i="4"/>
  <c r="K9" i="3"/>
  <c r="J9" i="4"/>
  <c r="K4" i="4"/>
  <c r="L4" i="3"/>
  <c r="Y6" i="8"/>
  <c r="Z6" i="8" s="1"/>
  <c r="Y5" i="8"/>
  <c r="Z5" i="8" s="1"/>
  <c r="T34" i="8"/>
  <c r="I33" i="3"/>
  <c r="J8" i="4"/>
  <c r="K8" i="3"/>
  <c r="K32" i="3"/>
  <c r="D33" i="3"/>
  <c r="E33" i="3"/>
  <c r="C33" i="3"/>
  <c r="V34" i="2"/>
  <c r="M33" i="3" s="1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D5" i="8"/>
  <c r="F33" i="4"/>
  <c r="V33" i="2"/>
  <c r="M32" i="3" s="1"/>
  <c r="L17" i="3"/>
  <c r="H5" i="8"/>
  <c r="E16" i="3"/>
  <c r="F9" i="4"/>
  <c r="K28" i="3"/>
  <c r="L32" i="3"/>
  <c r="H28" i="3"/>
  <c r="G3" i="3"/>
  <c r="E24" i="3"/>
  <c r="K17" i="4"/>
  <c r="V31" i="2"/>
  <c r="M30" i="3" s="1"/>
  <c r="C24" i="3"/>
  <c r="V11" i="2"/>
  <c r="M10" i="3" s="1"/>
  <c r="I25" i="3"/>
  <c r="G28" i="3"/>
  <c r="F25" i="4"/>
  <c r="Y31" i="8"/>
  <c r="Z31" i="8" s="1"/>
  <c r="L5" i="8"/>
  <c r="F7" i="8"/>
  <c r="J7" i="8"/>
  <c r="R24" i="8"/>
  <c r="G33" i="4"/>
  <c r="D9" i="8"/>
  <c r="I17" i="4"/>
  <c r="K12" i="3"/>
  <c r="H15" i="3"/>
  <c r="L21" i="3"/>
  <c r="I23" i="4"/>
  <c r="J31" i="3"/>
  <c r="H12" i="3"/>
  <c r="G13" i="4"/>
  <c r="J7" i="3"/>
  <c r="V32" i="2"/>
  <c r="M31" i="3" s="1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D29" i="8"/>
  <c r="J28" i="4"/>
  <c r="J26" i="3"/>
  <c r="L26" i="3"/>
  <c r="I27" i="4"/>
  <c r="J25" i="3"/>
  <c r="F26" i="4"/>
  <c r="F27" i="4"/>
  <c r="G27" i="3"/>
  <c r="I26" i="3"/>
  <c r="I26" i="4"/>
  <c r="E26" i="3"/>
  <c r="V27" i="2"/>
  <c r="M26" i="3" s="1"/>
  <c r="V29" i="2"/>
  <c r="M28" i="3" s="1"/>
  <c r="F28" i="3"/>
  <c r="E26" i="4"/>
  <c r="V28" i="2"/>
  <c r="M27" i="3" s="1"/>
  <c r="I20" i="3"/>
  <c r="H8" i="4"/>
  <c r="I9" i="3"/>
  <c r="V9" i="2"/>
  <c r="M8" i="3" s="1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D27" i="8"/>
  <c r="X27" i="8"/>
  <c r="V27" i="8"/>
  <c r="J25" i="8"/>
  <c r="Y26" i="8"/>
  <c r="Z26" i="8" s="1"/>
  <c r="H26" i="8"/>
  <c r="R26" i="8"/>
  <c r="T25" i="8"/>
  <c r="J26" i="8"/>
  <c r="N25" i="8"/>
  <c r="D26" i="8"/>
  <c r="X26" i="8"/>
  <c r="D25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V26" i="2"/>
  <c r="M25" i="3" s="1"/>
  <c r="F25" i="3"/>
  <c r="E25" i="4"/>
  <c r="M35" i="8"/>
  <c r="J23" i="8"/>
  <c r="Y24" i="8"/>
  <c r="Z24" i="8" s="1"/>
  <c r="T24" i="8"/>
  <c r="Y25" i="8"/>
  <c r="Z25" i="8" s="1"/>
  <c r="D24" i="8"/>
  <c r="G24" i="3"/>
  <c r="V25" i="2"/>
  <c r="M24" i="3" s="1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D23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D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D19" i="8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D8" i="8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D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<sst xmlns="http://schemas.openxmlformats.org/spreadsheetml/2006/main" count="201" uniqueCount="128">
  <si>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</si>
  <si>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</si>
  <si>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</si>
  <si>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</si>
  <si>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</si>
  <si>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</si>
  <si>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</si>
  <si>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</si>
  <si>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</si>
  <si>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</si>
  <si>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</si>
  <si>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</si>
  <si>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</si>
  <si>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</si>
  <si>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</si>
  <si>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</si>
  <si>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</si>
  <si>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</si>
  <si>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</si>
  <si>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</si>
  <si>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</si>
  <si>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</si>
  <si>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</si>
  <si>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</si>
  <si>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</si>
  <si>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</si>
  <si>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</si>
  <si>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</si>
  <si>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</si>
  <si>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</si>
  <si>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</si>
  <si>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</si>
  <si>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</si>
  <si>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</si>
  <si>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</si>
  <si>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</si>
  <si>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</si>
  <si>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</si>
  <si>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</si>
  <si>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</si>
  <si>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</si>
  <si>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</si>
  <si>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</si>
  <si>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</si>
  <si>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</si>
  <si>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</si>
  <si>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</si>
  <si>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</si>
  <si>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</si>
  <si>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</si>
  <si>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</si>
  <si>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</si>
  <si>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</si>
  <si>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</si>
  <si>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</si>
  <si>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</si>
  <si>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</si>
  <si>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</si>
  <si>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</si>
  <si>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</si>
  <si>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</si>
  <si>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</si>
  <si>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</si>
  <si>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</si>
  <si>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</si>
  <si>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</si>
  <si>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</si>
  <si>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</si>
  <si>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</si>
  <si>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</si>
  <si>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</si>
  <si>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</si>
  <si>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</si>
  <si>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</si>
  <si>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</si>
  <si>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</si>
  <si>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</si>
  <si>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</si>
  <si>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</si>
  <si>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</si>
  <si>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</si>
  <si>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</si>
  <si>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</si>
  <si>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</si>
  <si>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</si>
  <si>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</si>
  <si>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</si>
  <si>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</si>
  <si>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</si>
  <si>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</si>
  <si>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</si>
  <si>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</si>
  <si>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</si>
  <si>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</si>
  <si>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</si>
  <si>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</si>
  <si>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</si>
  <si>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</si>
  <si>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</si>
  <si>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</si>
  <si>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</si>
  <si>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</si>
  <si>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</si>
  <si>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</si>
  <si>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</si>
  <si>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</si>
  <si>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</si>
  <si>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</si>
  <si>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</si>
  <si>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</si>
  <si>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</si>
  <si>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</si>
  <si>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</si>
  <si>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</si>
  <si>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</si>
  <si>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</si>
  <si>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</si>
  <si>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</si>
  <si>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</si>
  <si>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</si>
  <si>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</si>
  <si>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</si>
  <si>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</si>
  <si>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</si>
  <si>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</si>
  <si>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</si>
  <si>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</si>
  <si>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BOH-1/ B&amp;C Block GWH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</si>
</sst>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-449370</c:v>
                </c:pt>
                <c:pt idx="1">
                  <c:v>-2528500</c:v>
                </c:pt>
                <c:pt idx="2">
                  <c:v>-244760</c:v>
                </c:pt>
                <c:pt idx="3">
                  <c:v>-938450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-55314</c:v>
                </c:pt>
                <c:pt idx="1">
                  <c:v>0.17140626016789223</c:v>
                </c:pt>
                <c:pt idx="2" formatCode="_(* #,##0.00_);_(* \(#,##0.00\);_(* &quot;-&quot;??_);_(@_)">
                  <c:v>-211984</c:v>
                </c:pt>
                <c:pt idx="3">
                  <c:v>0.65689309497469839</c:v>
                </c:pt>
                <c:pt idx="4" formatCode="0.00">
                  <c:v>-27660</c:v>
                </c:pt>
                <c:pt idx="5">
                  <c:v>8.5712426442562453E-2</c:v>
                </c:pt>
                <c:pt idx="6" formatCode="0.00">
                  <c:v>-37781</c:v>
                </c:pt>
                <c:pt idx="7">
                  <c:v>0.11707524162785438</c:v>
                </c:pt>
                <c:pt idx="8" formatCode="0.00">
                  <c:v>-6604</c:v>
                </c:pt>
                <c:pt idx="9">
                  <c:v>2.0464384100747739E-2</c:v>
                </c:pt>
                <c:pt idx="10" formatCode="0.00">
                  <c:v>-913</c:v>
                </c:pt>
                <c:pt idx="11">
                  <c:v>2.8291918055697585E-3</c:v>
                </c:pt>
                <c:pt idx="12" formatCode="0.00">
                  <c:v>-66981</c:v>
                </c:pt>
                <c:pt idx="13">
                  <c:v>0.20755979882679954</c:v>
                </c:pt>
                <c:pt idx="14" formatCode="_(* #,##0.00_);_(* \(#,##0.00\);_(* &quot;-&quot;??_);_(@_)">
                  <c:v>-251513</c:v>
                </c:pt>
                <c:pt idx="15">
                  <c:v>0.77938501488966772</c:v>
                </c:pt>
                <c:pt idx="16" formatCode="0.00">
                  <c:v>-112781</c:v>
                </c:pt>
                <c:pt idx="17">
                  <c:v>0.34948420703610394</c:v>
                </c:pt>
                <c:pt idx="18" formatCode="0.00">
                  <c:v>-21005</c:v>
                </c:pt>
                <c:pt idx="19">
                  <c:v>6.5090004245337105E-2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1163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-322707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-792536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474176"/>
        <c:axId val="153475712"/>
      </c:barChart>
      <c:catAx>
        <c:axId val="153474176"/>
        <c:scaling>
          <c:orientation val="minMax"/>
        </c:scaling>
        <c:delete val="1"/>
        <c:axPos val="b"/>
        <c:majorTickMark val="none"/>
        <c:minorTickMark val="none"/>
        <c:tickLblPos val="nextTo"/>
        <c:crossAx val="153475712"/>
        <c:crosses val="autoZero"/>
        <c:auto val="1"/>
        <c:lblAlgn val="ctr"/>
        <c:lblOffset val="100"/>
        <c:noMultiLvlLbl val="0"/>
      </c:catAx>
      <c:valAx>
        <c:axId val="153475712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53474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" sqref="M2:O4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123</v>
      </c>
      <c r="H1" s="42" t="s">
        <v>124</v>
      </c>
      <c r="I1" s="41" t="s">
        <v>125</v>
      </c>
      <c r="J1" s="42" t="s">
        <v>126</v>
      </c>
      <c r="K1" s="41" t="s">
        <v>121</v>
      </c>
      <c r="L1" s="43" t="s">
        <v>122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9</v>
      </c>
      <c r="D2" s="46">
        <v>2021</v>
      </c>
      <c r="E2" s="107">
        <v>21730.000000000473</v>
      </c>
      <c r="F2" s="48">
        <v>0.15</v>
      </c>
      <c r="G2" s="107">
        <v>5942</v>
      </c>
      <c r="H2" s="48">
        <v>0.5927</v>
      </c>
      <c r="I2" s="65">
        <v>220</v>
      </c>
      <c r="J2" s="76">
        <v>1.133</v>
      </c>
      <c r="K2" s="108"/>
      <c r="L2" s="76"/>
      <c r="M2" s="72">
        <v>13</v>
      </c>
      <c r="N2" s="72">
        <v>28</v>
      </c>
      <c r="O2" s="72">
        <v>98</v>
      </c>
    </row>
    <row r="3" spans="1:15" ht="15" x14ac:dyDescent="0.25">
      <c r="A3" s="45" t="s">
        <v>9</v>
      </c>
      <c r="B3" s="46">
        <f>B2+1</f>
        <v>2</v>
      </c>
      <c r="C3" s="47">
        <v>9</v>
      </c>
      <c r="D3" s="46">
        <v>2021</v>
      </c>
      <c r="E3" s="107">
        <v>21189.999999998465</v>
      </c>
      <c r="F3" s="48">
        <v>0.15</v>
      </c>
      <c r="G3" s="107">
        <v>5855</v>
      </c>
      <c r="H3" s="48">
        <v>0.5927</v>
      </c>
      <c r="I3" s="65">
        <v>233</v>
      </c>
      <c r="J3" s="76">
        <v>1.133</v>
      </c>
      <c r="K3" s="108"/>
      <c r="L3" s="76"/>
      <c r="M3" s="72">
        <v>11</v>
      </c>
      <c r="N3" s="72">
        <v>27</v>
      </c>
      <c r="O3" s="72">
        <v>73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9</v>
      </c>
      <c r="D4" s="46">
        <v>2021</v>
      </c>
      <c r="E4" s="107">
        <v>11290.000000001783</v>
      </c>
      <c r="F4" s="48">
        <v>0.15</v>
      </c>
      <c r="G4" s="107">
        <v>5892</v>
      </c>
      <c r="H4" s="48">
        <v>0.5927</v>
      </c>
      <c r="I4" s="65">
        <v>232</v>
      </c>
      <c r="J4" s="76">
        <v>1.133</v>
      </c>
      <c r="K4" s="108"/>
      <c r="L4" s="76"/>
      <c r="M4" s="72">
        <v>15</v>
      </c>
      <c r="N4" s="72">
        <v>32</v>
      </c>
      <c r="O4" s="72">
        <v>94</v>
      </c>
    </row>
    <row r="5" spans="1:15" ht="15" x14ac:dyDescent="0.25">
      <c r="A5" s="45" t="s">
        <v>9</v>
      </c>
      <c r="B5" s="46">
        <f t="shared" si="0"/>
        <v>4</v>
      </c>
      <c r="C5" s="47">
        <v>9</v>
      </c>
      <c r="D5" s="46">
        <v>2021</v>
      </c>
      <c r="E5" s="107">
        <v>31480.000000000473</v>
      </c>
      <c r="F5" s="48">
        <v>0.15</v>
      </c>
      <c r="G5" s="107">
        <v>5672</v>
      </c>
      <c r="H5" s="48">
        <v>0.5927</v>
      </c>
      <c r="I5" s="65">
        <v>229</v>
      </c>
      <c r="J5" s="76">
        <v>1.133</v>
      </c>
      <c r="K5" s="108"/>
      <c r="L5" s="76"/>
      <c r="M5" s="72"/>
      <c r="N5" s="72"/>
      <c r="O5" s="72"/>
    </row>
    <row r="6" spans="1:15" ht="15" x14ac:dyDescent="0.25">
      <c r="A6" s="45" t="s">
        <v>9</v>
      </c>
      <c r="B6" s="46">
        <f t="shared" si="0"/>
        <v>5</v>
      </c>
      <c r="C6" s="47">
        <v>9</v>
      </c>
      <c r="D6" s="46">
        <v>2021</v>
      </c>
      <c r="E6" s="107"/>
      <c r="F6" s="48">
        <v>0.15</v>
      </c>
      <c r="G6" s="107"/>
      <c r="H6" s="48">
        <v>0.5927</v>
      </c>
      <c r="I6" s="65"/>
      <c r="J6" s="76">
        <v>1.133</v>
      </c>
      <c r="K6" s="108"/>
      <c r="L6" s="76"/>
      <c r="M6" s="72"/>
      <c r="N6" s="72"/>
      <c r="O6" s="72"/>
    </row>
    <row r="7" spans="1:15" ht="15" x14ac:dyDescent="0.25">
      <c r="A7" s="45" t="s">
        <v>9</v>
      </c>
      <c r="B7" s="46">
        <f t="shared" si="0"/>
        <v>6</v>
      </c>
      <c r="C7" s="47">
        <v>9</v>
      </c>
      <c r="D7" s="46">
        <v>2021</v>
      </c>
      <c r="E7" s="107"/>
      <c r="F7" s="48">
        <v>0.15</v>
      </c>
      <c r="G7" s="107"/>
      <c r="H7" s="48">
        <v>0.5927</v>
      </c>
      <c r="I7" s="65"/>
      <c r="J7" s="76">
        <v>1.133</v>
      </c>
      <c r="K7" s="108"/>
      <c r="L7" s="76"/>
      <c r="M7" s="72"/>
      <c r="N7" s="72"/>
      <c r="O7" s="72"/>
    </row>
    <row r="8" spans="1:15" ht="15" x14ac:dyDescent="0.25">
      <c r="A8" s="45" t="s">
        <v>9</v>
      </c>
      <c r="B8" s="46">
        <f t="shared" si="0"/>
        <v>7</v>
      </c>
      <c r="C8" s="47">
        <v>9</v>
      </c>
      <c r="D8" s="46">
        <v>2021</v>
      </c>
      <c r="E8" s="107"/>
      <c r="F8" s="48">
        <v>0.15</v>
      </c>
      <c r="G8" s="107"/>
      <c r="H8" s="48">
        <v>0.5927</v>
      </c>
      <c r="I8" s="65"/>
      <c r="J8" s="76">
        <v>1.133</v>
      </c>
      <c r="K8" s="108"/>
      <c r="L8" s="76"/>
      <c r="M8" s="72"/>
      <c r="N8" s="72"/>
      <c r="O8" s="72"/>
    </row>
    <row r="9" spans="1:15" ht="15" x14ac:dyDescent="0.25">
      <c r="A9" s="45" t="s">
        <v>9</v>
      </c>
      <c r="B9" s="46">
        <f t="shared" si="0"/>
        <v>8</v>
      </c>
      <c r="C9" s="47">
        <v>9</v>
      </c>
      <c r="D9" s="46">
        <v>2021</v>
      </c>
      <c r="E9" s="107"/>
      <c r="F9" s="48">
        <v>0.15</v>
      </c>
      <c r="G9" s="107"/>
      <c r="H9" s="48">
        <v>0.5927</v>
      </c>
      <c r="I9" s="65"/>
      <c r="J9" s="76">
        <v>1.133</v>
      </c>
      <c r="K9" s="108"/>
      <c r="L9" s="76"/>
      <c r="M9" s="72"/>
      <c r="N9" s="72"/>
      <c r="O9" s="72"/>
    </row>
    <row r="10" spans="1:15" ht="15" x14ac:dyDescent="0.25">
      <c r="A10" s="45" t="s">
        <v>9</v>
      </c>
      <c r="B10" s="46">
        <f t="shared" si="0"/>
        <v>9</v>
      </c>
      <c r="C10" s="47">
        <v>9</v>
      </c>
      <c r="D10" s="46">
        <v>2021</v>
      </c>
      <c r="E10" s="107"/>
      <c r="F10" s="48">
        <v>0.15</v>
      </c>
      <c r="G10" s="107"/>
      <c r="H10" s="48">
        <v>0.5927</v>
      </c>
      <c r="I10" s="65"/>
      <c r="J10" s="76">
        <v>1.133</v>
      </c>
      <c r="K10" s="108"/>
      <c r="L10" s="76"/>
      <c r="M10" s="72"/>
      <c r="N10" s="72"/>
      <c r="O10" s="72"/>
    </row>
    <row r="11" spans="1:15" ht="15" x14ac:dyDescent="0.25">
      <c r="A11" s="45" t="s">
        <v>9</v>
      </c>
      <c r="B11" s="46">
        <f t="shared" si="0"/>
        <v>10</v>
      </c>
      <c r="C11" s="47">
        <v>9</v>
      </c>
      <c r="D11" s="46">
        <v>2021</v>
      </c>
      <c r="E11" s="107"/>
      <c r="F11" s="48">
        <v>0.15</v>
      </c>
      <c r="G11" s="107"/>
      <c r="H11" s="48">
        <v>0.5927</v>
      </c>
      <c r="I11" s="65"/>
      <c r="J11" s="76">
        <v>1.133</v>
      </c>
      <c r="K11" s="108"/>
      <c r="L11" s="76"/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9</v>
      </c>
      <c r="D12" s="46">
        <v>2021</v>
      </c>
      <c r="E12" s="107"/>
      <c r="F12" s="48">
        <v>0.15</v>
      </c>
      <c r="G12" s="107"/>
      <c r="H12" s="48">
        <v>0.5927</v>
      </c>
      <c r="I12" s="65"/>
      <c r="J12" s="76">
        <v>1.133</v>
      </c>
      <c r="K12" s="108"/>
      <c r="L12" s="76"/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9</v>
      </c>
      <c r="D13" s="46">
        <v>2021</v>
      </c>
      <c r="E13" s="107"/>
      <c r="F13" s="48">
        <v>0.15</v>
      </c>
      <c r="G13" s="107"/>
      <c r="H13" s="48">
        <v>0.5927</v>
      </c>
      <c r="I13" s="65"/>
      <c r="J13" s="76">
        <v>1.133</v>
      </c>
      <c r="K13" s="108"/>
      <c r="L13" s="76"/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9</v>
      </c>
      <c r="D14" s="46">
        <v>2021</v>
      </c>
      <c r="E14" s="107"/>
      <c r="F14" s="48">
        <v>0.15</v>
      </c>
      <c r="G14" s="107"/>
      <c r="H14" s="48">
        <v>0.5927</v>
      </c>
      <c r="I14" s="65"/>
      <c r="J14" s="76">
        <v>1.133</v>
      </c>
      <c r="K14" s="108"/>
      <c r="L14" s="76"/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9</v>
      </c>
      <c r="D15" s="46">
        <v>2021</v>
      </c>
      <c r="E15" s="107"/>
      <c r="F15" s="48">
        <v>0.15</v>
      </c>
      <c r="G15" s="107"/>
      <c r="H15" s="48">
        <v>0.5927</v>
      </c>
      <c r="I15" s="65"/>
      <c r="J15" s="76">
        <v>1.133</v>
      </c>
      <c r="K15" s="108"/>
      <c r="L15" s="76"/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9</v>
      </c>
      <c r="D16" s="46">
        <v>2021</v>
      </c>
      <c r="E16" s="107"/>
      <c r="F16" s="48">
        <v>0.15</v>
      </c>
      <c r="G16" s="107"/>
      <c r="H16" s="48">
        <v>0.5927</v>
      </c>
      <c r="I16" s="65"/>
      <c r="J16" s="76">
        <v>1.133</v>
      </c>
      <c r="K16" s="108"/>
      <c r="L16" s="76"/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9</v>
      </c>
      <c r="D17" s="46">
        <v>2021</v>
      </c>
      <c r="E17" s="107"/>
      <c r="F17" s="48">
        <v>0.15</v>
      </c>
      <c r="G17" s="107"/>
      <c r="H17" s="48">
        <v>0.5927</v>
      </c>
      <c r="I17" s="65"/>
      <c r="J17" s="76">
        <v>1.133</v>
      </c>
      <c r="K17" s="108"/>
      <c r="L17" s="76"/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9</v>
      </c>
      <c r="D18" s="46">
        <v>2021</v>
      </c>
      <c r="E18" s="107"/>
      <c r="F18" s="48">
        <v>0.15</v>
      </c>
      <c r="G18" s="107"/>
      <c r="H18" s="48">
        <v>0.5927</v>
      </c>
      <c r="I18" s="65"/>
      <c r="J18" s="76">
        <v>1.133</v>
      </c>
      <c r="K18" s="108"/>
      <c r="L18" s="76"/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9</v>
      </c>
      <c r="D19" s="46">
        <v>2021</v>
      </c>
      <c r="E19" s="107"/>
      <c r="F19" s="48">
        <v>0.15</v>
      </c>
      <c r="G19" s="107"/>
      <c r="H19" s="48">
        <v>0.5927</v>
      </c>
      <c r="I19" s="65"/>
      <c r="J19" s="76">
        <v>1.133</v>
      </c>
      <c r="K19" s="108"/>
      <c r="L19" s="76"/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9</v>
      </c>
      <c r="D20" s="46">
        <v>2021</v>
      </c>
      <c r="E20" s="107"/>
      <c r="F20" s="48">
        <v>0.15</v>
      </c>
      <c r="G20" s="107"/>
      <c r="H20" s="48">
        <v>0.5927</v>
      </c>
      <c r="I20" s="65"/>
      <c r="J20" s="76">
        <v>1.133</v>
      </c>
      <c r="K20" s="108"/>
      <c r="L20" s="76"/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9</v>
      </c>
      <c r="D21" s="46">
        <v>2021</v>
      </c>
      <c r="E21" s="107"/>
      <c r="F21" s="48">
        <v>0.15</v>
      </c>
      <c r="G21" s="107"/>
      <c r="H21" s="48">
        <v>0.5927</v>
      </c>
      <c r="I21" s="65"/>
      <c r="J21" s="76">
        <v>1.133</v>
      </c>
      <c r="K21" s="108"/>
      <c r="L21" s="76"/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9</v>
      </c>
      <c r="D22" s="46">
        <v>2021</v>
      </c>
      <c r="E22" s="107"/>
      <c r="F22" s="48">
        <v>0.15</v>
      </c>
      <c r="G22" s="107"/>
      <c r="H22" s="48">
        <v>0.5927</v>
      </c>
      <c r="I22" s="65"/>
      <c r="J22" s="76">
        <v>1.133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9</v>
      </c>
      <c r="D23" s="46">
        <v>2021</v>
      </c>
      <c r="E23" s="107"/>
      <c r="F23" s="48">
        <v>0.15</v>
      </c>
      <c r="G23" s="107"/>
      <c r="H23" s="48">
        <v>0.5927</v>
      </c>
      <c r="I23" s="65"/>
      <c r="J23" s="76">
        <v>1.133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9</v>
      </c>
      <c r="D24" s="46">
        <v>2021</v>
      </c>
      <c r="E24" s="107"/>
      <c r="F24" s="48">
        <v>0.15</v>
      </c>
      <c r="G24" s="107"/>
      <c r="H24" s="48">
        <v>0.5927</v>
      </c>
      <c r="I24" s="65"/>
      <c r="J24" s="76">
        <v>1.133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9</v>
      </c>
      <c r="D25" s="46">
        <v>2021</v>
      </c>
      <c r="E25" s="107"/>
      <c r="F25" s="48">
        <v>0.15</v>
      </c>
      <c r="G25" s="107"/>
      <c r="H25" s="48">
        <v>0.5927</v>
      </c>
      <c r="I25" s="65"/>
      <c r="J25" s="76">
        <v>1.133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9</v>
      </c>
      <c r="D26" s="46">
        <v>2021</v>
      </c>
      <c r="E26" s="107"/>
      <c r="F26" s="48">
        <v>0.15</v>
      </c>
      <c r="G26" s="107"/>
      <c r="H26" s="48">
        <v>0.5927</v>
      </c>
      <c r="I26" s="65"/>
      <c r="J26" s="76">
        <v>1.133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9</v>
      </c>
      <c r="D27" s="46">
        <v>2021</v>
      </c>
      <c r="E27" s="107"/>
      <c r="F27" s="48">
        <v>0.15</v>
      </c>
      <c r="G27" s="107"/>
      <c r="H27" s="48">
        <v>0.5927</v>
      </c>
      <c r="I27" s="65"/>
      <c r="J27" s="76">
        <v>1.133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9</v>
      </c>
      <c r="D28" s="46">
        <v>2021</v>
      </c>
      <c r="E28" s="107"/>
      <c r="F28" s="48">
        <v>0.15</v>
      </c>
      <c r="G28" s="107"/>
      <c r="H28" s="48">
        <v>0.5927</v>
      </c>
      <c r="I28" s="65"/>
      <c r="J28" s="76">
        <v>1.133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9</v>
      </c>
      <c r="D29" s="46">
        <v>2021</v>
      </c>
      <c r="E29" s="107"/>
      <c r="F29" s="48">
        <v>0.15</v>
      </c>
      <c r="G29" s="107"/>
      <c r="H29" s="48">
        <v>0.5927</v>
      </c>
      <c r="I29" s="65"/>
      <c r="J29" s="76">
        <v>1.133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9</v>
      </c>
      <c r="D30" s="46">
        <v>2021</v>
      </c>
      <c r="E30" s="107"/>
      <c r="F30" s="48">
        <v>0.15</v>
      </c>
      <c r="G30" s="107"/>
      <c r="H30" s="48">
        <v>0.5927</v>
      </c>
      <c r="I30" s="65"/>
      <c r="J30" s="76">
        <v>1.133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9</v>
      </c>
      <c r="D31" s="46">
        <v>2021</v>
      </c>
      <c r="E31" s="107"/>
      <c r="F31" s="48">
        <v>0.15</v>
      </c>
      <c r="G31" s="107"/>
      <c r="H31" s="48">
        <v>0.5927</v>
      </c>
      <c r="I31" s="65"/>
      <c r="J31" s="76">
        <v>1.133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9</v>
      </c>
      <c r="D32" s="46">
        <v>2021</v>
      </c>
      <c r="E32" s="107"/>
      <c r="F32" s="48">
        <v>0.15</v>
      </c>
      <c r="G32" s="107"/>
      <c r="H32" s="48">
        <v>0.5927</v>
      </c>
      <c r="I32" s="65"/>
      <c r="J32" s="76">
        <v>1.133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52</v>
      </c>
      <c r="B33" s="112"/>
      <c r="C33" s="112"/>
      <c r="D33" s="112"/>
      <c r="E33" s="101">
        <f>SUM(E2:E32)</f>
        <v>85690.000000001193</v>
      </c>
      <c r="F33" s="104">
        <v>0</v>
      </c>
      <c r="G33" s="101">
        <f>SUM(G2:G32)</f>
        <v>23361</v>
      </c>
      <c r="H33" s="102">
        <v>0</v>
      </c>
      <c r="I33" s="103">
        <f>SUM(I2:I32)</f>
        <v>914</v>
      </c>
      <c r="J33" s="104">
        <v>0</v>
      </c>
      <c r="K33" s="105">
        <v>0</v>
      </c>
      <c r="L33" s="102">
        <v>0</v>
      </c>
      <c r="M33" s="106">
        <f t="shared" ref="M33:O33" si="1">SUM(M2:M32)</f>
        <v>39</v>
      </c>
      <c r="N33" s="106">
        <f t="shared" si="1"/>
        <v>87</v>
      </c>
      <c r="O33" s="106">
        <f t="shared" si="1"/>
        <v>265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6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127</v>
      </c>
      <c r="C2" s="120" t="s">
        <v>11</v>
      </c>
      <c r="D2" s="120" t="s">
        <v>12</v>
      </c>
      <c r="E2" s="120" t="s">
        <v>13</v>
      </c>
      <c r="F2" s="120" t="s">
        <v>14</v>
      </c>
      <c r="G2" s="115" t="s">
        <v>15</v>
      </c>
      <c r="H2" s="117" t="s">
        <v>16</v>
      </c>
      <c r="I2" s="120" t="s">
        <v>17</v>
      </c>
      <c r="J2" s="122" t="s">
        <v>18</v>
      </c>
      <c r="K2" s="123"/>
      <c r="L2" s="124"/>
      <c r="M2" s="115" t="s">
        <v>19</v>
      </c>
      <c r="N2" s="117" t="s">
        <v>20</v>
      </c>
      <c r="O2" s="118" t="s">
        <v>21</v>
      </c>
      <c r="P2" s="117" t="s">
        <v>22</v>
      </c>
      <c r="Q2" s="125" t="s">
        <v>23</v>
      </c>
      <c r="R2" s="120" t="s">
        <v>24</v>
      </c>
      <c r="S2" s="120" t="s">
        <v>25</v>
      </c>
      <c r="T2" s="120" t="s">
        <v>26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27</v>
      </c>
      <c r="K3" s="18" t="s">
        <v>28</v>
      </c>
      <c r="L3" s="18" t="s">
        <v>29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44440</v>
      </c>
      <c r="B4" s="1">
        <v>1.0649999999999999</v>
      </c>
      <c r="C4" s="1">
        <v>244.76</v>
      </c>
      <c r="D4" s="1">
        <v>7626409.6399999997</v>
      </c>
      <c r="E4" s="1">
        <v>8383537.8399999999</v>
      </c>
      <c r="F4" s="1">
        <v>2.5285000000000002</v>
      </c>
      <c r="G4" s="1">
        <v>798.32</v>
      </c>
      <c r="H4" s="1">
        <v>653.78</v>
      </c>
      <c r="I4" s="1">
        <v>256.10000000000002</v>
      </c>
      <c r="J4" s="1">
        <v>333.2</v>
      </c>
      <c r="K4" s="1">
        <v>358.67</v>
      </c>
      <c r="L4" s="1">
        <v>246.58</v>
      </c>
      <c r="M4" s="1">
        <v>564.62</v>
      </c>
      <c r="N4" s="1">
        <v>517.91</v>
      </c>
      <c r="O4" s="1">
        <v>165.55</v>
      </c>
      <c r="P4" s="1">
        <v>682.28</v>
      </c>
      <c r="Q4" s="1">
        <v>503.9</v>
      </c>
      <c r="R4" s="1">
        <v>174.59</v>
      </c>
      <c r="S4" s="1">
        <v>122.74</v>
      </c>
      <c r="T4" s="1">
        <v>449.37</v>
      </c>
      <c r="V4" s="71">
        <v>13</v>
      </c>
      <c r="W4" s="71">
        <v>28</v>
      </c>
      <c r="X4" s="71">
        <v>98</v>
      </c>
      <c r="Y4" s="17"/>
    </row>
    <row r="5" spans="1:25" ht="21" customHeight="1" x14ac:dyDescent="0.25">
      <c r="A5" s="8">
        <v>44441</v>
      </c>
      <c r="B5" s="1">
        <v>1.0664</v>
      </c>
      <c r="C5" s="1">
        <v>245</v>
      </c>
      <c r="D5" s="1">
        <v>7628678.7800000003</v>
      </c>
      <c r="E5" s="1">
        <v>8386467.3300000001</v>
      </c>
      <c r="F5" s="1">
        <v>2.5308999999999999</v>
      </c>
      <c r="G5" s="1">
        <v>799.21</v>
      </c>
      <c r="H5" s="1">
        <v>654.44000000000005</v>
      </c>
      <c r="I5" s="1">
        <v>256.37</v>
      </c>
      <c r="J5" s="1">
        <v>333.41</v>
      </c>
      <c r="K5" s="1">
        <v>358.92</v>
      </c>
      <c r="L5" s="1">
        <v>246.78</v>
      </c>
      <c r="M5" s="1">
        <v>565.37</v>
      </c>
      <c r="N5" s="1">
        <v>518.91</v>
      </c>
      <c r="O5" s="1">
        <v>165.77</v>
      </c>
      <c r="P5" s="1">
        <v>683.3</v>
      </c>
      <c r="Q5" s="1">
        <v>504.56</v>
      </c>
      <c r="R5" s="1">
        <v>174.86</v>
      </c>
      <c r="S5" s="1">
        <v>122.86</v>
      </c>
      <c r="T5" s="1">
        <v>449.85</v>
      </c>
      <c r="V5" s="71">
        <v>11</v>
      </c>
      <c r="W5" s="71">
        <v>27</v>
      </c>
      <c r="X5" s="71">
        <v>73</v>
      </c>
      <c r="Y5" s="17"/>
    </row>
    <row r="6" spans="1:25" ht="21" customHeight="1" x14ac:dyDescent="0.25">
      <c r="A6" s="8">
        <v>44442</v>
      </c>
      <c r="B6" s="1">
        <v>1.0678000000000001</v>
      </c>
      <c r="C6" s="1">
        <v>245.24</v>
      </c>
      <c r="D6" s="1">
        <v>7630883.0599999996</v>
      </c>
      <c r="E6" s="1">
        <v>8388910.4299999997</v>
      </c>
      <c r="F6" s="1">
        <v>2.5331999999999999</v>
      </c>
      <c r="G6" s="1">
        <v>800.01</v>
      </c>
      <c r="H6" s="1">
        <v>655.1</v>
      </c>
      <c r="I6" s="1">
        <v>256.63</v>
      </c>
      <c r="J6" s="1">
        <v>333.62</v>
      </c>
      <c r="K6" s="1">
        <v>359.11</v>
      </c>
      <c r="L6" s="1">
        <v>246.95</v>
      </c>
      <c r="M6" s="1">
        <v>566.19000000000005</v>
      </c>
      <c r="N6" s="1">
        <v>519.08000000000004</v>
      </c>
      <c r="O6" s="1">
        <v>165.99</v>
      </c>
      <c r="P6" s="1">
        <v>684.27</v>
      </c>
      <c r="Q6" s="1">
        <v>505.23</v>
      </c>
      <c r="R6" s="1">
        <v>175.12</v>
      </c>
      <c r="S6" s="1">
        <v>122.98</v>
      </c>
      <c r="T6" s="1">
        <v>450.3</v>
      </c>
      <c r="V6" s="71">
        <v>15</v>
      </c>
      <c r="W6" s="71">
        <v>32</v>
      </c>
      <c r="X6" s="71">
        <v>94</v>
      </c>
      <c r="Y6" s="17"/>
    </row>
    <row r="7" spans="1:25" ht="21" customHeight="1" x14ac:dyDescent="0.25">
      <c r="A7" s="8">
        <v>44443</v>
      </c>
      <c r="B7" s="1">
        <v>1.0691999999999999</v>
      </c>
      <c r="C7" s="1">
        <v>245.49</v>
      </c>
      <c r="D7" s="109">
        <v>7633018.3300000001</v>
      </c>
      <c r="E7" s="1">
        <v>8391629.1500000004</v>
      </c>
      <c r="F7" s="1">
        <v>2.5356000000000001</v>
      </c>
      <c r="G7" s="1">
        <v>800.83</v>
      </c>
      <c r="H7" s="1">
        <v>655.77</v>
      </c>
      <c r="I7" s="1">
        <v>256.89</v>
      </c>
      <c r="J7" s="1">
        <v>333.8</v>
      </c>
      <c r="K7" s="1">
        <v>359.34</v>
      </c>
      <c r="L7" s="1">
        <v>247.11</v>
      </c>
      <c r="M7" s="1">
        <v>567.02</v>
      </c>
      <c r="N7" s="1">
        <v>519.64</v>
      </c>
      <c r="O7" s="1">
        <v>166.22</v>
      </c>
      <c r="P7" s="1">
        <v>685.22</v>
      </c>
      <c r="Q7" s="1">
        <v>505.9</v>
      </c>
      <c r="R7" s="1">
        <v>175.35</v>
      </c>
      <c r="S7" s="1">
        <v>123.09</v>
      </c>
      <c r="T7" s="1">
        <v>450.59</v>
      </c>
      <c r="V7" s="71"/>
      <c r="W7" s="71"/>
      <c r="X7" s="71"/>
      <c r="Y7" s="17"/>
    </row>
    <row r="8" spans="1:25" ht="21" customHeight="1" x14ac:dyDescent="0.25">
      <c r="A8" s="8">
        <v>44444</v>
      </c>
      <c r="B8" s="1">
        <v>1.0705</v>
      </c>
      <c r="C8" s="1">
        <v>245.72</v>
      </c>
      <c r="D8" s="1">
        <v>7635196.2300000004</v>
      </c>
      <c r="E8" s="1">
        <v>8394468.1300000008</v>
      </c>
      <c r="F8" s="1">
        <v>2.5379</v>
      </c>
      <c r="G8" s="1">
        <v>801.63</v>
      </c>
      <c r="H8" s="1">
        <v>656.41</v>
      </c>
      <c r="I8" s="1">
        <v>257.14999999999998</v>
      </c>
      <c r="J8" s="1">
        <v>333.95</v>
      </c>
      <c r="K8" s="1">
        <v>359.54</v>
      </c>
      <c r="L8" s="1">
        <v>247.29</v>
      </c>
      <c r="M8" s="1">
        <v>567.79999999999995</v>
      </c>
      <c r="N8" s="1">
        <v>520.19000000000005</v>
      </c>
      <c r="O8" s="1">
        <v>166.45</v>
      </c>
      <c r="P8" s="1">
        <v>686.19</v>
      </c>
      <c r="Q8" s="1">
        <v>506.61</v>
      </c>
      <c r="R8" s="1">
        <v>175.59</v>
      </c>
      <c r="S8" s="1">
        <v>123.21</v>
      </c>
      <c r="T8" s="1">
        <v>451.06</v>
      </c>
      <c r="V8" s="71"/>
      <c r="W8" s="71"/>
      <c r="X8" s="71"/>
      <c r="Y8" s="17"/>
    </row>
    <row r="9" spans="1:25" ht="21" customHeight="1" x14ac:dyDescent="0.25">
      <c r="A9" s="8">
        <v>44445</v>
      </c>
      <c r="B9" s="111"/>
      <c r="D9" s="111"/>
      <c r="E9" s="111"/>
      <c r="G9" s="111"/>
      <c r="H9" s="111"/>
      <c r="I9" s="1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V9" s="71"/>
      <c r="W9" s="71"/>
      <c r="X9" s="71"/>
      <c r="Y9" s="17"/>
    </row>
    <row r="10" spans="1:25" ht="21" customHeight="1" x14ac:dyDescent="0.25">
      <c r="A10" s="8">
        <v>44446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V10" s="71"/>
      <c r="W10" s="71"/>
      <c r="X10" s="71"/>
      <c r="Y10" s="17"/>
    </row>
    <row r="11" spans="1:25" ht="21" customHeight="1" x14ac:dyDescent="0.25">
      <c r="A11" s="8">
        <v>44447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V11" s="71"/>
      <c r="W11" s="71"/>
      <c r="X11" s="71"/>
      <c r="Y11" s="17"/>
    </row>
    <row r="12" spans="1:25" ht="21" customHeight="1" x14ac:dyDescent="0.25">
      <c r="A12" s="8">
        <v>44448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V12" s="71"/>
      <c r="W12" s="71"/>
      <c r="X12" s="71"/>
      <c r="Y12" s="17"/>
    </row>
    <row r="13" spans="1:25" ht="21" customHeight="1" x14ac:dyDescent="0.25">
      <c r="A13" s="8">
        <v>44449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V13" s="71"/>
      <c r="W13" s="71"/>
      <c r="X13" s="71"/>
      <c r="Y13" s="17"/>
    </row>
    <row r="14" spans="1:25" ht="21" customHeight="1" x14ac:dyDescent="0.25">
      <c r="A14" s="8">
        <v>44450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V14" s="71"/>
      <c r="W14" s="71"/>
      <c r="X14" s="71"/>
      <c r="Y14" s="17"/>
    </row>
    <row r="15" spans="1:25" ht="21" customHeight="1" x14ac:dyDescent="0.25">
      <c r="A15" s="8">
        <v>44451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44452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44453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44454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44455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44456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44457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44458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44459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44460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44461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44462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44463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44464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44465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44466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44467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44468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44469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44470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39</v>
      </c>
      <c r="W35" s="78">
        <f>SUM(W4:W34)</f>
        <v>87</v>
      </c>
      <c r="X35" s="78">
        <f>SUM(X4:X34)</f>
        <v>265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H4" activePane="bottomRight" state="frozen"/>
      <selection pane="topRight" activeCell="C1" sqref="C1"/>
      <selection pane="bottomLeft" activeCell="A4" sqref="A4"/>
      <selection pane="bottomRight" activeCell="F31" sqref="F31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31</v>
      </c>
      <c r="B2" s="120" t="s">
        <v>32</v>
      </c>
      <c r="C2" s="120" t="s">
        <v>33</v>
      </c>
      <c r="D2" s="120" t="s">
        <v>119</v>
      </c>
      <c r="E2" s="118" t="s">
        <v>34</v>
      </c>
      <c r="F2" s="128" t="s">
        <v>35</v>
      </c>
      <c r="G2" s="129"/>
      <c r="H2" s="130"/>
      <c r="I2" s="131" t="s">
        <v>36</v>
      </c>
      <c r="J2" s="131" t="s">
        <v>37</v>
      </c>
      <c r="K2" s="131" t="s">
        <v>38</v>
      </c>
      <c r="L2" s="131" t="s">
        <v>39</v>
      </c>
      <c r="M2" s="132" t="s">
        <v>40</v>
      </c>
      <c r="N2" s="132"/>
      <c r="O2" s="132"/>
      <c r="P2" s="132"/>
      <c r="Q2" s="132"/>
      <c r="R2" s="132"/>
      <c r="S2" s="131" t="s">
        <v>41</v>
      </c>
      <c r="T2" s="131"/>
      <c r="U2" s="133" t="s">
        <v>42</v>
      </c>
      <c r="V2" s="131" t="s">
        <v>43</v>
      </c>
    </row>
    <row r="3" spans="1:22" x14ac:dyDescent="0.25">
      <c r="A3" s="119"/>
      <c r="B3" s="121"/>
      <c r="C3" s="121"/>
      <c r="D3" s="121"/>
      <c r="E3" s="119"/>
      <c r="F3" s="6" t="s">
        <v>27</v>
      </c>
      <c r="G3" s="6" t="s">
        <v>28</v>
      </c>
      <c r="H3" s="6" t="s">
        <v>29</v>
      </c>
      <c r="I3" s="131"/>
      <c r="J3" s="131"/>
      <c r="K3" s="131"/>
      <c r="L3" s="131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33"/>
      <c r="V3" s="131"/>
    </row>
    <row r="4" spans="1:22" x14ac:dyDescent="0.25">
      <c r="A4" s="3">
        <f>'Kwh Reading'!A4</f>
        <v>44440</v>
      </c>
      <c r="B4" s="26">
        <v>25520</v>
      </c>
      <c r="C4" s="4">
        <f>('Kwh Reading'!T5-'Kwh Reading'!T4)*1000</f>
        <v>480.00000000001819</v>
      </c>
      <c r="D4" s="2">
        <f>('Kwh Reading'!F5-'Kwh Reading'!F4)*1000000</f>
        <v>2399.9999999997358</v>
      </c>
      <c r="E4" s="2">
        <f>('Kwh Reading'!C5-'Kwh Reading'!C4)*1000</f>
        <v>240.00000000000909</v>
      </c>
      <c r="F4" s="2">
        <f>('Kwh Reading'!J5-'Kwh Reading'!J4)*1000</f>
        <v>210.00000000003638</v>
      </c>
      <c r="G4" s="2">
        <f>('Kwh Reading'!K5-'Kwh Reading'!K4)*1000</f>
        <v>250</v>
      </c>
      <c r="H4" s="2">
        <f>('Kwh Reading'!L5-'Kwh Reading'!L4)*1000</f>
        <v>199.99999999998863</v>
      </c>
      <c r="I4" s="2">
        <f>('Kwh Reading'!R5-'Kwh Reading'!R4)*1000</f>
        <v>270.00000000001023</v>
      </c>
      <c r="J4" s="2">
        <f>('Kwh Reading'!S5-'Kwh Reading'!S4)*1000</f>
        <v>120.00000000000455</v>
      </c>
      <c r="K4" s="2">
        <f>('Kwh Reading'!I5-'Kwh Reading'!I4)*1000</f>
        <v>269.99999999998181</v>
      </c>
      <c r="L4" s="2">
        <f>('Kwh Reading'!B5-'Kwh Reading'!B4)*1000000</f>
        <v>1400.0000000000678</v>
      </c>
      <c r="M4" s="2">
        <f>('Kwh Reading'!M5-'Kwh Reading'!M4)*1000</f>
        <v>750</v>
      </c>
      <c r="N4" s="2">
        <f>('Kwh Reading'!H5-'Kwh Reading'!H4)*1000</f>
        <v>660.00000000008185</v>
      </c>
      <c r="O4" s="2">
        <f>('Kwh Reading'!P5-'Kwh Reading'!P4)*1000</f>
        <v>1019.9999999999818</v>
      </c>
      <c r="P4" s="2">
        <f>('Kwh Reading'!G5-'Kwh Reading'!G4)*1000</f>
        <v>889.99999999998636</v>
      </c>
      <c r="Q4" s="2">
        <f>('Kwh Reading'!Q5-'Kwh Reading'!Q4)*1000</f>
        <v>660.00000000002501</v>
      </c>
      <c r="R4" s="2">
        <f>('Kwh Reading'!N5-'Kwh Reading'!N4)*1000</f>
        <v>1000</v>
      </c>
      <c r="S4" s="2">
        <f>'Kwh Reading'!E5-'Kwh Reading'!E4</f>
        <v>2929.4900000002235</v>
      </c>
      <c r="T4" s="2">
        <f>'Kwh Reading'!D5-'Kwh Reading'!D4</f>
        <v>2269.140000000596</v>
      </c>
      <c r="U4" s="27">
        <f>('Kwh Reading'!O5-'Kwh Reading'!O4)*1000</f>
        <v>219.99999999999886</v>
      </c>
      <c r="V4" s="16">
        <f>B4-(SUM(C4:U4))</f>
        <v>9281.369999999255</v>
      </c>
    </row>
    <row r="5" spans="1:22" x14ac:dyDescent="0.25">
      <c r="A5" s="3">
        <f>'Kwh Reading'!A5</f>
        <v>44441</v>
      </c>
      <c r="B5" s="26">
        <f>TOTAL!E3</f>
        <v>21189.999999998465</v>
      </c>
      <c r="C5" s="4">
        <f>('Kwh Reading'!T6-'Kwh Reading'!T5)*1000</f>
        <v>449.99999999998863</v>
      </c>
      <c r="D5" s="2">
        <f>('Kwh Reading'!F6-'Kwh Reading'!F5)*1000000</f>
        <v>2299.9999999999686</v>
      </c>
      <c r="E5" s="2">
        <f>('Kwh Reading'!C6-'Kwh Reading'!C5)*1000</f>
        <v>240.00000000000909</v>
      </c>
      <c r="F5" s="2">
        <f>('Kwh Reading'!J6-'Kwh Reading'!J5)*1000</f>
        <v>209.99999999997954</v>
      </c>
      <c r="G5" s="2">
        <f>('Kwh Reading'!K6-'Kwh Reading'!K5)*1000</f>
        <v>189.99999999999773</v>
      </c>
      <c r="H5" s="2">
        <f>('Kwh Reading'!L6-'Kwh Reading'!L5)*1000</f>
        <v>169.99999999998749</v>
      </c>
      <c r="I5" s="2">
        <f>('Kwh Reading'!R6-'Kwh Reading'!R5)*1000</f>
        <v>259.99999999999091</v>
      </c>
      <c r="J5" s="2">
        <f>('Kwh Reading'!S6-'Kwh Reading'!S5)*1000</f>
        <v>120.00000000000455</v>
      </c>
      <c r="K5" s="2">
        <f>('Kwh Reading'!I6-'Kwh Reading'!I5)*1000</f>
        <v>259.99999999999091</v>
      </c>
      <c r="L5" s="2">
        <f>('Kwh Reading'!B6-'Kwh Reading'!B5)*1000000</f>
        <v>1400.0000000000678</v>
      </c>
      <c r="M5" s="2">
        <f>('Kwh Reading'!M6-'Kwh Reading'!M5)*1000</f>
        <v>820.00000000005002</v>
      </c>
      <c r="N5" s="2">
        <f>('Kwh Reading'!H6-'Kwh Reading'!H5)*1000</f>
        <v>659.99999999996817</v>
      </c>
      <c r="O5" s="2">
        <f>('Kwh Reading'!P6-'Kwh Reading'!P5)*1000</f>
        <v>970.00000000002728</v>
      </c>
      <c r="P5" s="2">
        <f>('Kwh Reading'!G6-'Kwh Reading'!G5)*1000</f>
        <v>799.99999999995453</v>
      </c>
      <c r="Q5" s="2">
        <f>('Kwh Reading'!Q6-'Kwh Reading'!Q5)*1000</f>
        <v>670.00000000001592</v>
      </c>
      <c r="R5" s="2">
        <f>('Kwh Reading'!N6-'Kwh Reading'!N5)*1000</f>
        <v>170.00000000007276</v>
      </c>
      <c r="S5" s="2">
        <f>'Kwh Reading'!E6-'Kwh Reading'!E5</f>
        <v>2443.0999999996275</v>
      </c>
      <c r="T5" s="2">
        <f>'Kwh Reading'!D6-'Kwh Reading'!D5</f>
        <v>2204.2799999993294</v>
      </c>
      <c r="U5" s="27">
        <f>('Kwh Reading'!O6-'Kwh Reading'!O5)*1000</f>
        <v>219.99999999999886</v>
      </c>
      <c r="V5" s="16">
        <f t="shared" ref="V5:V9" si="0">B5-(SUM(C5:U5))</f>
        <v>6632.6199999994351</v>
      </c>
    </row>
    <row r="6" spans="1:22" x14ac:dyDescent="0.25">
      <c r="A6" s="3">
        <f>'Kwh Reading'!A6</f>
        <v>44442</v>
      </c>
      <c r="B6" s="26">
        <f>TOTAL!E4</f>
        <v>11290.000000001783</v>
      </c>
      <c r="C6" s="4">
        <f>('Kwh Reading'!T7-'Kwh Reading'!T6)*1000</f>
        <v>289.99999999996362</v>
      </c>
      <c r="D6" s="2">
        <f>('Kwh Reading'!F7-'Kwh Reading'!F6)*1000000</f>
        <v>2400.0000000001796</v>
      </c>
      <c r="E6" s="2">
        <f>('Kwh Reading'!C7-'Kwh Reading'!C6)*1000</f>
        <v>250</v>
      </c>
      <c r="F6" s="2">
        <f>('Kwh Reading'!J7-'Kwh Reading'!J6)*1000</f>
        <v>180.00000000000682</v>
      </c>
      <c r="G6" s="2">
        <f>('Kwh Reading'!K7-'Kwh Reading'!K6)*1000</f>
        <v>229.99999999996135</v>
      </c>
      <c r="H6" s="2">
        <f>('Kwh Reading'!L7-'Kwh Reading'!L6)*1000</f>
        <v>160.00000000002501</v>
      </c>
      <c r="I6" s="2">
        <f>('Kwh Reading'!R7-'Kwh Reading'!R6)*1000</f>
        <v>229.99999999998977</v>
      </c>
      <c r="J6" s="2">
        <f>('Kwh Reading'!S7-'Kwh Reading'!S6)*1000</f>
        <v>109.99999999999943</v>
      </c>
      <c r="K6" s="2">
        <f>('Kwh Reading'!I7-'Kwh Reading'!I6)*1000</f>
        <v>259.99999999999091</v>
      </c>
      <c r="L6" s="2">
        <f>('Kwh Reading'!B7-'Kwh Reading'!B6)*1000000</f>
        <v>1399.9999999998458</v>
      </c>
      <c r="M6" s="2">
        <f>('Kwh Reading'!M7-'Kwh Reading'!M6)*1000</f>
        <v>829.99999999992724</v>
      </c>
      <c r="N6" s="2">
        <f>('Kwh Reading'!H7-'Kwh Reading'!H6)*1000</f>
        <v>669.99999999995907</v>
      </c>
      <c r="O6" s="2">
        <f>('Kwh Reading'!P7-'Kwh Reading'!P6)*1000</f>
        <v>950.00000000004547</v>
      </c>
      <c r="P6" s="2">
        <f>('Kwh Reading'!G7-'Kwh Reading'!G6)*1000</f>
        <v>820.00000000005002</v>
      </c>
      <c r="Q6" s="2">
        <f>('Kwh Reading'!Q7-'Kwh Reading'!Q6)*1000</f>
        <v>669.99999999995907</v>
      </c>
      <c r="R6" s="2">
        <f>('Kwh Reading'!N7-'Kwh Reading'!N6)*1000</f>
        <v>559.99999999994543</v>
      </c>
      <c r="S6" s="2">
        <f>'Kwh Reading'!E7-'Kwh Reading'!E6</f>
        <v>2718.7200000006706</v>
      </c>
      <c r="T6" s="2">
        <f>'Kwh Reading'!D7-'Kwh Reading'!D6</f>
        <v>2135.2700000004843</v>
      </c>
      <c r="U6" s="27">
        <f>('Kwh Reading'!O7-'Kwh Reading'!O6)*1000</f>
        <v>229.99999999998977</v>
      </c>
      <c r="V6" s="16">
        <f t="shared" si="0"/>
        <v>-3803.9899999992085</v>
      </c>
    </row>
    <row r="7" spans="1:22" x14ac:dyDescent="0.25">
      <c r="A7" s="3">
        <f>'Kwh Reading'!A7</f>
        <v>44443</v>
      </c>
      <c r="B7" s="26">
        <f>TOTAL!E5</f>
        <v>31480.000000000473</v>
      </c>
      <c r="C7" s="4">
        <f>('Kwh Reading'!T8-'Kwh Reading'!T7)*1000</f>
        <v>470.00000000002728</v>
      </c>
      <c r="D7" s="2">
        <f>('Kwh Reading'!F8-'Kwh Reading'!F7)*1000000</f>
        <v>2299.9999999999686</v>
      </c>
      <c r="E7" s="2">
        <f>('Kwh Reading'!C8-'Kwh Reading'!C7)*1000</f>
        <v>229.99999999998977</v>
      </c>
      <c r="F7" s="2">
        <f>('Kwh Reading'!J8-'Kwh Reading'!J7)*1000</f>
        <v>149.99999999997726</v>
      </c>
      <c r="G7" s="2">
        <f>('Kwh Reading'!K8-'Kwh Reading'!K7)*1000</f>
        <v>200.00000000004547</v>
      </c>
      <c r="H7" s="2">
        <f>('Kwh Reading'!L8-'Kwh Reading'!L7)*1000</f>
        <v>179.9999999999784</v>
      </c>
      <c r="I7" s="2">
        <f>('Kwh Reading'!R8-'Kwh Reading'!R7)*1000</f>
        <v>240.00000000000909</v>
      </c>
      <c r="J7" s="2">
        <f>('Kwh Reading'!S8-'Kwh Reading'!S7)*1000</f>
        <v>119.99999999999034</v>
      </c>
      <c r="K7" s="2">
        <f>('Kwh Reading'!I8-'Kwh Reading'!I7)*1000</f>
        <v>259.99999999999091</v>
      </c>
      <c r="L7" s="2">
        <f>('Kwh Reading'!B8-'Kwh Reading'!B7)*1000000</f>
        <v>1300.0000000000789</v>
      </c>
      <c r="M7" s="2">
        <f>('Kwh Reading'!M8-'Kwh Reading'!M7)*1000</f>
        <v>779.99999999997272</v>
      </c>
      <c r="N7" s="2">
        <f>('Kwh Reading'!H8-'Kwh Reading'!H7)*1000</f>
        <v>639.99999999998636</v>
      </c>
      <c r="O7" s="2">
        <f>('Kwh Reading'!P8-'Kwh Reading'!P7)*1000</f>
        <v>970.00000000002728</v>
      </c>
      <c r="P7" s="2">
        <f>('Kwh Reading'!G8-'Kwh Reading'!G7)*1000</f>
        <v>799.99999999995453</v>
      </c>
      <c r="Q7" s="2">
        <f>('Kwh Reading'!Q8-'Kwh Reading'!Q7)*1000</f>
        <v>710.00000000003638</v>
      </c>
      <c r="R7" s="2">
        <f>('Kwh Reading'!N8-'Kwh Reading'!N7)*1000</f>
        <v>550.00000000006821</v>
      </c>
      <c r="S7" s="2">
        <f>'Kwh Reading'!E8-'Kwh Reading'!E7</f>
        <v>2838.980000000447</v>
      </c>
      <c r="T7" s="2">
        <f>'Kwh Reading'!D8-'Kwh Reading'!D7</f>
        <v>2177.9000000003725</v>
      </c>
      <c r="U7" s="27">
        <f>('Kwh Reading'!O8-'Kwh Reading'!O7)*1000</f>
        <v>229.99999999998977</v>
      </c>
      <c r="V7" s="16">
        <f t="shared" si="0"/>
        <v>16333.119999999562</v>
      </c>
    </row>
    <row r="8" spans="1:22" x14ac:dyDescent="0.25">
      <c r="A8" s="3">
        <f>'Kwh Reading'!A8</f>
        <v>44444</v>
      </c>
      <c r="B8" s="26">
        <f>TOTAL!E6</f>
        <v>0</v>
      </c>
      <c r="C8" s="4">
        <f>('Kwh Reading'!T9-'Kwh Reading'!T8)*1000</f>
        <v>-451060</v>
      </c>
      <c r="D8" s="2">
        <f>('Kwh Reading'!F9-'Kwh Reading'!F8)*1000000</f>
        <v>-2537900</v>
      </c>
      <c r="E8" s="2">
        <f>('Kwh Reading'!C9-'Kwh Reading'!C8)*1000</f>
        <v>-245720</v>
      </c>
      <c r="F8" s="2">
        <f>('Kwh Reading'!J9-'Kwh Reading'!J8)*1000</f>
        <v>-333950</v>
      </c>
      <c r="G8" s="2">
        <f>('Kwh Reading'!K9-'Kwh Reading'!K8)*1000</f>
        <v>-359540</v>
      </c>
      <c r="H8" s="2">
        <f>('Kwh Reading'!L9-'Kwh Reading'!L8)*1000</f>
        <v>-247290</v>
      </c>
      <c r="I8" s="2">
        <f>('Kwh Reading'!R9-'Kwh Reading'!R8)*1000</f>
        <v>-175590</v>
      </c>
      <c r="J8" s="2">
        <f>('Kwh Reading'!S9-'Kwh Reading'!S8)*1000</f>
        <v>-123210</v>
      </c>
      <c r="K8" s="2">
        <f>('Kwh Reading'!I9-'Kwh Reading'!I8)*1000</f>
        <v>-257149.99999999997</v>
      </c>
      <c r="L8" s="2">
        <f>('Kwh Reading'!B9-'Kwh Reading'!B8)*1000000</f>
        <v>-1070500</v>
      </c>
      <c r="M8" s="2">
        <f>('Kwh Reading'!M9-'Kwh Reading'!M8)*1000</f>
        <v>-567800</v>
      </c>
      <c r="N8" s="2">
        <f>('Kwh Reading'!H9-'Kwh Reading'!H8)*1000</f>
        <v>-656410</v>
      </c>
      <c r="O8" s="2">
        <f>('Kwh Reading'!P9-'Kwh Reading'!P8)*1000</f>
        <v>-686190</v>
      </c>
      <c r="P8" s="2">
        <f>('Kwh Reading'!G9-'Kwh Reading'!G8)*1000</f>
        <v>-801630</v>
      </c>
      <c r="Q8" s="2">
        <f>('Kwh Reading'!Q9-'Kwh Reading'!Q8)*1000</f>
        <v>-506610</v>
      </c>
      <c r="R8" s="2">
        <f>('Kwh Reading'!N9-'Kwh Reading'!N8)*1000</f>
        <v>-520190.00000000006</v>
      </c>
      <c r="S8" s="2">
        <f>'Kwh Reading'!E9-'Kwh Reading'!E8</f>
        <v>-8394468.1300000008</v>
      </c>
      <c r="T8" s="2">
        <f>'Kwh Reading'!D9-'Kwh Reading'!D8</f>
        <v>-7635196.2300000004</v>
      </c>
      <c r="U8" s="27">
        <f>('Kwh Reading'!O9-'Kwh Reading'!O8)*1000</f>
        <v>-166450</v>
      </c>
      <c r="V8" s="16">
        <f t="shared" si="0"/>
        <v>25736854.360000003</v>
      </c>
    </row>
    <row r="9" spans="1:22" x14ac:dyDescent="0.25">
      <c r="A9" s="3">
        <f>'Kwh Reading'!A9</f>
        <v>44445</v>
      </c>
      <c r="B9" s="26">
        <f>TOTAL!E7</f>
        <v>0</v>
      </c>
      <c r="C9" s="4">
        <f>('Kwh Reading'!T10-'Kwh Reading'!T9)*1000</f>
        <v>0</v>
      </c>
      <c r="D9" s="2">
        <f>('Kwh Reading'!F10-'Kwh Reading'!F9)*1000000</f>
        <v>0</v>
      </c>
      <c r="E9" s="2">
        <f>('Kwh Reading'!C10-'Kwh Reading'!C9)*1000</f>
        <v>0</v>
      </c>
      <c r="F9" s="2">
        <f>('Kwh Reading'!J10-'Kwh Reading'!J9)*1000</f>
        <v>0</v>
      </c>
      <c r="G9" s="2">
        <f>('Kwh Reading'!K10-'Kwh Reading'!K9)*1000</f>
        <v>0</v>
      </c>
      <c r="H9" s="2">
        <f>('Kwh Reading'!L10-'Kwh Reading'!L9)*1000</f>
        <v>0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0</v>
      </c>
      <c r="L9" s="2">
        <f>('Kwh Reading'!B10-'Kwh Reading'!B9)*1000000</f>
        <v>0</v>
      </c>
      <c r="M9" s="2">
        <f>('Kwh Reading'!M10-'Kwh Reading'!M9)*1000</f>
        <v>0</v>
      </c>
      <c r="N9" s="2">
        <f>('Kwh Reading'!H10-'Kwh Reading'!H9)*1000</f>
        <v>0</v>
      </c>
      <c r="O9" s="2">
        <f>('Kwh Reading'!P10-'Kwh Reading'!P9)*1000</f>
        <v>0</v>
      </c>
      <c r="P9" s="2">
        <f>('Kwh Reading'!G10-'Kwh Reading'!G9)*1000</f>
        <v>0</v>
      </c>
      <c r="Q9" s="2">
        <f>('Kwh Reading'!Q10-'Kwh Reading'!Q9)*1000</f>
        <v>0</v>
      </c>
      <c r="R9" s="2">
        <f>('Kwh Reading'!N10-'Kwh Reading'!N9)*1000</f>
        <v>0</v>
      </c>
      <c r="S9" s="2">
        <f>'Kwh Reading'!E10-'Kwh Reading'!E9</f>
        <v>0</v>
      </c>
      <c r="T9" s="2">
        <f>'Kwh Reading'!D10-'Kwh Reading'!D9</f>
        <v>0</v>
      </c>
      <c r="U9" s="27">
        <f>('Kwh Reading'!O10-'Kwh Reading'!O9)*1000</f>
        <v>0</v>
      </c>
      <c r="V9" s="16">
        <f t="shared" si="0"/>
        <v>0</v>
      </c>
    </row>
    <row r="10" spans="1:22" x14ac:dyDescent="0.25">
      <c r="A10" s="3">
        <f>'Kwh Reading'!A10</f>
        <v>44446</v>
      </c>
      <c r="B10" s="26">
        <f>TOTAL!E8</f>
        <v>0</v>
      </c>
      <c r="C10" s="4">
        <f>('Kwh Reading'!T11-'Kwh Reading'!T10)*1000</f>
        <v>0</v>
      </c>
      <c r="D10" s="2">
        <f>('Kwh Reading'!F11-'Kwh Reading'!F10)*1000000</f>
        <v>0</v>
      </c>
      <c r="E10" s="2">
        <f>('Kwh Reading'!C11-'Kwh Reading'!C10)*1000</f>
        <v>0</v>
      </c>
      <c r="F10" s="2">
        <f>('Kwh Reading'!J11-'Kwh Reading'!J10)*1000</f>
        <v>0</v>
      </c>
      <c r="G10" s="2">
        <f>('Kwh Reading'!K11-'Kwh Reading'!K10)*1000</f>
        <v>0</v>
      </c>
      <c r="H10" s="2">
        <f>('Kwh Reading'!L11-'Kwh Reading'!L10)*1000</f>
        <v>0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0</v>
      </c>
      <c r="L10" s="2">
        <f>('Kwh Reading'!B11-'Kwh Reading'!B10)*1000000</f>
        <v>0</v>
      </c>
      <c r="M10" s="2">
        <f>('Kwh Reading'!M11-'Kwh Reading'!M10)*1000</f>
        <v>0</v>
      </c>
      <c r="N10" s="2">
        <f>('Kwh Reading'!H11-'Kwh Reading'!H10)*1000</f>
        <v>0</v>
      </c>
      <c r="O10" s="2">
        <f>('Kwh Reading'!P11-'Kwh Reading'!P10)*1000</f>
        <v>0</v>
      </c>
      <c r="P10" s="2">
        <f>('Kwh Reading'!G11-'Kwh Reading'!G10)*1000</f>
        <v>0</v>
      </c>
      <c r="Q10" s="2">
        <f>('Kwh Reading'!Q11-'Kwh Reading'!Q10)*1000</f>
        <v>0</v>
      </c>
      <c r="R10" s="2">
        <f>('Kwh Reading'!N11-'Kwh Reading'!N10)*1000</f>
        <v>0</v>
      </c>
      <c r="S10" s="34">
        <f>'Kwh Reading'!E11-'Kwh Reading'!E10</f>
        <v>0</v>
      </c>
      <c r="T10" s="34">
        <f>'Kwh Reading'!D11-'Kwh Reading'!D10</f>
        <v>0</v>
      </c>
      <c r="U10" s="27">
        <f>('Kwh Reading'!O11-'Kwh Reading'!O10)*1000</f>
        <v>0</v>
      </c>
      <c r="V10" s="16">
        <f t="shared" ref="V10:V34" si="1">B10-(SUM(C10:U10))</f>
        <v>0</v>
      </c>
    </row>
    <row r="11" spans="1:22" x14ac:dyDescent="0.25">
      <c r="A11" s="3">
        <f>'Kwh Reading'!A11</f>
        <v>44447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4">
        <f>'Kwh Reading'!E12-'Kwh Reading'!E11</f>
        <v>0</v>
      </c>
      <c r="T11" s="34">
        <f>'Kwh Reading'!D12-'Kwh Reading'!D11</f>
        <v>0</v>
      </c>
      <c r="U11" s="27">
        <f>('Kwh Reading'!O12-'Kwh Reading'!O11)*1000</f>
        <v>0</v>
      </c>
      <c r="V11" s="16">
        <f t="shared" si="1"/>
        <v>0</v>
      </c>
    </row>
    <row r="12" spans="1:22" x14ac:dyDescent="0.25">
      <c r="A12" s="3">
        <f>'Kwh Reading'!A12</f>
        <v>44448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4">
        <f>'Kwh Reading'!E13-'Kwh Reading'!E12</f>
        <v>0</v>
      </c>
      <c r="T12" s="34">
        <f>'Kwh Reading'!D13-'Kwh Reading'!D12</f>
        <v>0</v>
      </c>
      <c r="U12" s="27">
        <f>('Kwh Reading'!O13-'Kwh Reading'!O12)*1000</f>
        <v>0</v>
      </c>
      <c r="V12" s="16">
        <f t="shared" si="1"/>
        <v>0</v>
      </c>
    </row>
    <row r="13" spans="1:22" x14ac:dyDescent="0.25">
      <c r="A13" s="3">
        <f>'Kwh Reading'!A13</f>
        <v>44449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4">
        <f>'Kwh Reading'!E14-'Kwh Reading'!E13</f>
        <v>0</v>
      </c>
      <c r="T13" s="34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44450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4">
        <f>'Kwh Reading'!E15-'Kwh Reading'!E14</f>
        <v>0</v>
      </c>
      <c r="T14" s="34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44451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44452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44453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44454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44455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44456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44457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44458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44459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44460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44461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44462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44463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44464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44465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44466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44467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44468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44469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44470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52</v>
      </c>
      <c r="B35" s="79">
        <f>SUM(B4:B34)</f>
        <v>89480.000000000728</v>
      </c>
      <c r="C35" s="75">
        <f t="shared" ref="C35" si="2">SUM(C4:C34)</f>
        <v>-449370</v>
      </c>
      <c r="D35" s="75">
        <f t="shared" ref="D35" si="3">SUM(D4:D34)</f>
        <v>-2528500</v>
      </c>
      <c r="E35" s="75">
        <f t="shared" ref="E35" si="4">SUM(E4:E34)</f>
        <v>-244760</v>
      </c>
      <c r="F35" s="75">
        <f t="shared" ref="F35" si="5">SUM(F4:F34)</f>
        <v>-333200</v>
      </c>
      <c r="G35" s="75">
        <f t="shared" ref="G35:U35" si="6">SUM(G4:G34)</f>
        <v>-358670</v>
      </c>
      <c r="H35" s="75">
        <f t="shared" si="6"/>
        <v>-246580.00000000003</v>
      </c>
      <c r="I35" s="75">
        <f t="shared" si="6"/>
        <v>-174590</v>
      </c>
      <c r="J35" s="75">
        <f t="shared" si="6"/>
        <v>-122740</v>
      </c>
      <c r="K35" s="75">
        <f t="shared" si="6"/>
        <v>-256100.00000000003</v>
      </c>
      <c r="L35" s="75">
        <f t="shared" si="6"/>
        <v>-1065000</v>
      </c>
      <c r="M35" s="75">
        <f t="shared" si="6"/>
        <v>-564620</v>
      </c>
      <c r="N35" s="75">
        <f t="shared" si="6"/>
        <v>-653780</v>
      </c>
      <c r="O35" s="75">
        <f t="shared" si="6"/>
        <v>-682279.99999999988</v>
      </c>
      <c r="P35" s="75">
        <f t="shared" si="6"/>
        <v>-798320</v>
      </c>
      <c r="Q35" s="75">
        <f t="shared" si="6"/>
        <v>-503899.99999999994</v>
      </c>
      <c r="R35" s="75">
        <f t="shared" si="6"/>
        <v>-517910</v>
      </c>
      <c r="S35" s="75">
        <f t="shared" si="6"/>
        <v>-8383537.8399999999</v>
      </c>
      <c r="T35" s="75">
        <f t="shared" si="6"/>
        <v>-7626409.6399999997</v>
      </c>
      <c r="U35" s="75">
        <f t="shared" si="6"/>
        <v>-165550.00000000003</v>
      </c>
      <c r="V35" s="75">
        <f>SUM(V4:V34)</f>
        <v>25765297.48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3" sqref="C33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5" t="s">
        <v>53</v>
      </c>
      <c r="D2" s="35" t="s">
        <v>54</v>
      </c>
      <c r="E2" s="35" t="s">
        <v>55</v>
      </c>
      <c r="F2" s="35" t="s">
        <v>56</v>
      </c>
      <c r="G2" s="20" t="s">
        <v>57</v>
      </c>
      <c r="H2" s="73" t="s">
        <v>58</v>
      </c>
      <c r="I2" s="23" t="s">
        <v>40</v>
      </c>
      <c r="J2" s="23" t="s">
        <v>59</v>
      </c>
      <c r="K2" s="23" t="s">
        <v>60</v>
      </c>
      <c r="L2" s="38" t="s">
        <v>61</v>
      </c>
    </row>
    <row r="3" spans="1:12" x14ac:dyDescent="0.25">
      <c r="A3" s="14">
        <f>'Kwh Reading'!A4</f>
        <v>44440</v>
      </c>
      <c r="B3" s="83">
        <f>TOTAL!E2</f>
        <v>21730.000000000473</v>
      </c>
      <c r="C3" s="1">
        <f>'Kwh Consumption'!C4</f>
        <v>480.00000000001819</v>
      </c>
      <c r="D3" s="1">
        <f>'Kwh Consumption'!D4</f>
        <v>2399.9999999997358</v>
      </c>
      <c r="E3" s="1">
        <f>'Kwh Consumption'!E4</f>
        <v>240.00000000000909</v>
      </c>
      <c r="F3" s="1">
        <f>('Kwh Consumption'!F4+'Kwh Consumption'!G4+'Kwh Consumption'!H4)</f>
        <v>660.00000000002501</v>
      </c>
      <c r="G3" s="16">
        <f>('Kwh Consumption'!I4+'Kwh Consumption'!J4)</f>
        <v>390.00000000001478</v>
      </c>
      <c r="H3" s="1">
        <f>('Kwh Consumption'!K4+'Kwh Consumption'!L4)</f>
        <v>1670.0000000000496</v>
      </c>
      <c r="I3" s="1">
        <f>('Kwh Consumption'!M4+'Kwh Consumption'!N4+'Kwh Consumption'!O4+'Kwh Consumption'!P4+'Kwh Consumption'!Q4+'Kwh Consumption'!R4)</f>
        <v>4980.0000000000746</v>
      </c>
      <c r="J3" s="1">
        <f>('Kwh Consumption'!S4+'Kwh Consumption'!T4)</f>
        <v>5198.6300000008196</v>
      </c>
      <c r="K3" s="1">
        <f>'Kwh Consumption'!U4</f>
        <v>219.99999999999886</v>
      </c>
      <c r="L3" s="32">
        <f t="shared" ref="L3:L33" si="0">B3-C3-D3-E3-F3-G3-H3-I3-J3-K3</f>
        <v>5491.3699999997307</v>
      </c>
    </row>
    <row r="4" spans="1:12" x14ac:dyDescent="0.25">
      <c r="A4" s="14">
        <f>'Kwh Reading'!A5</f>
        <v>44441</v>
      </c>
      <c r="B4" s="83">
        <f>TOTAL!E3</f>
        <v>21189.999999998465</v>
      </c>
      <c r="C4" s="1">
        <f>'Kwh Consumption'!C5</f>
        <v>449.99999999998863</v>
      </c>
      <c r="D4" s="1">
        <f>'Kwh Consumption'!D5</f>
        <v>2299.9999999999686</v>
      </c>
      <c r="E4" s="1">
        <f>'Kwh Consumption'!E5</f>
        <v>240.00000000000909</v>
      </c>
      <c r="F4" s="1">
        <f>('Kwh Consumption'!F5+'Kwh Consumption'!G5+'Kwh Consumption'!H5)</f>
        <v>569.99999999996476</v>
      </c>
      <c r="G4" s="16">
        <f>('Kwh Consumption'!I5+'Kwh Consumption'!J5)</f>
        <v>379.99999999999545</v>
      </c>
      <c r="H4" s="1">
        <f>('Kwh Consumption'!K5+'Kwh Consumption'!L5)</f>
        <v>1660.0000000000587</v>
      </c>
      <c r="I4" s="1">
        <f>('Kwh Consumption'!M5+'Kwh Consumption'!N5+'Kwh Consumption'!O5+'Kwh Consumption'!P5+'Kwh Consumption'!Q5+'Kwh Consumption'!R5)</f>
        <v>4090.0000000000887</v>
      </c>
      <c r="J4" s="1">
        <f>('Kwh Consumption'!S5+'Kwh Consumption'!T5)</f>
        <v>4647.3799999989569</v>
      </c>
      <c r="K4" s="1">
        <f>'Kwh Consumption'!U5</f>
        <v>219.99999999999886</v>
      </c>
      <c r="L4" s="32">
        <f t="shared" si="0"/>
        <v>6632.6199999994378</v>
      </c>
    </row>
    <row r="5" spans="1:12" x14ac:dyDescent="0.25">
      <c r="A5" s="14">
        <f>'Kwh Reading'!A6</f>
        <v>44442</v>
      </c>
      <c r="B5" s="83">
        <f>TOTAL!E4</f>
        <v>11290.000000001783</v>
      </c>
      <c r="C5" s="1">
        <f>'Kwh Consumption'!C6</f>
        <v>289.99999999996362</v>
      </c>
      <c r="D5" s="1">
        <f>'Kwh Consumption'!D6</f>
        <v>2400.0000000001796</v>
      </c>
      <c r="E5" s="1">
        <f>'Kwh Consumption'!E6</f>
        <v>250</v>
      </c>
      <c r="F5" s="1">
        <f>('Kwh Consumption'!F6+'Kwh Consumption'!G6+'Kwh Consumption'!H6)</f>
        <v>569.99999999999318</v>
      </c>
      <c r="G5" s="16">
        <f>('Kwh Consumption'!I6+'Kwh Consumption'!J6)</f>
        <v>339.9999999999892</v>
      </c>
      <c r="H5" s="1">
        <f>('Kwh Consumption'!K6+'Kwh Consumption'!L6)</f>
        <v>1659.9999999998367</v>
      </c>
      <c r="I5" s="1">
        <f>('Kwh Consumption'!M6+'Kwh Consumption'!N6+'Kwh Consumption'!O6+'Kwh Consumption'!P6+'Kwh Consumption'!Q6+'Kwh Consumption'!R6)</f>
        <v>4499.9999999998863</v>
      </c>
      <c r="J5" s="1">
        <f>('Kwh Consumption'!S6+'Kwh Consumption'!T6)</f>
        <v>4853.9900000011548</v>
      </c>
      <c r="K5" s="1">
        <f>'Kwh Consumption'!U6</f>
        <v>229.99999999998977</v>
      </c>
      <c r="L5" s="32">
        <f t="shared" si="0"/>
        <v>-3803.9899999992103</v>
      </c>
    </row>
    <row r="6" spans="1:12" x14ac:dyDescent="0.25">
      <c r="A6" s="14">
        <f>'Kwh Reading'!A7</f>
        <v>44443</v>
      </c>
      <c r="B6" s="83">
        <f>TOTAL!E5</f>
        <v>31480.000000000473</v>
      </c>
      <c r="C6" s="1">
        <f>'Kwh Consumption'!C7</f>
        <v>470.00000000002728</v>
      </c>
      <c r="D6" s="1">
        <f>'Kwh Consumption'!D7</f>
        <v>2299.9999999999686</v>
      </c>
      <c r="E6" s="1">
        <f>'Kwh Consumption'!E7</f>
        <v>229.99999999998977</v>
      </c>
      <c r="F6" s="1">
        <f>('Kwh Consumption'!F7+'Kwh Consumption'!G7+'Kwh Consumption'!H7)</f>
        <v>530.00000000000114</v>
      </c>
      <c r="G6" s="16">
        <f>('Kwh Consumption'!I7+'Kwh Consumption'!J7)</f>
        <v>359.99999999999943</v>
      </c>
      <c r="H6" s="1">
        <f>('Kwh Consumption'!K7+'Kwh Consumption'!L7)</f>
        <v>1560.0000000000698</v>
      </c>
      <c r="I6" s="1">
        <f>('Kwh Consumption'!M7+'Kwh Consumption'!N7+'Kwh Consumption'!O7+'Kwh Consumption'!P7+'Kwh Consumption'!Q7+'Kwh Consumption'!R7)</f>
        <v>4450.0000000000455</v>
      </c>
      <c r="J6" s="1">
        <f>('Kwh Consumption'!S7+'Kwh Consumption'!T7)</f>
        <v>5016.8800000008196</v>
      </c>
      <c r="K6" s="1">
        <f>'Kwh Consumption'!U7</f>
        <v>229.99999999998977</v>
      </c>
      <c r="L6" s="32">
        <f t="shared" si="0"/>
        <v>16333.119999999562</v>
      </c>
    </row>
    <row r="7" spans="1:12" x14ac:dyDescent="0.25">
      <c r="A7" s="14">
        <f>'Kwh Reading'!A8</f>
        <v>44444</v>
      </c>
      <c r="B7" s="83">
        <f>TOTAL!E6</f>
        <v>0</v>
      </c>
      <c r="C7" s="1">
        <f>'Kwh Consumption'!C8</f>
        <v>-451060</v>
      </c>
      <c r="D7" s="1">
        <f>'Kwh Consumption'!D8</f>
        <v>-2537900</v>
      </c>
      <c r="E7" s="1">
        <f>'Kwh Consumption'!E8</f>
        <v>-245720</v>
      </c>
      <c r="F7" s="1">
        <f>('Kwh Consumption'!F8+'Kwh Consumption'!G8+'Kwh Consumption'!H8)</f>
        <v>-940780</v>
      </c>
      <c r="G7" s="16">
        <f>('Kwh Consumption'!I8+'Kwh Consumption'!J8)</f>
        <v>-298800</v>
      </c>
      <c r="H7" s="1">
        <f>('Kwh Consumption'!K8+'Kwh Consumption'!L8)</f>
        <v>-1327650</v>
      </c>
      <c r="I7" s="1">
        <f>('Kwh Consumption'!M8+'Kwh Consumption'!N8+'Kwh Consumption'!O8+'Kwh Consumption'!P8+'Kwh Consumption'!Q8+'Kwh Consumption'!R8)</f>
        <v>-3738830</v>
      </c>
      <c r="J7" s="1">
        <f>('Kwh Consumption'!S8+'Kwh Consumption'!T8)</f>
        <v>-16029664.360000001</v>
      </c>
      <c r="K7" s="1">
        <f>'Kwh Consumption'!U8</f>
        <v>-166450</v>
      </c>
      <c r="L7" s="32">
        <f t="shared" si="0"/>
        <v>25736854.359999999</v>
      </c>
    </row>
    <row r="8" spans="1:12" x14ac:dyDescent="0.25">
      <c r="A8" s="14">
        <f>'Kwh Reading'!A9</f>
        <v>44445</v>
      </c>
      <c r="B8" s="83">
        <f>TOTAL!E7</f>
        <v>0</v>
      </c>
      <c r="C8" s="1">
        <f>'Kwh Consumption'!C9</f>
        <v>0</v>
      </c>
      <c r="D8" s="1">
        <f>'Kwh Consumption'!D9</f>
        <v>0</v>
      </c>
      <c r="E8" s="1">
        <f>'Kwh Consumption'!E9</f>
        <v>0</v>
      </c>
      <c r="F8" s="1">
        <f>('Kwh Consumption'!F9+'Kwh Consumption'!G9+'Kwh Consumption'!H9)</f>
        <v>0</v>
      </c>
      <c r="G8" s="16">
        <f>('Kwh Consumption'!I9+'Kwh Consumption'!J9)</f>
        <v>0</v>
      </c>
      <c r="H8" s="1">
        <f>('Kwh Consumption'!K9+'Kwh Consumption'!L9)</f>
        <v>0</v>
      </c>
      <c r="I8" s="1">
        <f>('Kwh Consumption'!M9+'Kwh Consumption'!N9+'Kwh Consumption'!O9+'Kwh Consumption'!P9+'Kwh Consumption'!Q9+'Kwh Consumption'!R9)</f>
        <v>0</v>
      </c>
      <c r="J8" s="1">
        <f>('Kwh Consumption'!S9+'Kwh Consumption'!T9)</f>
        <v>0</v>
      </c>
      <c r="K8" s="1">
        <f>'Kwh Consumption'!U9</f>
        <v>0</v>
      </c>
      <c r="L8" s="32">
        <f t="shared" si="0"/>
        <v>0</v>
      </c>
    </row>
    <row r="9" spans="1:12" x14ac:dyDescent="0.25">
      <c r="A9" s="14">
        <f>'Kwh Reading'!A10</f>
        <v>44446</v>
      </c>
      <c r="B9" s="83">
        <f>TOTAL!E8</f>
        <v>0</v>
      </c>
      <c r="C9" s="1">
        <f>'Kwh Consumption'!C10</f>
        <v>0</v>
      </c>
      <c r="D9" s="1">
        <f>'Kwh Consumption'!D10</f>
        <v>0</v>
      </c>
      <c r="E9" s="1">
        <f>'Kwh Consumption'!E10</f>
        <v>0</v>
      </c>
      <c r="F9" s="1">
        <f>('Kwh Consumption'!F10+'Kwh Consumption'!G10+'Kwh Consumption'!H10)</f>
        <v>0</v>
      </c>
      <c r="G9" s="16">
        <f>('Kwh Consumption'!I10+'Kwh Consumption'!J10)</f>
        <v>0</v>
      </c>
      <c r="H9" s="1">
        <f>('Kwh Consumption'!K10+'Kwh Consumption'!L10)</f>
        <v>0</v>
      </c>
      <c r="I9" s="1">
        <f>('Kwh Consumption'!M10+'Kwh Consumption'!N10+'Kwh Consumption'!O10+'Kwh Consumption'!P10+'Kwh Consumption'!Q10+'Kwh Consumption'!R10)</f>
        <v>0</v>
      </c>
      <c r="J9" s="1">
        <f>('Kwh Consumption'!S10+'Kwh Consumption'!T10)</f>
        <v>0</v>
      </c>
      <c r="K9" s="1">
        <f>'Kwh Consumption'!U10</f>
        <v>0</v>
      </c>
      <c r="L9" s="32">
        <f t="shared" si="0"/>
        <v>0</v>
      </c>
    </row>
    <row r="10" spans="1:12" x14ac:dyDescent="0.25">
      <c r="A10" s="14">
        <f>'Kwh Reading'!A11</f>
        <v>44447</v>
      </c>
      <c r="B10" s="83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2">
        <f t="shared" si="0"/>
        <v>0</v>
      </c>
    </row>
    <row r="11" spans="1:12" x14ac:dyDescent="0.25">
      <c r="A11" s="14">
        <f>'Kwh Reading'!A12</f>
        <v>44448</v>
      </c>
      <c r="B11" s="83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2">
        <f t="shared" si="0"/>
        <v>0</v>
      </c>
    </row>
    <row r="12" spans="1:12" x14ac:dyDescent="0.25">
      <c r="A12" s="14">
        <f>'Kwh Reading'!A13</f>
        <v>44449</v>
      </c>
      <c r="B12" s="83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2">
        <f t="shared" si="0"/>
        <v>0</v>
      </c>
    </row>
    <row r="13" spans="1:12" x14ac:dyDescent="0.25">
      <c r="A13" s="14">
        <f>'Kwh Reading'!A14</f>
        <v>44450</v>
      </c>
      <c r="B13" s="83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2">
        <f t="shared" si="0"/>
        <v>0</v>
      </c>
    </row>
    <row r="14" spans="1:12" x14ac:dyDescent="0.25">
      <c r="A14" s="14">
        <f>'Kwh Reading'!A15</f>
        <v>44451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44452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44453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44454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44455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44456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44457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44458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44459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44460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44461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44462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44463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44464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44465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44466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44467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44468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44469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44470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120</v>
      </c>
      <c r="B34" s="75">
        <f>SUM(B3:B33)</f>
        <v>85690.000000001193</v>
      </c>
      <c r="C34" s="75">
        <f>SUM(C3:C33)</f>
        <v>-449370</v>
      </c>
      <c r="D34" s="75">
        <f t="shared" ref="D34:L34" si="1">SUM(D3:D33)</f>
        <v>-2528500</v>
      </c>
      <c r="E34" s="75">
        <f t="shared" si="1"/>
        <v>-244760</v>
      </c>
      <c r="F34" s="75">
        <f t="shared" si="1"/>
        <v>-938450</v>
      </c>
      <c r="G34" s="75">
        <f t="shared" si="1"/>
        <v>-297330</v>
      </c>
      <c r="H34" s="75">
        <f t="shared" si="1"/>
        <v>-1321100</v>
      </c>
      <c r="I34" s="75">
        <f t="shared" si="1"/>
        <v>-3720810</v>
      </c>
      <c r="J34" s="75">
        <f t="shared" si="1"/>
        <v>-16009947.48</v>
      </c>
      <c r="K34" s="75">
        <f t="shared" si="1"/>
        <v>-165550.00000000003</v>
      </c>
      <c r="L34" s="75">
        <f t="shared" si="1"/>
        <v>25761507.48</v>
      </c>
      <c r="M34" s="84">
        <f>C34+D34+E34+F34+G34+H34+I34+J34+K34+L34</f>
        <v>85690</v>
      </c>
    </row>
    <row r="36" spans="1:13" ht="15.75" x14ac:dyDescent="0.25">
      <c r="A36" s="85" t="s">
        <v>63</v>
      </c>
      <c r="B36" s="86">
        <f>TOTAL!F2</f>
        <v>0.15</v>
      </c>
      <c r="C36" s="75">
        <f>C34*B36</f>
        <v>-67405.5</v>
      </c>
      <c r="D36" s="75">
        <f>D34*B36</f>
        <v>-379275</v>
      </c>
      <c r="E36" s="75">
        <f>E34*B36</f>
        <v>-36714</v>
      </c>
      <c r="F36" s="75">
        <f>F34*B36</f>
        <v>-140767.5</v>
      </c>
      <c r="G36" s="75">
        <f>G34*B36</f>
        <v>-44599.5</v>
      </c>
      <c r="H36" s="75">
        <f>H34*B36</f>
        <v>-198165</v>
      </c>
      <c r="I36" s="75">
        <f>I34*B36</f>
        <v>-558121.5</v>
      </c>
      <c r="J36" s="75">
        <f>J34*B36</f>
        <v>-2401492.122</v>
      </c>
      <c r="K36" s="75">
        <f>K34*B36</f>
        <v>-24832.500000000004</v>
      </c>
      <c r="L36" s="75">
        <f>L34*B36</f>
        <v>3864226.122</v>
      </c>
      <c r="M36" s="84">
        <f>C36+D36+E36+F36+G36+H36+I36+J36+K36+L36</f>
        <v>12853.5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62</v>
      </c>
      <c r="C2" s="36" t="s">
        <v>63</v>
      </c>
      <c r="D2" s="35" t="s">
        <v>64</v>
      </c>
      <c r="E2" s="35" t="s">
        <v>65</v>
      </c>
      <c r="F2" s="36" t="s">
        <v>66</v>
      </c>
      <c r="G2" s="35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44440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72.000000000002728</v>
      </c>
      <c r="E3" s="1">
        <f>'Kwh Consumption'!D4*' Kwh area wise $ '!B3</f>
        <v>359.99999999996038</v>
      </c>
      <c r="F3" s="1">
        <f>'Kwh Consumption'!E4*' Kwh area wise $ '!B3</f>
        <v>36.000000000001364</v>
      </c>
      <c r="G3" s="1">
        <f>('Kwh Consumption'!F4+'Kwh Consumption'!G4+'Kwh Consumption'!H4)*' Kwh area wise $ '!B3</f>
        <v>99.000000000003752</v>
      </c>
      <c r="H3" s="16">
        <f>('Kwh Consumption'!I4+'Kwh Consumption'!J4)*' Kwh area wise $ '!B3</f>
        <v>58.500000000002217</v>
      </c>
      <c r="I3" s="1">
        <f>('Kwh Consumption'!K4+'Kwh Consumption'!L4)*' Kwh area wise $ '!B3</f>
        <v>250.50000000000742</v>
      </c>
      <c r="J3" s="1">
        <f>('Kwh Consumption'!M4+'Kwh Consumption'!N4+'Kwh Consumption'!O4+'Kwh Consumption'!P4+'Kwh Consumption'!Q4+'Kwh Consumption'!R4)*' Kwh area wise $ '!B3</f>
        <v>747.00000000001114</v>
      </c>
      <c r="K3" s="1">
        <f>('Kwh Consumption'!S4+'Kwh Consumption'!T4)*' Kwh area wise $ '!B3</f>
        <v>779.79450000012287</v>
      </c>
      <c r="L3" s="1">
        <f>'Kwh Consumption'!U4*' Kwh area wise $ '!B3</f>
        <v>32.999999999999829</v>
      </c>
      <c r="M3" s="1">
        <f>'Kwh Consumption'!V4*' Kwh area wise $ '!B3</f>
        <v>1392.2054999998882</v>
      </c>
    </row>
    <row r="4" spans="1:13" x14ac:dyDescent="0.25">
      <c r="A4" s="14">
        <f>'Kwh Reading'!A5</f>
        <v>44441</v>
      </c>
      <c r="B4" s="11">
        <f>TOTAL!F3</f>
        <v>0.15</v>
      </c>
      <c r="C4" s="11">
        <f>'Kwh Consumption'!B5*' Kwh area wise $ '!B4</f>
        <v>3178.4999999997694</v>
      </c>
      <c r="D4" s="1">
        <f>'Kwh Consumption'!C5*' Kwh area wise $ '!B4</f>
        <v>67.499999999998295</v>
      </c>
      <c r="E4" s="1">
        <f>'Kwh Consumption'!D5*' Kwh area wise $ '!B4</f>
        <v>344.99999999999528</v>
      </c>
      <c r="F4" s="1">
        <f>'Kwh Consumption'!E5*' Kwh area wise $ '!B4</f>
        <v>36.000000000001364</v>
      </c>
      <c r="G4" s="1">
        <f>('Kwh Consumption'!F5+'Kwh Consumption'!G5+'Kwh Consumption'!H5)*' Kwh area wise $ '!B4</f>
        <v>85.499999999994714</v>
      </c>
      <c r="H4" s="16">
        <f>('Kwh Consumption'!I5+'Kwh Consumption'!J5)*' Kwh area wise $ '!B4</f>
        <v>56.999999999999318</v>
      </c>
      <c r="I4" s="1">
        <f>('Kwh Consumption'!K5+'Kwh Consumption'!L5)*' Kwh area wise $ '!B4</f>
        <v>249.00000000000878</v>
      </c>
      <c r="J4" s="1">
        <f>('Kwh Consumption'!M5+'Kwh Consumption'!N5+'Kwh Consumption'!O5+'Kwh Consumption'!P5+'Kwh Consumption'!Q5+'Kwh Consumption'!R5)*' Kwh area wise $ '!B4</f>
        <v>613.5000000000133</v>
      </c>
      <c r="K4" s="1">
        <f>('Kwh Consumption'!S5+'Kwh Consumption'!T5)*' Kwh area wise $ '!B4</f>
        <v>697.10699999984354</v>
      </c>
      <c r="L4" s="1">
        <f>'Kwh Consumption'!U5*' Kwh area wise $ '!B4</f>
        <v>32.999999999999829</v>
      </c>
      <c r="M4" s="1">
        <f>'Kwh Consumption'!V5*' Kwh area wise $ '!B4</f>
        <v>994.89299999991522</v>
      </c>
    </row>
    <row r="5" spans="1:13" x14ac:dyDescent="0.25">
      <c r="A5" s="14">
        <f>'Kwh Reading'!A6</f>
        <v>44442</v>
      </c>
      <c r="B5" s="11">
        <f>TOTAL!F4</f>
        <v>0.15</v>
      </c>
      <c r="C5" s="11">
        <f>'Kwh Consumption'!B6*' Kwh area wise $ '!B5</f>
        <v>1693.5000000002674</v>
      </c>
      <c r="D5" s="1">
        <f>'Kwh Consumption'!C6*' Kwh area wise $ '!B5</f>
        <v>43.499999999994543</v>
      </c>
      <c r="E5" s="1">
        <f>'Kwh Consumption'!D6*' Kwh area wise $ '!B5</f>
        <v>360.00000000002694</v>
      </c>
      <c r="F5" s="1">
        <f>'Kwh Consumption'!E6*' Kwh area wise $ '!B5</f>
        <v>37.5</v>
      </c>
      <c r="G5" s="1">
        <f>('Kwh Consumption'!F6+'Kwh Consumption'!G6+'Kwh Consumption'!H6)*' Kwh area wise $ '!B5</f>
        <v>85.499999999998977</v>
      </c>
      <c r="H5" s="16">
        <f>('Kwh Consumption'!I6+'Kwh Consumption'!J6)*' Kwh area wise $ '!B5</f>
        <v>50.99999999999838</v>
      </c>
      <c r="I5" s="1">
        <f>('Kwh Consumption'!K6+'Kwh Consumption'!L6)*' Kwh area wise $ '!B5</f>
        <v>248.9999999999755</v>
      </c>
      <c r="J5" s="1">
        <f>('Kwh Consumption'!M6+'Kwh Consumption'!N6+'Kwh Consumption'!O6+'Kwh Consumption'!P6+'Kwh Consumption'!Q6+'Kwh Consumption'!R6)*' Kwh area wise $ '!B5</f>
        <v>674.99999999998295</v>
      </c>
      <c r="K5" s="1">
        <f>('Kwh Consumption'!S6+'Kwh Consumption'!T6)*' Kwh area wise $ '!B5</f>
        <v>728.0985000001732</v>
      </c>
      <c r="L5" s="1">
        <f>'Kwh Consumption'!U6*' Kwh area wise $ '!B5</f>
        <v>34.499999999998465</v>
      </c>
      <c r="M5" s="1">
        <f>'Kwh Consumption'!V6*' Kwh area wise $ '!B5</f>
        <v>-570.59849999988126</v>
      </c>
    </row>
    <row r="6" spans="1:13" x14ac:dyDescent="0.25">
      <c r="A6" s="14">
        <f>'Kwh Reading'!A7</f>
        <v>44443</v>
      </c>
      <c r="B6" s="11">
        <f>TOTAL!F5</f>
        <v>0.15</v>
      </c>
      <c r="C6" s="11">
        <f>'Kwh Consumption'!B7*' Kwh area wise $ '!B6</f>
        <v>4722.0000000000709</v>
      </c>
      <c r="D6" s="1">
        <f>'Kwh Consumption'!C7*' Kwh area wise $ '!B6</f>
        <v>70.500000000004093</v>
      </c>
      <c r="E6" s="1">
        <f>'Kwh Consumption'!D7*' Kwh area wise $ '!B6</f>
        <v>344.99999999999528</v>
      </c>
      <c r="F6" s="1">
        <f>'Kwh Consumption'!E7*' Kwh area wise $ '!B6</f>
        <v>34.499999999998465</v>
      </c>
      <c r="G6" s="1">
        <f>('Kwh Consumption'!F7+'Kwh Consumption'!G7+'Kwh Consumption'!H7)*' Kwh area wise $ '!B6</f>
        <v>79.500000000000171</v>
      </c>
      <c r="H6" s="16">
        <f>('Kwh Consumption'!I7+'Kwh Consumption'!J7)*' Kwh area wise $ '!B6</f>
        <v>53.999999999999915</v>
      </c>
      <c r="I6" s="1">
        <f>('Kwh Consumption'!K7+'Kwh Consumption'!L7)*' Kwh area wise $ '!B6</f>
        <v>234.00000000001046</v>
      </c>
      <c r="J6" s="1">
        <f>('Kwh Consumption'!M7+'Kwh Consumption'!N7+'Kwh Consumption'!O7+'Kwh Consumption'!P7+'Kwh Consumption'!Q7+'Kwh Consumption'!R7)*' Kwh area wise $ '!B6</f>
        <v>667.50000000000682</v>
      </c>
      <c r="K6" s="1">
        <f>('Kwh Consumption'!S7+'Kwh Consumption'!T7)*' Kwh area wise $ '!B6</f>
        <v>752.53200000012293</v>
      </c>
      <c r="L6" s="1">
        <f>'Kwh Consumption'!U7*' Kwh area wise $ '!B6</f>
        <v>34.499999999998465</v>
      </c>
      <c r="M6" s="1">
        <f>'Kwh Consumption'!V7*' Kwh area wise $ '!B6</f>
        <v>2449.9679999999344</v>
      </c>
    </row>
    <row r="7" spans="1:13" x14ac:dyDescent="0.25">
      <c r="A7" s="14">
        <f>'Kwh Reading'!A8</f>
        <v>44444</v>
      </c>
      <c r="B7" s="11">
        <f>TOTAL!F6</f>
        <v>0.15</v>
      </c>
      <c r="C7" s="11">
        <f>'Kwh Consumption'!B8*' Kwh area wise $ '!B7</f>
        <v>0</v>
      </c>
      <c r="D7" s="1">
        <f>'Kwh Consumption'!C8*' Kwh area wise $ '!B7</f>
        <v>-67659</v>
      </c>
      <c r="E7" s="1">
        <f>'Kwh Consumption'!D8*' Kwh area wise $ '!B7</f>
        <v>-380685</v>
      </c>
      <c r="F7" s="1">
        <f>'Kwh Consumption'!E8*' Kwh area wise $ '!B7</f>
        <v>-36858</v>
      </c>
      <c r="G7" s="1">
        <f>('Kwh Consumption'!F8+'Kwh Consumption'!G8+'Kwh Consumption'!H8)*' Kwh area wise $ '!B7</f>
        <v>-141117</v>
      </c>
      <c r="H7" s="16">
        <f>('Kwh Consumption'!I8+'Kwh Consumption'!J8)*' Kwh area wise $ '!B7</f>
        <v>-44820</v>
      </c>
      <c r="I7" s="1">
        <f>('Kwh Consumption'!K8+'Kwh Consumption'!L8)*' Kwh area wise $ '!B7</f>
        <v>-199147.5</v>
      </c>
      <c r="J7" s="1">
        <f>('Kwh Consumption'!M8+'Kwh Consumption'!N8+'Kwh Consumption'!O8+'Kwh Consumption'!P8+'Kwh Consumption'!Q8+'Kwh Consumption'!R8)*' Kwh area wise $ '!B7</f>
        <v>-560824.5</v>
      </c>
      <c r="K7" s="1">
        <f>('Kwh Consumption'!S8+'Kwh Consumption'!T8)*' Kwh area wise $ '!B7</f>
        <v>-2404449.6540000001</v>
      </c>
      <c r="L7" s="1">
        <f>'Kwh Consumption'!U8*' Kwh area wise $ '!B7</f>
        <v>-24967.5</v>
      </c>
      <c r="M7" s="1">
        <f>'Kwh Consumption'!V8*' Kwh area wise $ '!B7</f>
        <v>3860528.1540000001</v>
      </c>
    </row>
    <row r="8" spans="1:13" x14ac:dyDescent="0.25">
      <c r="A8" s="14">
        <f>'Kwh Reading'!A9</f>
        <v>44445</v>
      </c>
      <c r="B8" s="11">
        <f>TOTAL!F7</f>
        <v>0.15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1">
        <f>('Kwh Consumption'!S9+'Kwh Consumption'!T9)*' Kwh area wise $ '!B8</f>
        <v>0</v>
      </c>
      <c r="L8" s="1">
        <f>'Kwh Consumption'!U9*' Kwh area wise $ '!B8</f>
        <v>0</v>
      </c>
      <c r="M8" s="1">
        <f>'Kwh Consumption'!V9*' Kwh area wise $ '!B8</f>
        <v>0</v>
      </c>
    </row>
    <row r="9" spans="1:13" x14ac:dyDescent="0.25">
      <c r="A9" s="14">
        <f>'Kwh Reading'!A10</f>
        <v>44446</v>
      </c>
      <c r="B9" s="11">
        <f>TOTAL!F8</f>
        <v>0.15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1">
        <f>('Kwh Consumption'!S10+'Kwh Consumption'!T10)*' Kwh area wise $ '!B9</f>
        <v>0</v>
      </c>
      <c r="L9" s="1">
        <f>'Kwh Consumption'!U10*' Kwh area wise $ '!B9</f>
        <v>0</v>
      </c>
      <c r="M9" s="1">
        <f>'Kwh Consumption'!V10*' Kwh area wise $ '!B9</f>
        <v>0</v>
      </c>
    </row>
    <row r="10" spans="1:13" x14ac:dyDescent="0.25">
      <c r="A10" s="14">
        <f>'Kwh Reading'!A11</f>
        <v>44447</v>
      </c>
      <c r="B10" s="11">
        <f>TOTAL!F9</f>
        <v>0.15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0</v>
      </c>
    </row>
    <row r="11" spans="1:13" x14ac:dyDescent="0.25">
      <c r="A11" s="14">
        <f>'Kwh Reading'!A12</f>
        <v>44448</v>
      </c>
      <c r="B11" s="11">
        <f>TOTAL!F10</f>
        <v>0.15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44449</v>
      </c>
      <c r="B12" s="11">
        <f>TOTAL!F11</f>
        <v>0.15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44450</v>
      </c>
      <c r="B13" s="11">
        <f>TOTAL!F12</f>
        <v>0.15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44451</v>
      </c>
      <c r="B14" s="11">
        <f>TOTAL!F13</f>
        <v>0.15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44452</v>
      </c>
      <c r="B15" s="11">
        <f>TOTAL!F14</f>
        <v>0.15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44453</v>
      </c>
      <c r="B16" s="11">
        <f>TOTAL!F15</f>
        <v>0.15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44454</v>
      </c>
      <c r="B17" s="11">
        <f>TOTAL!F16</f>
        <v>0.15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44455</v>
      </c>
      <c r="B18" s="11">
        <f>TOTAL!F17</f>
        <v>0.15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44456</v>
      </c>
      <c r="B19" s="11">
        <f>TOTAL!F18</f>
        <v>0.15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44457</v>
      </c>
      <c r="B20" s="11">
        <f>TOTAL!F19</f>
        <v>0.15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44458</v>
      </c>
      <c r="B21" s="11">
        <f>TOTAL!F20</f>
        <v>0.15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44459</v>
      </c>
      <c r="B22" s="11">
        <f>TOTAL!F21</f>
        <v>0.15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44460</v>
      </c>
      <c r="B23" s="11">
        <f>TOTAL!F22</f>
        <v>0.15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44461</v>
      </c>
      <c r="B24" s="11">
        <f>TOTAL!F23</f>
        <v>0.15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44462</v>
      </c>
      <c r="B25" s="11">
        <f>TOTAL!F24</f>
        <v>0.15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44463</v>
      </c>
      <c r="B26" s="11">
        <f>TOTAL!F25</f>
        <v>0.15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44464</v>
      </c>
      <c r="B27" s="11">
        <f>TOTAL!F26</f>
        <v>0.15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44465</v>
      </c>
      <c r="B28" s="11">
        <f>TOTAL!F27</f>
        <v>0.15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44466</v>
      </c>
      <c r="B29" s="11">
        <f>TOTAL!F28</f>
        <v>0.15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44467</v>
      </c>
      <c r="B30" s="11">
        <f>TOTAL!F29</f>
        <v>0.15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44468</v>
      </c>
      <c r="B31" s="11">
        <f>TOTAL!F30</f>
        <v>0.15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44469</v>
      </c>
      <c r="B32" s="11">
        <f>TOTAL!F31</f>
        <v>0.15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44470</v>
      </c>
      <c r="B33" s="11">
        <f>TOTAL!F32</f>
        <v>0.15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52</v>
      </c>
      <c r="B34" s="134"/>
      <c r="C34" s="75">
        <f t="shared" ref="C34:L34" si="0">SUM(C3:C33)</f>
        <v>13422.000000000107</v>
      </c>
      <c r="D34" s="75">
        <f t="shared" si="0"/>
        <v>-67405.5</v>
      </c>
      <c r="E34" s="75">
        <f t="shared" si="0"/>
        <v>-379275</v>
      </c>
      <c r="F34" s="75">
        <f t="shared" si="0"/>
        <v>-36714</v>
      </c>
      <c r="G34" s="75">
        <f t="shared" si="0"/>
        <v>-140767.5</v>
      </c>
      <c r="H34" s="75">
        <f t="shared" si="0"/>
        <v>-44599.5</v>
      </c>
      <c r="I34" s="75">
        <f t="shared" si="0"/>
        <v>-198165</v>
      </c>
      <c r="J34" s="75">
        <f t="shared" si="0"/>
        <v>-558121.5</v>
      </c>
      <c r="K34" s="75">
        <f t="shared" si="0"/>
        <v>-2401492.122</v>
      </c>
      <c r="L34" s="75">
        <f t="shared" si="0"/>
        <v>-24832.500000000004</v>
      </c>
      <c r="M34" s="75">
        <f>SUM(M3:M33)</f>
        <v>3864794.622</v>
      </c>
      <c r="N34" s="84">
        <f>D34+E34+F34+G34+H34+I34+J34+K34+L34+M34</f>
        <v>13422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7" sqref="R7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74</v>
      </c>
      <c r="C1" s="49" t="s">
        <v>75</v>
      </c>
      <c r="D1" s="49" t="s">
        <v>76</v>
      </c>
      <c r="E1" s="49" t="s">
        <v>77</v>
      </c>
      <c r="F1" s="49" t="s">
        <v>78</v>
      </c>
      <c r="G1" s="49" t="s">
        <v>79</v>
      </c>
      <c r="H1" s="49" t="s">
        <v>80</v>
      </c>
      <c r="I1" s="49" t="s">
        <v>81</v>
      </c>
      <c r="J1" s="49" t="s">
        <v>82</v>
      </c>
      <c r="K1" s="49" t="s">
        <v>83</v>
      </c>
      <c r="L1" s="49" t="s">
        <v>84</v>
      </c>
      <c r="M1" s="49" t="s">
        <v>85</v>
      </c>
      <c r="N1" s="49" t="s">
        <v>86</v>
      </c>
      <c r="O1" s="49" t="s">
        <v>87</v>
      </c>
      <c r="P1" s="49" t="s">
        <v>88</v>
      </c>
      <c r="Q1" s="49" t="s">
        <v>89</v>
      </c>
      <c r="R1" s="49" t="s">
        <v>90</v>
      </c>
    </row>
    <row r="2" spans="1:21" s="53" customFormat="1" ht="30.75" thickTop="1" x14ac:dyDescent="0.25">
      <c r="A2" s="50" t="s">
        <v>31</v>
      </c>
      <c r="B2" s="51" t="s">
        <v>91</v>
      </c>
      <c r="C2" s="51" t="s">
        <v>92</v>
      </c>
      <c r="D2" s="52" t="s">
        <v>93</v>
      </c>
      <c r="E2" s="52" t="s">
        <v>94</v>
      </c>
      <c r="F2" s="52" t="s">
        <v>95</v>
      </c>
      <c r="G2" s="52" t="s">
        <v>96</v>
      </c>
      <c r="H2" s="52" t="s">
        <v>97</v>
      </c>
      <c r="I2" s="52" t="s">
        <v>98</v>
      </c>
      <c r="J2" s="52" t="s">
        <v>99</v>
      </c>
      <c r="K2" s="52" t="s">
        <v>100</v>
      </c>
      <c r="L2" s="52" t="s">
        <v>101</v>
      </c>
      <c r="M2" s="52" t="s">
        <v>102</v>
      </c>
      <c r="N2" s="52" t="s">
        <v>103</v>
      </c>
      <c r="O2" s="52" t="s">
        <v>104</v>
      </c>
      <c r="P2" s="52" t="s">
        <v>105</v>
      </c>
      <c r="Q2" s="52" t="s">
        <v>106</v>
      </c>
      <c r="R2" s="52" t="s">
        <v>107</v>
      </c>
    </row>
    <row r="3" spans="1:21" x14ac:dyDescent="0.25">
      <c r="A3" s="54">
        <v>44440</v>
      </c>
      <c r="B3" s="33">
        <v>180574</v>
      </c>
      <c r="C3" s="56">
        <v>142133</v>
      </c>
      <c r="D3" s="33">
        <v>219501</v>
      </c>
      <c r="E3" s="33">
        <v>251513</v>
      </c>
      <c r="F3" s="33">
        <v>66981</v>
      </c>
      <c r="G3" s="33">
        <v>112781</v>
      </c>
      <c r="H3" s="33">
        <v>55314</v>
      </c>
      <c r="I3" s="33">
        <v>65441</v>
      </c>
      <c r="J3" s="33">
        <v>21005</v>
      </c>
      <c r="K3" s="33">
        <v>1024</v>
      </c>
      <c r="L3" s="33">
        <v>17705</v>
      </c>
      <c r="M3" s="33">
        <v>25154</v>
      </c>
      <c r="N3" s="33">
        <v>7590</v>
      </c>
      <c r="O3" s="33">
        <v>1735</v>
      </c>
      <c r="P3" s="33">
        <v>27660</v>
      </c>
      <c r="Q3" s="33">
        <v>913</v>
      </c>
      <c r="R3" s="33">
        <v>6604</v>
      </c>
    </row>
    <row r="4" spans="1:21" x14ac:dyDescent="0.25">
      <c r="A4" s="54">
        <v>44441</v>
      </c>
      <c r="B4" s="56">
        <v>181081</v>
      </c>
      <c r="C4" s="56">
        <v>142227</v>
      </c>
      <c r="D4" s="55">
        <v>219628</v>
      </c>
      <c r="E4" s="55">
        <v>251570</v>
      </c>
      <c r="F4" s="55">
        <v>66982</v>
      </c>
      <c r="G4" s="55">
        <v>112795</v>
      </c>
      <c r="H4" s="33">
        <v>55339</v>
      </c>
      <c r="I4" s="55">
        <v>65477</v>
      </c>
      <c r="J4" s="55">
        <v>21015</v>
      </c>
      <c r="K4" s="55">
        <v>1024</v>
      </c>
      <c r="L4" s="55">
        <v>17713</v>
      </c>
      <c r="M4" s="55">
        <v>25169</v>
      </c>
      <c r="N4" s="55">
        <v>7593</v>
      </c>
      <c r="O4" s="55">
        <v>1737</v>
      </c>
      <c r="P4" s="55">
        <v>27677</v>
      </c>
      <c r="Q4" s="33">
        <v>913</v>
      </c>
      <c r="R4" s="55">
        <v>6608</v>
      </c>
    </row>
    <row r="5" spans="1:21" x14ac:dyDescent="0.25">
      <c r="A5" s="54">
        <v>44442</v>
      </c>
      <c r="B5" s="55">
        <v>181233</v>
      </c>
      <c r="C5" s="33">
        <v>143105</v>
      </c>
      <c r="D5" s="55">
        <v>219729</v>
      </c>
      <c r="E5" s="55">
        <v>251630</v>
      </c>
      <c r="F5" s="55">
        <v>66982</v>
      </c>
      <c r="G5" s="55">
        <v>112809</v>
      </c>
      <c r="H5" s="33">
        <v>55363</v>
      </c>
      <c r="I5" s="55">
        <v>65511</v>
      </c>
      <c r="J5" s="55">
        <v>21025</v>
      </c>
      <c r="K5" s="55">
        <v>1024</v>
      </c>
      <c r="L5" s="55">
        <v>17738</v>
      </c>
      <c r="M5" s="55">
        <v>25196</v>
      </c>
      <c r="N5" s="55">
        <v>7597</v>
      </c>
      <c r="O5" s="55">
        <v>1738</v>
      </c>
      <c r="P5" s="55">
        <v>27693</v>
      </c>
      <c r="Q5" s="33">
        <v>913</v>
      </c>
      <c r="R5" s="55">
        <v>6612</v>
      </c>
    </row>
    <row r="6" spans="1:21" x14ac:dyDescent="0.25">
      <c r="A6" s="54">
        <v>44443</v>
      </c>
      <c r="B6" s="56">
        <v>181348</v>
      </c>
      <c r="C6" s="56">
        <v>143406</v>
      </c>
      <c r="D6" s="55">
        <v>219873</v>
      </c>
      <c r="E6" s="55">
        <v>251697</v>
      </c>
      <c r="F6" s="55">
        <v>66983</v>
      </c>
      <c r="G6" s="55">
        <v>112823</v>
      </c>
      <c r="H6" s="33">
        <v>55389</v>
      </c>
      <c r="I6" s="55">
        <v>65525</v>
      </c>
      <c r="J6" s="55">
        <v>21036</v>
      </c>
      <c r="K6" s="55">
        <v>1024</v>
      </c>
      <c r="L6" s="55">
        <v>17729</v>
      </c>
      <c r="M6" s="55">
        <v>25197</v>
      </c>
      <c r="N6" s="55">
        <v>7602</v>
      </c>
      <c r="O6" s="55">
        <v>1739</v>
      </c>
      <c r="P6" s="55">
        <v>27693</v>
      </c>
      <c r="Q6" s="33">
        <v>913</v>
      </c>
      <c r="R6" s="55">
        <v>6614</v>
      </c>
    </row>
    <row r="7" spans="1:21" x14ac:dyDescent="0.25">
      <c r="A7" s="54">
        <v>44444</v>
      </c>
      <c r="B7" s="56">
        <v>181475</v>
      </c>
      <c r="C7" s="33">
        <v>143528</v>
      </c>
      <c r="D7" s="55">
        <v>220028</v>
      </c>
      <c r="E7" s="55">
        <v>251752</v>
      </c>
      <c r="F7" s="55">
        <v>66984</v>
      </c>
      <c r="G7" s="55">
        <v>112835</v>
      </c>
      <c r="H7" s="33">
        <v>55425</v>
      </c>
      <c r="I7" s="55">
        <v>65555</v>
      </c>
      <c r="J7" s="55">
        <v>21046</v>
      </c>
      <c r="K7" s="55">
        <v>1024</v>
      </c>
      <c r="L7" s="55">
        <v>17736</v>
      </c>
      <c r="M7" s="55">
        <v>25211</v>
      </c>
      <c r="N7" s="55">
        <v>7605</v>
      </c>
      <c r="O7" s="55">
        <v>1740</v>
      </c>
      <c r="P7" s="55">
        <v>27708</v>
      </c>
      <c r="Q7" s="33">
        <v>913</v>
      </c>
      <c r="R7" s="55">
        <v>6618</v>
      </c>
    </row>
    <row r="8" spans="1:21" x14ac:dyDescent="0.25">
      <c r="A8" s="54">
        <v>44445</v>
      </c>
      <c r="B8" s="33"/>
      <c r="C8" s="56"/>
      <c r="D8" s="55"/>
      <c r="E8" s="55"/>
      <c r="F8" s="55"/>
      <c r="G8" s="55"/>
      <c r="H8" s="33"/>
      <c r="I8" s="55"/>
      <c r="J8" s="55"/>
      <c r="K8" s="55"/>
      <c r="L8" s="55"/>
      <c r="M8" s="55"/>
      <c r="N8" s="55"/>
      <c r="O8" s="55"/>
      <c r="P8" s="55"/>
      <c r="Q8" s="33"/>
      <c r="R8" s="55"/>
    </row>
    <row r="9" spans="1:21" x14ac:dyDescent="0.25">
      <c r="A9" s="54">
        <v>44446</v>
      </c>
      <c r="B9" s="56"/>
      <c r="C9" s="33"/>
      <c r="D9" s="55"/>
      <c r="E9" s="55"/>
      <c r="F9" s="55"/>
      <c r="G9" s="55"/>
      <c r="H9" s="33"/>
      <c r="I9" s="55"/>
      <c r="J9" s="55"/>
      <c r="K9" s="55"/>
      <c r="L9" s="55"/>
      <c r="M9" s="55"/>
      <c r="N9" s="55"/>
      <c r="O9" s="55"/>
      <c r="P9" s="55"/>
      <c r="Q9" s="33"/>
      <c r="R9" s="55"/>
    </row>
    <row r="10" spans="1:21" x14ac:dyDescent="0.25">
      <c r="A10" s="54">
        <v>44447</v>
      </c>
      <c r="B10" s="33"/>
      <c r="C10" s="56"/>
      <c r="D10" s="55"/>
      <c r="E10" s="55"/>
      <c r="F10" s="55"/>
      <c r="G10" s="55"/>
      <c r="H10" s="33"/>
      <c r="I10" s="55"/>
      <c r="J10" s="55"/>
      <c r="K10" s="55"/>
      <c r="L10" s="55"/>
      <c r="M10" s="55"/>
      <c r="N10" s="55"/>
      <c r="O10" s="55"/>
      <c r="P10" s="55"/>
      <c r="Q10" s="33"/>
      <c r="R10" s="55"/>
    </row>
    <row r="11" spans="1:21" x14ac:dyDescent="0.25">
      <c r="A11" s="54">
        <v>44448</v>
      </c>
      <c r="B11" s="56"/>
      <c r="C11" s="33"/>
      <c r="D11" s="55"/>
      <c r="E11" s="55"/>
      <c r="F11" s="55"/>
      <c r="G11" s="55"/>
      <c r="H11" s="33"/>
      <c r="I11" s="55"/>
      <c r="J11" s="55"/>
      <c r="K11" s="55"/>
      <c r="L11" s="55"/>
      <c r="M11" s="55"/>
      <c r="N11" s="55"/>
      <c r="O11" s="55"/>
      <c r="P11" s="55"/>
      <c r="Q11" s="33"/>
      <c r="R11" s="55"/>
    </row>
    <row r="12" spans="1:21" x14ac:dyDescent="0.25">
      <c r="A12" s="54">
        <v>44449</v>
      </c>
      <c r="B12" s="33"/>
      <c r="C12" s="56"/>
      <c r="D12" s="55"/>
      <c r="E12" s="55"/>
      <c r="F12" s="55"/>
      <c r="G12" s="55"/>
      <c r="H12" s="33"/>
      <c r="I12" s="55"/>
      <c r="J12" s="55"/>
      <c r="K12" s="55"/>
      <c r="L12" s="55"/>
      <c r="M12" s="55"/>
      <c r="N12" s="55"/>
      <c r="O12" s="55"/>
      <c r="P12" s="55"/>
      <c r="Q12" s="33"/>
      <c r="R12" s="55"/>
    </row>
    <row r="13" spans="1:21" x14ac:dyDescent="0.25">
      <c r="A13" s="54">
        <v>44450</v>
      </c>
      <c r="B13" s="56"/>
      <c r="C13" s="33"/>
      <c r="D13" s="55"/>
      <c r="E13" s="55"/>
      <c r="F13" s="55"/>
      <c r="G13" s="55"/>
      <c r="H13" s="33"/>
      <c r="I13" s="55"/>
      <c r="J13" s="55"/>
      <c r="K13" s="55"/>
      <c r="L13" s="55"/>
      <c r="M13" s="55"/>
      <c r="N13" s="55"/>
      <c r="O13" s="55"/>
      <c r="P13" s="55"/>
      <c r="Q13" s="33"/>
      <c r="R13" s="55"/>
    </row>
    <row r="14" spans="1:21" x14ac:dyDescent="0.25">
      <c r="A14" s="54">
        <v>44451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21" x14ac:dyDescent="0.25">
      <c r="A15" s="54">
        <v>44452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  <c r="T15" s="110"/>
      <c r="U15" s="110"/>
    </row>
    <row r="16" spans="1:21" x14ac:dyDescent="0.25">
      <c r="A16" s="54">
        <v>44453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44454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44455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  <c r="U18" s="110"/>
    </row>
    <row r="19" spans="1:22" x14ac:dyDescent="0.25">
      <c r="A19" s="54">
        <v>44456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44457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44458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44459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44460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44461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44462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44463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44464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44465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44466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44467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44468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44469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44470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H40" sqref="H40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31</v>
      </c>
      <c r="B2" s="136" t="s">
        <v>108</v>
      </c>
      <c r="C2" s="136" t="s">
        <v>109</v>
      </c>
      <c r="D2" s="136"/>
      <c r="E2" s="137" t="s">
        <v>97</v>
      </c>
      <c r="F2" s="138"/>
      <c r="G2" s="139" t="s">
        <v>112</v>
      </c>
      <c r="H2" s="138"/>
      <c r="I2" s="139" t="s">
        <v>110</v>
      </c>
      <c r="J2" s="138"/>
      <c r="K2" s="139" t="s">
        <v>111</v>
      </c>
      <c r="L2" s="138"/>
      <c r="M2" s="139" t="s">
        <v>107</v>
      </c>
      <c r="N2" s="138"/>
      <c r="O2" s="139" t="s">
        <v>106</v>
      </c>
      <c r="P2" s="138"/>
      <c r="Q2" s="139" t="s">
        <v>113</v>
      </c>
      <c r="R2" s="138"/>
      <c r="S2" s="139" t="s">
        <v>114</v>
      </c>
      <c r="T2" s="138"/>
      <c r="U2" s="139" t="s">
        <v>115</v>
      </c>
      <c r="V2" s="138"/>
      <c r="W2" s="139" t="s">
        <v>99</v>
      </c>
      <c r="X2" s="140"/>
      <c r="Y2" s="141" t="s">
        <v>52</v>
      </c>
      <c r="Z2" s="141"/>
    </row>
    <row r="3" spans="1:26" ht="30" x14ac:dyDescent="0.35">
      <c r="A3" s="135"/>
      <c r="B3" s="136"/>
      <c r="C3" s="60" t="s">
        <v>116</v>
      </c>
      <c r="D3" s="60" t="s">
        <v>117</v>
      </c>
      <c r="E3" s="74" t="s">
        <v>116</v>
      </c>
      <c r="F3" s="62" t="s">
        <v>118</v>
      </c>
      <c r="G3" s="61" t="s">
        <v>116</v>
      </c>
      <c r="H3" s="62" t="s">
        <v>118</v>
      </c>
      <c r="I3" s="61" t="s">
        <v>116</v>
      </c>
      <c r="J3" s="62" t="s">
        <v>118</v>
      </c>
      <c r="K3" s="61" t="s">
        <v>116</v>
      </c>
      <c r="L3" s="62" t="s">
        <v>118</v>
      </c>
      <c r="M3" s="61" t="s">
        <v>116</v>
      </c>
      <c r="N3" s="62" t="s">
        <v>118</v>
      </c>
      <c r="O3" s="61" t="s">
        <v>116</v>
      </c>
      <c r="P3" s="62" t="s">
        <v>118</v>
      </c>
      <c r="Q3" s="61" t="s">
        <v>116</v>
      </c>
      <c r="R3" s="62" t="s">
        <v>118</v>
      </c>
      <c r="S3" s="61" t="s">
        <v>116</v>
      </c>
      <c r="T3" s="62" t="s">
        <v>118</v>
      </c>
      <c r="U3" s="61" t="s">
        <v>116</v>
      </c>
      <c r="V3" s="62" t="s">
        <v>118</v>
      </c>
      <c r="W3" s="61" t="s">
        <v>116</v>
      </c>
      <c r="X3" s="63" t="s">
        <v>118</v>
      </c>
      <c r="Y3" s="64" t="s">
        <v>116</v>
      </c>
      <c r="Z3" s="64" t="s">
        <v>118</v>
      </c>
    </row>
    <row r="4" spans="1:26" x14ac:dyDescent="0.25">
      <c r="A4" s="8">
        <f>'Water Reading'!A3</f>
        <v>44440</v>
      </c>
      <c r="B4" s="65">
        <v>469</v>
      </c>
      <c r="C4" s="66">
        <f>('Water Reading'!B4-'Water Reading'!B3)+('Water Reading'!C4-'Water Reading'!C3)</f>
        <v>601</v>
      </c>
      <c r="D4" s="67">
        <f>C4/B4</f>
        <v>1.2814498933901919</v>
      </c>
      <c r="E4" s="88">
        <f>'Water Reading'!H4-'Water Reading'!H3</f>
        <v>25</v>
      </c>
      <c r="F4" s="89">
        <f>E4/C4</f>
        <v>4.1597337770382693E-2</v>
      </c>
      <c r="G4" s="93">
        <f>('Water Reading'!D4-'Water Reading'!D3)-('Water Reading'!R4-'Water Reading'!R3)-('Water Reading'!Q4-'Water Reading'!Q3)</f>
        <v>123</v>
      </c>
      <c r="H4" s="89">
        <f>G4/C4</f>
        <v>0.20465890183028287</v>
      </c>
      <c r="I4" s="90">
        <f>'Water Reading'!P4-'Water Reading'!P3</f>
        <v>17</v>
      </c>
      <c r="J4" s="68">
        <f>I4/C4</f>
        <v>2.8286189683860232E-2</v>
      </c>
      <c r="K4" s="91">
        <f>('Water Reading'!I4-'Water Reading'!I3)-('Water Reading'!P4-'Water Reading'!P3)</f>
        <v>19</v>
      </c>
      <c r="L4" s="68">
        <f>K4/C4</f>
        <v>3.1613976705490848E-2</v>
      </c>
      <c r="M4" s="90">
        <f>'Water Reading'!R4-'Water Reading'!R3</f>
        <v>4</v>
      </c>
      <c r="N4" s="92">
        <f>M4/C4</f>
        <v>6.6555740432612314E-3</v>
      </c>
      <c r="O4" s="90">
        <f>'Water Reading'!Q4-'Water Reading'!Q3</f>
        <v>0</v>
      </c>
      <c r="P4" s="99">
        <f>O4/C4</f>
        <v>0</v>
      </c>
      <c r="Q4" s="91">
        <f>'Water Reading'!F4-'Water Reading'!F3</f>
        <v>1</v>
      </c>
      <c r="R4" s="100">
        <f>Q4/C4</f>
        <v>1.6638935108153079E-3</v>
      </c>
      <c r="S4" s="90">
        <f>'Water Reading'!E4-'Water Reading'!E3</f>
        <v>57</v>
      </c>
      <c r="T4" s="100">
        <f>S4/C4</f>
        <v>9.4841930116472545E-2</v>
      </c>
      <c r="U4" s="90">
        <f>'Water Reading'!G4-'Water Reading'!G3</f>
        <v>14</v>
      </c>
      <c r="V4" s="100">
        <f>U4/C4</f>
        <v>2.329450915141431E-2</v>
      </c>
      <c r="W4" s="90">
        <f>'Water Reading'!J4-'Water Reading'!J3</f>
        <v>10</v>
      </c>
      <c r="X4" s="100">
        <f>W4/C4</f>
        <v>1.6638935108153077E-2</v>
      </c>
      <c r="Y4" s="66">
        <f t="shared" ref="Y4:Y34" si="0">E4+I4+K4+M4+O4+G4+Q4+S4+U4+W4</f>
        <v>270</v>
      </c>
      <c r="Z4" s="67">
        <f t="shared" ref="Z4:Z35" si="1">Y4/B4</f>
        <v>0.57569296375266521</v>
      </c>
    </row>
    <row r="5" spans="1:26" x14ac:dyDescent="0.25">
      <c r="A5" s="8">
        <f>'Water Reading'!A4</f>
        <v>44441</v>
      </c>
      <c r="B5" s="65">
        <f>TOTAL!I3</f>
        <v>233</v>
      </c>
      <c r="C5" s="66">
        <f>('Water Reading'!B5-'Water Reading'!B4)+('Water Reading'!C5-'Water Reading'!C4)</f>
        <v>1030</v>
      </c>
      <c r="D5" s="67">
        <f t="shared" ref="D5:D34" si="2">C5/B5</f>
        <v>4.4206008583690988</v>
      </c>
      <c r="E5" s="88">
        <f>'Water Reading'!H5-'Water Reading'!H4</f>
        <v>24</v>
      </c>
      <c r="F5" s="89">
        <f t="shared" ref="F5:F34" si="3">E5/C5</f>
        <v>2.3300970873786409E-2</v>
      </c>
      <c r="G5" s="93">
        <f>('Water Reading'!D5-'Water Reading'!D4)-('Water Reading'!R5-'Water Reading'!R4)-('Water Reading'!Q5-'Water Reading'!Q4)</f>
        <v>97</v>
      </c>
      <c r="H5" s="89">
        <f t="shared" ref="H5:H34" si="4">G5/C5</f>
        <v>9.4174757281553403E-2</v>
      </c>
      <c r="I5" s="90">
        <f>'Water Reading'!P5-'Water Reading'!P4</f>
        <v>16</v>
      </c>
      <c r="J5" s="68">
        <f t="shared" ref="J5:J34" si="5">I5/C5</f>
        <v>1.5533980582524271E-2</v>
      </c>
      <c r="K5" s="91">
        <f>('Water Reading'!I5-'Water Reading'!I4)-('Water Reading'!P5-'Water Reading'!P4)</f>
        <v>18</v>
      </c>
      <c r="L5" s="68">
        <f t="shared" ref="L5:L34" si="6">K5/C5</f>
        <v>1.7475728155339806E-2</v>
      </c>
      <c r="M5" s="90">
        <f>'Water Reading'!R5-'Water Reading'!R4</f>
        <v>4</v>
      </c>
      <c r="N5" s="92">
        <f t="shared" ref="N5:N34" si="7">M5/C5</f>
        <v>3.8834951456310678E-3</v>
      </c>
      <c r="O5" s="90">
        <f>'Water Reading'!Q5-'Water Reading'!Q4</f>
        <v>0</v>
      </c>
      <c r="P5" s="99">
        <f t="shared" ref="P5:P34" si="8">O5/C5</f>
        <v>0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60</v>
      </c>
      <c r="T5" s="100">
        <f t="shared" ref="T5:T34" si="10">S5/C5</f>
        <v>5.8252427184466021E-2</v>
      </c>
      <c r="U5" s="90">
        <f>'Water Reading'!G5-'Water Reading'!G4</f>
        <v>14</v>
      </c>
      <c r="V5" s="100">
        <f t="shared" ref="V5:V34" si="11">U5/C5</f>
        <v>1.3592233009708738E-2</v>
      </c>
      <c r="W5" s="90">
        <f>'Water Reading'!J5-'Water Reading'!J4</f>
        <v>10</v>
      </c>
      <c r="X5" s="100">
        <f t="shared" ref="X5:X34" si="12">W5/C5</f>
        <v>9.7087378640776691E-3</v>
      </c>
      <c r="Y5" s="66">
        <f t="shared" si="0"/>
        <v>243</v>
      </c>
      <c r="Z5" s="67">
        <f t="shared" si="1"/>
        <v>1.0429184549356223</v>
      </c>
    </row>
    <row r="6" spans="1:26" x14ac:dyDescent="0.25">
      <c r="A6" s="8">
        <f>'Water Reading'!A5</f>
        <v>44442</v>
      </c>
      <c r="B6" s="65">
        <f>TOTAL!I4</f>
        <v>232</v>
      </c>
      <c r="C6" s="66">
        <f>('Water Reading'!B6-'Water Reading'!B5)+('Water Reading'!C6-'Water Reading'!C5)</f>
        <v>416</v>
      </c>
      <c r="D6" s="67">
        <f t="shared" si="2"/>
        <v>1.7931034482758621</v>
      </c>
      <c r="E6" s="88">
        <f>'Water Reading'!H6-'Water Reading'!H5</f>
        <v>26</v>
      </c>
      <c r="F6" s="89">
        <f t="shared" si="3"/>
        <v>6.25E-2</v>
      </c>
      <c r="G6" s="93">
        <f>('Water Reading'!D6-'Water Reading'!D5)-('Water Reading'!R6-'Water Reading'!R5)-('Water Reading'!Q6-'Water Reading'!Q5)</f>
        <v>142</v>
      </c>
      <c r="H6" s="89">
        <f t="shared" si="4"/>
        <v>0.34134615384615385</v>
      </c>
      <c r="I6" s="90">
        <f>'Water Reading'!P6-'Water Reading'!P5</f>
        <v>0</v>
      </c>
      <c r="J6" s="68">
        <f t="shared" si="5"/>
        <v>0</v>
      </c>
      <c r="K6" s="91">
        <f>('Water Reading'!I6-'Water Reading'!I5)-('Water Reading'!P6-'Water Reading'!P5)</f>
        <v>14</v>
      </c>
      <c r="L6" s="68">
        <f t="shared" si="6"/>
        <v>3.3653846153846152E-2</v>
      </c>
      <c r="M6" s="90">
        <f>'Water Reading'!R6-'Water Reading'!R5</f>
        <v>2</v>
      </c>
      <c r="N6" s="92">
        <f t="shared" si="7"/>
        <v>4.807692307692308E-3</v>
      </c>
      <c r="O6" s="90">
        <f>'Water Reading'!Q6-'Water Reading'!Q5</f>
        <v>0</v>
      </c>
      <c r="P6" s="99">
        <f t="shared" si="8"/>
        <v>0</v>
      </c>
      <c r="Q6" s="91">
        <f>'Water Reading'!F6-'Water Reading'!F5</f>
        <v>1</v>
      </c>
      <c r="R6" s="100">
        <f t="shared" si="9"/>
        <v>2.403846153846154E-3</v>
      </c>
      <c r="S6" s="90">
        <f>'Water Reading'!E6-'Water Reading'!E5</f>
        <v>67</v>
      </c>
      <c r="T6" s="100">
        <f t="shared" si="10"/>
        <v>0.16105769230769232</v>
      </c>
      <c r="U6" s="90">
        <f>'Water Reading'!G6-'Water Reading'!G5</f>
        <v>14</v>
      </c>
      <c r="V6" s="100">
        <f t="shared" si="11"/>
        <v>3.3653846153846152E-2</v>
      </c>
      <c r="W6" s="90">
        <f>'Water Reading'!J6-'Water Reading'!J5</f>
        <v>11</v>
      </c>
      <c r="X6" s="100">
        <f t="shared" si="12"/>
        <v>2.6442307692307692E-2</v>
      </c>
      <c r="Y6" s="66">
        <f t="shared" si="0"/>
        <v>277</v>
      </c>
      <c r="Z6" s="67">
        <f t="shared" si="1"/>
        <v>1.1939655172413792</v>
      </c>
    </row>
    <row r="7" spans="1:26" x14ac:dyDescent="0.25">
      <c r="A7" s="8">
        <f>'Water Reading'!A6</f>
        <v>44443</v>
      </c>
      <c r="B7" s="65">
        <f>TOTAL!I5</f>
        <v>229</v>
      </c>
      <c r="C7" s="66">
        <f>('Water Reading'!B7-'Water Reading'!B6)+('Water Reading'!C7-'Water Reading'!C6)</f>
        <v>249</v>
      </c>
      <c r="D7" s="67">
        <f t="shared" si="2"/>
        <v>1.0873362445414847</v>
      </c>
      <c r="E7" s="88">
        <f>'Water Reading'!H7-'Water Reading'!H6</f>
        <v>36</v>
      </c>
      <c r="F7" s="89">
        <f t="shared" si="3"/>
        <v>0.14457831325301204</v>
      </c>
      <c r="G7" s="93">
        <f>('Water Reading'!D7-'Water Reading'!D6)-('Water Reading'!R7-'Water Reading'!R6)-('Water Reading'!Q7-'Water Reading'!Q6)</f>
        <v>151</v>
      </c>
      <c r="H7" s="89">
        <f t="shared" si="4"/>
        <v>0.60642570281124497</v>
      </c>
      <c r="I7" s="90">
        <f>'Water Reading'!P7-'Water Reading'!P6</f>
        <v>15</v>
      </c>
      <c r="J7" s="68">
        <f t="shared" si="5"/>
        <v>6.0240963855421686E-2</v>
      </c>
      <c r="K7" s="91">
        <f>('Water Reading'!I7-'Water Reading'!I6)-('Water Reading'!P7-'Water Reading'!P6)</f>
        <v>15</v>
      </c>
      <c r="L7" s="68">
        <f t="shared" si="6"/>
        <v>6.0240963855421686E-2</v>
      </c>
      <c r="M7" s="90">
        <f>'Water Reading'!R7-'Water Reading'!R6</f>
        <v>4</v>
      </c>
      <c r="N7" s="92">
        <f t="shared" si="7"/>
        <v>1.6064257028112448E-2</v>
      </c>
      <c r="O7" s="90">
        <f>'Water Reading'!Q7-'Water Reading'!Q6</f>
        <v>0</v>
      </c>
      <c r="P7" s="99">
        <f t="shared" si="8"/>
        <v>0</v>
      </c>
      <c r="Q7" s="91">
        <f>'Water Reading'!F7-'Water Reading'!F6</f>
        <v>1</v>
      </c>
      <c r="R7" s="100">
        <f t="shared" si="9"/>
        <v>4.0160642570281121E-3</v>
      </c>
      <c r="S7" s="90">
        <f>'Water Reading'!E7-'Water Reading'!E6</f>
        <v>55</v>
      </c>
      <c r="T7" s="100">
        <f t="shared" si="10"/>
        <v>0.22088353413654618</v>
      </c>
      <c r="U7" s="90">
        <f>'Water Reading'!G7-'Water Reading'!G6</f>
        <v>12</v>
      </c>
      <c r="V7" s="100">
        <f t="shared" si="11"/>
        <v>4.8192771084337352E-2</v>
      </c>
      <c r="W7" s="90">
        <f>'Water Reading'!J7-'Water Reading'!J6</f>
        <v>10</v>
      </c>
      <c r="X7" s="100">
        <f t="shared" si="12"/>
        <v>4.0160642570281124E-2</v>
      </c>
      <c r="Y7" s="66">
        <f t="shared" si="0"/>
        <v>299</v>
      </c>
      <c r="Z7" s="67">
        <f t="shared" si="1"/>
        <v>1.3056768558951966</v>
      </c>
    </row>
    <row r="8" spans="1:26" x14ac:dyDescent="0.25">
      <c r="A8" s="8">
        <f>'Water Reading'!A7</f>
        <v>44444</v>
      </c>
      <c r="B8" s="65">
        <f>TOTAL!I6</f>
        <v>0</v>
      </c>
      <c r="C8" s="66">
        <f>('Water Reading'!B8-'Water Reading'!B7)+('Water Reading'!C8-'Water Reading'!C7)</f>
        <v>-325003</v>
      </c>
      <c r="D8" s="67" t="e">
        <f t="shared" si="2"/>
        <v>#DIV/0!</v>
      </c>
      <c r="E8" s="88">
        <f>'Water Reading'!H8-'Water Reading'!H7</f>
        <v>-55425</v>
      </c>
      <c r="F8" s="89">
        <f t="shared" si="3"/>
        <v>0.17053688735180905</v>
      </c>
      <c r="G8" s="93">
        <f>('Water Reading'!D8-'Water Reading'!D7)-('Water Reading'!R8-'Water Reading'!R7)-('Water Reading'!Q8-'Water Reading'!Q7)</f>
        <v>-212497</v>
      </c>
      <c r="H8" s="89">
        <f t="shared" si="4"/>
        <v>0.65383088771488262</v>
      </c>
      <c r="I8" s="90">
        <f>'Water Reading'!P8-'Water Reading'!P7</f>
        <v>-27708</v>
      </c>
      <c r="J8" s="68">
        <f t="shared" si="5"/>
        <v>8.5254597649867842E-2</v>
      </c>
      <c r="K8" s="91">
        <f>('Water Reading'!I8-'Water Reading'!I7)-('Water Reading'!P8-'Water Reading'!P7)</f>
        <v>-37847</v>
      </c>
      <c r="L8" s="68">
        <f t="shared" si="6"/>
        <v>0.11645123275785146</v>
      </c>
      <c r="M8" s="90">
        <f>'Water Reading'!R8-'Water Reading'!R7</f>
        <v>-6618</v>
      </c>
      <c r="N8" s="92">
        <f t="shared" si="7"/>
        <v>2.0362888957948081E-2</v>
      </c>
      <c r="O8" s="90">
        <f>'Water Reading'!Q8-'Water Reading'!Q7</f>
        <v>-913</v>
      </c>
      <c r="P8" s="99">
        <f t="shared" si="8"/>
        <v>2.8092048381091867E-3</v>
      </c>
      <c r="Q8" s="91">
        <f>'Water Reading'!F8-'Water Reading'!F7</f>
        <v>-66984</v>
      </c>
      <c r="R8" s="100">
        <f t="shared" si="9"/>
        <v>0.20610271289803478</v>
      </c>
      <c r="S8" s="90">
        <f>'Water Reading'!E8-'Water Reading'!E7</f>
        <v>-251752</v>
      </c>
      <c r="T8" s="100">
        <f t="shared" si="10"/>
        <v>0.77461438817487838</v>
      </c>
      <c r="U8" s="90">
        <f>'Water Reading'!G8-'Water Reading'!G7</f>
        <v>-112835</v>
      </c>
      <c r="V8" s="100">
        <f t="shared" si="11"/>
        <v>0.34718141063313263</v>
      </c>
      <c r="W8" s="90">
        <f>'Water Reading'!J8-'Water Reading'!J7</f>
        <v>-21046</v>
      </c>
      <c r="X8" s="100">
        <f t="shared" si="12"/>
        <v>6.4756325326227757E-2</v>
      </c>
      <c r="Y8" s="66">
        <f t="shared" si="0"/>
        <v>-793625</v>
      </c>
      <c r="Z8" s="67" t="e">
        <f t="shared" si="1"/>
        <v>#DIV/0!</v>
      </c>
    </row>
    <row r="9" spans="1:26" x14ac:dyDescent="0.25">
      <c r="A9" s="8">
        <f>'Water Reading'!A8</f>
        <v>44445</v>
      </c>
      <c r="B9" s="65">
        <f>TOTAL!I7</f>
        <v>0</v>
      </c>
      <c r="C9" s="66">
        <f>('Water Reading'!B9-'Water Reading'!B8)+('Water Reading'!C9-'Water Reading'!C8)</f>
        <v>0</v>
      </c>
      <c r="D9" s="67" t="e">
        <f t="shared" si="2"/>
        <v>#DIV/0!</v>
      </c>
      <c r="E9" s="88">
        <f>'Water Reading'!H9-'Water Reading'!H8</f>
        <v>0</v>
      </c>
      <c r="F9" s="89" t="e">
        <f t="shared" si="3"/>
        <v>#DIV/0!</v>
      </c>
      <c r="G9" s="93">
        <f>('Water Reading'!D9-'Water Reading'!D8)-('Water Reading'!R9-'Water Reading'!R8)-('Water Reading'!Q9-'Water Reading'!Q8)</f>
        <v>0</v>
      </c>
      <c r="H9" s="89" t="e">
        <f t="shared" si="4"/>
        <v>#DIV/0!</v>
      </c>
      <c r="I9" s="90">
        <f>'Water Reading'!P9-'Water Reading'!P8</f>
        <v>0</v>
      </c>
      <c r="J9" s="68" t="e">
        <f t="shared" si="5"/>
        <v>#DIV/0!</v>
      </c>
      <c r="K9" s="91">
        <f>('Water Reading'!I9-'Water Reading'!I8)-('Water Reading'!P9-'Water Reading'!P8)</f>
        <v>0</v>
      </c>
      <c r="L9" s="68" t="e">
        <f t="shared" si="6"/>
        <v>#DIV/0!</v>
      </c>
      <c r="M9" s="90">
        <f>'Water Reading'!R9-'Water Reading'!R8</f>
        <v>0</v>
      </c>
      <c r="N9" s="92" t="e">
        <f t="shared" si="7"/>
        <v>#DIV/0!</v>
      </c>
      <c r="O9" s="90">
        <f>'Water Reading'!Q9-'Water Reading'!Q8</f>
        <v>0</v>
      </c>
      <c r="P9" s="99" t="e">
        <f t="shared" si="8"/>
        <v>#DIV/0!</v>
      </c>
      <c r="Q9" s="91">
        <f>'Water Reading'!F9-'Water Reading'!F8</f>
        <v>0</v>
      </c>
      <c r="R9" s="100" t="e">
        <f t="shared" si="9"/>
        <v>#DIV/0!</v>
      </c>
      <c r="S9" s="90">
        <f>'Water Reading'!E9-'Water Reading'!E8</f>
        <v>0</v>
      </c>
      <c r="T9" s="100" t="e">
        <f t="shared" si="10"/>
        <v>#DIV/0!</v>
      </c>
      <c r="U9" s="90">
        <f>'Water Reading'!G9-'Water Reading'!G8</f>
        <v>0</v>
      </c>
      <c r="V9" s="100" t="e">
        <f t="shared" si="11"/>
        <v>#DIV/0!</v>
      </c>
      <c r="W9" s="90">
        <f>'Water Reading'!J9-'Water Reading'!J8</f>
        <v>0</v>
      </c>
      <c r="X9" s="100" t="e">
        <f t="shared" si="12"/>
        <v>#DIV/0!</v>
      </c>
      <c r="Y9" s="66">
        <f t="shared" si="0"/>
        <v>0</v>
      </c>
      <c r="Z9" s="67" t="e">
        <f t="shared" si="1"/>
        <v>#DIV/0!</v>
      </c>
    </row>
    <row r="10" spans="1:26" x14ac:dyDescent="0.25">
      <c r="A10" s="8">
        <f>'Water Reading'!A9</f>
        <v>44446</v>
      </c>
      <c r="B10" s="65">
        <f>TOTAL!I8</f>
        <v>0</v>
      </c>
      <c r="C10" s="66">
        <f>('Water Reading'!B10-'Water Reading'!B9)+('Water Reading'!C10-'Water Reading'!C9)</f>
        <v>0</v>
      </c>
      <c r="D10" s="67" t="e">
        <f t="shared" si="2"/>
        <v>#DIV/0!</v>
      </c>
      <c r="E10" s="88">
        <f>'Water Reading'!H10-'Water Reading'!H9</f>
        <v>0</v>
      </c>
      <c r="F10" s="89" t="e">
        <f t="shared" si="3"/>
        <v>#DIV/0!</v>
      </c>
      <c r="G10" s="93">
        <f>('Water Reading'!D10-'Water Reading'!D9)-('Water Reading'!R10-'Water Reading'!R9)-('Water Reading'!Q10-'Water Reading'!Q9)</f>
        <v>0</v>
      </c>
      <c r="H10" s="89" t="e">
        <f t="shared" si="4"/>
        <v>#DIV/0!</v>
      </c>
      <c r="I10" s="90">
        <f>'Water Reading'!P10-'Water Reading'!P9</f>
        <v>0</v>
      </c>
      <c r="J10" s="68" t="e">
        <f t="shared" si="5"/>
        <v>#DIV/0!</v>
      </c>
      <c r="K10" s="91">
        <f>('Water Reading'!I10-'Water Reading'!I9)-('Water Reading'!P10-'Water Reading'!P9)</f>
        <v>0</v>
      </c>
      <c r="L10" s="68" t="e">
        <f t="shared" si="6"/>
        <v>#DIV/0!</v>
      </c>
      <c r="M10" s="90">
        <f>'Water Reading'!R10-'Water Reading'!R9</f>
        <v>0</v>
      </c>
      <c r="N10" s="92" t="e">
        <f t="shared" si="7"/>
        <v>#DIV/0!</v>
      </c>
      <c r="O10" s="90">
        <f>'Water Reading'!Q10-'Water Reading'!Q9</f>
        <v>0</v>
      </c>
      <c r="P10" s="99" t="e">
        <f t="shared" si="8"/>
        <v>#DIV/0!</v>
      </c>
      <c r="Q10" s="91">
        <f>'Water Reading'!F10-'Water Reading'!F9</f>
        <v>0</v>
      </c>
      <c r="R10" s="100" t="e">
        <f t="shared" si="9"/>
        <v>#DIV/0!</v>
      </c>
      <c r="S10" s="90">
        <f>'Water Reading'!E10-'Water Reading'!E9</f>
        <v>0</v>
      </c>
      <c r="T10" s="100" t="e">
        <f t="shared" si="10"/>
        <v>#DIV/0!</v>
      </c>
      <c r="U10" s="90">
        <f>'Water Reading'!G10-'Water Reading'!G9</f>
        <v>0</v>
      </c>
      <c r="V10" s="100" t="e">
        <f t="shared" si="11"/>
        <v>#DIV/0!</v>
      </c>
      <c r="W10" s="90">
        <f>'Water Reading'!J10-'Water Reading'!J9</f>
        <v>0</v>
      </c>
      <c r="X10" s="100" t="e">
        <f t="shared" si="12"/>
        <v>#DIV/0!</v>
      </c>
      <c r="Y10" s="66">
        <f t="shared" si="0"/>
        <v>0</v>
      </c>
      <c r="Z10" s="67" t="e">
        <f t="shared" si="1"/>
        <v>#DIV/0!</v>
      </c>
    </row>
    <row r="11" spans="1:26" x14ac:dyDescent="0.25">
      <c r="A11" s="8">
        <f>'Water Reading'!A10</f>
        <v>44447</v>
      </c>
      <c r="B11" s="65">
        <f>TOTAL!I9</f>
        <v>0</v>
      </c>
      <c r="C11" s="66">
        <f>('Water Reading'!B11-'Water Reading'!B10)+('Water Reading'!C11-'Water Reading'!C10)</f>
        <v>0</v>
      </c>
      <c r="D11" s="67" t="e">
        <f t="shared" si="2"/>
        <v>#DIV/0!</v>
      </c>
      <c r="E11" s="88">
        <f>'Water Reading'!H11-'Water Reading'!H10</f>
        <v>0</v>
      </c>
      <c r="F11" s="89" t="e">
        <f t="shared" si="3"/>
        <v>#DIV/0!</v>
      </c>
      <c r="G11" s="93">
        <f>('Water Reading'!D11-'Water Reading'!D10)-('Water Reading'!R11-'Water Reading'!R10)-('Water Reading'!Q11-'Water Reading'!Q10)</f>
        <v>0</v>
      </c>
      <c r="H11" s="89" t="e">
        <f t="shared" si="4"/>
        <v>#DIV/0!</v>
      </c>
      <c r="I11" s="90">
        <f>'Water Reading'!P11-'Water Reading'!P10</f>
        <v>0</v>
      </c>
      <c r="J11" s="68" t="e">
        <f t="shared" si="5"/>
        <v>#DIV/0!</v>
      </c>
      <c r="K11" s="91">
        <f>('Water Reading'!I11-'Water Reading'!I10)-('Water Reading'!P11-'Water Reading'!P10)</f>
        <v>0</v>
      </c>
      <c r="L11" s="68" t="e">
        <f t="shared" si="6"/>
        <v>#DIV/0!</v>
      </c>
      <c r="M11" s="90">
        <f>'Water Reading'!R11-'Water Reading'!R10</f>
        <v>0</v>
      </c>
      <c r="N11" s="92" t="e">
        <f t="shared" si="7"/>
        <v>#DIV/0!</v>
      </c>
      <c r="O11" s="98">
        <f>'Water Reading'!Q11-'Water Reading'!Q10</f>
        <v>0</v>
      </c>
      <c r="P11" s="99" t="e">
        <f t="shared" si="8"/>
        <v>#DIV/0!</v>
      </c>
      <c r="Q11" s="91">
        <f>'Water Reading'!F11-'Water Reading'!F10</f>
        <v>0</v>
      </c>
      <c r="R11" s="100" t="e">
        <f t="shared" si="9"/>
        <v>#DIV/0!</v>
      </c>
      <c r="S11" s="90">
        <f>'Water Reading'!E11-'Water Reading'!E10</f>
        <v>0</v>
      </c>
      <c r="T11" s="100" t="e">
        <f t="shared" si="10"/>
        <v>#DIV/0!</v>
      </c>
      <c r="U11" s="90">
        <f>'Water Reading'!G11-'Water Reading'!G10</f>
        <v>0</v>
      </c>
      <c r="V11" s="100" t="e">
        <f t="shared" si="11"/>
        <v>#DIV/0!</v>
      </c>
      <c r="W11" s="90">
        <f>'Water Reading'!J11-'Water Reading'!J10</f>
        <v>0</v>
      </c>
      <c r="X11" s="100" t="e">
        <f t="shared" si="12"/>
        <v>#DIV/0!</v>
      </c>
      <c r="Y11" s="66">
        <f t="shared" si="0"/>
        <v>0</v>
      </c>
      <c r="Z11" s="67" t="e">
        <f t="shared" si="1"/>
        <v>#DIV/0!</v>
      </c>
    </row>
    <row r="12" spans="1:26" x14ac:dyDescent="0.25">
      <c r="A12" s="8">
        <f>'Water Reading'!A11</f>
        <v>44448</v>
      </c>
      <c r="B12" s="65">
        <f>TOTAL!I10</f>
        <v>0</v>
      </c>
      <c r="C12" s="66">
        <f>('Water Reading'!B12-'Water Reading'!B11)+('Water Reading'!C12-'Water Reading'!C11)</f>
        <v>0</v>
      </c>
      <c r="D12" s="67" t="e">
        <f t="shared" si="2"/>
        <v>#DIV/0!</v>
      </c>
      <c r="E12" s="88">
        <f>'Water Reading'!H12-'Water Reading'!H11</f>
        <v>0</v>
      </c>
      <c r="F12" s="89" t="e">
        <f t="shared" si="3"/>
        <v>#DIV/0!</v>
      </c>
      <c r="G12" s="93">
        <f>('Water Reading'!D12-'Water Reading'!D11)-('Water Reading'!R12-'Water Reading'!R11)-('Water Reading'!Q12-'Water Reading'!Q11)</f>
        <v>0</v>
      </c>
      <c r="H12" s="89" t="e">
        <f t="shared" si="4"/>
        <v>#DIV/0!</v>
      </c>
      <c r="I12" s="90">
        <f>'Water Reading'!P12-'Water Reading'!P11</f>
        <v>0</v>
      </c>
      <c r="J12" s="68" t="e">
        <f t="shared" si="5"/>
        <v>#DIV/0!</v>
      </c>
      <c r="K12" s="91">
        <f>('Water Reading'!I12-'Water Reading'!I11)-('Water Reading'!P12-'Water Reading'!P11)</f>
        <v>0</v>
      </c>
      <c r="L12" s="68" t="e">
        <f t="shared" si="6"/>
        <v>#DIV/0!</v>
      </c>
      <c r="M12" s="90">
        <f>'Water Reading'!R12-'Water Reading'!R11</f>
        <v>0</v>
      </c>
      <c r="N12" s="92" t="e">
        <f t="shared" si="7"/>
        <v>#DIV/0!</v>
      </c>
      <c r="O12" s="98">
        <f>'Water Reading'!Q12-'Water Reading'!Q11</f>
        <v>0</v>
      </c>
      <c r="P12" s="99" t="e">
        <f t="shared" si="8"/>
        <v>#DIV/0!</v>
      </c>
      <c r="Q12" s="91">
        <f>'Water Reading'!F12-'Water Reading'!F11</f>
        <v>0</v>
      </c>
      <c r="R12" s="100" t="e">
        <f t="shared" si="9"/>
        <v>#DIV/0!</v>
      </c>
      <c r="S12" s="90">
        <f>'Water Reading'!E12-'Water Reading'!E11</f>
        <v>0</v>
      </c>
      <c r="T12" s="100" t="e">
        <f t="shared" si="10"/>
        <v>#DIV/0!</v>
      </c>
      <c r="U12" s="90">
        <f>'Water Reading'!G12-'Water Reading'!G11</f>
        <v>0</v>
      </c>
      <c r="V12" s="100" t="e">
        <f t="shared" si="11"/>
        <v>#DIV/0!</v>
      </c>
      <c r="W12" s="90">
        <f>'Water Reading'!J12-'Water Reading'!J11</f>
        <v>0</v>
      </c>
      <c r="X12" s="100" t="e">
        <f t="shared" si="12"/>
        <v>#DIV/0!</v>
      </c>
      <c r="Y12" s="66">
        <f t="shared" si="0"/>
        <v>0</v>
      </c>
      <c r="Z12" s="67" t="e">
        <f t="shared" si="1"/>
        <v>#DIV/0!</v>
      </c>
    </row>
    <row r="13" spans="1:26" x14ac:dyDescent="0.25">
      <c r="A13" s="8">
        <f>'Water Reading'!A12</f>
        <v>44449</v>
      </c>
      <c r="B13" s="65">
        <f>TOTAL!I11</f>
        <v>0</v>
      </c>
      <c r="C13" s="66">
        <f>('Water Reading'!B13-'Water Reading'!B12)+('Water Reading'!C13-'Water Reading'!C12)</f>
        <v>0</v>
      </c>
      <c r="D13" s="67" t="e">
        <f t="shared" si="2"/>
        <v>#DIV/0!</v>
      </c>
      <c r="E13" s="87">
        <f>'Water Reading'!H13-'Water Reading'!H12</f>
        <v>0</v>
      </c>
      <c r="F13" s="89" t="e">
        <f t="shared" si="3"/>
        <v>#DIV/0!</v>
      </c>
      <c r="G13" s="93">
        <f>('Water Reading'!D13-'Water Reading'!D12)-('Water Reading'!R13-'Water Reading'!R12)-('Water Reading'!Q13-'Water Reading'!Q12)</f>
        <v>0</v>
      </c>
      <c r="H13" s="89" t="e">
        <f t="shared" si="4"/>
        <v>#DIV/0!</v>
      </c>
      <c r="I13" s="90">
        <f>'Water Reading'!P13-'Water Reading'!P12</f>
        <v>0</v>
      </c>
      <c r="J13" s="68" t="e">
        <f t="shared" si="5"/>
        <v>#DIV/0!</v>
      </c>
      <c r="K13" s="91">
        <f>('Water Reading'!I13-'Water Reading'!I12)-('Water Reading'!P13-'Water Reading'!P12)</f>
        <v>0</v>
      </c>
      <c r="L13" s="68" t="e">
        <f t="shared" si="6"/>
        <v>#DIV/0!</v>
      </c>
      <c r="M13" s="90">
        <f>'Water Reading'!R13-'Water Reading'!R12</f>
        <v>0</v>
      </c>
      <c r="N13" s="92" t="e">
        <f t="shared" si="7"/>
        <v>#DIV/0!</v>
      </c>
      <c r="O13" s="90">
        <f>'Water Reading'!Q13-'Water Reading'!Q12</f>
        <v>0</v>
      </c>
      <c r="P13" s="99" t="e">
        <f t="shared" si="8"/>
        <v>#DIV/0!</v>
      </c>
      <c r="Q13" s="91">
        <f>'Water Reading'!F13-'Water Reading'!F12</f>
        <v>0</v>
      </c>
      <c r="R13" s="100" t="e">
        <f t="shared" si="9"/>
        <v>#DIV/0!</v>
      </c>
      <c r="S13" s="94">
        <f>'Water Reading'!E13-'Water Reading'!E12</f>
        <v>0</v>
      </c>
      <c r="T13" s="100" t="e">
        <f t="shared" si="10"/>
        <v>#DIV/0!</v>
      </c>
      <c r="U13" s="90">
        <f>'Water Reading'!G13-'Water Reading'!G12</f>
        <v>0</v>
      </c>
      <c r="V13" s="100" t="e">
        <f t="shared" si="11"/>
        <v>#DIV/0!</v>
      </c>
      <c r="W13" s="90">
        <f>'Water Reading'!J13-'Water Reading'!J12</f>
        <v>0</v>
      </c>
      <c r="X13" s="100" t="e">
        <f t="shared" si="12"/>
        <v>#DIV/0!</v>
      </c>
      <c r="Y13" s="66">
        <f t="shared" si="0"/>
        <v>0</v>
      </c>
      <c r="Z13" s="67" t="e">
        <f t="shared" si="1"/>
        <v>#DIV/0!</v>
      </c>
    </row>
    <row r="14" spans="1:26" x14ac:dyDescent="0.25">
      <c r="A14" s="8">
        <f>'Water Reading'!A13</f>
        <v>44450</v>
      </c>
      <c r="B14" s="65">
        <f>TOTAL!I12</f>
        <v>0</v>
      </c>
      <c r="C14" s="66">
        <f>('Water Reading'!B14-'Water Reading'!B13)+('Water Reading'!C14-'Water Reading'!C13)</f>
        <v>0</v>
      </c>
      <c r="D14" s="67" t="e">
        <f t="shared" si="2"/>
        <v>#DIV/0!</v>
      </c>
      <c r="E14" s="88">
        <f>'Water Reading'!H14-'Water Reading'!H13</f>
        <v>0</v>
      </c>
      <c r="F14" s="89" t="e">
        <f t="shared" si="3"/>
        <v>#DIV/0!</v>
      </c>
      <c r="G14" s="93">
        <f>('Water Reading'!D14-'Water Reading'!D13)-('Water Reading'!R14-'Water Reading'!R13)-('Water Reading'!Q14-'Water Reading'!Q13)</f>
        <v>0</v>
      </c>
      <c r="H14" s="89" t="e">
        <f t="shared" si="4"/>
        <v>#DIV/0!</v>
      </c>
      <c r="I14" s="90">
        <f>'Water Reading'!P14-'Water Reading'!P13</f>
        <v>0</v>
      </c>
      <c r="J14" s="68" t="e">
        <f t="shared" si="5"/>
        <v>#DIV/0!</v>
      </c>
      <c r="K14" s="91">
        <f>('Water Reading'!I14-'Water Reading'!I13)-('Water Reading'!P14-'Water Reading'!P13)</f>
        <v>0</v>
      </c>
      <c r="L14" s="68" t="e">
        <f t="shared" si="6"/>
        <v>#DIV/0!</v>
      </c>
      <c r="M14" s="90">
        <f>'Water Reading'!R14-'Water Reading'!R13</f>
        <v>0</v>
      </c>
      <c r="N14" s="92" t="e">
        <f t="shared" si="7"/>
        <v>#DIV/0!</v>
      </c>
      <c r="O14" s="90">
        <f>'Water Reading'!Q14-'Water Reading'!Q13</f>
        <v>0</v>
      </c>
      <c r="P14" s="99" t="e">
        <f t="shared" si="8"/>
        <v>#DIV/0!</v>
      </c>
      <c r="Q14" s="91">
        <f>'Water Reading'!F14-'Water Reading'!F13</f>
        <v>0</v>
      </c>
      <c r="R14" s="100" t="e">
        <f t="shared" si="9"/>
        <v>#DIV/0!</v>
      </c>
      <c r="S14" s="94">
        <f>'Water Reading'!E14-'Water Reading'!E13</f>
        <v>0</v>
      </c>
      <c r="T14" s="100" t="e">
        <f t="shared" si="10"/>
        <v>#DIV/0!</v>
      </c>
      <c r="U14" s="90">
        <f>'Water Reading'!G14-'Water Reading'!G13</f>
        <v>0</v>
      </c>
      <c r="V14" s="100" t="e">
        <f t="shared" si="11"/>
        <v>#DIV/0!</v>
      </c>
      <c r="W14" s="90">
        <f>'Water Reading'!J14-'Water Reading'!J13</f>
        <v>0</v>
      </c>
      <c r="X14" s="100" t="e">
        <f t="shared" si="12"/>
        <v>#DIV/0!</v>
      </c>
      <c r="Y14" s="66">
        <f t="shared" si="0"/>
        <v>0</v>
      </c>
      <c r="Z14" s="67" t="e">
        <f t="shared" si="1"/>
        <v>#DIV/0!</v>
      </c>
    </row>
    <row r="15" spans="1:26" x14ac:dyDescent="0.25">
      <c r="A15" s="8">
        <f>'Water Reading'!A14</f>
        <v>44451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Reading'!I14)-('Water Reading'!P15-'Water Reading'!P14)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44452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1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44453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Reading'!Q17-'Water Reading'!Q16)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1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Reading'!Q17-'Water Reading'!Q16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44454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1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44455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1">
        <f>('Water Reading'!I19-'Water Reading'!I18)-('Water Reading'!P19-'Water Reading'!P18)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44456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44457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44458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44459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44460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44461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44462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44463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44464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44465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44466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44467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44468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44469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44470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52</v>
      </c>
      <c r="B35" s="97">
        <f>SUM(B4:B34)</f>
        <v>1163</v>
      </c>
      <c r="C35" s="75">
        <f>SUM(C4:C34)</f>
        <v>-322707</v>
      </c>
      <c r="D35" s="96">
        <f>C35/B35</f>
        <v>-277.47807394668962</v>
      </c>
      <c r="E35" s="7">
        <f>SUM(E4:E34)</f>
        <v>-55314</v>
      </c>
      <c r="F35" s="95">
        <f>E35/C35</f>
        <v>0.17140626016789223</v>
      </c>
      <c r="G35" s="75">
        <f>SUM(G4:G34)</f>
        <v>-211984</v>
      </c>
      <c r="H35" s="95">
        <f>G35/C35</f>
        <v>0.65689309497469839</v>
      </c>
      <c r="I35" s="7">
        <f>SUM(I4:I34)</f>
        <v>-27660</v>
      </c>
      <c r="J35" s="95">
        <f>I35/C35</f>
        <v>8.5712426442562453E-2</v>
      </c>
      <c r="K35" s="7">
        <f>SUM(K4:K34)</f>
        <v>-37781</v>
      </c>
      <c r="L35" s="95">
        <f>K35/C35</f>
        <v>0.11707524162785438</v>
      </c>
      <c r="M35" s="7">
        <f>SUM(M4:M34)</f>
        <v>-6604</v>
      </c>
      <c r="N35" s="95">
        <f>M35/C35</f>
        <v>2.0464384100747739E-2</v>
      </c>
      <c r="O35" s="7">
        <f>SUM(O4:O34)</f>
        <v>-913</v>
      </c>
      <c r="P35" s="95">
        <f>O35/C35</f>
        <v>2.8291918055697585E-3</v>
      </c>
      <c r="Q35" s="7">
        <f>SUM(Q4:Q34)</f>
        <v>-66981</v>
      </c>
      <c r="R35" s="95">
        <f>Q35/C35</f>
        <v>0.20755979882679954</v>
      </c>
      <c r="S35" s="75">
        <f>SUM(S4:S34)</f>
        <v>-251513</v>
      </c>
      <c r="T35" s="95">
        <f>S35/C35</f>
        <v>0.77938501488966772</v>
      </c>
      <c r="U35" s="7">
        <f>SUM(U4:U34)</f>
        <v>-112781</v>
      </c>
      <c r="V35" s="95">
        <f>U35/C35</f>
        <v>0.34948420703610394</v>
      </c>
      <c r="W35" s="7">
        <f>SUM(W4:W34)</f>
        <v>-21005</v>
      </c>
      <c r="X35" s="95">
        <f>W35/C35</f>
        <v>6.5090004245337105E-2</v>
      </c>
      <c r="Y35" s="75">
        <f>SUM(Y4:Y34)</f>
        <v>-792536</v>
      </c>
      <c r="Z35" s="95">
        <f t="shared" si="1"/>
        <v>-681.45829750644884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2021-09-05T04:56:07Z</dcterms:modified>
  <cp:category/>
  <cp:contentStatus/>
</cp:coreProperties>
</file>