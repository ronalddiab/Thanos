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26290B61-08BD-496A-8AB8-4FBF8E1C293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<sst xmlns="http://schemas.openxmlformats.org/spreadsheetml/2006/main" count="234" uniqueCount="130">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</sst>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-359649.99999999994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9" zoomScale="115" zoomScaleNormal="115" workbookViewId="0">
      <selection activeCell="I28" sqref="I28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>
        <v>17259.999999998399</v>
      </c>
      <c r="F21" s="97"/>
      <c r="G21" s="85">
        <v>4364</v>
      </c>
      <c r="H21" s="131"/>
      <c r="I21" s="52">
        <v>269</v>
      </c>
      <c r="J21" s="133"/>
      <c r="K21" s="82"/>
      <c r="L21" s="134"/>
      <c r="M21" s="58">
        <v>25</v>
      </c>
      <c r="N21" s="58">
        <v>77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>
        <v>16960</v>
      </c>
      <c r="F22" s="97"/>
      <c r="G22" s="85">
        <v>4697</v>
      </c>
      <c r="H22" s="131"/>
      <c r="I22" s="52">
        <v>259</v>
      </c>
      <c r="J22" s="133"/>
      <c r="K22" s="82"/>
      <c r="L22" s="134"/>
      <c r="M22" s="58">
        <v>32.299999999999997</v>
      </c>
      <c r="N22" s="58">
        <v>92</v>
      </c>
      <c r="O22" s="58">
        <v>244</v>
      </c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>
        <v>18500</v>
      </c>
      <c r="F23" s="97"/>
      <c r="G23" s="85">
        <v>5065</v>
      </c>
      <c r="H23" s="131"/>
      <c r="I23" s="52">
        <v>300</v>
      </c>
      <c r="J23" s="133"/>
      <c r="K23" s="82"/>
      <c r="L23" s="134"/>
      <c r="M23" s="58">
        <v>32.299999999999997</v>
      </c>
      <c r="N23" s="58">
        <v>85</v>
      </c>
      <c r="O23" s="58">
        <v>240</v>
      </c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>
        <v>18689.999999998236</v>
      </c>
      <c r="F24" s="97"/>
      <c r="G24" s="85">
        <v>5085</v>
      </c>
      <c r="H24" s="131"/>
      <c r="I24" s="52">
        <v>312</v>
      </c>
      <c r="J24" s="133"/>
      <c r="K24" s="82"/>
      <c r="L24" s="134"/>
      <c r="M24" s="58">
        <v>50</v>
      </c>
      <c r="N24" s="58">
        <v>140</v>
      </c>
      <c r="O24" s="58">
        <v>356</v>
      </c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>
        <v>19039.999999999054</v>
      </c>
      <c r="F25" s="97"/>
      <c r="G25" s="85">
        <v>5252</v>
      </c>
      <c r="H25" s="131"/>
      <c r="I25" s="52">
        <v>280</v>
      </c>
      <c r="J25" s="133"/>
      <c r="K25" s="82"/>
      <c r="L25" s="134"/>
      <c r="M25" s="58">
        <v>52.1</v>
      </c>
      <c r="N25" s="58">
        <v>142</v>
      </c>
      <c r="O25" s="58">
        <v>407</v>
      </c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>
        <v>20450.000000002547</v>
      </c>
      <c r="F26" s="97"/>
      <c r="G26" s="85">
        <v>5653</v>
      </c>
      <c r="H26" s="131"/>
      <c r="I26" s="52">
        <v>343</v>
      </c>
      <c r="J26" s="133"/>
      <c r="K26" s="82"/>
      <c r="L26" s="134"/>
      <c r="M26" s="58">
        <v>61.5</v>
      </c>
      <c r="N26" s="58">
        <v>165</v>
      </c>
      <c r="O26" s="58">
        <v>451</v>
      </c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>
        <v>20970</v>
      </c>
      <c r="F27" s="97"/>
      <c r="G27" s="85">
        <v>5829</v>
      </c>
      <c r="H27" s="131"/>
      <c r="I27" s="52">
        <v>363</v>
      </c>
      <c r="J27" s="133"/>
      <c r="K27" s="82"/>
      <c r="L27" s="134"/>
      <c r="M27" s="58">
        <v>64.599999999999994</v>
      </c>
      <c r="N27" s="58">
        <v>177</v>
      </c>
      <c r="O27" s="58">
        <v>527</v>
      </c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>
        <v>19400.000000001</v>
      </c>
      <c r="F28" s="97"/>
      <c r="G28" s="85">
        <v>5423</v>
      </c>
      <c r="H28" s="131"/>
      <c r="I28" s="52">
        <v>322</v>
      </c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491859.99999999831</v>
      </c>
      <c r="F32" s="128">
        <v>0</v>
      </c>
      <c r="G32" s="80">
        <f>SUM(G2:G31)</f>
        <v>135729</v>
      </c>
      <c r="H32" s="128">
        <v>0</v>
      </c>
      <c r="I32" s="80">
        <f>SUM(I2:I31)</f>
        <v>7760</v>
      </c>
      <c r="J32" s="128">
        <v>0</v>
      </c>
      <c r="K32" s="79">
        <f>SUM(K2:K31)</f>
        <v>0</v>
      </c>
      <c r="L32" s="135">
        <v>0</v>
      </c>
      <c r="M32" s="80">
        <f>SUM(M2:M31)</f>
        <v>818.90000000000009</v>
      </c>
      <c r="N32" s="80">
        <f>SUM(N2:N31)</f>
        <v>2237</v>
      </c>
      <c r="O32" s="80">
        <f>SUM(O2:O31)</f>
        <v>5828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610.00000000001364</v>
      </c>
      <c r="F21" s="2">
        <f>('Kwh Reading'!F24-'Kwh Reading'!F23)*1000000</f>
        <v>2299.9999999999686</v>
      </c>
      <c r="G21" s="2">
        <f>('Kwh Reading'!C24-'Kwh Reading'!C23)*1000</f>
        <v>269.99999999998181</v>
      </c>
      <c r="H21" s="2">
        <f t="shared" si="0"/>
        <v>1349.9999999999091</v>
      </c>
      <c r="I21" s="2">
        <f>('Kwh Reading'!J24-'Kwh Reading'!J23)*1000</f>
        <v>579.99999999992724</v>
      </c>
      <c r="J21" s="2">
        <f>('Kwh Reading'!K24-'Kwh Reading'!K23)*1000</f>
        <v>389.99999999998636</v>
      </c>
      <c r="K21" s="2">
        <f>('Kwh Reading'!L24-'Kwh Reading'!L23)*1000</f>
        <v>379.99999999999545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279.99999999997272</v>
      </c>
      <c r="O21" s="2">
        <f>('Kwh Reading'!B24-'Kwh Reading'!B23)*1000000</f>
        <v>1000.0000000001119</v>
      </c>
      <c r="P21" s="2">
        <f>('Kwh Reading'!M24-'Kwh Reading'!M23)*1000</f>
        <v>329.99999999992724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310.00000000005912</v>
      </c>
      <c r="V21" s="26">
        <f>'Kwh Reading'!E24-'Kwh Reading'!E23</f>
        <v>2275.4499999992549</v>
      </c>
      <c r="W21" s="121">
        <f>'Kwh Reading'!D24-'Kwh Reading'!D23</f>
        <v>1440.2100000000064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500</v>
      </c>
      <c r="F22" s="2">
        <f>('Kwh Reading'!F25-'Kwh Reading'!F24)*1000000</f>
        <v>2399.9999999997358</v>
      </c>
      <c r="G22" s="2">
        <f>('Kwh Reading'!C25-'Kwh Reading'!C24)*1000</f>
        <v>270.00000000003865</v>
      </c>
      <c r="H22" s="2">
        <f t="shared" si="0"/>
        <v>1249.9999999999432</v>
      </c>
      <c r="I22" s="2">
        <f>('Kwh Reading'!J25-'Kwh Reading'!J24)*1000</f>
        <v>509.99999999999091</v>
      </c>
      <c r="J22" s="2">
        <f>('Kwh Reading'!K25-'Kwh Reading'!K24)*1000</f>
        <v>399.99999999997726</v>
      </c>
      <c r="K22" s="2">
        <f>('Kwh Reading'!L25-'Kwh Reading'!L24)*1000</f>
        <v>339.99999999997499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279.99999999997272</v>
      </c>
      <c r="O22" s="2">
        <f>('Kwh Reading'!B25-'Kwh Reading'!B24)*1000000</f>
        <v>799.99999999991189</v>
      </c>
      <c r="P22" s="2">
        <f>('Kwh Reading'!M25-'Kwh Reading'!M24)*1000</f>
        <v>310.00000000005912</v>
      </c>
      <c r="Q22" s="2">
        <f>('Kwh Reading'!H25-'Kwh Reading'!H24)*1000000</f>
        <v>500.00000000016701</v>
      </c>
      <c r="R22" s="2">
        <f>('Kwh Reading'!P25-'Kwh Reading'!P24)*1000000</f>
        <v>300.000000000189</v>
      </c>
      <c r="S22" s="2">
        <f>('Kwh Reading'!G25-'Kwh Reading'!G24)*1000000</f>
        <v>399.99999999995595</v>
      </c>
      <c r="T22" s="2">
        <f>('Kwh Reading'!Q25-'Kwh Reading'!Q24)*1000</f>
        <v>350.00000000002274</v>
      </c>
      <c r="U22" s="2">
        <f>('Kwh Reading'!N25-'Kwh Reading'!N24)*1000</f>
        <v>289.99999999996362</v>
      </c>
      <c r="V22" s="2">
        <f>'Kwh Reading'!E25-'Kwh Reading'!E24</f>
        <v>2229.9600000008941</v>
      </c>
      <c r="W22" s="2">
        <f>'Kwh Reading'!D25-'Kwh Reading'!D24</f>
        <v>1462.679999999993</v>
      </c>
      <c r="X22" s="21">
        <f>('Kwh Reading'!O25-'Kwh Reading'!O24)*1000</f>
        <v>269.99999999998181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509.99999999999091</v>
      </c>
      <c r="F23" s="2">
        <f>('Kwh Reading'!F26-'Kwh Reading'!F25)*1000000</f>
        <v>2400.0000000001796</v>
      </c>
      <c r="G23" s="2">
        <f>('Kwh Reading'!C26-'Kwh Reading'!C25)*1000</f>
        <v>279.99999999997272</v>
      </c>
      <c r="H23" s="2">
        <f t="shared" si="0"/>
        <v>1270.0000000002092</v>
      </c>
      <c r="I23" s="2">
        <f>('Kwh Reading'!J26-'Kwh Reading'!J25)*1000</f>
        <v>530.0000000000864</v>
      </c>
      <c r="J23" s="2">
        <f>('Kwh Reading'!K26-'Kwh Reading'!K25)*1000</f>
        <v>390.00000000010004</v>
      </c>
      <c r="K23" s="2">
        <f>('Kwh Reading'!L26-'Kwh Reading'!L25)*1000</f>
        <v>350.00000000002274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290.00000000002046</v>
      </c>
      <c r="O23" s="2">
        <f>('Kwh Reading'!B26-'Kwh Reading'!B25)*1000000</f>
        <v>1000.0000000001119</v>
      </c>
      <c r="P23" s="2">
        <f>('Kwh Reading'!M26-'Kwh Reading'!M25)*1000</f>
        <v>330.00000000004093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500.00000000016701</v>
      </c>
      <c r="T23" s="2">
        <f>('Kwh Reading'!Q26-'Kwh Reading'!Q25)*1000</f>
        <v>389.99999999998636</v>
      </c>
      <c r="U23" s="2">
        <f>('Kwh Reading'!N26-'Kwh Reading'!N25)*1000</f>
        <v>340.00000000003183</v>
      </c>
      <c r="V23" s="2">
        <f>'Kwh Reading'!E26-'Kwh Reading'!E25</f>
        <v>2382.5800000000745</v>
      </c>
      <c r="W23" s="2">
        <f>'Kwh Reading'!D26-'Kwh Reading'!D25</f>
        <v>1538.0400000000081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539.99999999996362</v>
      </c>
      <c r="F24" s="2">
        <f>('Kwh Reading'!F27-'Kwh Reading'!F26)*1000000</f>
        <v>2499.9999999999468</v>
      </c>
      <c r="G24" s="2">
        <f>('Kwh Reading'!C27-'Kwh Reading'!C26)*1000</f>
        <v>269.99999999998181</v>
      </c>
      <c r="H24" s="2">
        <f t="shared" si="0"/>
        <v>1349.9999999999091</v>
      </c>
      <c r="I24" s="2">
        <f>('Kwh Reading'!J27-'Kwh Reading'!J26)*1000</f>
        <v>519.99999999998181</v>
      </c>
      <c r="J24" s="2">
        <f>('Kwh Reading'!K27-'Kwh Reading'!K26)*1000</f>
        <v>429.99999999994998</v>
      </c>
      <c r="K24" s="2">
        <f>('Kwh Reading'!L27-'Kwh Reading'!L26)*1000</f>
        <v>399.99999999997726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350.00000000002274</v>
      </c>
      <c r="O24" s="2">
        <f>('Kwh Reading'!B27-'Kwh Reading'!B26)*1000000</f>
        <v>1099.9999999998788</v>
      </c>
      <c r="P24" s="2">
        <f>('Kwh Reading'!M27-'Kwh Reading'!M26)*1000</f>
        <v>409.99999999996817</v>
      </c>
      <c r="Q24" s="2">
        <f>('Kwh Reading'!H27-'Kwh Reading'!H26)*1000000</f>
        <v>599.99999999993395</v>
      </c>
      <c r="R24" s="2">
        <f>('Kwh Reading'!P27-'Kwh Reading'!P26)*1000000</f>
        <v>499.99999999994492</v>
      </c>
      <c r="S24" s="2">
        <f>('Kwh Reading'!G27-'Kwh Reading'!G26)*1000000</f>
        <v>499.99999999994492</v>
      </c>
      <c r="T24" s="2">
        <f>('Kwh Reading'!Q27-'Kwh Reading'!Q26)*1000</f>
        <v>409.99999999996817</v>
      </c>
      <c r="U24" s="2">
        <f>('Kwh Reading'!N27-'Kwh Reading'!N26)*1000</f>
        <v>439.99999999994088</v>
      </c>
      <c r="V24" s="2">
        <f>'Kwh Reading'!E27-'Kwh Reading'!E26</f>
        <v>2533.9900000002235</v>
      </c>
      <c r="W24" s="2">
        <f>'Kwh Reading'!D27-'Kwh Reading'!D26</f>
        <v>1713.8199999999924</v>
      </c>
      <c r="X24" s="21">
        <f>('Kwh Reading'!O27-'Kwh Reading'!O26)*1000</f>
        <v>229.99999999996135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420.00000000007276</v>
      </c>
      <c r="F25" s="21">
        <f>('Kwh Reading'!F28-'Kwh Reading'!F27)*1000000</f>
        <v>2600.0000000001578</v>
      </c>
      <c r="G25" s="21">
        <f>('Kwh Reading'!C28-'Kwh Reading'!C27)*1000</f>
        <v>259.99999999999091</v>
      </c>
      <c r="H25" s="2">
        <f t="shared" si="0"/>
        <v>1009.9999999999909</v>
      </c>
      <c r="I25" s="21">
        <f>('Kwh Reading'!J28-'Kwh Reading'!J27)*1000</f>
        <v>500</v>
      </c>
      <c r="J25" s="21">
        <f>('Kwh Reading'!K28-'Kwh Reading'!K27)*1000</f>
        <v>159.99999999996817</v>
      </c>
      <c r="K25" s="21">
        <f>('Kwh Reading'!L28-'Kwh Reading'!L27)*1000</f>
        <v>350.00000000002274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277.99999999996317</v>
      </c>
      <c r="O25" s="2">
        <f>('Kwh Reading'!B28-'Kwh Reading'!B27)*1000000</f>
        <v>1000.0000000001119</v>
      </c>
      <c r="P25" s="21">
        <f>('Kwh Reading'!M28-'Kwh Reading'!M27)*1000</f>
        <v>379.99999999999545</v>
      </c>
      <c r="Q25" s="2">
        <f>('Kwh Reading'!H28-'Kwh Reading'!H27)*1000000</f>
        <v>600.00000000015598</v>
      </c>
      <c r="R25" s="2">
        <f>('Kwh Reading'!P28-'Kwh Reading'!P27)*1000000</f>
        <v>399.99999999995595</v>
      </c>
      <c r="S25" s="21">
        <f>('Kwh Reading'!G28-'Kwh Reading'!G27)*1000000</f>
        <v>399.99999999995595</v>
      </c>
      <c r="T25" s="21">
        <f>('Kwh Reading'!Q28-'Kwh Reading'!Q27)*1000</f>
        <v>389.99999999998636</v>
      </c>
      <c r="U25" s="21">
        <f>('Kwh Reading'!N28-'Kwh Reading'!N27)*1000</f>
        <v>410.00000000008185</v>
      </c>
      <c r="V25" s="21">
        <f>'Kwh Reading'!E28-'Kwh Reading'!E27</f>
        <v>2256.2799999993294</v>
      </c>
      <c r="W25" s="21">
        <f>'Kwh Reading'!D28-'Kwh Reading'!D27</f>
        <v>1790.9000000000087</v>
      </c>
      <c r="X25" s="21">
        <f>('Kwh Reading'!O28-'Kwh Reading'!O27)*1000</f>
        <v>210.00000000003638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649.99999999997726</v>
      </c>
      <c r="F26" s="21">
        <f>('Kwh Reading'!F29-'Kwh Reading'!F28)*1000000</f>
        <v>2699.9999999999245</v>
      </c>
      <c r="G26" s="21">
        <f>('Kwh Reading'!C29-'Kwh Reading'!C28)*1000</f>
        <v>270.00000000003865</v>
      </c>
      <c r="H26" s="2">
        <f t="shared" si="0"/>
        <v>1589.999999999975</v>
      </c>
      <c r="I26" s="21">
        <f>('Kwh Reading'!J29-'Kwh Reading'!J28)*1000</f>
        <v>589.99999999991815</v>
      </c>
      <c r="J26" s="21">
        <f>('Kwh Reading'!K29-'Kwh Reading'!K28)*1000</f>
        <v>580.00000000004093</v>
      </c>
      <c r="K26" s="21">
        <f>('Kwh Reading'!L29-'Kwh Reading'!L28)*1000</f>
        <v>420.00000000001592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442.00000000000728</v>
      </c>
      <c r="O26" s="2">
        <f>('Kwh Reading'!B29-'Kwh Reading'!B28)*1000000</f>
        <v>1099.9999999998788</v>
      </c>
      <c r="P26" s="21">
        <f>('Kwh Reading'!M29-'Kwh Reading'!M28)*1000</f>
        <v>470.00000000002728</v>
      </c>
      <c r="Q26" s="2">
        <f>('Kwh Reading'!H29-'Kwh Reading'!H28)*1000000</f>
        <v>699.99999999992292</v>
      </c>
      <c r="R26" s="2">
        <f>('Kwh Reading'!P29-'Kwh Reading'!P28)*1000000</f>
        <v>499.99999999994492</v>
      </c>
      <c r="S26" s="21">
        <f>('Kwh Reading'!G29-'Kwh Reading'!G28)*1000000</f>
        <v>499.99999999994492</v>
      </c>
      <c r="T26" s="21">
        <f>('Kwh Reading'!Q29-'Kwh Reading'!Q28)*1000</f>
        <v>440.00000000005457</v>
      </c>
      <c r="U26" s="21">
        <f>('Kwh Reading'!N29-'Kwh Reading'!N28)*1000</f>
        <v>449.99999999993179</v>
      </c>
      <c r="V26" s="21">
        <f>'Kwh Reading'!E29-'Kwh Reading'!E28</f>
        <v>2869.5</v>
      </c>
      <c r="W26" s="21">
        <f>'Kwh Reading'!D29-'Kwh Reading'!D28</f>
        <v>2048.2899999999936</v>
      </c>
      <c r="X26" s="21">
        <f>('Kwh Reading'!O29-'Kwh Reading'!O28)*1000</f>
        <v>250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839.99999999991815</v>
      </c>
      <c r="F27" s="2">
        <f>('Kwh Reading'!F30-'Kwh Reading'!F29)*1000000</f>
        <v>2600.0000000001578</v>
      </c>
      <c r="G27" s="2">
        <f>('Kwh Reading'!C30-'Kwh Reading'!C29)*1000</f>
        <v>279.99999999997272</v>
      </c>
      <c r="H27" s="2">
        <f t="shared" si="0"/>
        <v>1700.0000000001023</v>
      </c>
      <c r="I27" s="2">
        <f>('Kwh Reading'!J30-'Kwh Reading'!J29)*1000</f>
        <v>770.0000000000955</v>
      </c>
      <c r="J27" s="2">
        <f>('Kwh Reading'!K30-'Kwh Reading'!K29)*1000</f>
        <v>460.00000000003638</v>
      </c>
      <c r="K27" s="2">
        <f>('Kwh Reading'!L30-'Kwh Reading'!L29)*1000</f>
        <v>469.99999999997044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370.00000000000455</v>
      </c>
      <c r="O27" s="2">
        <f>('Kwh Reading'!B30-'Kwh Reading'!B29)*1000000</f>
        <v>1100.000000000101</v>
      </c>
      <c r="P27" s="2">
        <f>('Kwh Reading'!M30-'Kwh Reading'!M29)*1000</f>
        <v>439.99999999994088</v>
      </c>
      <c r="Q27" s="2">
        <f>('Kwh Reading'!H30-'Kwh Reading'!H29)*1000000</f>
        <v>699.99999999992292</v>
      </c>
      <c r="R27" s="2">
        <f>('Kwh Reading'!P30-'Kwh Reading'!P29)*1000000</f>
        <v>500.00000000016701</v>
      </c>
      <c r="S27" s="2">
        <f>('Kwh Reading'!G30-'Kwh Reading'!G29)*1000000</f>
        <v>600.00000000015598</v>
      </c>
      <c r="T27" s="2">
        <f>('Kwh Reading'!Q30-'Kwh Reading'!Q29)*1000</f>
        <v>409.99999999996817</v>
      </c>
      <c r="U27" s="2">
        <f>('Kwh Reading'!N30-'Kwh Reading'!N29)*1000</f>
        <v>460.00000000003638</v>
      </c>
      <c r="V27" s="2">
        <f>'Kwh Reading'!E30-'Kwh Reading'!E29</f>
        <v>3090.6200000010431</v>
      </c>
      <c r="W27" s="2">
        <f>'Kwh Reading'!D30-'Kwh Reading'!D29</f>
        <v>1987.3600000000006</v>
      </c>
      <c r="X27" s="21">
        <f>('Kwh Reading'!O30-'Kwh Reading'!O29)*1000</f>
        <v>279.99999999997272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450.00000000004547</v>
      </c>
      <c r="F28" s="2">
        <f>('Kwh Reading'!F31-'Kwh Reading'!F30)*1000000</f>
        <v>2599.9999999997135</v>
      </c>
      <c r="G28" s="2">
        <f>('Kwh Reading'!C31-'Kwh Reading'!C30)*1000</f>
        <v>270.00000000003865</v>
      </c>
      <c r="H28" s="2">
        <f t="shared" si="0"/>
        <v>1559.9999999998886</v>
      </c>
      <c r="I28" s="2">
        <f>('Kwh Reading'!J31-'Kwh Reading'!J30)*1000</f>
        <v>689.99999999994088</v>
      </c>
      <c r="J28" s="2">
        <f>('Kwh Reading'!K31-'Kwh Reading'!K30)*1000</f>
        <v>429.99999999994998</v>
      </c>
      <c r="K28" s="2">
        <f>('Kwh Reading'!L31-'Kwh Reading'!L30)*1000</f>
        <v>439.99999999999773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370.00000000000455</v>
      </c>
      <c r="O28" s="2">
        <f>('Kwh Reading'!B31-'Kwh Reading'!B30)*1000000</f>
        <v>999.99999999988984</v>
      </c>
      <c r="P28" s="2">
        <f>('Kwh Reading'!M31-'Kwh Reading'!M30)*1000</f>
        <v>360.00000000001364</v>
      </c>
      <c r="Q28" s="2">
        <f>('Kwh Reading'!H31-'Kwh Reading'!H30)*1000000</f>
        <v>1300.0000000000789</v>
      </c>
      <c r="R28" s="2">
        <f>('Kwh Reading'!P31-'Kwh Reading'!P30)*1000000</f>
        <v>499.99999999994492</v>
      </c>
      <c r="S28" s="2">
        <f>('Kwh Reading'!G31-'Kwh Reading'!G30)*1000000</f>
        <v>399.99999999995595</v>
      </c>
      <c r="T28" s="2">
        <f>('Kwh Reading'!Q31-'Kwh Reading'!Q30)*1000</f>
        <v>360.00000000001364</v>
      </c>
      <c r="U28" s="2">
        <f>('Kwh Reading'!N31-'Kwh Reading'!N30)*1000</f>
        <v>399.99999999997726</v>
      </c>
      <c r="V28" s="2">
        <f>'Kwh Reading'!E31-'Kwh Reading'!E30</f>
        <v>2456.6399999987334</v>
      </c>
      <c r="W28" s="2">
        <f>'Kwh Reading'!D31-'Kwh Reading'!D30</f>
        <v>1604.6600000000035</v>
      </c>
      <c r="X28" s="21">
        <f>('Kwh Reading'!O31-'Kwh Reading'!O30)*1000</f>
        <v>240.00000000000909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-683010</v>
      </c>
      <c r="F29" s="2">
        <f>('Kwh Reading'!F32-'Kwh Reading'!F31)*1000000</f>
        <v>-3799000</v>
      </c>
      <c r="G29" s="2">
        <f>('Kwh Reading'!C32-'Kwh Reading'!C31)*1000</f>
        <v>-366850</v>
      </c>
      <c r="H29" s="2">
        <f t="shared" si="0"/>
        <v>-1450090</v>
      </c>
      <c r="I29" s="2">
        <f>('Kwh Reading'!J32-'Kwh Reading'!J31)*1000</f>
        <v>-565140</v>
      </c>
      <c r="J29" s="2">
        <f>('Kwh Reading'!K32-'Kwh Reading'!K31)*1000</f>
        <v>-523380</v>
      </c>
      <c r="K29" s="2">
        <f>('Kwh Reading'!L32-'Kwh Reading'!L31)*1000</f>
        <v>-361570</v>
      </c>
      <c r="L29" s="2">
        <f>('Kwh Reading'!R32-'Kwh Reading'!R31)*1000</f>
        <v>-190150</v>
      </c>
      <c r="M29" s="2">
        <f>('Kwh Reading'!S32-'Kwh Reading'!S31)*1000</f>
        <v>-179050</v>
      </c>
      <c r="N29" s="2">
        <f>('Kwh Reading'!I32-'Kwh Reading'!I31)*1000</f>
        <v>-398630</v>
      </c>
      <c r="O29" s="2">
        <f>('Kwh Reading'!B32-'Kwh Reading'!B31)*1000000</f>
        <v>-1597300</v>
      </c>
      <c r="P29" s="2">
        <f>('Kwh Reading'!M32-'Kwh Reading'!M31)*1000</f>
        <v>-885880</v>
      </c>
      <c r="Q29" s="2">
        <f>('Kwh Reading'!H32-'Kwh Reading'!H31)*1000000</f>
        <v>-1106700</v>
      </c>
      <c r="R29" s="2">
        <f>('Kwh Reading'!P32-'Kwh Reading'!P31)*1000000</f>
        <v>-1074500</v>
      </c>
      <c r="S29" s="2">
        <f>('Kwh Reading'!G32-'Kwh Reading'!G31)*1000000</f>
        <v>-1179100</v>
      </c>
      <c r="T29" s="2">
        <f>('Kwh Reading'!Q32-'Kwh Reading'!Q31)*1000</f>
        <v>-778250</v>
      </c>
      <c r="U29" s="2">
        <f>('Kwh Reading'!N32-'Kwh Reading'!N31)*1000</f>
        <v>-800650</v>
      </c>
      <c r="V29" s="2">
        <f>'Kwh Reading'!E32-'Kwh Reading'!E31</f>
        <v>-9630665.6099999994</v>
      </c>
      <c r="W29" s="2">
        <f>'Kwh Reading'!D32-'Kwh Reading'!D31</f>
        <v>-126898.61</v>
      </c>
      <c r="X29" s="21">
        <f>('Kwh Reading'!O32-'Kwh Reading'!O31)*1000</f>
        <v>-267820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-359649.99999999994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-352970.00000000006</v>
      </c>
      <c r="L32" s="60">
        <f t="shared" si="2"/>
        <v>-190150</v>
      </c>
      <c r="M32" s="60">
        <f t="shared" si="2"/>
        <v>-179050</v>
      </c>
      <c r="N32" s="60">
        <f t="shared" si="2"/>
        <v>-390720.00000000006</v>
      </c>
      <c r="O32" s="60">
        <f t="shared" si="2"/>
        <v>-1570200</v>
      </c>
      <c r="P32" s="60">
        <f t="shared" si="2"/>
        <v>-875560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-791510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8" activePane="bottomLeft" state="frozen"/>
      <selection pane="bottomLeft" activeCell="S31" sqref="S3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1"/>
      <c r="V1" s="61"/>
    </row>
    <row r="2" spans="1:25" s="12" customFormat="1" ht="33" customHeight="1" x14ac:dyDescent="0.25">
      <c r="A2" s="22" t="s">
        <v>2</v>
      </c>
      <c r="B2" s="145" t="s">
        <v>113</v>
      </c>
      <c r="C2" s="145" t="s">
        <v>11</v>
      </c>
      <c r="D2" s="145" t="s">
        <v>12</v>
      </c>
      <c r="E2" s="145" t="s">
        <v>13</v>
      </c>
      <c r="F2" s="145" t="s">
        <v>14</v>
      </c>
      <c r="G2" s="150" t="s">
        <v>119</v>
      </c>
      <c r="H2" s="152" t="s">
        <v>15</v>
      </c>
      <c r="I2" s="145" t="s">
        <v>16</v>
      </c>
      <c r="J2" s="155" t="s">
        <v>17</v>
      </c>
      <c r="K2" s="156"/>
      <c r="L2" s="157"/>
      <c r="M2" s="150" t="s">
        <v>18</v>
      </c>
      <c r="N2" s="152" t="s">
        <v>19</v>
      </c>
      <c r="O2" s="153" t="s">
        <v>20</v>
      </c>
      <c r="P2" s="152" t="s">
        <v>21</v>
      </c>
      <c r="Q2" s="158" t="s">
        <v>22</v>
      </c>
      <c r="R2" s="145" t="s">
        <v>23</v>
      </c>
      <c r="S2" s="145" t="s">
        <v>24</v>
      </c>
      <c r="T2" s="145" t="s">
        <v>25</v>
      </c>
      <c r="V2" s="147" t="s">
        <v>6</v>
      </c>
      <c r="W2" s="147" t="s">
        <v>7</v>
      </c>
      <c r="X2" s="147" t="s">
        <v>8</v>
      </c>
    </row>
    <row r="3" spans="1:25" s="12" customFormat="1" ht="45" customHeight="1" x14ac:dyDescent="0.25">
      <c r="A3" s="23"/>
      <c r="B3" s="146"/>
      <c r="C3" s="146"/>
      <c r="D3" s="146"/>
      <c r="E3" s="146"/>
      <c r="F3" s="146"/>
      <c r="G3" s="151"/>
      <c r="H3" s="152"/>
      <c r="I3" s="146"/>
      <c r="J3" s="13" t="s">
        <v>26</v>
      </c>
      <c r="K3" s="13" t="s">
        <v>27</v>
      </c>
      <c r="L3" s="13" t="s">
        <v>28</v>
      </c>
      <c r="M3" s="151"/>
      <c r="N3" s="152"/>
      <c r="O3" s="154"/>
      <c r="P3" s="152"/>
      <c r="Q3" s="159"/>
      <c r="R3" s="146"/>
      <c r="S3" s="146"/>
      <c r="T3" s="146"/>
      <c r="V3" s="147"/>
      <c r="W3" s="147"/>
      <c r="X3" s="147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>
        <v>1.5902000000000001</v>
      </c>
      <c r="C24" s="90">
        <v>364.95</v>
      </c>
      <c r="D24" s="90">
        <v>114752.86</v>
      </c>
      <c r="E24" s="90">
        <v>9612846.0399999991</v>
      </c>
      <c r="F24" s="90">
        <v>3.7812000000000001</v>
      </c>
      <c r="G24" s="90">
        <v>1.1758</v>
      </c>
      <c r="H24" s="90">
        <v>1.1016999999999999</v>
      </c>
      <c r="I24" s="90">
        <v>396.25</v>
      </c>
      <c r="J24" s="90">
        <v>561.03</v>
      </c>
      <c r="K24" s="90">
        <v>520.53</v>
      </c>
      <c r="L24" s="90">
        <v>358.8</v>
      </c>
      <c r="M24" s="90">
        <v>883.18</v>
      </c>
      <c r="N24" s="90">
        <v>797.86</v>
      </c>
      <c r="O24" s="90">
        <v>266.12</v>
      </c>
      <c r="P24" s="90">
        <v>1.0713999999999999</v>
      </c>
      <c r="Q24" s="90">
        <v>775.5</v>
      </c>
      <c r="R24" s="88">
        <v>190.15</v>
      </c>
      <c r="S24" s="90">
        <v>179.05</v>
      </c>
      <c r="T24" s="90">
        <v>679.1</v>
      </c>
      <c r="V24" s="84"/>
      <c r="W24" s="84"/>
      <c r="X24" s="84"/>
      <c r="Y24" s="12"/>
    </row>
    <row r="25" spans="1:25" ht="21" customHeight="1" x14ac:dyDescent="0.25">
      <c r="A25" s="6">
        <v>44917</v>
      </c>
      <c r="B25" s="89">
        <v>1.591</v>
      </c>
      <c r="C25" s="90">
        <v>365.22</v>
      </c>
      <c r="D25" s="90">
        <v>116215.54</v>
      </c>
      <c r="E25" s="90">
        <v>9615076</v>
      </c>
      <c r="F25" s="90">
        <v>3.7835999999999999</v>
      </c>
      <c r="G25" s="90">
        <v>1.1761999999999999</v>
      </c>
      <c r="H25" s="90">
        <v>1.1022000000000001</v>
      </c>
      <c r="I25" s="90">
        <v>396.53</v>
      </c>
      <c r="J25" s="90">
        <v>561.54</v>
      </c>
      <c r="K25" s="90">
        <v>520.92999999999995</v>
      </c>
      <c r="L25" s="90">
        <v>359.14</v>
      </c>
      <c r="M25" s="90">
        <v>883.49</v>
      </c>
      <c r="N25" s="90">
        <v>798.15</v>
      </c>
      <c r="O25" s="90">
        <v>266.39</v>
      </c>
      <c r="P25" s="90">
        <v>1.0717000000000001</v>
      </c>
      <c r="Q25" s="90">
        <v>775.85</v>
      </c>
      <c r="R25" s="88">
        <v>190.15</v>
      </c>
      <c r="S25" s="90">
        <v>179.05</v>
      </c>
      <c r="T25" s="90">
        <v>679.6</v>
      </c>
      <c r="V25" s="84"/>
      <c r="W25" s="84"/>
      <c r="X25" s="84"/>
      <c r="Y25" s="12"/>
    </row>
    <row r="26" spans="1:25" ht="21" customHeight="1" x14ac:dyDescent="0.25">
      <c r="A26" s="6">
        <v>44918</v>
      </c>
      <c r="B26" s="106">
        <v>1.5920000000000001</v>
      </c>
      <c r="C26" s="90">
        <v>365.5</v>
      </c>
      <c r="D26" s="90">
        <v>117753.58</v>
      </c>
      <c r="E26" s="90">
        <v>9617458.5800000001</v>
      </c>
      <c r="F26" s="90">
        <v>3.786</v>
      </c>
      <c r="G26" s="90">
        <v>1.1767000000000001</v>
      </c>
      <c r="H26" s="90">
        <v>1.1028</v>
      </c>
      <c r="I26" s="90">
        <v>396.82</v>
      </c>
      <c r="J26" s="90">
        <v>562.07000000000005</v>
      </c>
      <c r="K26" s="90">
        <v>521.32000000000005</v>
      </c>
      <c r="L26" s="90">
        <v>359.49</v>
      </c>
      <c r="M26" s="90">
        <v>883.82</v>
      </c>
      <c r="N26" s="90">
        <v>798.49</v>
      </c>
      <c r="O26" s="90">
        <v>266.61</v>
      </c>
      <c r="P26" s="90">
        <v>1.0721000000000001</v>
      </c>
      <c r="Q26" s="90">
        <v>776.24</v>
      </c>
      <c r="R26" s="88">
        <v>190.15</v>
      </c>
      <c r="S26" s="90">
        <v>179.05</v>
      </c>
      <c r="T26" s="90">
        <v>680.11</v>
      </c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>
        <v>1.5931</v>
      </c>
      <c r="C27" s="123">
        <v>365.77</v>
      </c>
      <c r="D27" s="101">
        <v>119467.4</v>
      </c>
      <c r="E27" s="101">
        <v>9619992.5700000003</v>
      </c>
      <c r="F27" s="101">
        <v>3.7885</v>
      </c>
      <c r="G27" s="101">
        <v>1.1772</v>
      </c>
      <c r="H27" s="101">
        <v>1.1033999999999999</v>
      </c>
      <c r="I27" s="101">
        <v>397.17</v>
      </c>
      <c r="J27" s="101">
        <v>562.59</v>
      </c>
      <c r="K27" s="101">
        <v>521.75</v>
      </c>
      <c r="L27" s="101">
        <v>359.89</v>
      </c>
      <c r="M27" s="101">
        <v>884.23</v>
      </c>
      <c r="N27" s="101">
        <v>798.93</v>
      </c>
      <c r="O27" s="101">
        <v>266.83999999999997</v>
      </c>
      <c r="P27" s="101">
        <v>1.0726</v>
      </c>
      <c r="Q27" s="101">
        <v>776.65</v>
      </c>
      <c r="R27" s="88">
        <v>190.15</v>
      </c>
      <c r="S27" s="90">
        <v>179.05</v>
      </c>
      <c r="T27" s="101">
        <v>680.65</v>
      </c>
      <c r="V27" s="107"/>
      <c r="W27" s="107"/>
      <c r="X27" s="107"/>
      <c r="Y27" s="108"/>
    </row>
    <row r="28" spans="1:25" ht="21" customHeight="1" x14ac:dyDescent="0.25">
      <c r="A28" s="6">
        <v>44920</v>
      </c>
      <c r="B28" s="87">
        <v>1.5941000000000001</v>
      </c>
      <c r="C28" s="87">
        <v>366.03</v>
      </c>
      <c r="D28" s="90">
        <v>121258.3</v>
      </c>
      <c r="E28" s="90">
        <v>9622248.8499999996</v>
      </c>
      <c r="F28" s="90">
        <v>3.7911000000000001</v>
      </c>
      <c r="G28" s="90">
        <v>1.1776</v>
      </c>
      <c r="H28" s="101">
        <v>1.1040000000000001</v>
      </c>
      <c r="I28" s="90">
        <v>397.44799999999998</v>
      </c>
      <c r="J28" s="90">
        <v>563.09</v>
      </c>
      <c r="K28" s="90">
        <v>521.91</v>
      </c>
      <c r="L28" s="90">
        <v>360.24</v>
      </c>
      <c r="M28" s="90">
        <v>884.61</v>
      </c>
      <c r="N28" s="90">
        <v>799.34</v>
      </c>
      <c r="O28" s="90">
        <v>267.05</v>
      </c>
      <c r="P28" s="90">
        <v>1.073</v>
      </c>
      <c r="Q28" s="90">
        <v>777.04</v>
      </c>
      <c r="R28" s="88">
        <v>190.15</v>
      </c>
      <c r="S28" s="90">
        <v>179.05</v>
      </c>
      <c r="T28" s="90">
        <v>681.07</v>
      </c>
      <c r="V28" s="84"/>
      <c r="W28" s="84"/>
      <c r="X28" s="84"/>
      <c r="Y28" s="12"/>
    </row>
    <row r="29" spans="1:25" ht="21" customHeight="1" x14ac:dyDescent="0.25">
      <c r="A29" s="6">
        <v>44921</v>
      </c>
      <c r="B29" s="89">
        <v>1.5952</v>
      </c>
      <c r="C29" s="90">
        <v>366.3</v>
      </c>
      <c r="D29" s="90">
        <v>123306.59</v>
      </c>
      <c r="E29" s="90">
        <v>9625118.3499999996</v>
      </c>
      <c r="F29" s="90">
        <v>3.7938000000000001</v>
      </c>
      <c r="G29" s="90">
        <v>1.1780999999999999</v>
      </c>
      <c r="H29" s="90">
        <v>1.1047</v>
      </c>
      <c r="I29" s="90">
        <v>397.89</v>
      </c>
      <c r="J29" s="90">
        <v>563.67999999999995</v>
      </c>
      <c r="K29" s="90">
        <v>522.49</v>
      </c>
      <c r="L29" s="90">
        <v>360.66</v>
      </c>
      <c r="M29" s="90">
        <v>885.08</v>
      </c>
      <c r="N29" s="90">
        <v>799.79</v>
      </c>
      <c r="O29" s="90">
        <v>267.3</v>
      </c>
      <c r="P29" s="90">
        <v>1.0734999999999999</v>
      </c>
      <c r="Q29" s="90">
        <v>777.48</v>
      </c>
      <c r="R29" s="88">
        <v>190.15</v>
      </c>
      <c r="S29" s="90">
        <v>179.05</v>
      </c>
      <c r="T29" s="90">
        <v>681.72</v>
      </c>
      <c r="V29" s="84"/>
      <c r="W29" s="84"/>
      <c r="X29" s="84"/>
      <c r="Y29" s="12"/>
    </row>
    <row r="30" spans="1:25" ht="21" customHeight="1" x14ac:dyDescent="0.25">
      <c r="A30" s="6">
        <v>44922</v>
      </c>
      <c r="B30" s="89">
        <v>1.5963000000000001</v>
      </c>
      <c r="C30" s="90">
        <v>366.58</v>
      </c>
      <c r="D30" s="90">
        <v>125293.95</v>
      </c>
      <c r="E30" s="90">
        <v>9628208.9700000007</v>
      </c>
      <c r="F30" s="90">
        <v>3.7964000000000002</v>
      </c>
      <c r="G30" s="90">
        <v>1.1787000000000001</v>
      </c>
      <c r="H30" s="90">
        <v>1.1053999999999999</v>
      </c>
      <c r="I30" s="90">
        <v>398.26</v>
      </c>
      <c r="J30" s="90">
        <v>564.45000000000005</v>
      </c>
      <c r="K30" s="90">
        <v>522.95000000000005</v>
      </c>
      <c r="L30" s="90">
        <v>361.13</v>
      </c>
      <c r="M30" s="90">
        <v>885.52</v>
      </c>
      <c r="N30" s="90">
        <v>800.25</v>
      </c>
      <c r="O30" s="90">
        <v>267.58</v>
      </c>
      <c r="P30" s="90">
        <v>1.0740000000000001</v>
      </c>
      <c r="Q30" s="90">
        <v>777.89</v>
      </c>
      <c r="R30" s="88">
        <v>190.15</v>
      </c>
      <c r="S30" s="90">
        <v>179.05</v>
      </c>
      <c r="T30" s="90">
        <v>682.56</v>
      </c>
      <c r="V30" s="84"/>
      <c r="W30" s="84"/>
      <c r="X30" s="84"/>
      <c r="Y30" s="12"/>
    </row>
    <row r="31" spans="1:25" ht="21" customHeight="1" x14ac:dyDescent="0.25">
      <c r="A31" s="6">
        <v>44923</v>
      </c>
      <c r="B31" s="89">
        <v>1.5972999999999999</v>
      </c>
      <c r="C31" s="90">
        <v>366.85</v>
      </c>
      <c r="D31" s="90">
        <v>126898.61</v>
      </c>
      <c r="E31" s="90">
        <v>9630665.6099999994</v>
      </c>
      <c r="F31" s="90">
        <v>3.7989999999999999</v>
      </c>
      <c r="G31" s="90">
        <v>1.1791</v>
      </c>
      <c r="H31" s="90">
        <v>1.1067</v>
      </c>
      <c r="I31" s="90">
        <v>398.63</v>
      </c>
      <c r="J31" s="90">
        <v>565.14</v>
      </c>
      <c r="K31" s="90">
        <v>523.38</v>
      </c>
      <c r="L31" s="90">
        <v>361.57</v>
      </c>
      <c r="M31" s="90">
        <v>885.88</v>
      </c>
      <c r="N31" s="90">
        <v>800.65</v>
      </c>
      <c r="O31" s="90">
        <v>267.82</v>
      </c>
      <c r="P31" s="90">
        <v>1.0745</v>
      </c>
      <c r="Q31" s="90">
        <v>778.25</v>
      </c>
      <c r="R31" s="88">
        <v>190.15</v>
      </c>
      <c r="S31" s="90">
        <v>179.05</v>
      </c>
      <c r="T31" s="90">
        <v>683.01</v>
      </c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5" sqref="J25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17259.999999998399</v>
      </c>
      <c r="C22" s="1">
        <f>Submeters!E21</f>
        <v>610.00000000001364</v>
      </c>
      <c r="D22" s="1">
        <f>Submeters!F21</f>
        <v>2299.9999999999686</v>
      </c>
      <c r="E22" s="1">
        <f>Submeters!G21</f>
        <v>269.99999999998181</v>
      </c>
      <c r="F22" s="1">
        <f>(Submeters!I21+Submeters!J21+Submeters!K21)</f>
        <v>1349.9999999999091</v>
      </c>
      <c r="G22" s="1">
        <f>(Submeters!L21+Submeters!M21)</f>
        <v>0</v>
      </c>
      <c r="H22" s="1">
        <f>(Submeters!N21+Submeters!O21)</f>
        <v>1280.0000000000846</v>
      </c>
      <c r="I22" s="1">
        <f>(Submeters!P21+Submeters!Q21+Submeters!R21+Submeters!S21+Submeters!T21+Submeters!U21)</f>
        <v>2389.9999999998549</v>
      </c>
      <c r="J22" s="1">
        <f>(Submeters!V21+Submeters!W21)</f>
        <v>3715.6599999992613</v>
      </c>
      <c r="K22" s="1">
        <f>Submeters!X21</f>
        <v>199.99999999998863</v>
      </c>
      <c r="L22" s="24">
        <f t="shared" si="0"/>
        <v>5144.3399999993344</v>
      </c>
    </row>
    <row r="23" spans="1:12" x14ac:dyDescent="0.25">
      <c r="A23" s="10">
        <f>'Kwh Reading'!A24</f>
        <v>44916</v>
      </c>
      <c r="B23" s="65">
        <f>TOTAL!E22</f>
        <v>16960</v>
      </c>
      <c r="C23" s="1">
        <f>Submeters!E22</f>
        <v>500</v>
      </c>
      <c r="D23" s="1">
        <f>Submeters!F22</f>
        <v>2399.9999999997358</v>
      </c>
      <c r="E23" s="1">
        <f>Submeters!G22</f>
        <v>270.00000000003865</v>
      </c>
      <c r="F23" s="1">
        <f>(Submeters!I22+Submeters!J22+Submeters!K22)</f>
        <v>1249.9999999999432</v>
      </c>
      <c r="G23" s="1">
        <f>(Submeters!L22+Submeters!M22)</f>
        <v>0</v>
      </c>
      <c r="H23" s="1">
        <f>(Submeters!N22+Submeters!O22)</f>
        <v>1079.9999999998845</v>
      </c>
      <c r="I23" s="1">
        <f>(Submeters!P22+Submeters!Q22+Submeters!R22+Submeters!S22+Submeters!T22+Submeters!U22)</f>
        <v>2150.0000000003574</v>
      </c>
      <c r="J23" s="1">
        <f>(Submeters!V22+Submeters!W22)</f>
        <v>3692.6400000008871</v>
      </c>
      <c r="K23" s="1">
        <f>Submeters!X22</f>
        <v>269.99999999998181</v>
      </c>
      <c r="L23" s="24">
        <f t="shared" si="0"/>
        <v>5347.3599999991711</v>
      </c>
    </row>
    <row r="24" spans="1:12" x14ac:dyDescent="0.25">
      <c r="A24" s="10">
        <f>'Kwh Reading'!A25</f>
        <v>44917</v>
      </c>
      <c r="B24" s="65">
        <f>TOTAL!E23</f>
        <v>18500</v>
      </c>
      <c r="C24" s="1">
        <f>Submeters!E23</f>
        <v>509.99999999999091</v>
      </c>
      <c r="D24" s="1">
        <f>Submeters!F23</f>
        <v>2400.0000000001796</v>
      </c>
      <c r="E24" s="1">
        <f>Submeters!G23</f>
        <v>279.99999999997272</v>
      </c>
      <c r="F24" s="1">
        <f>(Submeters!I23+Submeters!J23+Submeters!K23)</f>
        <v>1270.0000000002092</v>
      </c>
      <c r="G24" s="1">
        <f>(Submeters!L23+Submeters!M23)</f>
        <v>0</v>
      </c>
      <c r="H24" s="1">
        <f>(Submeters!N23+Submeters!O23)</f>
        <v>1290.0000000001323</v>
      </c>
      <c r="I24" s="1">
        <f>(Submeters!P23+Submeters!Q23+Submeters!R23+Submeters!S23+Submeters!T23+Submeters!U23)</f>
        <v>2560.000000000116</v>
      </c>
      <c r="J24" s="1">
        <f>(Submeters!V23+Submeters!W23)</f>
        <v>3920.6200000000827</v>
      </c>
      <c r="K24" s="1">
        <f>Submeters!X23</f>
        <v>220.00000000002728</v>
      </c>
      <c r="L24" s="24">
        <f t="shared" si="0"/>
        <v>6049.3799999992862</v>
      </c>
    </row>
    <row r="25" spans="1:12" x14ac:dyDescent="0.25">
      <c r="A25" s="10">
        <f>'Kwh Reading'!A26</f>
        <v>44918</v>
      </c>
      <c r="B25" s="65">
        <f>TOTAL!E24</f>
        <v>18689.999999998236</v>
      </c>
      <c r="C25" s="1">
        <f>Submeters!E24</f>
        <v>539.99999999996362</v>
      </c>
      <c r="D25" s="1">
        <f>Submeters!F24</f>
        <v>2499.9999999999468</v>
      </c>
      <c r="E25" s="1">
        <f>Submeters!G24</f>
        <v>269.99999999998181</v>
      </c>
      <c r="F25" s="1">
        <f>(Submeters!I24+Submeters!J24+Submeters!K24)</f>
        <v>1349.9999999999091</v>
      </c>
      <c r="G25" s="1">
        <f>(Submeters!L24+Submeters!M24)</f>
        <v>0</v>
      </c>
      <c r="H25" s="1">
        <f>(Submeters!N24+Submeters!O24)</f>
        <v>1449.9999999999015</v>
      </c>
      <c r="I25" s="1">
        <f>(Submeters!P24+Submeters!Q24+Submeters!R24+Submeters!S24+Submeters!T24+Submeters!U24)</f>
        <v>2859.9999999997008</v>
      </c>
      <c r="J25" s="1">
        <f>(Submeters!V24+Submeters!W24)</f>
        <v>4247.810000000216</v>
      </c>
      <c r="K25" s="1">
        <f>Submeters!X24</f>
        <v>229.99999999996135</v>
      </c>
      <c r="L25" s="24">
        <f t="shared" si="0"/>
        <v>5242.1899999986545</v>
      </c>
    </row>
    <row r="26" spans="1:12" x14ac:dyDescent="0.25">
      <c r="A26" s="10">
        <f>'Kwh Reading'!A27</f>
        <v>44919</v>
      </c>
      <c r="B26" s="65">
        <f>TOTAL!E25</f>
        <v>19039.999999999054</v>
      </c>
      <c r="C26" s="1">
        <f>Submeters!E25</f>
        <v>420.00000000007276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1009.9999999999909</v>
      </c>
      <c r="G26" s="1">
        <f>(Submeters!L25+Submeters!M25)</f>
        <v>0</v>
      </c>
      <c r="H26" s="1">
        <f>(Submeters!N25+Submeters!O25)</f>
        <v>1278.000000000075</v>
      </c>
      <c r="I26" s="1">
        <f>(Submeters!P25+Submeters!Q25+Submeters!R25+Submeters!S25+Submeters!T25+Submeters!U25)</f>
        <v>2580.0000000001314</v>
      </c>
      <c r="J26" s="1">
        <f>(Submeters!V25+Submeters!W25)</f>
        <v>4047.1799999993382</v>
      </c>
      <c r="K26" s="1">
        <f>Submeters!X25</f>
        <v>210.00000000003638</v>
      </c>
      <c r="L26" s="24">
        <f t="shared" si="0"/>
        <v>6634.8199999992612</v>
      </c>
    </row>
    <row r="27" spans="1:12" x14ac:dyDescent="0.25">
      <c r="A27" s="10">
        <f>'Kwh Reading'!A28</f>
        <v>44920</v>
      </c>
      <c r="B27" s="65">
        <f>TOTAL!E26</f>
        <v>20450.000000002547</v>
      </c>
      <c r="C27" s="1">
        <f>Submeters!E26</f>
        <v>649.99999999997726</v>
      </c>
      <c r="D27" s="1">
        <f>Submeters!F26</f>
        <v>2699.9999999999245</v>
      </c>
      <c r="E27" s="1">
        <f>Submeters!G26</f>
        <v>270.00000000003865</v>
      </c>
      <c r="F27" s="1">
        <f>(Submeters!I26+Submeters!J26+Submeters!K26)</f>
        <v>1589.999999999975</v>
      </c>
      <c r="G27" s="1">
        <f>(Submeters!L26+Submeters!M26)</f>
        <v>0</v>
      </c>
      <c r="H27" s="1">
        <f>(Submeters!N26+Submeters!O26)</f>
        <v>1541.9999999998861</v>
      </c>
      <c r="I27" s="1">
        <f>(Submeters!P26+Submeters!Q26+Submeters!R26+Submeters!S26+Submeters!T26+Submeters!U26)</f>
        <v>3059.9999999998263</v>
      </c>
      <c r="J27" s="1">
        <f>(Submeters!V26+Submeters!W26)</f>
        <v>4917.7899999999936</v>
      </c>
      <c r="K27" s="1">
        <f>Submeters!X26</f>
        <v>250</v>
      </c>
      <c r="L27" s="24">
        <f t="shared" si="0"/>
        <v>5470.2100000029241</v>
      </c>
    </row>
    <row r="28" spans="1:12" x14ac:dyDescent="0.25">
      <c r="A28" s="10">
        <f>'Kwh Reading'!A29</f>
        <v>44921</v>
      </c>
      <c r="B28" s="65">
        <f>TOTAL!E27</f>
        <v>20970</v>
      </c>
      <c r="C28" s="1">
        <f>Submeters!E27</f>
        <v>839.99999999991815</v>
      </c>
      <c r="D28" s="1">
        <f>Submeters!F27</f>
        <v>2600.0000000001578</v>
      </c>
      <c r="E28" s="1">
        <f>Submeters!G27</f>
        <v>279.99999999997272</v>
      </c>
      <c r="F28" s="1">
        <f>(Submeters!I27+Submeters!J27+Submeters!K27)</f>
        <v>1700.0000000001023</v>
      </c>
      <c r="G28" s="1">
        <f>(Submeters!L27+Submeters!M27)</f>
        <v>0</v>
      </c>
      <c r="H28" s="1">
        <f>(Submeters!N27+Submeters!O27)</f>
        <v>1470.0000000001055</v>
      </c>
      <c r="I28" s="1">
        <f>(Submeters!P27+Submeters!Q27+Submeters!R27+Submeters!S27+Submeters!T27+Submeters!U27)</f>
        <v>3110.0000000001914</v>
      </c>
      <c r="J28" s="1">
        <f>(Submeters!V27+Submeters!W27)</f>
        <v>5077.9800000010437</v>
      </c>
      <c r="K28" s="1">
        <f>Submeters!X27</f>
        <v>279.99999999997272</v>
      </c>
      <c r="L28" s="24">
        <f t="shared" si="0"/>
        <v>5612.0199999985343</v>
      </c>
    </row>
    <row r="29" spans="1:12" x14ac:dyDescent="0.25">
      <c r="A29" s="10">
        <f>'Kwh Reading'!A30</f>
        <v>44922</v>
      </c>
      <c r="B29" s="65">
        <f>TOTAL!E28</f>
        <v>19400.000000001</v>
      </c>
      <c r="C29" s="1">
        <f>Submeters!E28</f>
        <v>450.00000000004547</v>
      </c>
      <c r="D29" s="1">
        <f>Submeters!F28</f>
        <v>2599.9999999997135</v>
      </c>
      <c r="E29" s="1">
        <f>Submeters!G28</f>
        <v>270.00000000003865</v>
      </c>
      <c r="F29" s="1">
        <f>(Submeters!I28+Submeters!J28+Submeters!K28)</f>
        <v>1559.9999999998886</v>
      </c>
      <c r="G29" s="1">
        <f>(Submeters!L28+Submeters!M28)</f>
        <v>0</v>
      </c>
      <c r="H29" s="1">
        <f>(Submeters!N28+Submeters!O28)</f>
        <v>1369.9999999998945</v>
      </c>
      <c r="I29" s="1">
        <f>(Submeters!P28+Submeters!Q28+Submeters!R28+Submeters!S28+Submeters!T28+Submeters!U28)</f>
        <v>3319.9999999999841</v>
      </c>
      <c r="J29" s="1">
        <f>(Submeters!V28+Submeters!W28)</f>
        <v>4061.2999999987369</v>
      </c>
      <c r="K29" s="1">
        <f>Submeters!X28</f>
        <v>240.00000000000909</v>
      </c>
      <c r="L29" s="24">
        <f t="shared" si="0"/>
        <v>5528.7000000026892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-683010</v>
      </c>
      <c r="D30" s="1">
        <f>Submeters!F29</f>
        <v>-3799000</v>
      </c>
      <c r="E30" s="1">
        <f>Submeters!G29</f>
        <v>-366850</v>
      </c>
      <c r="F30" s="1">
        <f>(Submeters!I29+Submeters!J29+Submeters!K29)</f>
        <v>-1450090</v>
      </c>
      <c r="G30" s="1">
        <f>(Submeters!L29+Submeters!M29)</f>
        <v>-369200</v>
      </c>
      <c r="H30" s="1">
        <f>(Submeters!N29+Submeters!O29)</f>
        <v>-1995930</v>
      </c>
      <c r="I30" s="1">
        <f>(Submeters!P29+Submeters!Q29+Submeters!R29+Submeters!S29+Submeters!T29+Submeters!U29)</f>
        <v>-5825080</v>
      </c>
      <c r="J30" s="1">
        <f>(Submeters!V29+Submeters!W29)</f>
        <v>-9757564.2199999988</v>
      </c>
      <c r="K30" s="1">
        <f>Submeters!X29</f>
        <v>-267820</v>
      </c>
      <c r="L30" s="24">
        <f t="shared" si="0"/>
        <v>24514544.219999999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-359649.99999999994</v>
      </c>
      <c r="F33" s="60">
        <f t="shared" si="1"/>
        <v>-1418830</v>
      </c>
      <c r="G33" s="60">
        <f t="shared" si="1"/>
        <v>-369200</v>
      </c>
      <c r="H33" s="60">
        <f t="shared" si="1"/>
        <v>-1960920.0000000002</v>
      </c>
      <c r="I33" s="60">
        <f t="shared" si="1"/>
        <v>-5757680</v>
      </c>
      <c r="J33" s="60">
        <f t="shared" si="1"/>
        <v>-9649898.379999999</v>
      </c>
      <c r="K33" s="60">
        <f t="shared" si="1"/>
        <v>-261560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0" sqref="Q30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>
        <v>24921</v>
      </c>
      <c r="C23" s="25">
        <v>38285</v>
      </c>
      <c r="D23" s="85">
        <v>299547</v>
      </c>
      <c r="E23" s="85">
        <v>285176</v>
      </c>
      <c r="F23" s="85">
        <v>67409</v>
      </c>
      <c r="G23" s="85">
        <v>124329</v>
      </c>
      <c r="H23" s="25">
        <v>252</v>
      </c>
      <c r="I23" s="105">
        <v>80045</v>
      </c>
      <c r="J23" s="25">
        <v>23989</v>
      </c>
      <c r="K23" s="25">
        <v>1024</v>
      </c>
      <c r="L23" s="85">
        <v>19564</v>
      </c>
      <c r="M23" s="85">
        <v>28681</v>
      </c>
      <c r="N23" s="85">
        <v>9072</v>
      </c>
      <c r="O23" s="25">
        <v>2458</v>
      </c>
      <c r="P23" s="85">
        <v>32829</v>
      </c>
      <c r="Q23" s="85">
        <v>2327</v>
      </c>
      <c r="R23" s="85">
        <v>939</v>
      </c>
      <c r="S23" s="8" t="s">
        <v>114</v>
      </c>
    </row>
    <row r="24" spans="1:21" x14ac:dyDescent="0.25">
      <c r="A24" s="44">
        <v>44917</v>
      </c>
      <c r="B24" s="25">
        <v>25017</v>
      </c>
      <c r="C24" s="45">
        <v>38478</v>
      </c>
      <c r="D24" s="85">
        <v>299660</v>
      </c>
      <c r="E24" s="85">
        <v>285253</v>
      </c>
      <c r="F24" s="85">
        <v>67410</v>
      </c>
      <c r="G24" s="85">
        <v>124354</v>
      </c>
      <c r="H24" s="25">
        <v>275</v>
      </c>
      <c r="I24" s="105">
        <v>80059</v>
      </c>
      <c r="J24" s="85">
        <v>23995</v>
      </c>
      <c r="K24" s="25">
        <v>1024</v>
      </c>
      <c r="L24" s="85">
        <v>19567</v>
      </c>
      <c r="M24" s="85">
        <v>28687</v>
      </c>
      <c r="N24" s="85">
        <v>9074</v>
      </c>
      <c r="O24" s="25">
        <v>2460</v>
      </c>
      <c r="P24" s="85">
        <v>32834</v>
      </c>
      <c r="Q24" s="85">
        <v>2327</v>
      </c>
      <c r="R24" s="85">
        <v>944</v>
      </c>
      <c r="S24" s="8" t="s">
        <v>116</v>
      </c>
    </row>
    <row r="25" spans="1:21" x14ac:dyDescent="0.25">
      <c r="A25" s="44">
        <v>44918</v>
      </c>
      <c r="B25" s="25">
        <v>25128</v>
      </c>
      <c r="C25" s="25">
        <v>38695</v>
      </c>
      <c r="D25" s="85">
        <v>299811</v>
      </c>
      <c r="E25" s="85">
        <v>285330</v>
      </c>
      <c r="F25" s="85">
        <v>67411</v>
      </c>
      <c r="G25" s="85">
        <v>124379</v>
      </c>
      <c r="H25" s="25">
        <v>296</v>
      </c>
      <c r="I25" s="105">
        <v>80079</v>
      </c>
      <c r="J25" s="85">
        <v>24000</v>
      </c>
      <c r="K25" s="25">
        <v>1024</v>
      </c>
      <c r="L25" s="85">
        <v>19570</v>
      </c>
      <c r="M25" s="85">
        <v>28694</v>
      </c>
      <c r="N25" s="85">
        <v>907</v>
      </c>
      <c r="O25" s="25">
        <v>2463</v>
      </c>
      <c r="P25" s="85">
        <v>32848</v>
      </c>
      <c r="Q25" s="85">
        <v>2333</v>
      </c>
      <c r="R25" s="85">
        <v>950</v>
      </c>
    </row>
    <row r="26" spans="1:21" x14ac:dyDescent="0.25">
      <c r="A26" s="44">
        <v>44919</v>
      </c>
      <c r="B26" s="25">
        <v>25283</v>
      </c>
      <c r="C26" s="45">
        <v>38892</v>
      </c>
      <c r="D26" s="85">
        <v>299966</v>
      </c>
      <c r="E26" s="85">
        <v>285417</v>
      </c>
      <c r="F26" s="85">
        <v>67411</v>
      </c>
      <c r="G26" s="85">
        <v>124409</v>
      </c>
      <c r="H26" s="25">
        <v>324</v>
      </c>
      <c r="I26" s="105">
        <v>80083</v>
      </c>
      <c r="J26" s="85">
        <v>24008</v>
      </c>
      <c r="K26" s="25">
        <v>1024</v>
      </c>
      <c r="L26" s="85">
        <v>19573</v>
      </c>
      <c r="M26" s="85">
        <v>28700</v>
      </c>
      <c r="N26" s="85">
        <v>9076</v>
      </c>
      <c r="O26" s="25">
        <v>2465</v>
      </c>
      <c r="P26" s="85">
        <v>32848</v>
      </c>
      <c r="Q26" s="85">
        <v>2336</v>
      </c>
      <c r="R26" s="85">
        <v>956</v>
      </c>
    </row>
    <row r="27" spans="1:21" x14ac:dyDescent="0.25">
      <c r="A27" s="44">
        <v>44920</v>
      </c>
      <c r="B27" s="25">
        <v>25405</v>
      </c>
      <c r="C27" s="25">
        <v>39085</v>
      </c>
      <c r="D27" s="85">
        <v>300087</v>
      </c>
      <c r="E27" s="85">
        <v>285489</v>
      </c>
      <c r="F27" s="85">
        <v>67413</v>
      </c>
      <c r="G27" s="85">
        <v>124432</v>
      </c>
      <c r="H27" s="25">
        <v>350</v>
      </c>
      <c r="I27" s="105">
        <v>80112</v>
      </c>
      <c r="J27" s="85">
        <v>24015</v>
      </c>
      <c r="K27" s="25">
        <v>1024</v>
      </c>
      <c r="L27" s="85">
        <v>19577</v>
      </c>
      <c r="M27" s="85">
        <v>28706</v>
      </c>
      <c r="N27" s="85">
        <v>9077</v>
      </c>
      <c r="O27" s="25">
        <v>2466</v>
      </c>
      <c r="P27" s="85">
        <v>32871</v>
      </c>
      <c r="Q27" s="85">
        <v>2341</v>
      </c>
      <c r="R27" s="85">
        <v>958</v>
      </c>
    </row>
    <row r="28" spans="1:21" x14ac:dyDescent="0.25">
      <c r="A28" s="44">
        <v>44921</v>
      </c>
      <c r="B28" s="25">
        <v>25551</v>
      </c>
      <c r="C28" s="45">
        <v>39319</v>
      </c>
      <c r="D28" s="85">
        <v>300240</v>
      </c>
      <c r="E28" s="85">
        <v>285576</v>
      </c>
      <c r="F28" s="85">
        <v>67413</v>
      </c>
      <c r="G28" s="85">
        <v>124461</v>
      </c>
      <c r="H28" s="25">
        <v>397</v>
      </c>
      <c r="I28" s="105">
        <v>80132</v>
      </c>
      <c r="J28" s="85">
        <v>24022</v>
      </c>
      <c r="K28" s="25">
        <v>1024</v>
      </c>
      <c r="L28" s="25">
        <v>19579</v>
      </c>
      <c r="M28" s="85">
        <v>28714</v>
      </c>
      <c r="N28" s="85">
        <v>9078</v>
      </c>
      <c r="O28" s="25">
        <v>2468</v>
      </c>
      <c r="P28" s="85">
        <v>32884</v>
      </c>
      <c r="Q28" s="85">
        <v>2347</v>
      </c>
      <c r="R28" s="85">
        <v>965</v>
      </c>
    </row>
    <row r="29" spans="1:21" x14ac:dyDescent="0.25">
      <c r="A29" s="44">
        <v>44922</v>
      </c>
      <c r="B29" s="25">
        <v>25688</v>
      </c>
      <c r="C29" s="25">
        <v>39579</v>
      </c>
      <c r="D29" s="85">
        <v>300437</v>
      </c>
      <c r="E29" s="85">
        <v>285662</v>
      </c>
      <c r="F29" s="85">
        <v>67414</v>
      </c>
      <c r="G29" s="85">
        <v>124499</v>
      </c>
      <c r="H29" s="25">
        <v>426</v>
      </c>
      <c r="I29" s="120">
        <v>80136</v>
      </c>
      <c r="J29" s="85">
        <v>24030</v>
      </c>
      <c r="K29" s="25">
        <v>1024</v>
      </c>
      <c r="L29" s="85">
        <v>19583</v>
      </c>
      <c r="M29" s="85">
        <v>28722</v>
      </c>
      <c r="N29" s="85">
        <v>9082</v>
      </c>
      <c r="O29" s="25">
        <v>2469</v>
      </c>
      <c r="P29" s="85">
        <v>32884</v>
      </c>
      <c r="Q29" s="85">
        <v>2352</v>
      </c>
      <c r="R29" s="85">
        <v>970</v>
      </c>
    </row>
    <row r="30" spans="1:21" x14ac:dyDescent="0.25">
      <c r="A30" s="44">
        <v>44923</v>
      </c>
      <c r="B30" s="25">
        <v>25813</v>
      </c>
      <c r="C30" s="45">
        <v>39818</v>
      </c>
      <c r="D30" s="85">
        <v>300595</v>
      </c>
      <c r="E30" s="85">
        <v>285739</v>
      </c>
      <c r="F30" s="85">
        <v>67415</v>
      </c>
      <c r="G30" s="85">
        <v>124531</v>
      </c>
      <c r="H30" s="25">
        <v>456</v>
      </c>
      <c r="I30" s="105">
        <v>80153</v>
      </c>
      <c r="J30" s="85">
        <v>24037</v>
      </c>
      <c r="K30" s="25">
        <v>1024</v>
      </c>
      <c r="L30" s="25">
        <v>19585</v>
      </c>
      <c r="M30" s="85">
        <v>28728</v>
      </c>
      <c r="N30" s="85">
        <v>9083</v>
      </c>
      <c r="O30" s="25">
        <v>2471</v>
      </c>
      <c r="P30" s="85">
        <v>32900</v>
      </c>
      <c r="Q30" s="85">
        <v>2353</v>
      </c>
      <c r="R30" s="85">
        <v>977</v>
      </c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4" activePane="bottomLeft" state="frozen"/>
      <selection activeCell="C25" sqref="C25"/>
      <selection pane="bottomLeft" activeCell="B30" sqref="B30:Y30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5" t="s">
        <v>30</v>
      </c>
      <c r="B2" s="166" t="s">
        <v>97</v>
      </c>
      <c r="C2" s="166" t="s">
        <v>98</v>
      </c>
      <c r="D2" s="166"/>
      <c r="E2" s="167" t="s">
        <v>86</v>
      </c>
      <c r="F2" s="164"/>
      <c r="G2" s="161" t="s">
        <v>101</v>
      </c>
      <c r="H2" s="164"/>
      <c r="I2" s="161" t="s">
        <v>99</v>
      </c>
      <c r="J2" s="164"/>
      <c r="K2" s="161" t="s">
        <v>100</v>
      </c>
      <c r="L2" s="164"/>
      <c r="M2" s="161" t="s">
        <v>96</v>
      </c>
      <c r="N2" s="164"/>
      <c r="O2" s="161" t="s">
        <v>95</v>
      </c>
      <c r="P2" s="164"/>
      <c r="Q2" s="161" t="s">
        <v>102</v>
      </c>
      <c r="R2" s="164"/>
      <c r="S2" s="161" t="s">
        <v>103</v>
      </c>
      <c r="T2" s="164"/>
      <c r="U2" s="161" t="s">
        <v>104</v>
      </c>
      <c r="V2" s="164"/>
      <c r="W2" s="161" t="s">
        <v>88</v>
      </c>
      <c r="X2" s="162"/>
      <c r="Y2" s="163" t="s">
        <v>41</v>
      </c>
      <c r="Z2" s="163"/>
    </row>
    <row r="3" spans="1:26" ht="30" x14ac:dyDescent="0.35">
      <c r="A3" s="165"/>
      <c r="B3" s="166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269</v>
      </c>
      <c r="C23" s="53">
        <f>('Water Reading'!B23-'Water Reading'!B22)+('Water Reading'!C23-'Water Reading'!C22)</f>
        <v>300</v>
      </c>
      <c r="D23" s="54">
        <f t="shared" si="2"/>
        <v>1.1152416356877324</v>
      </c>
      <c r="E23" s="68">
        <f>'Water Reading'!H23-'Water Reading'!H22</f>
        <v>19</v>
      </c>
      <c r="F23" s="69">
        <f t="shared" si="3"/>
        <v>6.3333333333333339E-2</v>
      </c>
      <c r="G23" s="73">
        <f>('Water Reading'!D23-'Water Reading'!D22)-('Water Reading'!R23-'Water Reading'!R22)-('Water Reading'!Q23-'Water Reading'!Q22)</f>
        <v>130</v>
      </c>
      <c r="H23" s="69">
        <f t="shared" si="4"/>
        <v>0.43333333333333335</v>
      </c>
      <c r="I23" s="109">
        <f>'Water Reading'!P23-'Water Reading'!P22</f>
        <v>2</v>
      </c>
      <c r="J23" s="55">
        <f t="shared" si="5"/>
        <v>6.6666666666666671E-3</v>
      </c>
      <c r="K23" s="71">
        <f>('Water Reading'!I23-'Water Reading'!I22)-('Water Reading'!P23-'Water Reading'!P22)</f>
        <v>0</v>
      </c>
      <c r="L23" s="55">
        <f t="shared" si="6"/>
        <v>0</v>
      </c>
      <c r="M23" s="70">
        <f>'Water Reading'!R23-'Water Reading'!R22</f>
        <v>7</v>
      </c>
      <c r="N23" s="72">
        <f t="shared" si="7"/>
        <v>2.3333333333333334E-2</v>
      </c>
      <c r="O23" s="109">
        <f>'Water Reading'!Q23-'Water Reading'!Q22</f>
        <v>2</v>
      </c>
      <c r="P23" s="77">
        <f t="shared" si="8"/>
        <v>6.6666666666666671E-3</v>
      </c>
      <c r="Q23" s="71">
        <f>'Water Reading'!F23-'Water Reading'!F22</f>
        <v>1</v>
      </c>
      <c r="R23" s="78">
        <f t="shared" si="9"/>
        <v>3.3333333333333335E-3</v>
      </c>
      <c r="S23" s="70">
        <f>'Water Reading'!E23-'Water Reading'!E22</f>
        <v>73</v>
      </c>
      <c r="T23" s="78">
        <f t="shared" si="10"/>
        <v>0.24333333333333335</v>
      </c>
      <c r="U23" s="70">
        <f>'Water Reading'!G23-'Water Reading'!G22</f>
        <v>29</v>
      </c>
      <c r="V23" s="78">
        <f t="shared" si="11"/>
        <v>9.6666666666666665E-2</v>
      </c>
      <c r="W23" s="71">
        <f>'Water Reading'!J23-'Water Reading'!J22</f>
        <v>6</v>
      </c>
      <c r="X23" s="78">
        <f t="shared" si="12"/>
        <v>0.02</v>
      </c>
      <c r="Y23" s="53">
        <f t="shared" si="0"/>
        <v>269</v>
      </c>
      <c r="Z23" s="54">
        <f t="shared" si="1"/>
        <v>1</v>
      </c>
    </row>
    <row r="24" spans="1:26" x14ac:dyDescent="0.25">
      <c r="A24" s="6">
        <f>'Water Reading'!A23</f>
        <v>44916</v>
      </c>
      <c r="B24" s="52">
        <f>TOTAL!I22</f>
        <v>259</v>
      </c>
      <c r="C24" s="53">
        <f>('Water Reading'!B24-'Water Reading'!B23)+('Water Reading'!C24-'Water Reading'!C23)</f>
        <v>289</v>
      </c>
      <c r="D24" s="54">
        <f t="shared" si="2"/>
        <v>1.1158301158301158</v>
      </c>
      <c r="E24" s="68">
        <f>'Water Reading'!H24-'Water Reading'!H23</f>
        <v>23</v>
      </c>
      <c r="F24" s="69">
        <f t="shared" si="3"/>
        <v>7.9584775086505188E-2</v>
      </c>
      <c r="G24" s="73">
        <f>('Water Reading'!D24-'Water Reading'!D23)-('Water Reading'!R24-'Water Reading'!R23)-('Water Reading'!Q24-'Water Reading'!Q23)</f>
        <v>108</v>
      </c>
      <c r="H24" s="69">
        <f t="shared" si="4"/>
        <v>0.37370242214532873</v>
      </c>
      <c r="I24" s="70">
        <f>'Water Reading'!P24-'Water Reading'!P23</f>
        <v>5</v>
      </c>
      <c r="J24" s="55">
        <f t="shared" si="5"/>
        <v>1.7301038062283738E-2</v>
      </c>
      <c r="K24" s="71">
        <f>('Water Reading'!I24-'Water Reading'!I23)-('Water Reading'!P24-'Water Reading'!P23)</f>
        <v>9</v>
      </c>
      <c r="L24" s="55">
        <f t="shared" si="6"/>
        <v>3.1141868512110725E-2</v>
      </c>
      <c r="M24" s="70">
        <f>'Water Reading'!R24-'Water Reading'!R23</f>
        <v>5</v>
      </c>
      <c r="N24" s="72">
        <f t="shared" si="7"/>
        <v>1.7301038062283738E-2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1</v>
      </c>
      <c r="R24" s="78">
        <f t="shared" si="9"/>
        <v>3.4602076124567475E-3</v>
      </c>
      <c r="S24" s="70">
        <f>'Water Reading'!E24-'Water Reading'!E23</f>
        <v>77</v>
      </c>
      <c r="T24" s="78">
        <f t="shared" si="10"/>
        <v>0.26643598615916952</v>
      </c>
      <c r="U24" s="70">
        <f>'Water Reading'!G24-'Water Reading'!G23</f>
        <v>25</v>
      </c>
      <c r="V24" s="78">
        <f t="shared" si="11"/>
        <v>8.6505190311418678E-2</v>
      </c>
      <c r="W24" s="71">
        <f>'Water Reading'!J24-'Water Reading'!J23</f>
        <v>6</v>
      </c>
      <c r="X24" s="78">
        <f t="shared" si="12"/>
        <v>2.0761245674740483E-2</v>
      </c>
      <c r="Y24" s="53">
        <f t="shared" si="0"/>
        <v>259</v>
      </c>
      <c r="Z24" s="54">
        <f t="shared" si="1"/>
        <v>1</v>
      </c>
    </row>
    <row r="25" spans="1:26" x14ac:dyDescent="0.25">
      <c r="A25" s="6">
        <f>'Water Reading'!A24</f>
        <v>44917</v>
      </c>
      <c r="B25" s="52">
        <f>TOTAL!I23</f>
        <v>300</v>
      </c>
      <c r="C25" s="53">
        <f>('Water Reading'!B25-'Water Reading'!B24)+('Water Reading'!C25-'Water Reading'!C24)</f>
        <v>328</v>
      </c>
      <c r="D25" s="54">
        <f t="shared" si="2"/>
        <v>1.0933333333333333</v>
      </c>
      <c r="E25" s="68">
        <f>'Water Reading'!H25-'Water Reading'!H24</f>
        <v>21</v>
      </c>
      <c r="F25" s="69">
        <f t="shared" si="3"/>
        <v>6.402439024390244E-2</v>
      </c>
      <c r="G25" s="73">
        <f>('Water Reading'!D25-'Water Reading'!D24)-('Water Reading'!R25-'Water Reading'!R24)-('Water Reading'!Q25-'Water Reading'!Q24)</f>
        <v>139</v>
      </c>
      <c r="H25" s="69">
        <f t="shared" si="4"/>
        <v>0.42378048780487804</v>
      </c>
      <c r="I25" s="70">
        <f>'Water Reading'!P25-'Water Reading'!P24</f>
        <v>14</v>
      </c>
      <c r="J25" s="55">
        <f t="shared" si="5"/>
        <v>4.2682926829268296E-2</v>
      </c>
      <c r="K25" s="71">
        <f>('Water Reading'!I25-'Water Reading'!I24)-('Water Reading'!P25-'Water Reading'!P24)</f>
        <v>6</v>
      </c>
      <c r="L25" s="55">
        <f t="shared" si="6"/>
        <v>1.8292682926829267E-2</v>
      </c>
      <c r="M25" s="70">
        <f>'Water Reading'!R25-'Water Reading'!R24</f>
        <v>6</v>
      </c>
      <c r="N25" s="72">
        <f t="shared" si="7"/>
        <v>1.8292682926829267E-2</v>
      </c>
      <c r="O25" s="70">
        <f>'Water Reading'!Q25-'Water Reading'!Q24</f>
        <v>6</v>
      </c>
      <c r="P25" s="77">
        <f t="shared" si="8"/>
        <v>1.8292682926829267E-2</v>
      </c>
      <c r="Q25" s="71">
        <f>'Water Reading'!F25-'Water Reading'!F24</f>
        <v>1</v>
      </c>
      <c r="R25" s="78">
        <f t="shared" si="9"/>
        <v>3.0487804878048782E-3</v>
      </c>
      <c r="S25" s="70">
        <f>'Water Reading'!E25-'Water Reading'!E24</f>
        <v>77</v>
      </c>
      <c r="T25" s="78">
        <f t="shared" si="10"/>
        <v>0.2347560975609756</v>
      </c>
      <c r="U25" s="70">
        <f>'Water Reading'!G25-'Water Reading'!G24</f>
        <v>25</v>
      </c>
      <c r="V25" s="78">
        <f t="shared" si="11"/>
        <v>7.621951219512195E-2</v>
      </c>
      <c r="W25" s="102">
        <f>'Water Reading'!J25-'Water Reading'!J24</f>
        <v>5</v>
      </c>
      <c r="X25" s="78">
        <f t="shared" si="12"/>
        <v>1.524390243902439E-2</v>
      </c>
      <c r="Y25" s="53">
        <f t="shared" si="0"/>
        <v>300</v>
      </c>
      <c r="Z25" s="54">
        <f t="shared" si="1"/>
        <v>1</v>
      </c>
    </row>
    <row r="26" spans="1:26" x14ac:dyDescent="0.25">
      <c r="A26" s="6">
        <f>'Water Reading'!A25</f>
        <v>44918</v>
      </c>
      <c r="B26" s="52">
        <f>TOTAL!I24</f>
        <v>312</v>
      </c>
      <c r="C26" s="53">
        <f>('Water Reading'!B26-'Water Reading'!B25)+('Water Reading'!C26-'Water Reading'!C25)</f>
        <v>352</v>
      </c>
      <c r="D26" s="54">
        <f t="shared" si="2"/>
        <v>1.1282051282051282</v>
      </c>
      <c r="E26" s="68">
        <f>'Water Reading'!H26-'Water Reading'!H25</f>
        <v>28</v>
      </c>
      <c r="F26" s="69">
        <f t="shared" si="3"/>
        <v>7.9545454545454544E-2</v>
      </c>
      <c r="G26" s="73">
        <f>('Water Reading'!D26-'Water Reading'!D25)-('Water Reading'!R26-'Water Reading'!R25)-('Water Reading'!Q26-'Water Reading'!Q25)</f>
        <v>146</v>
      </c>
      <c r="H26" s="69">
        <f t="shared" si="4"/>
        <v>0.41477272727272729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4</v>
      </c>
      <c r="L26" s="55">
        <f t="shared" si="6"/>
        <v>1.1363636363636364E-2</v>
      </c>
      <c r="M26" s="70">
        <f>'Water Reading'!R26-'Water Reading'!R25</f>
        <v>6</v>
      </c>
      <c r="N26" s="72">
        <f t="shared" si="7"/>
        <v>1.7045454545454544E-2</v>
      </c>
      <c r="O26" s="70">
        <f>'Water Reading'!Q26-'Water Reading'!Q25</f>
        <v>3</v>
      </c>
      <c r="P26" s="77">
        <f t="shared" si="8"/>
        <v>8.5227272727272721E-3</v>
      </c>
      <c r="Q26" s="71">
        <f>'Water Reading'!F26-'Water Reading'!F25</f>
        <v>0</v>
      </c>
      <c r="R26" s="78">
        <f t="shared" si="9"/>
        <v>0</v>
      </c>
      <c r="S26" s="70">
        <f>'Water Reading'!E26-'Water Reading'!E25</f>
        <v>87</v>
      </c>
      <c r="T26" s="78">
        <f t="shared" si="10"/>
        <v>0.24715909090909091</v>
      </c>
      <c r="U26" s="70">
        <f>'Water Reading'!G26-'Water Reading'!G25</f>
        <v>30</v>
      </c>
      <c r="V26" s="78">
        <f t="shared" si="11"/>
        <v>8.5227272727272721E-2</v>
      </c>
      <c r="W26" s="71">
        <f>'Water Reading'!J26-'Water Reading'!J25</f>
        <v>8</v>
      </c>
      <c r="X26" s="78">
        <f t="shared" si="12"/>
        <v>2.2727272727272728E-2</v>
      </c>
      <c r="Y26" s="53">
        <f t="shared" si="0"/>
        <v>312</v>
      </c>
      <c r="Z26" s="54">
        <f t="shared" si="1"/>
        <v>1</v>
      </c>
    </row>
    <row r="27" spans="1:26" x14ac:dyDescent="0.25">
      <c r="A27" s="6">
        <f>'Water Reading'!A26</f>
        <v>44919</v>
      </c>
      <c r="B27" s="52">
        <f>TOTAL!I25</f>
        <v>280</v>
      </c>
      <c r="C27" s="53">
        <f>('Water Reading'!B27-'Water Reading'!B26)+('Water Reading'!C27-'Water Reading'!C26)</f>
        <v>315</v>
      </c>
      <c r="D27" s="54">
        <f t="shared" si="2"/>
        <v>1.125</v>
      </c>
      <c r="E27" s="68">
        <f>'Water Reading'!H27-'Water Reading'!H26</f>
        <v>26</v>
      </c>
      <c r="F27" s="69">
        <f t="shared" si="3"/>
        <v>8.2539682539682538E-2</v>
      </c>
      <c r="G27" s="73">
        <f>('Water Reading'!D27-'Water Reading'!D26)-('Water Reading'!R27-'Water Reading'!R26)-('Water Reading'!Q27-'Water Reading'!Q26)</f>
        <v>114</v>
      </c>
      <c r="H27" s="69">
        <f t="shared" si="4"/>
        <v>0.3619047619047619</v>
      </c>
      <c r="I27" s="70">
        <f>'Water Reading'!P27-'Water Reading'!P26</f>
        <v>23</v>
      </c>
      <c r="J27" s="55">
        <f t="shared" si="5"/>
        <v>7.301587301587302E-2</v>
      </c>
      <c r="K27" s="71">
        <f>('Water Reading'!I27-'Water Reading'!I26)-('Water Reading'!P27-'Water Reading'!P26)</f>
        <v>6</v>
      </c>
      <c r="L27" s="55">
        <f t="shared" si="6"/>
        <v>1.9047619047619049E-2</v>
      </c>
      <c r="M27" s="70">
        <f>'Water Reading'!R27-'Water Reading'!R26</f>
        <v>2</v>
      </c>
      <c r="N27" s="72">
        <f t="shared" si="7"/>
        <v>6.3492063492063492E-3</v>
      </c>
      <c r="O27" s="70">
        <f>'Water Reading'!Q27-'Water Reading'!Q26</f>
        <v>5</v>
      </c>
      <c r="P27" s="77">
        <f t="shared" si="8"/>
        <v>1.5873015873015872E-2</v>
      </c>
      <c r="Q27" s="71">
        <f>'Water Reading'!F27-'Water Reading'!F26</f>
        <v>2</v>
      </c>
      <c r="R27" s="78">
        <f t="shared" si="9"/>
        <v>6.3492063492063492E-3</v>
      </c>
      <c r="S27" s="70">
        <f>'Water Reading'!E27-'Water Reading'!E26</f>
        <v>72</v>
      </c>
      <c r="T27" s="78">
        <f t="shared" si="10"/>
        <v>0.22857142857142856</v>
      </c>
      <c r="U27" s="70">
        <f>'Water Reading'!G27-'Water Reading'!G26</f>
        <v>23</v>
      </c>
      <c r="V27" s="78">
        <f t="shared" si="11"/>
        <v>7.301587301587302E-2</v>
      </c>
      <c r="W27" s="71">
        <f>'Water Reading'!J27-'Water Reading'!J26</f>
        <v>7</v>
      </c>
      <c r="X27" s="78">
        <f t="shared" si="12"/>
        <v>2.2222222222222223E-2</v>
      </c>
      <c r="Y27" s="53">
        <f t="shared" si="0"/>
        <v>280</v>
      </c>
      <c r="Z27" s="54">
        <f t="shared" si="1"/>
        <v>1</v>
      </c>
    </row>
    <row r="28" spans="1:26" x14ac:dyDescent="0.25">
      <c r="A28" s="6">
        <f>'Water Reading'!A27</f>
        <v>44920</v>
      </c>
      <c r="B28" s="52">
        <f>TOTAL!I26</f>
        <v>343</v>
      </c>
      <c r="C28" s="53">
        <f>('Water Reading'!B28-'Water Reading'!B27)+('Water Reading'!C28-'Water Reading'!C27)</f>
        <v>380</v>
      </c>
      <c r="D28" s="54">
        <f t="shared" si="2"/>
        <v>1.1078717201166182</v>
      </c>
      <c r="E28" s="68">
        <f>'Water Reading'!H28-'Water Reading'!H27</f>
        <v>47</v>
      </c>
      <c r="F28" s="69">
        <f t="shared" si="3"/>
        <v>0.12368421052631579</v>
      </c>
      <c r="G28" s="73">
        <f>('Water Reading'!D28-'Water Reading'!D27)-('Water Reading'!R28-'Water Reading'!R27)-('Water Reading'!Q28-'Water Reading'!Q27)</f>
        <v>140</v>
      </c>
      <c r="H28" s="69">
        <f t="shared" si="4"/>
        <v>0.36842105263157893</v>
      </c>
      <c r="I28" s="70">
        <f>'Water Reading'!P28-'Water Reading'!P27</f>
        <v>13</v>
      </c>
      <c r="J28" s="55">
        <f t="shared" si="5"/>
        <v>3.4210526315789476E-2</v>
      </c>
      <c r="K28" s="102">
        <f>('Water Reading'!I28-'Water Reading'!I27)-('Water Reading'!P28-'Water Reading'!P27)</f>
        <v>7</v>
      </c>
      <c r="L28" s="110">
        <f t="shared" si="6"/>
        <v>1.8421052631578946E-2</v>
      </c>
      <c r="M28" s="70">
        <f>'Water Reading'!R28-'Water Reading'!R27</f>
        <v>7</v>
      </c>
      <c r="N28" s="72">
        <f t="shared" si="7"/>
        <v>1.8421052631578946E-2</v>
      </c>
      <c r="O28" s="70">
        <f>'Water Reading'!Q28-'Water Reading'!Q27</f>
        <v>6</v>
      </c>
      <c r="P28" s="77">
        <f t="shared" si="8"/>
        <v>1.5789473684210527E-2</v>
      </c>
      <c r="Q28" s="102">
        <f>'Water Reading'!F28-'Water Reading'!F27</f>
        <v>0</v>
      </c>
      <c r="R28" s="78">
        <f t="shared" si="9"/>
        <v>0</v>
      </c>
      <c r="S28" s="70">
        <f>'Water Reading'!E28-'Water Reading'!E27</f>
        <v>87</v>
      </c>
      <c r="T28" s="78">
        <f t="shared" si="10"/>
        <v>0.22894736842105262</v>
      </c>
      <c r="U28" s="70">
        <f>'Water Reading'!G28-'Water Reading'!G27</f>
        <v>29</v>
      </c>
      <c r="V28" s="78">
        <f t="shared" si="11"/>
        <v>7.6315789473684212E-2</v>
      </c>
      <c r="W28" s="71">
        <f>'Water Reading'!J28-'Water Reading'!J27</f>
        <v>7</v>
      </c>
      <c r="X28" s="78">
        <f t="shared" si="12"/>
        <v>1.8421052631578946E-2</v>
      </c>
      <c r="Y28" s="53">
        <f t="shared" si="0"/>
        <v>343</v>
      </c>
      <c r="Z28" s="54">
        <f t="shared" si="1"/>
        <v>1</v>
      </c>
    </row>
    <row r="29" spans="1:26" x14ac:dyDescent="0.25">
      <c r="A29" s="6">
        <f>'Water Reading'!A28</f>
        <v>44921</v>
      </c>
      <c r="B29" s="52">
        <f>TOTAL!I27</f>
        <v>363</v>
      </c>
      <c r="C29" s="53">
        <f>('Water Reading'!B29-'Water Reading'!B28)+('Water Reading'!C29-'Water Reading'!C28)</f>
        <v>397</v>
      </c>
      <c r="D29" s="54">
        <f t="shared" si="2"/>
        <v>1.0936639118457301</v>
      </c>
      <c r="E29" s="68">
        <f>'Water Reading'!H29-'Water Reading'!H28</f>
        <v>29</v>
      </c>
      <c r="F29" s="69">
        <f t="shared" si="3"/>
        <v>7.3047858942065488E-2</v>
      </c>
      <c r="G29" s="73">
        <f>('Water Reading'!D29-'Water Reading'!D28)-('Water Reading'!R29-'Water Reading'!R28)-('Water Reading'!Q29-'Water Reading'!Q28)</f>
        <v>187</v>
      </c>
      <c r="H29" s="69">
        <f t="shared" si="4"/>
        <v>0.47103274559193953</v>
      </c>
      <c r="I29" s="70">
        <f>'Water Reading'!P29-'Water Reading'!P28</f>
        <v>0</v>
      </c>
      <c r="J29" s="55">
        <f t="shared" si="5"/>
        <v>0</v>
      </c>
      <c r="K29" s="71">
        <f>('Water Reading'!I29-'Water Reading'!I28)-('Water Reading'!P29-'Water Reading'!P28)</f>
        <v>4</v>
      </c>
      <c r="L29" s="55">
        <f t="shared" si="6"/>
        <v>1.0075566750629723E-2</v>
      </c>
      <c r="M29" s="70">
        <f>'Water Reading'!R29-'Water Reading'!R28</f>
        <v>5</v>
      </c>
      <c r="N29" s="72">
        <f t="shared" si="7"/>
        <v>1.2594458438287154E-2</v>
      </c>
      <c r="O29" s="70">
        <f>'Water Reading'!Q29-'Water Reading'!Q28</f>
        <v>5</v>
      </c>
      <c r="P29" s="77">
        <f t="shared" si="8"/>
        <v>1.2594458438287154E-2</v>
      </c>
      <c r="Q29" s="71">
        <f>'Water Reading'!F29-'Water Reading'!F28</f>
        <v>1</v>
      </c>
      <c r="R29" s="78">
        <f t="shared" si="9"/>
        <v>2.5188916876574307E-3</v>
      </c>
      <c r="S29" s="70">
        <f>'Water Reading'!E29-'Water Reading'!E28</f>
        <v>86</v>
      </c>
      <c r="T29" s="78">
        <f t="shared" si="10"/>
        <v>0.21662468513853905</v>
      </c>
      <c r="U29" s="70">
        <f>'Water Reading'!G29-'Water Reading'!G28</f>
        <v>38</v>
      </c>
      <c r="V29" s="78">
        <f t="shared" si="11"/>
        <v>9.5717884130982367E-2</v>
      </c>
      <c r="W29" s="71">
        <f>'Water Reading'!J29-'Water Reading'!J28</f>
        <v>8</v>
      </c>
      <c r="X29" s="78">
        <f t="shared" si="12"/>
        <v>2.0151133501259445E-2</v>
      </c>
      <c r="Y29" s="53">
        <f t="shared" si="0"/>
        <v>363</v>
      </c>
      <c r="Z29" s="54">
        <f t="shared" si="1"/>
        <v>1</v>
      </c>
    </row>
    <row r="30" spans="1:26" x14ac:dyDescent="0.25">
      <c r="A30" s="6">
        <f>'Water Reading'!A29</f>
        <v>44922</v>
      </c>
      <c r="B30" s="52">
        <f>TOTAL!I28</f>
        <v>322</v>
      </c>
      <c r="C30" s="53">
        <f>('Water Reading'!B30-'Water Reading'!B29)+('Water Reading'!C30-'Water Reading'!C29)</f>
        <v>364</v>
      </c>
      <c r="D30" s="54">
        <f t="shared" si="2"/>
        <v>1.1304347826086956</v>
      </c>
      <c r="E30" s="68">
        <f>'Water Reading'!H30-'Water Reading'!H29</f>
        <v>30</v>
      </c>
      <c r="F30" s="69">
        <f t="shared" si="3"/>
        <v>8.2417582417582416E-2</v>
      </c>
      <c r="G30" s="73">
        <f>('Water Reading'!D30-'Water Reading'!D29)-('Water Reading'!R30-'Water Reading'!R29)-('Water Reading'!Q30-'Water Reading'!Q29)</f>
        <v>150</v>
      </c>
      <c r="H30" s="69">
        <f t="shared" si="4"/>
        <v>0.41208791208791207</v>
      </c>
      <c r="I30" s="70">
        <f>'Water Reading'!P30-'Water Reading'!P29</f>
        <v>16</v>
      </c>
      <c r="J30" s="55">
        <f t="shared" si="5"/>
        <v>4.3956043956043959E-2</v>
      </c>
      <c r="K30" s="71">
        <f>('Water Reading'!I30-'Water Reading'!I29)-('Water Reading'!P30-'Water Reading'!P29)</f>
        <v>1</v>
      </c>
      <c r="L30" s="55">
        <f t="shared" si="6"/>
        <v>2.7472527472527475E-3</v>
      </c>
      <c r="M30" s="70">
        <f>'Water Reading'!R30-'Water Reading'!R29</f>
        <v>7</v>
      </c>
      <c r="N30" s="72">
        <f t="shared" si="7"/>
        <v>1.9230769230769232E-2</v>
      </c>
      <c r="O30" s="70">
        <f>'Water Reading'!Q30-'Water Reading'!Q29</f>
        <v>1</v>
      </c>
      <c r="P30" s="77">
        <f t="shared" si="8"/>
        <v>2.7472527472527475E-3</v>
      </c>
      <c r="Q30" s="71">
        <f>'Water Reading'!F30-'Water Reading'!F29</f>
        <v>1</v>
      </c>
      <c r="R30" s="78">
        <f t="shared" si="9"/>
        <v>2.7472527472527475E-3</v>
      </c>
      <c r="S30" s="70">
        <f>'Water Reading'!E30-'Water Reading'!E29</f>
        <v>77</v>
      </c>
      <c r="T30" s="78">
        <f t="shared" si="10"/>
        <v>0.21153846153846154</v>
      </c>
      <c r="U30" s="70">
        <f>'Water Reading'!G30-'Water Reading'!G29</f>
        <v>32</v>
      </c>
      <c r="V30" s="78">
        <f t="shared" si="11"/>
        <v>8.7912087912087919E-2</v>
      </c>
      <c r="W30" s="71">
        <f>'Water Reading'!J30-'Water Reading'!J29</f>
        <v>7</v>
      </c>
      <c r="X30" s="78">
        <f t="shared" si="12"/>
        <v>1.9230769230769232E-2</v>
      </c>
      <c r="Y30" s="53">
        <f t="shared" si="0"/>
        <v>322</v>
      </c>
      <c r="Z30" s="54">
        <f t="shared" si="1"/>
        <v>1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-65631</v>
      </c>
      <c r="D31" s="54" t="e">
        <f t="shared" si="2"/>
        <v>#DIV/0!</v>
      </c>
      <c r="E31" s="68">
        <f>'Water Reading'!H31-'Water Reading'!H30</f>
        <v>-456</v>
      </c>
      <c r="F31" s="69">
        <f t="shared" si="3"/>
        <v>6.9479361886913196E-3</v>
      </c>
      <c r="G31" s="73">
        <f>('Water Reading'!D31-'Water Reading'!D30)-('Water Reading'!R31-'Water Reading'!R30)-('Water Reading'!Q31-'Water Reading'!Q30)</f>
        <v>-297265</v>
      </c>
      <c r="H31" s="69">
        <f t="shared" si="4"/>
        <v>4.5293382700248355</v>
      </c>
      <c r="I31" s="70">
        <f>'Water Reading'!P31-'Water Reading'!P30</f>
        <v>-32900</v>
      </c>
      <c r="J31" s="55">
        <f t="shared" si="5"/>
        <v>0.50128750133321143</v>
      </c>
      <c r="K31" s="71">
        <f>('Water Reading'!I31-'Water Reading'!I30)-('Water Reading'!P31-'Water Reading'!P30)</f>
        <v>-47253</v>
      </c>
      <c r="L31" s="55">
        <f t="shared" si="6"/>
        <v>0.71997988755313802</v>
      </c>
      <c r="M31" s="70">
        <f>'Water Reading'!R31-'Water Reading'!R30</f>
        <v>-977</v>
      </c>
      <c r="N31" s="72">
        <f t="shared" si="7"/>
        <v>1.4886258018314516E-2</v>
      </c>
      <c r="O31" s="70">
        <f>'Water Reading'!Q31-'Water Reading'!Q30</f>
        <v>-2353</v>
      </c>
      <c r="P31" s="77">
        <f t="shared" si="8"/>
        <v>3.5851960201733937E-2</v>
      </c>
      <c r="Q31" s="71">
        <f>'Water Reading'!F31-'Water Reading'!F30</f>
        <v>-67415</v>
      </c>
      <c r="R31" s="78">
        <f t="shared" si="9"/>
        <v>1.0271822766680381</v>
      </c>
      <c r="S31" s="70">
        <f>'Water Reading'!E31-'Water Reading'!E30</f>
        <v>-285739</v>
      </c>
      <c r="T31" s="78">
        <f t="shared" si="10"/>
        <v>4.3537200408343617</v>
      </c>
      <c r="U31" s="70">
        <f>'Water Reading'!G31-'Water Reading'!G30</f>
        <v>-124531</v>
      </c>
      <c r="V31" s="78">
        <f t="shared" si="11"/>
        <v>1.8974417577059621</v>
      </c>
      <c r="W31" s="71">
        <f>'Water Reading'!J31-'Water Reading'!J30</f>
        <v>-24037</v>
      </c>
      <c r="X31" s="78">
        <f t="shared" si="12"/>
        <v>0.36624461001660802</v>
      </c>
      <c r="Y31" s="53">
        <f t="shared" si="0"/>
        <v>-882926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2022-12-28T03:40:07Z</dcterms:modified>
  <cp:category/>
  <cp:contentStatus/>
</cp:coreProperties>
</file>