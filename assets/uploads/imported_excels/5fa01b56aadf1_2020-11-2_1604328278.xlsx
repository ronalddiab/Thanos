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r.soliman\Downloads\OneDrive_1_11-1-2020\"/>
    </mc:Choice>
  </mc:AlternateContent>
  <xr:revisionPtr revIDLastSave="15" documentId="13_ncr:1_{DEF3A6A7-3FA0-4055-9F86-CBC41384F8D9}" xr6:coauthVersionLast="45" xr6:coauthVersionMax="45" xr10:uidLastSave="{CC1AF7B2-6577-4A68-8C9B-AF3A31329524}"/>
  <bookViews>
    <workbookView xWindow="-120" yWindow="-120" windowWidth="20640" windowHeight="11760" firstSheet="2" activeTab="2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11" l="1"/>
  <c r="E41" i="11"/>
  <c r="K16" i="11"/>
  <c r="G28" i="2"/>
  <c r="G29" i="2"/>
  <c r="G30" i="2"/>
  <c r="G31" i="2"/>
  <c r="G32" i="2"/>
  <c r="G33" i="2"/>
  <c r="G34" i="2"/>
  <c r="G35" i="2"/>
  <c r="G36" i="2"/>
  <c r="G37" i="2"/>
  <c r="E28" i="2"/>
  <c r="E29" i="2"/>
  <c r="E30" i="2"/>
  <c r="E31" i="2"/>
  <c r="E32" i="2"/>
  <c r="E33" i="2"/>
  <c r="E34" i="2"/>
  <c r="E35" i="2"/>
  <c r="E36" i="2"/>
  <c r="E37" i="2"/>
  <c r="C29" i="2"/>
  <c r="C30" i="2"/>
  <c r="C31" i="2"/>
  <c r="C32" i="2"/>
  <c r="C33" i="2"/>
  <c r="C34" i="2"/>
  <c r="C35" i="2"/>
  <c r="C36" i="2"/>
  <c r="C37" i="2"/>
  <c r="AK3" i="12" l="1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 l="1"/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BE14" i="1"/>
  <c r="BE15" i="1"/>
  <c r="Y11" i="12" s="1"/>
  <c r="BE16" i="1"/>
  <c r="Y12" i="12" s="1"/>
  <c r="E53" i="11"/>
  <c r="D53" i="11"/>
  <c r="E52" i="11"/>
  <c r="D52" i="11"/>
  <c r="Y6" i="1"/>
  <c r="J2" i="12" s="1"/>
  <c r="Y7" i="1"/>
  <c r="W6" i="1"/>
  <c r="I2" i="12" s="1"/>
  <c r="W7" i="1"/>
  <c r="I3" i="12" s="1"/>
  <c r="U6" i="1"/>
  <c r="U7" i="1"/>
  <c r="S7" i="1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E16" i="6"/>
  <c r="AI11" i="12" s="1"/>
  <c r="E17" i="6"/>
  <c r="AI12" i="12" s="1"/>
  <c r="E18" i="6"/>
  <c r="E19" i="6"/>
  <c r="E20" i="6"/>
  <c r="AI15" i="12" s="1"/>
  <c r="E21" i="6"/>
  <c r="AI16" i="12" s="1"/>
  <c r="E22" i="6"/>
  <c r="E23" i="6"/>
  <c r="H23" i="6" s="1"/>
  <c r="E24" i="6"/>
  <c r="AI19" i="12" s="1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M33" i="1"/>
  <c r="E32" i="9" s="1"/>
  <c r="AD29" i="12"/>
  <c r="AD27" i="12"/>
  <c r="AZ27" i="1"/>
  <c r="W23" i="12" s="1"/>
  <c r="AN30" i="1"/>
  <c r="W30" i="1"/>
  <c r="I26" i="12" s="1"/>
  <c r="BE22" i="1"/>
  <c r="Y18" i="12" s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AD24" i="12"/>
  <c r="AD25" i="12"/>
  <c r="AD28" i="12"/>
  <c r="AD30" i="12"/>
  <c r="AD31" i="1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C17" i="2"/>
  <c r="AD12" i="12" s="1"/>
  <c r="C18" i="2"/>
  <c r="AD13" i="12" s="1"/>
  <c r="C19" i="2"/>
  <c r="AD14" i="12" s="1"/>
  <c r="C20" i="2"/>
  <c r="AD15" i="12" s="1"/>
  <c r="J16" i="1"/>
  <c r="F12" i="12" s="1"/>
  <c r="E13" i="2"/>
  <c r="V37" i="2"/>
  <c r="S37" i="2"/>
  <c r="O37" i="2"/>
  <c r="AF32" i="12"/>
  <c r="AE32" i="12"/>
  <c r="BK36" i="1"/>
  <c r="AB32" i="12" s="1"/>
  <c r="BI36" i="1"/>
  <c r="AA32" i="12" s="1"/>
  <c r="BG36" i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U36" i="1"/>
  <c r="S36" i="1"/>
  <c r="Q36" i="1"/>
  <c r="H32" i="12" s="1"/>
  <c r="O36" i="1"/>
  <c r="M36" i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 i="1"/>
  <c r="C30" i="6"/>
  <c r="I30" i="6" s="1"/>
  <c r="AE23" i="12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 i="6"/>
  <c r="I36" i="6" s="1"/>
  <c r="G8" i="6"/>
  <c r="G9" i="6"/>
  <c r="AJ4" i="12" s="1"/>
  <c r="G10" i="6"/>
  <c r="G11" i="6"/>
  <c r="AJ6" i="12" s="1"/>
  <c r="G12" i="6"/>
  <c r="AJ7" i="12" s="1"/>
  <c r="G13" i="6"/>
  <c r="G14" i="6"/>
  <c r="AJ9" i="12" s="1"/>
  <c r="G15" i="6"/>
  <c r="AJ10" i="12" s="1"/>
  <c r="G16" i="6"/>
  <c r="AJ11" i="12" s="1"/>
  <c r="G19" i="6"/>
  <c r="G20" i="6"/>
  <c r="AJ15" i="12" s="1"/>
  <c r="G21" i="6"/>
  <c r="G23" i="6"/>
  <c r="G24" i="6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1" i="6"/>
  <c r="AJ26" i="12" s="1"/>
  <c r="G32" i="6"/>
  <c r="G33" i="6"/>
  <c r="AJ28" i="12" s="1"/>
  <c r="G34" i="6"/>
  <c r="G35" i="6"/>
  <c r="AJ30" i="12" s="1"/>
  <c r="C8" i="6"/>
  <c r="C9" i="6"/>
  <c r="AH4" i="12" s="1"/>
  <c r="C10" i="6"/>
  <c r="AH5" i="12" s="1"/>
  <c r="C11" i="6"/>
  <c r="AH6" i="12" s="1"/>
  <c r="C12" i="6"/>
  <c r="AH10" i="9" s="1"/>
  <c r="C13" i="6"/>
  <c r="I13" i="6" s="1"/>
  <c r="C14" i="6"/>
  <c r="AH9" i="12" s="1"/>
  <c r="C15" i="6"/>
  <c r="I15" i="6" s="1"/>
  <c r="C16" i="6"/>
  <c r="C19" i="6"/>
  <c r="AH14" i="12" s="1"/>
  <c r="C20" i="6"/>
  <c r="I20" i="6" s="1"/>
  <c r="C21" i="6"/>
  <c r="AH19" i="9" s="1"/>
  <c r="C22" i="6"/>
  <c r="C23" i="6"/>
  <c r="I23" i="6" s="1"/>
  <c r="C24" i="6"/>
  <c r="C25" i="6"/>
  <c r="I25" i="6" s="1"/>
  <c r="C26" i="6"/>
  <c r="C27" i="6"/>
  <c r="I27" i="6" s="1"/>
  <c r="C28" i="6"/>
  <c r="C29" i="6"/>
  <c r="C31" i="6"/>
  <c r="C32" i="6"/>
  <c r="AH27" i="12" s="1"/>
  <c r="C33" i="6"/>
  <c r="C34" i="6"/>
  <c r="AH32" i="9" s="1"/>
  <c r="Q7" i="1"/>
  <c r="H3" i="12" s="1"/>
  <c r="Q8" i="1"/>
  <c r="Q9" i="1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 i="1"/>
  <c r="AA11" i="1"/>
  <c r="K7" i="12" s="1"/>
  <c r="AA12" i="1"/>
  <c r="K8" i="12" s="1"/>
  <c r="AA13" i="1"/>
  <c r="AA14" i="1"/>
  <c r="K10" i="12" s="1"/>
  <c r="AA15" i="1"/>
  <c r="AA16" i="1"/>
  <c r="K12" i="12" s="1"/>
  <c r="AA17" i="1"/>
  <c r="K13" i="12" s="1"/>
  <c r="AA18" i="1"/>
  <c r="K14" i="12" s="1"/>
  <c r="AA19" i="1"/>
  <c r="K15" i="12" s="1"/>
  <c r="AA20" i="1"/>
  <c r="AA21" i="1"/>
  <c r="K17" i="12" s="1"/>
  <c r="AA22" i="1"/>
  <c r="K18" i="12" s="1"/>
  <c r="AA23" i="1"/>
  <c r="AA24" i="1"/>
  <c r="K20" i="12" s="1"/>
  <c r="AA25" i="1"/>
  <c r="K21" i="12" s="1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 i="1"/>
  <c r="Z17" i="12" s="1"/>
  <c r="BG22" i="1"/>
  <c r="Z18" i="12" s="1"/>
  <c r="BG23" i="1"/>
  <c r="Z19" i="12" s="1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 i="1"/>
  <c r="BK10" i="1"/>
  <c r="BK11" i="1"/>
  <c r="BK12" i="1"/>
  <c r="AB8" i="12" s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2" i="1"/>
  <c r="AB18" i="12" s="1"/>
  <c r="BK23" i="1"/>
  <c r="BK24" i="1"/>
  <c r="AB20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AB31" i="12" s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AA15" i="12" s="1"/>
  <c r="BI20" i="1"/>
  <c r="BI21" i="1"/>
  <c r="AA17" i="12" s="1"/>
  <c r="BI22" i="1"/>
  <c r="AA18" i="12" s="1"/>
  <c r="BI23" i="1"/>
  <c r="BI24" i="1"/>
  <c r="AU23" i="9" s="1"/>
  <c r="BI25" i="1"/>
  <c r="BI26" i="1"/>
  <c r="AA22" i="12" s="1"/>
  <c r="BI27" i="1"/>
  <c r="BI28" i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 i="1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2" i="1"/>
  <c r="AR23" i="1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AI35" i="1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 i="1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 i="1"/>
  <c r="AE9" i="1"/>
  <c r="M5" i="12" s="1"/>
  <c r="AE10" i="1"/>
  <c r="M6" i="12" s="1"/>
  <c r="AE11" i="1"/>
  <c r="M7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2" i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 i="1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G5" i="9" s="1"/>
  <c r="O7" i="1"/>
  <c r="G6" i="9" s="1"/>
  <c r="O8" i="1"/>
  <c r="G7" i="9" s="1"/>
  <c r="O9" i="1"/>
  <c r="G8" i="9" s="1"/>
  <c r="O10" i="1"/>
  <c r="G9" i="9" s="1"/>
  <c r="O11" i="1"/>
  <c r="G10" i="9" s="1"/>
  <c r="O12" i="1"/>
  <c r="G11" i="9" s="1"/>
  <c r="O13" i="1"/>
  <c r="G12" i="9" s="1"/>
  <c r="O14" i="1"/>
  <c r="G13" i="9" s="1"/>
  <c r="O15" i="1"/>
  <c r="G14" i="9" s="1"/>
  <c r="O16" i="1"/>
  <c r="O17" i="1"/>
  <c r="G16" i="9" s="1"/>
  <c r="O18" i="1"/>
  <c r="G17" i="9" s="1"/>
  <c r="O19" i="1"/>
  <c r="G18" i="9" s="1"/>
  <c r="O20" i="1"/>
  <c r="O21" i="1"/>
  <c r="G20" i="9" s="1"/>
  <c r="O22" i="1"/>
  <c r="G21" i="9" s="1"/>
  <c r="O23" i="1"/>
  <c r="G22" i="9" s="1"/>
  <c r="O24" i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O34" i="1"/>
  <c r="G33" i="9" s="1"/>
  <c r="O35" i="1"/>
  <c r="G34" i="9" s="1"/>
  <c r="M6" i="1"/>
  <c r="E5" i="9" s="1"/>
  <c r="M7" i="1"/>
  <c r="E6" i="9" s="1"/>
  <c r="M8" i="1"/>
  <c r="E7" i="9" s="1"/>
  <c r="M9" i="1"/>
  <c r="M10" i="1"/>
  <c r="M11" i="1"/>
  <c r="E10" i="9" s="1"/>
  <c r="M12" i="1"/>
  <c r="E11" i="9" s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M22" i="1"/>
  <c r="M23" i="1"/>
  <c r="E22" i="9" s="1"/>
  <c r="M24" i="1"/>
  <c r="E23" i="9" s="1"/>
  <c r="M25" i="1"/>
  <c r="E24" i="9" s="1"/>
  <c r="M26" i="1"/>
  <c r="M27" i="1"/>
  <c r="E26" i="9" s="1"/>
  <c r="M28" i="1"/>
  <c r="E27" i="9" s="1"/>
  <c r="M29" i="1"/>
  <c r="E28" i="9" s="1"/>
  <c r="M30" i="1"/>
  <c r="E29" i="9" s="1"/>
  <c r="M31" i="1"/>
  <c r="E30" i="9" s="1"/>
  <c r="M32" i="1"/>
  <c r="E31" i="9" s="1"/>
  <c r="M34" i="1"/>
  <c r="E33" i="9" s="1"/>
  <c r="M35" i="1"/>
  <c r="J6" i="1"/>
  <c r="F2" i="12" s="1"/>
  <c r="J7" i="1"/>
  <c r="C6" i="9" s="1"/>
  <c r="J8" i="1"/>
  <c r="J9" i="1"/>
  <c r="J10" i="1"/>
  <c r="F6" i="12" s="1"/>
  <c r="J11" i="1"/>
  <c r="F7" i="12" s="1"/>
  <c r="J12" i="1"/>
  <c r="F8" i="12" s="1"/>
  <c r="J13" i="1"/>
  <c r="F9" i="12" s="1"/>
  <c r="J14" i="1"/>
  <c r="J15" i="1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 i="1"/>
  <c r="J28" i="1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 i="1"/>
  <c r="C7" i="6"/>
  <c r="AH2" i="12" s="1"/>
  <c r="U18" i="1"/>
  <c r="S18" i="1"/>
  <c r="U17" i="1"/>
  <c r="U16" i="1"/>
  <c r="S16" i="1"/>
  <c r="U15" i="1"/>
  <c r="S15" i="1"/>
  <c r="U14" i="1"/>
  <c r="S14" i="1"/>
  <c r="U13" i="1"/>
  <c r="S13" i="1"/>
  <c r="U12" i="1"/>
  <c r="S12" i="1"/>
  <c r="U11" i="1"/>
  <c r="S11" i="1"/>
  <c r="U10" i="1"/>
  <c r="S10" i="1"/>
  <c r="U9" i="1"/>
  <c r="S9" i="1"/>
  <c r="U8" i="1"/>
  <c r="S8" i="1"/>
  <c r="BK6" i="1"/>
  <c r="AT5" i="9" s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H6" i="11"/>
  <c r="D34" i="11"/>
  <c r="J46" i="1"/>
  <c r="A51" i="6" s="1"/>
  <c r="J42" i="6" s="1"/>
  <c r="AJ37" i="9" s="1"/>
  <c r="H11" i="6"/>
  <c r="H27" i="6"/>
  <c r="AE30" i="12"/>
  <c r="K29" i="9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 i="12"/>
  <c r="AF24" i="12"/>
  <c r="AF25" i="12"/>
  <c r="AF26" i="12"/>
  <c r="AF27" i="12"/>
  <c r="AF28" i="12"/>
  <c r="AF29" i="12"/>
  <c r="AF30" i="12"/>
  <c r="E8" i="2"/>
  <c r="K6" i="9" s="1"/>
  <c r="E9" i="2"/>
  <c r="K7" i="9" s="1"/>
  <c r="E10" i="2"/>
  <c r="K8" i="9" s="1"/>
  <c r="E11" i="2"/>
  <c r="E12" i="2"/>
  <c r="K10" i="9" s="1"/>
  <c r="E14" i="2"/>
  <c r="AE9" i="12" s="1"/>
  <c r="E15" i="2"/>
  <c r="E16" i="2"/>
  <c r="AE11" i="12" s="1"/>
  <c r="E17" i="2"/>
  <c r="E18" i="2"/>
  <c r="K16" i="9" s="1"/>
  <c r="E19" i="2"/>
  <c r="K17" i="9" s="1"/>
  <c r="E20" i="2"/>
  <c r="E21" i="2"/>
  <c r="K19" i="9" s="1"/>
  <c r="E22" i="2"/>
  <c r="K20" i="9" s="1"/>
  <c r="E23" i="2"/>
  <c r="E24" i="2"/>
  <c r="E25" i="2"/>
  <c r="AE20" i="12" s="1"/>
  <c r="AE24" i="12"/>
  <c r="K28" i="9"/>
  <c r="K30" i="9"/>
  <c r="AE31" i="12"/>
  <c r="C8" i="2"/>
  <c r="I6" i="9" s="1"/>
  <c r="C9" i="2"/>
  <c r="I7" i="9" s="1"/>
  <c r="I27" i="9"/>
  <c r="I30" i="9"/>
  <c r="I31" i="9"/>
  <c r="AT10" i="9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C18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E7" i="2"/>
  <c r="K5" i="9" s="1"/>
  <c r="C7" i="2"/>
  <c r="AD2" i="12" s="1"/>
  <c r="BO37" i="1"/>
  <c r="BO38" i="1" s="1"/>
  <c r="BL42" i="1"/>
  <c r="BP42" i="1" s="1"/>
  <c r="BO43" i="1"/>
  <c r="BS39" i="1"/>
  <c r="BO41" i="1"/>
  <c r="BO40" i="1" s="1"/>
  <c r="BM41" i="1"/>
  <c r="BM40" i="1" s="1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46" i="10" s="1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 s="1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70" i="10" s="1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F15" i="4"/>
  <c r="F16" i="4"/>
  <c r="H16" i="4" s="1"/>
  <c r="F17" i="4"/>
  <c r="H17" i="4" s="1"/>
  <c r="F18" i="4"/>
  <c r="F19" i="4"/>
  <c r="G19" i="4" s="1"/>
  <c r="F20" i="4"/>
  <c r="G20" i="4" s="1"/>
  <c r="F21" i="4"/>
  <c r="H21" i="4" s="1"/>
  <c r="F22" i="4"/>
  <c r="F23" i="4"/>
  <c r="H23" i="4" s="1"/>
  <c r="F24" i="4"/>
  <c r="F25" i="4"/>
  <c r="H25" i="4" s="1"/>
  <c r="F26" i="4"/>
  <c r="H26" i="4" s="1"/>
  <c r="F27" i="4"/>
  <c r="F28" i="4"/>
  <c r="H28" i="4" s="1"/>
  <c r="F29" i="4"/>
  <c r="F30" i="4"/>
  <c r="H30" i="4" s="1"/>
  <c r="F31" i="4"/>
  <c r="H31" i="4" s="1"/>
  <c r="F32" i="4"/>
  <c r="H32" i="4" s="1"/>
  <c r="F33" i="4"/>
  <c r="H33" i="4" s="1"/>
  <c r="F34" i="4"/>
  <c r="F35" i="4"/>
  <c r="F36" i="4"/>
  <c r="H36" i="4" s="1"/>
  <c r="F37" i="4"/>
  <c r="H37" i="4" s="1"/>
  <c r="F38" i="4"/>
  <c r="H38" i="4" s="1"/>
  <c r="F39" i="4"/>
  <c r="F40" i="4"/>
  <c r="H40" i="4" s="1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AE25" i="12"/>
  <c r="AE26" i="12"/>
  <c r="AE27" i="12"/>
  <c r="Q479" i="10"/>
  <c r="Q1651" i="10"/>
  <c r="Q1523" i="10"/>
  <c r="G32" i="4"/>
  <c r="G40" i="4"/>
  <c r="G36" i="4"/>
  <c r="G16" i="4"/>
  <c r="BL39" i="1"/>
  <c r="BL40" i="1" s="1"/>
  <c r="BN40" i="1" s="1"/>
  <c r="Q557" i="10"/>
  <c r="Q471" i="10"/>
  <c r="Q1009" i="10"/>
  <c r="P52" i="10"/>
  <c r="E8" i="9"/>
  <c r="BQ41" i="1"/>
  <c r="BQ44" i="1"/>
  <c r="H32" i="2"/>
  <c r="I27" i="13" s="1"/>
  <c r="H33" i="2"/>
  <c r="P31" i="9" s="1"/>
  <c r="Q1012" i="10"/>
  <c r="Q10" i="10"/>
  <c r="Q2216" i="10"/>
  <c r="G33" i="4"/>
  <c r="BQ5" i="9"/>
  <c r="BE35" i="1"/>
  <c r="BE34" i="1"/>
  <c r="BE33" i="1"/>
  <c r="Y29" i="12" s="1"/>
  <c r="L2353" i="10" l="1"/>
  <c r="D66" i="10"/>
  <c r="Q1878" i="10"/>
  <c r="P15" i="10"/>
  <c r="Q1221" i="10"/>
  <c r="Q2306" i="10"/>
  <c r="G17" i="4"/>
  <c r="Q577" i="10"/>
  <c r="Q1100" i="10"/>
  <c r="Q1901" i="10"/>
  <c r="Q1609" i="10"/>
  <c r="Q2101" i="10"/>
  <c r="Q27" i="10"/>
  <c r="Q1554" i="10"/>
  <c r="G28" i="4"/>
  <c r="Q1294" i="10"/>
  <c r="Q978" i="10"/>
  <c r="Q2129" i="10"/>
  <c r="Q1758" i="10"/>
  <c r="Q1487" i="10"/>
  <c r="Q484" i="10"/>
  <c r="Q1704" i="10"/>
  <c r="Q1389" i="10"/>
  <c r="Q442" i="10"/>
  <c r="Q1143" i="10"/>
  <c r="Q1112" i="10"/>
  <c r="Q2112" i="10"/>
  <c r="Q308" i="10"/>
  <c r="Q801" i="10"/>
  <c r="Q359" i="10"/>
  <c r="Q2264" i="10"/>
  <c r="Q1258" i="10"/>
  <c r="Q1960" i="10"/>
  <c r="Q293" i="10"/>
  <c r="Q201" i="10"/>
  <c r="Q358" i="10"/>
  <c r="Q178" i="10"/>
  <c r="Q1776" i="10"/>
  <c r="Q1914" i="10"/>
  <c r="Q2179" i="10"/>
  <c r="Q806" i="10"/>
  <c r="Q1941" i="10"/>
  <c r="Q857" i="10"/>
  <c r="H66" i="10"/>
  <c r="Q734" i="10"/>
  <c r="Q2147" i="10"/>
  <c r="Q1057" i="10"/>
  <c r="Q1707" i="10"/>
  <c r="Q925" i="10"/>
  <c r="P55" i="10"/>
  <c r="Q933" i="10"/>
  <c r="Q1940" i="10"/>
  <c r="Q1629" i="10"/>
  <c r="Q1669" i="10"/>
  <c r="Q968" i="10"/>
  <c r="Q1446" i="10"/>
  <c r="Q1264" i="10"/>
  <c r="Q1710" i="10"/>
  <c r="Q580" i="10"/>
  <c r="Q1402" i="10"/>
  <c r="Q1675" i="10"/>
  <c r="G12" i="4"/>
  <c r="Q2011" i="10"/>
  <c r="Q926" i="10"/>
  <c r="Q576" i="10"/>
  <c r="P4" i="10"/>
  <c r="Q1747" i="10"/>
  <c r="Q737" i="10"/>
  <c r="Q1889" i="10"/>
  <c r="Q1982" i="10"/>
  <c r="Q519" i="10"/>
  <c r="Q1502" i="10"/>
  <c r="Q312" i="10"/>
  <c r="Q1210" i="10"/>
  <c r="Q1260" i="10"/>
  <c r="H36" i="6"/>
  <c r="BS42" i="1"/>
  <c r="BN42" i="1"/>
  <c r="D2353" i="10"/>
  <c r="BQ43" i="1"/>
  <c r="H2353" i="10"/>
  <c r="H31" i="6"/>
  <c r="H30" i="6"/>
  <c r="H24" i="6"/>
  <c r="AH28" i="9"/>
  <c r="G25" i="4"/>
  <c r="BL44" i="1"/>
  <c r="BL43" i="1"/>
  <c r="BN43" i="1" s="1"/>
  <c r="BR42" i="1"/>
  <c r="C15" i="9"/>
  <c r="C37" i="1"/>
  <c r="C38" i="1" s="1"/>
  <c r="C30" i="9"/>
  <c r="K36" i="6"/>
  <c r="G31" i="13" s="1"/>
  <c r="C24" i="9"/>
  <c r="H11" i="2"/>
  <c r="I6" i="13" s="1"/>
  <c r="C11" i="9"/>
  <c r="Q1576" i="10"/>
  <c r="Q1832" i="10"/>
  <c r="Q2088" i="10"/>
  <c r="Q1053" i="10"/>
  <c r="Q2025" i="10"/>
  <c r="Q1497" i="10"/>
  <c r="Q709" i="10"/>
  <c r="Q2325" i="10"/>
  <c r="Q1639" i="10"/>
  <c r="Q1262" i="10"/>
  <c r="Q556" i="10"/>
  <c r="Q1224" i="10"/>
  <c r="Q760" i="10"/>
  <c r="Q408" i="10"/>
  <c r="Q1867" i="10"/>
  <c r="Q130" i="10"/>
  <c r="Q720" i="10"/>
  <c r="Q457" i="10"/>
  <c r="Q607" i="10"/>
  <c r="Q1958" i="10"/>
  <c r="Q1819" i="10"/>
  <c r="Q1790" i="10"/>
  <c r="Q2256" i="10"/>
  <c r="Q633" i="10"/>
  <c r="Q1714" i="10"/>
  <c r="Q159" i="10"/>
  <c r="Q1114" i="10"/>
  <c r="Q844" i="10"/>
  <c r="Q45" i="10"/>
  <c r="Q537" i="10"/>
  <c r="Q2253" i="10"/>
  <c r="Q356" i="10"/>
  <c r="Q1353" i="10"/>
  <c r="Q1833" i="10"/>
  <c r="Q1381" i="10"/>
  <c r="Q1952" i="10"/>
  <c r="Q1600" i="10"/>
  <c r="Q125" i="10"/>
  <c r="Q124" i="10"/>
  <c r="P41" i="10"/>
  <c r="Q2237" i="10"/>
  <c r="Q1845" i="10"/>
  <c r="Q460" i="10"/>
  <c r="Q2170" i="10"/>
  <c r="Q1658" i="10"/>
  <c r="Q1031" i="10"/>
  <c r="Q215" i="10"/>
  <c r="Q470" i="10"/>
  <c r="Q1226" i="10"/>
  <c r="Q1424" i="10"/>
  <c r="Q1944" i="10"/>
  <c r="Q1273" i="10"/>
  <c r="Q229" i="10"/>
  <c r="Q1750" i="10"/>
  <c r="Q233" i="10"/>
  <c r="Q354" i="10"/>
  <c r="Q1741" i="10"/>
  <c r="Q1587" i="10"/>
  <c r="Q1328" i="10"/>
  <c r="Q501" i="10"/>
  <c r="Q1799" i="10"/>
  <c r="Q1574" i="10"/>
  <c r="Q75" i="10"/>
  <c r="Q432" i="10"/>
  <c r="Q1650" i="10"/>
  <c r="Q2133" i="10"/>
  <c r="Q797" i="10"/>
  <c r="Q1613" i="10"/>
  <c r="Q163" i="10"/>
  <c r="Q640" i="10"/>
  <c r="Q1425" i="10"/>
  <c r="Q368" i="10"/>
  <c r="Q2077" i="10"/>
  <c r="Q1162" i="10"/>
  <c r="Q769" i="10"/>
  <c r="Q147" i="10"/>
  <c r="Q2132" i="10"/>
  <c r="Q1807" i="10"/>
  <c r="Q1802" i="10"/>
  <c r="Q37" i="10"/>
  <c r="Q1939" i="10"/>
  <c r="Q303" i="10"/>
  <c r="Q1158" i="10"/>
  <c r="Q1846" i="10"/>
  <c r="Q1321" i="10"/>
  <c r="Q2209" i="10"/>
  <c r="Q1090" i="10"/>
  <c r="Q539" i="10"/>
  <c r="Q488" i="10"/>
  <c r="Q1316" i="10"/>
  <c r="Q992" i="10"/>
  <c r="Q1589" i="10"/>
  <c r="Q177" i="10"/>
  <c r="Q2229" i="10"/>
  <c r="Q113" i="10"/>
  <c r="Q1172" i="10"/>
  <c r="P29" i="10"/>
  <c r="Q273" i="10"/>
  <c r="Q1156" i="10"/>
  <c r="Q1378" i="10"/>
  <c r="Q723" i="10"/>
  <c r="Q222" i="10"/>
  <c r="Q84" i="10"/>
  <c r="Q1315" i="10"/>
  <c r="Q181" i="10"/>
  <c r="Q1003" i="10"/>
  <c r="Q815" i="10"/>
  <c r="Q1868" i="10"/>
  <c r="Q2248" i="10"/>
  <c r="Q2181" i="10"/>
  <c r="Q600" i="10"/>
  <c r="Q1627" i="10"/>
  <c r="Q1666" i="10"/>
  <c r="Q1280" i="10"/>
  <c r="Q366" i="10"/>
  <c r="Q1109" i="10"/>
  <c r="Q1603" i="10"/>
  <c r="Q976" i="10"/>
  <c r="Q1147" i="10"/>
  <c r="Q751" i="10"/>
  <c r="P2341" i="10"/>
  <c r="Q2138" i="10"/>
  <c r="Q1863" i="10"/>
  <c r="Q1383" i="10"/>
  <c r="Q2086" i="10"/>
  <c r="Q695" i="10"/>
  <c r="Q1342" i="10"/>
  <c r="Q2090" i="10"/>
  <c r="Q2055" i="10"/>
  <c r="Q1511" i="10"/>
  <c r="Q1755" i="10"/>
  <c r="Q1836" i="10"/>
  <c r="Q388" i="10"/>
  <c r="Q1334" i="10"/>
  <c r="Q870" i="10"/>
  <c r="Q107" i="10"/>
  <c r="Q2087" i="10"/>
  <c r="Q346" i="10"/>
  <c r="Q654" i="10"/>
  <c r="Q2069" i="10"/>
  <c r="Q583" i="10"/>
  <c r="Q1541" i="10"/>
  <c r="Q1622" i="10"/>
  <c r="Q2296" i="10"/>
  <c r="Q2167" i="10"/>
  <c r="Q2165" i="10"/>
  <c r="Q487" i="10"/>
  <c r="Q1605" i="10"/>
  <c r="Q2006" i="10"/>
  <c r="Q1906" i="10"/>
  <c r="Q2343" i="10"/>
  <c r="Q1806" i="10"/>
  <c r="Q1748" i="10"/>
  <c r="Q176" i="10"/>
  <c r="Q882" i="10"/>
  <c r="Q1885" i="10"/>
  <c r="Q2333" i="10"/>
  <c r="Q1426" i="10"/>
  <c r="Q1237" i="10"/>
  <c r="Q582" i="10"/>
  <c r="Q823" i="10"/>
  <c r="Q2066" i="10"/>
  <c r="Q1640" i="10"/>
  <c r="Q1768" i="10"/>
  <c r="Q1896" i="10"/>
  <c r="Q2024" i="10"/>
  <c r="Q2152" i="10"/>
  <c r="Q1413" i="10"/>
  <c r="Q541" i="10"/>
  <c r="Q2287" i="10"/>
  <c r="Q1335" i="10"/>
  <c r="Q1625" i="10"/>
  <c r="Q1369" i="10"/>
  <c r="Q965" i="10"/>
  <c r="Q420" i="10"/>
  <c r="P60" i="10"/>
  <c r="Q2261" i="10"/>
  <c r="Q1921" i="10"/>
  <c r="Q793" i="10"/>
  <c r="Q1774" i="10"/>
  <c r="Q2362" i="10"/>
  <c r="Q114" i="10"/>
  <c r="Q812" i="10"/>
  <c r="Q1096" i="10"/>
  <c r="Q1291" i="10"/>
  <c r="Q2003" i="10"/>
  <c r="Q504" i="10"/>
  <c r="Q241" i="10"/>
  <c r="Q1366" i="10"/>
  <c r="Q685" i="10"/>
  <c r="Q236" i="10"/>
  <c r="Q820" i="10"/>
  <c r="P2360" i="10"/>
  <c r="Q1849" i="10"/>
  <c r="Q592" i="10"/>
  <c r="Q186" i="10"/>
  <c r="Q329" i="10"/>
  <c r="Q53" i="10"/>
  <c r="Q1119" i="10"/>
  <c r="Q1702" i="10"/>
  <c r="Q1677" i="10"/>
  <c r="Q2075" i="10"/>
  <c r="P2369" i="10"/>
  <c r="Q98" i="10"/>
  <c r="Q721" i="10"/>
  <c r="Q2320" i="10"/>
  <c r="Q2137" i="10"/>
  <c r="Q1599" i="10"/>
  <c r="P66" i="10"/>
  <c r="Q1970" i="10"/>
  <c r="Q1458" i="10"/>
  <c r="Q631" i="10"/>
  <c r="Q415" i="10"/>
  <c r="Q678" i="10"/>
  <c r="Q2023" i="10"/>
  <c r="Q1699" i="10"/>
  <c r="Q1240" i="10"/>
  <c r="Q984" i="10"/>
  <c r="Q588" i="10"/>
  <c r="Q325" i="10"/>
  <c r="Q1135" i="10"/>
  <c r="Q1645" i="10"/>
  <c r="Q1575" i="10"/>
  <c r="Q2131" i="10"/>
  <c r="Q2317" i="10"/>
  <c r="Q705" i="10"/>
  <c r="Q677" i="10"/>
  <c r="Q1189" i="10"/>
  <c r="Q1481" i="10"/>
  <c r="Q2208" i="10"/>
  <c r="Q2271" i="10"/>
  <c r="Q861" i="10"/>
  <c r="Q2242" i="10"/>
  <c r="Q2032" i="10"/>
  <c r="Q1856" i="10"/>
  <c r="Q1696" i="10"/>
  <c r="Q884" i="10"/>
  <c r="Q445" i="10"/>
  <c r="Q1167" i="10"/>
  <c r="Q196" i="10"/>
  <c r="Q689" i="10"/>
  <c r="P2348" i="10"/>
  <c r="P9" i="10"/>
  <c r="Q2274" i="10"/>
  <c r="Q2173" i="10"/>
  <c r="Q1973" i="10"/>
  <c r="Q1717" i="10"/>
  <c r="Q1201" i="10"/>
  <c r="Q2251" i="10"/>
  <c r="Q1341" i="10"/>
  <c r="Q2042" i="10"/>
  <c r="Q1786" i="10"/>
  <c r="Q1530" i="10"/>
  <c r="Q1274" i="10"/>
  <c r="Q775" i="10"/>
  <c r="Q81" i="10"/>
  <c r="Q343" i="10"/>
  <c r="Q214" i="10"/>
  <c r="Q606" i="10"/>
  <c r="Q970" i="10"/>
  <c r="Q1735" i="10"/>
  <c r="Q595" i="10"/>
  <c r="Q725" i="10"/>
  <c r="Q1688" i="10"/>
  <c r="Q2226" i="10"/>
  <c r="Q2200" i="10"/>
  <c r="Q156" i="10"/>
  <c r="Q493" i="10"/>
  <c r="Q936" i="10"/>
  <c r="Q138" i="10"/>
  <c r="Q1164" i="10"/>
  <c r="Q496" i="10"/>
  <c r="Q1382" i="10"/>
  <c r="Q489" i="10"/>
  <c r="Q188" i="10"/>
  <c r="Q2185" i="10"/>
  <c r="Q2159" i="10"/>
  <c r="Q319" i="10"/>
  <c r="E51" i="7"/>
  <c r="Q409" i="10"/>
  <c r="Q2360" i="10"/>
  <c r="Q257" i="10"/>
  <c r="Q1772" i="10"/>
  <c r="Q1857" i="10"/>
  <c r="Q1661" i="10"/>
  <c r="Q951" i="10"/>
  <c r="Q1793" i="10"/>
  <c r="Q2230" i="10"/>
  <c r="Q741" i="10"/>
  <c r="Q1010" i="10"/>
  <c r="Q2004" i="10"/>
  <c r="Q2311" i="10"/>
  <c r="Q2323" i="10"/>
  <c r="Q17" i="10"/>
  <c r="Q545" i="10"/>
  <c r="Q2134" i="10"/>
  <c r="Q360" i="10"/>
  <c r="Q686" i="10"/>
  <c r="Q1621" i="10"/>
  <c r="Q571" i="10"/>
  <c r="Q1122" i="10"/>
  <c r="Q2241" i="10"/>
  <c r="Q1449" i="10"/>
  <c r="P39" i="10"/>
  <c r="Q895" i="10"/>
  <c r="Q854" i="10"/>
  <c r="Q89" i="10"/>
  <c r="P2363" i="10"/>
  <c r="Q218" i="10"/>
  <c r="Q526" i="10"/>
  <c r="Q1362" i="10"/>
  <c r="Q1266" i="10"/>
  <c r="Q956" i="10"/>
  <c r="Q1038" i="10"/>
  <c r="Q1097" i="10"/>
  <c r="Q1194" i="10"/>
  <c r="Q395" i="10"/>
  <c r="Q1705" i="10"/>
  <c r="Q187" i="10"/>
  <c r="G22" i="4"/>
  <c r="H22" i="4"/>
  <c r="Q20" i="10"/>
  <c r="Q1067" i="10"/>
  <c r="Q2276" i="10"/>
  <c r="Q830" i="10"/>
  <c r="Q444" i="10"/>
  <c r="Q2194" i="10"/>
  <c r="Q1664" i="10"/>
  <c r="Q60" i="10"/>
  <c r="Q1943" i="10"/>
  <c r="Q1352" i="10"/>
  <c r="Q700" i="10"/>
  <c r="Q1099" i="10"/>
  <c r="P47" i="10"/>
  <c r="Q2245" i="10"/>
  <c r="Q458" i="10"/>
  <c r="Q1371" i="10"/>
  <c r="Q1602" i="10"/>
  <c r="Q1171" i="10"/>
  <c r="Q334" i="10"/>
  <c r="Q1441" i="10"/>
  <c r="Q1539" i="10"/>
  <c r="Q782" i="10"/>
  <c r="Q665" i="10"/>
  <c r="Q1652" i="10"/>
  <c r="Q859" i="10"/>
  <c r="Q449" i="10"/>
  <c r="Q2206" i="10"/>
  <c r="Q2236" i="10"/>
  <c r="Q1724" i="10"/>
  <c r="Q1108" i="10"/>
  <c r="Q1593" i="10"/>
  <c r="Q1642" i="10"/>
  <c r="Q2000" i="10"/>
  <c r="Q1076" i="10"/>
  <c r="Q1561" i="10"/>
  <c r="Q1690" i="10"/>
  <c r="Q1657" i="10"/>
  <c r="Q2122" i="10"/>
  <c r="Q1920" i="10"/>
  <c r="Q780" i="10"/>
  <c r="Q876" i="10"/>
  <c r="Q1670" i="10"/>
  <c r="Q1041" i="10"/>
  <c r="Q589" i="10"/>
  <c r="P2358" i="10"/>
  <c r="Q2273" i="10"/>
  <c r="Q1751" i="10"/>
  <c r="Q610" i="10"/>
  <c r="Q347" i="10"/>
  <c r="Q1451" i="10"/>
  <c r="Q1251" i="10"/>
  <c r="Q2015" i="10"/>
  <c r="Q1110" i="10"/>
  <c r="Q1654" i="10"/>
  <c r="Q1281" i="10"/>
  <c r="Q1388" i="10"/>
  <c r="Q141" i="10"/>
  <c r="Q108" i="10"/>
  <c r="Q2297" i="10"/>
  <c r="Q765" i="10"/>
  <c r="Q486" i="10"/>
  <c r="Q429" i="10"/>
  <c r="Q495" i="10"/>
  <c r="Q1546" i="10"/>
  <c r="Q916" i="10"/>
  <c r="Q879" i="10"/>
  <c r="Q1403" i="10"/>
  <c r="Q927" i="10"/>
  <c r="Q2307" i="10"/>
  <c r="Q12" i="10"/>
  <c r="Q207" i="10"/>
  <c r="Q1955" i="10"/>
  <c r="Q2039" i="10"/>
  <c r="Q682" i="10"/>
  <c r="Q419" i="10"/>
  <c r="Q2038" i="10"/>
  <c r="Q1400" i="10"/>
  <c r="Q71" i="10"/>
  <c r="Q1182" i="10"/>
  <c r="Q1116" i="10"/>
  <c r="Q641" i="10"/>
  <c r="Q1460" i="10"/>
  <c r="Q635" i="10"/>
  <c r="Q1923" i="10"/>
  <c r="Q921" i="10"/>
  <c r="Q1370" i="10"/>
  <c r="Q2334" i="10"/>
  <c r="Q1635" i="10"/>
  <c r="Q991" i="10"/>
  <c r="Q704" i="10"/>
  <c r="Q515" i="10"/>
  <c r="Q1479" i="10"/>
  <c r="Q1006" i="10"/>
  <c r="Q1212" i="10"/>
  <c r="Q1660" i="10"/>
  <c r="Q1391" i="10"/>
  <c r="Q212" i="10"/>
  <c r="Q50" i="10"/>
  <c r="Q1931" i="10"/>
  <c r="Q543" i="10"/>
  <c r="Q226" i="10"/>
  <c r="Q2161" i="10"/>
  <c r="Q1506" i="10"/>
  <c r="Q1018" i="10"/>
  <c r="Q1892" i="10"/>
  <c r="Q428" i="10"/>
  <c r="Q642" i="10"/>
  <c r="Q443" i="10"/>
  <c r="Q1129" i="10"/>
  <c r="Q1668" i="10"/>
  <c r="Q491" i="10"/>
  <c r="Q1443" i="10"/>
  <c r="Q950" i="10"/>
  <c r="Q856" i="10"/>
  <c r="Q2151" i="10"/>
  <c r="Q1420" i="10"/>
  <c r="Q683" i="10"/>
  <c r="Q2115" i="10"/>
  <c r="Q1977" i="10"/>
  <c r="Q821" i="10"/>
  <c r="Q1269" i="10"/>
  <c r="Q1676" i="10"/>
  <c r="Q937" i="10"/>
  <c r="Q2342" i="10"/>
  <c r="V40" i="2" s="1"/>
  <c r="V42" i="2" s="1"/>
  <c r="V41" i="2" s="1"/>
  <c r="Q1989" i="10"/>
  <c r="Q1712" i="10"/>
  <c r="Q2081" i="10"/>
  <c r="Q848" i="10"/>
  <c r="Q1196" i="10"/>
  <c r="Q249" i="10"/>
  <c r="Q1915" i="10"/>
  <c r="Q316" i="10"/>
  <c r="Q1725" i="10"/>
  <c r="Q1794" i="10"/>
  <c r="Q335" i="10"/>
  <c r="Q284" i="10"/>
  <c r="Q1408" i="10"/>
  <c r="Q1911" i="10"/>
  <c r="Q802" i="10"/>
  <c r="Q430" i="10"/>
  <c r="Q387" i="10"/>
  <c r="Q264" i="10"/>
  <c r="Q897" i="10"/>
  <c r="Q1336" i="10"/>
  <c r="Q16" i="10"/>
  <c r="Q1711" i="10"/>
  <c r="Q1214" i="10"/>
  <c r="Q958" i="10"/>
  <c r="Q194" i="10"/>
  <c r="Q1232" i="10"/>
  <c r="Q2321" i="10"/>
  <c r="Q957" i="10"/>
  <c r="Q1492" i="10"/>
  <c r="Q1211" i="10"/>
  <c r="Q699" i="10"/>
  <c r="Q2027" i="10"/>
  <c r="Q840" i="10"/>
  <c r="Q466" i="10"/>
  <c r="Q1745" i="10"/>
  <c r="Q757" i="10"/>
  <c r="Q2119" i="10"/>
  <c r="Q2076" i="10"/>
  <c r="Q1564" i="10"/>
  <c r="Q2267" i="10"/>
  <c r="Q1247" i="10"/>
  <c r="Q872" i="10"/>
  <c r="Q2168" i="10"/>
  <c r="Q246" i="10"/>
  <c r="Q1405" i="10"/>
  <c r="Q833" i="10"/>
  <c r="Q2279" i="10"/>
  <c r="Q1577" i="10"/>
  <c r="Q506" i="10"/>
  <c r="Q2263" i="10"/>
  <c r="Q810" i="10"/>
  <c r="Q997" i="10"/>
  <c r="Q736" i="10"/>
  <c r="Q2332" i="10"/>
  <c r="Q111" i="10"/>
  <c r="Q96" i="10"/>
  <c r="Q286" i="10"/>
  <c r="Q1217" i="10"/>
  <c r="Q2079" i="10"/>
  <c r="Q596" i="10"/>
  <c r="Q2068" i="10"/>
  <c r="Q1913" i="10"/>
  <c r="P32" i="10"/>
  <c r="Q2060" i="10"/>
  <c r="Q531" i="10"/>
  <c r="Q2105" i="10"/>
  <c r="Q389" i="10"/>
  <c r="Q768" i="10"/>
  <c r="Q482" i="10"/>
  <c r="Q2223" i="10"/>
  <c r="Q954" i="10"/>
  <c r="Q160" i="10"/>
  <c r="Q650" i="10"/>
  <c r="Q195" i="10"/>
  <c r="Q1732" i="10"/>
  <c r="Q2095" i="10"/>
  <c r="Q1086" i="10"/>
  <c r="Q511" i="10"/>
  <c r="Q1473" i="10"/>
  <c r="Q1364" i="10"/>
  <c r="Q66" i="10"/>
  <c r="Q1184" i="10"/>
  <c r="P16" i="10"/>
  <c r="Q1149" i="10"/>
  <c r="Q351" i="10"/>
  <c r="P5" i="10"/>
  <c r="Q691" i="10"/>
  <c r="Q1957" i="10"/>
  <c r="Q1616" i="10"/>
  <c r="Q255" i="10"/>
  <c r="Q100" i="10"/>
  <c r="Q1228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 s="1"/>
  <c r="T44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J2" i="12"/>
  <c r="AH23" i="9"/>
  <c r="AW5" i="9"/>
  <c r="AU29" i="9"/>
  <c r="G37" i="4"/>
  <c r="J29" i="6"/>
  <c r="AJ27" i="9" s="1"/>
  <c r="H24" i="2"/>
  <c r="I19" i="13" s="1"/>
  <c r="AU21" i="9"/>
  <c r="AH16" i="9"/>
  <c r="AE3" i="12"/>
  <c r="AH5" i="9"/>
  <c r="H35" i="6"/>
  <c r="K12" i="9"/>
  <c r="H28" i="2"/>
  <c r="I23" i="13" s="1"/>
  <c r="I24" i="9"/>
  <c r="D6" i="10"/>
  <c r="O6" i="10" s="1"/>
  <c r="Z32" i="12"/>
  <c r="BB36" i="1"/>
  <c r="X32" i="12" s="1"/>
  <c r="Z31" i="12"/>
  <c r="BB35" i="1"/>
  <c r="X31" i="12" s="1"/>
  <c r="G38" i="4"/>
  <c r="AU6" i="9"/>
  <c r="AH25" i="9"/>
  <c r="AH21" i="9"/>
  <c r="J22" i="6"/>
  <c r="AJ20" i="9" s="1"/>
  <c r="M66" i="10"/>
  <c r="C2353" i="10"/>
  <c r="AT23" i="9"/>
  <c r="C22" i="9"/>
  <c r="AU25" i="9"/>
  <c r="I15" i="9"/>
  <c r="J30" i="6"/>
  <c r="AJ28" i="9" s="1"/>
  <c r="AH31" i="12"/>
  <c r="K11" i="6"/>
  <c r="G6" i="13" s="1"/>
  <c r="J18" i="6"/>
  <c r="AJ16" i="9" s="1"/>
  <c r="H20" i="6"/>
  <c r="AH17" i="9"/>
  <c r="AH9" i="9"/>
  <c r="AH8" i="9"/>
  <c r="C10" i="9"/>
  <c r="C9" i="9"/>
  <c r="I2370" i="10"/>
  <c r="O2349" i="10"/>
  <c r="C19" i="9"/>
  <c r="C14" i="9"/>
  <c r="AU14" i="9"/>
  <c r="AT11" i="9"/>
  <c r="I11" i="6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H13" i="2"/>
  <c r="U13" i="2" s="1"/>
  <c r="BM11" i="9" s="1"/>
  <c r="H22" i="2"/>
  <c r="X22" i="2" s="1"/>
  <c r="Z22" i="2" s="1"/>
  <c r="BQ20" i="9" s="1"/>
  <c r="AT34" i="9"/>
  <c r="I13" i="9"/>
  <c r="H14" i="2"/>
  <c r="X14" i="2" s="1"/>
  <c r="Y14" i="2" s="1"/>
  <c r="BP12" i="9" s="1"/>
  <c r="AE4" i="12"/>
  <c r="I26" i="9"/>
  <c r="I17" i="9"/>
  <c r="AT26" i="9"/>
  <c r="H21" i="6"/>
  <c r="AE16" i="12"/>
  <c r="J16" i="6"/>
  <c r="AJ14" i="9" s="1"/>
  <c r="BO44" i="1"/>
  <c r="O2368" i="10"/>
  <c r="F2353" i="10"/>
  <c r="S38" i="2"/>
  <c r="C22" i="7" s="1"/>
  <c r="AH7" i="9"/>
  <c r="I8" i="9"/>
  <c r="I22" i="9"/>
  <c r="C16" i="9"/>
  <c r="BQ40" i="1"/>
  <c r="BR40" i="1" s="1"/>
  <c r="O38" i="2"/>
  <c r="O39" i="2" s="1"/>
  <c r="R34" i="9" s="1"/>
  <c r="L66" i="10"/>
  <c r="H29" i="6"/>
  <c r="H25" i="2"/>
  <c r="P23" i="9" s="1"/>
  <c r="BR39" i="1"/>
  <c r="AE17" i="12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D51" i="7"/>
  <c r="J9" i="6"/>
  <c r="AJ7" i="9" s="1"/>
  <c r="AD3" i="12"/>
  <c r="I9" i="9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AE19" i="12"/>
  <c r="K22" i="9"/>
  <c r="K18" i="9"/>
  <c r="AE15" i="12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F2370" i="10"/>
  <c r="I16" i="9"/>
  <c r="I19" i="6"/>
  <c r="AU20" i="9"/>
  <c r="O2366" i="10"/>
  <c r="H17" i="2"/>
  <c r="P15" i="9" s="1"/>
  <c r="H8" i="2"/>
  <c r="I3" i="13" s="1"/>
  <c r="AE14" i="12"/>
  <c r="AE7" i="12"/>
  <c r="K23" i="9"/>
  <c r="AT15" i="9"/>
  <c r="BB29" i="1"/>
  <c r="X25" i="12" s="1"/>
  <c r="G31" i="4"/>
  <c r="AH18" i="12"/>
  <c r="AU7" i="9"/>
  <c r="AT33" i="9"/>
  <c r="I19" i="9"/>
  <c r="I12" i="9"/>
  <c r="I7" i="6"/>
  <c r="H33" i="6"/>
  <c r="AH22" i="12"/>
  <c r="BP39" i="1"/>
  <c r="H19" i="2"/>
  <c r="P17" i="9" s="1"/>
  <c r="BN39" i="1"/>
  <c r="BO36" i="9"/>
  <c r="AE5" i="12"/>
  <c r="I32" i="6"/>
  <c r="AT28" i="9"/>
  <c r="J36" i="6"/>
  <c r="J35" i="6"/>
  <c r="H34" i="2"/>
  <c r="I29" i="13" s="1"/>
  <c r="H31" i="2"/>
  <c r="X31" i="2" s="1"/>
  <c r="Z31" i="2" s="1"/>
  <c r="BQ29" i="9" s="1"/>
  <c r="J31" i="6"/>
  <c r="AJ29" i="9" s="1"/>
  <c r="H26" i="2"/>
  <c r="W26" i="2" s="1"/>
  <c r="BN24" i="9" s="1"/>
  <c r="AE13" i="12"/>
  <c r="W32" i="2"/>
  <c r="BN30" i="9" s="1"/>
  <c r="AE12" i="12"/>
  <c r="H20" i="2"/>
  <c r="X20" i="2" s="1"/>
  <c r="Z20" i="2" s="1"/>
  <c r="BQ18" i="9" s="1"/>
  <c r="I25" i="9"/>
  <c r="I18" i="9"/>
  <c r="H27" i="2"/>
  <c r="X27" i="2" s="1"/>
  <c r="BO25" i="9" s="1"/>
  <c r="H12" i="2"/>
  <c r="W12" i="2" s="1"/>
  <c r="BN10" i="9" s="1"/>
  <c r="I10" i="9"/>
  <c r="I5" i="9"/>
  <c r="H29" i="2"/>
  <c r="U29" i="2" s="1"/>
  <c r="BM27" i="9" s="1"/>
  <c r="K25" i="9"/>
  <c r="AT31" i="9"/>
  <c r="AU30" i="9"/>
  <c r="X11" i="2"/>
  <c r="Z11" i="2" s="1"/>
  <c r="BQ9" i="9" s="1"/>
  <c r="J2370" i="10"/>
  <c r="N2370" i="10"/>
  <c r="K2370" i="10"/>
  <c r="C27" i="9"/>
  <c r="K13" i="6"/>
  <c r="G8" i="13" s="1"/>
  <c r="AH20" i="12"/>
  <c r="K30" i="1"/>
  <c r="G26" i="12" s="1"/>
  <c r="H21" i="2"/>
  <c r="P19" i="9" s="1"/>
  <c r="AU18" i="9"/>
  <c r="K15" i="9"/>
  <c r="K18" i="1"/>
  <c r="G14" i="12" s="1"/>
  <c r="F41" i="11"/>
  <c r="G41" i="11" s="1"/>
  <c r="E2353" i="10"/>
  <c r="G2353" i="10"/>
  <c r="I2353" i="10"/>
  <c r="K2353" i="10"/>
  <c r="M2353" i="10"/>
  <c r="W33" i="2"/>
  <c r="BN31" i="9" s="1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H34" i="4"/>
  <c r="G34" i="4"/>
  <c r="G23" i="4"/>
  <c r="AE21" i="12"/>
  <c r="J25" i="6"/>
  <c r="AJ23" i="9" s="1"/>
  <c r="I9" i="6"/>
  <c r="AU16" i="9"/>
  <c r="AT20" i="9"/>
  <c r="H25" i="6"/>
  <c r="H17" i="6"/>
  <c r="J14" i="6"/>
  <c r="AJ12" i="9" s="1"/>
  <c r="K27" i="6"/>
  <c r="G22" i="13" s="1"/>
  <c r="C28" i="9"/>
  <c r="C17" i="9"/>
  <c r="AU31" i="9"/>
  <c r="AU15" i="9"/>
  <c r="AT29" i="9"/>
  <c r="AT17" i="9"/>
  <c r="AH11" i="9"/>
  <c r="AH30" i="9"/>
  <c r="H13" i="6"/>
  <c r="J33" i="6"/>
  <c r="AJ31" i="9" s="1"/>
  <c r="J20" i="6"/>
  <c r="AJ18" i="9" s="1"/>
  <c r="K6" i="6"/>
  <c r="AH8" i="12"/>
  <c r="U37" i="1"/>
  <c r="U38" i="1" s="1"/>
  <c r="J15" i="6"/>
  <c r="AJ13" i="9" s="1"/>
  <c r="C38" i="2"/>
  <c r="I33" i="9" s="1"/>
  <c r="K14" i="9"/>
  <c r="H16" i="2"/>
  <c r="W16" i="2" s="1"/>
  <c r="BN14" i="9" s="1"/>
  <c r="AT14" i="9"/>
  <c r="AU12" i="9"/>
  <c r="J11" i="6"/>
  <c r="AJ9" i="9" s="1"/>
  <c r="H10" i="6"/>
  <c r="H10" i="2"/>
  <c r="P8" i="9" s="1"/>
  <c r="AU8" i="9"/>
  <c r="E2370" i="10"/>
  <c r="K34" i="1"/>
  <c r="G30" i="12" s="1"/>
  <c r="J2353" i="10"/>
  <c r="J37" i="6"/>
  <c r="K24" i="1"/>
  <c r="G20" i="12" s="1"/>
  <c r="K20" i="1"/>
  <c r="G16" i="12" s="1"/>
  <c r="F53" i="11"/>
  <c r="G53" i="11" s="1"/>
  <c r="I32" i="9"/>
  <c r="C25" i="7"/>
  <c r="AU32" i="9"/>
  <c r="C33" i="9"/>
  <c r="G26" i="4"/>
  <c r="H20" i="4"/>
  <c r="BP43" i="1"/>
  <c r="C5" i="9"/>
  <c r="F66" i="10"/>
  <c r="C2370" i="10"/>
  <c r="AL6" i="1"/>
  <c r="K31" i="1"/>
  <c r="G27" i="12" s="1"/>
  <c r="K11" i="1"/>
  <c r="G7" i="12" s="1"/>
  <c r="BB33" i="1"/>
  <c r="X29" i="12" s="1"/>
  <c r="AA2" i="12"/>
  <c r="AU5" i="9"/>
  <c r="L8" i="12"/>
  <c r="AL12" i="1"/>
  <c r="AA31" i="12"/>
  <c r="AU34" i="9"/>
  <c r="AA19" i="12"/>
  <c r="AU22" i="9"/>
  <c r="BB23" i="1"/>
  <c r="X19" i="12" s="1"/>
  <c r="AB22" i="12"/>
  <c r="AT25" i="9"/>
  <c r="AB19" i="12"/>
  <c r="AT22" i="9"/>
  <c r="AB4" i="12"/>
  <c r="AT7" i="9"/>
  <c r="AH31" i="9"/>
  <c r="I33" i="6"/>
  <c r="I28" i="6"/>
  <c r="AH26" i="9"/>
  <c r="I24" i="6"/>
  <c r="AH22" i="9"/>
  <c r="AH15" i="12"/>
  <c r="K20" i="6"/>
  <c r="G15" i="13" s="1"/>
  <c r="AH18" i="9"/>
  <c r="AJ29" i="12"/>
  <c r="G48" i="6"/>
  <c r="J34" i="6"/>
  <c r="AJ32" i="9" s="1"/>
  <c r="AJ3" i="12"/>
  <c r="J8" i="6"/>
  <c r="AJ6" i="9" s="1"/>
  <c r="AD20" i="12"/>
  <c r="I23" i="9"/>
  <c r="Q33" i="2"/>
  <c r="X31" i="9" s="1"/>
  <c r="X33" i="2"/>
  <c r="BO31" i="9" s="1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H27" i="4"/>
  <c r="G27" i="4"/>
  <c r="C32" i="9"/>
  <c r="C21" i="9"/>
  <c r="AU10" i="9"/>
  <c r="H10" i="4"/>
  <c r="J10" i="4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 i="10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 i="12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 i="6"/>
  <c r="H14" i="6"/>
  <c r="K32" i="6"/>
  <c r="G27" i="13" s="1"/>
  <c r="K36" i="1"/>
  <c r="G32" i="12" s="1"/>
  <c r="S37" i="1"/>
  <c r="S38" i="1" s="1"/>
  <c r="T38" i="2"/>
  <c r="T39" i="2" s="1"/>
  <c r="AL14" i="1"/>
  <c r="Q32" i="2"/>
  <c r="X30" i="9" s="1"/>
  <c r="P30" i="9"/>
  <c r="AF31" i="12"/>
  <c r="H36" i="2"/>
  <c r="X36" i="2" s="1"/>
  <c r="K31" i="6"/>
  <c r="G26" i="13" s="1"/>
  <c r="AH29" i="9"/>
  <c r="I31" i="6"/>
  <c r="AH26" i="12"/>
  <c r="K22" i="6"/>
  <c r="G17" i="13" s="1"/>
  <c r="AH17" i="12"/>
  <c r="AH20" i="9"/>
  <c r="I22" i="6"/>
  <c r="K12" i="6"/>
  <c r="G7" i="13" s="1"/>
  <c r="I12" i="6"/>
  <c r="AH7" i="12"/>
  <c r="AJ27" i="12"/>
  <c r="J32" i="6"/>
  <c r="AJ30" i="9" s="1"/>
  <c r="AJ16" i="12"/>
  <c r="J21" i="6"/>
  <c r="AJ19" i="9" s="1"/>
  <c r="G38" i="6"/>
  <c r="G39" i="6" s="1"/>
  <c r="AI17" i="12"/>
  <c r="H22" i="6"/>
  <c r="AI10" i="12"/>
  <c r="H15" i="6"/>
  <c r="Z12" i="12"/>
  <c r="BB16" i="1"/>
  <c r="Y31" i="12"/>
  <c r="H35" i="2"/>
  <c r="G37" i="1"/>
  <c r="G38" i="1" s="1"/>
  <c r="G18" i="4"/>
  <c r="H18" i="4"/>
  <c r="H14" i="4"/>
  <c r="G14" i="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i="1" s="1"/>
  <c r="K28" i="1"/>
  <c r="G24" i="12" s="1"/>
  <c r="G27" i="9"/>
  <c r="G15" i="9"/>
  <c r="K16" i="1"/>
  <c r="G12" i="12" s="1"/>
  <c r="AL25" i="1"/>
  <c r="M21" i="12"/>
  <c r="M13" i="12"/>
  <c r="AL17" i="1"/>
  <c r="M3" i="12"/>
  <c r="AL7" i="1"/>
  <c r="AL18" i="1"/>
  <c r="O14" i="12"/>
  <c r="Q7" i="12"/>
  <c r="S15" i="12"/>
  <c r="T45" i="2"/>
  <c r="H30" i="2"/>
  <c r="G38" i="2"/>
  <c r="G39" i="2" s="1"/>
  <c r="H35" i="4"/>
  <c r="G35" i="4"/>
  <c r="H11" i="4"/>
  <c r="G11" i="4"/>
  <c r="I11" i="4" s="1"/>
  <c r="AL30" i="1"/>
  <c r="K26" i="12"/>
  <c r="AH21" i="12"/>
  <c r="K26" i="6"/>
  <c r="G21" i="13" s="1"/>
  <c r="I26" i="6"/>
  <c r="AH24" i="9"/>
  <c r="AH11" i="12"/>
  <c r="I16" i="6"/>
  <c r="K16" i="6"/>
  <c r="G11" i="13" s="1"/>
  <c r="K8" i="6"/>
  <c r="G3" i="13" s="1"/>
  <c r="I8" i="6"/>
  <c r="AH3" i="12"/>
  <c r="AH6" i="9"/>
  <c r="C38" i="6"/>
  <c r="C39" i="6" s="1"/>
  <c r="AH34" i="9" s="1"/>
  <c r="AE8" i="12"/>
  <c r="K11" i="9"/>
  <c r="AI21" i="12"/>
  <c r="H26" i="6"/>
  <c r="AI13" i="12"/>
  <c r="H18" i="6"/>
  <c r="AI3" i="12"/>
  <c r="H8" i="6"/>
  <c r="E38" i="6"/>
  <c r="E39" i="6" s="1"/>
  <c r="Y30" i="12"/>
  <c r="BB34" i="1"/>
  <c r="X30" i="12" s="1"/>
  <c r="U32" i="2"/>
  <c r="BM30" i="9" s="1"/>
  <c r="AH14" i="9"/>
  <c r="H29" i="4"/>
  <c r="G29" i="4"/>
  <c r="J26" i="6"/>
  <c r="AJ24" i="9" s="1"/>
  <c r="BM43" i="1"/>
  <c r="BM44" i="1"/>
  <c r="AE2" i="12"/>
  <c r="H7" i="2"/>
  <c r="E38" i="2"/>
  <c r="E39" i="2" s="1"/>
  <c r="K33" i="9" s="1"/>
  <c r="V38" i="2"/>
  <c r="V39" i="2" s="1"/>
  <c r="C31" i="9"/>
  <c r="G13" i="4"/>
  <c r="H39" i="4"/>
  <c r="G39" i="4"/>
  <c r="H24" i="4"/>
  <c r="G24" i="4"/>
  <c r="K29" i="1"/>
  <c r="G25" i="12" s="1"/>
  <c r="K19" i="1"/>
  <c r="G15" i="12" s="1"/>
  <c r="K7" i="1"/>
  <c r="G3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 i="12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 i="1"/>
  <c r="O3" i="12"/>
  <c r="AI37" i="1"/>
  <c r="AI38" i="1" s="1"/>
  <c r="AA30" i="12"/>
  <c r="D5" i="10"/>
  <c r="O5" i="10" s="1"/>
  <c r="AB27" i="12"/>
  <c r="AT30" i="9"/>
  <c r="AB15" i="12"/>
  <c r="BB19" i="1"/>
  <c r="X15" i="12" s="1"/>
  <c r="AT18" i="9"/>
  <c r="BB31" i="1"/>
  <c r="X27" i="12" s="1"/>
  <c r="Z27" i="12"/>
  <c r="Z16" i="12"/>
  <c r="BB20" i="1"/>
  <c r="X16" i="12" s="1"/>
  <c r="K6" i="12"/>
  <c r="AL10" i="1"/>
  <c r="K34" i="6"/>
  <c r="G29" i="13" s="1"/>
  <c r="AH29" i="12"/>
  <c r="I34" i="6"/>
  <c r="K29" i="6"/>
  <c r="G24" i="13" s="1"/>
  <c r="I29" i="6"/>
  <c r="AH24" i="12"/>
  <c r="AH27" i="9"/>
  <c r="AH16" i="12"/>
  <c r="I21" i="6"/>
  <c r="K21" i="6"/>
  <c r="G16" i="13" s="1"/>
  <c r="AH10" i="12"/>
  <c r="K15" i="6"/>
  <c r="G10" i="13" s="1"/>
  <c r="AH13" i="9"/>
  <c r="BL41" i="1"/>
  <c r="G21" i="4"/>
  <c r="H16" i="6"/>
  <c r="C48" i="6"/>
  <c r="G30" i="4"/>
  <c r="N2353" i="10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 i="12"/>
  <c r="AH12" i="12"/>
  <c r="I17" i="6"/>
  <c r="K66" i="10"/>
  <c r="O19" i="10"/>
  <c r="N66" i="10"/>
  <c r="O65" i="10"/>
  <c r="L2370" i="10"/>
  <c r="M2370" i="10"/>
  <c r="H2370" i="10"/>
  <c r="O2352" i="10"/>
  <c r="F23" i="12"/>
  <c r="C26" i="9"/>
  <c r="N17" i="12"/>
  <c r="AL21" i="1"/>
  <c r="AL34" i="1"/>
  <c r="O30" i="12"/>
  <c r="AA23" i="12"/>
  <c r="AU26" i="9"/>
  <c r="Z5" i="12"/>
  <c r="BG37" i="1"/>
  <c r="BG38" i="1" s="1"/>
  <c r="K19" i="12"/>
  <c r="AL23" i="1"/>
  <c r="K9" i="12"/>
  <c r="AL13" i="1"/>
  <c r="K5" i="12"/>
  <c r="AL9" i="1"/>
  <c r="AD18" i="12"/>
  <c r="I21" i="9"/>
  <c r="K5" i="1"/>
  <c r="AC37" i="1"/>
  <c r="AX37" i="1"/>
  <c r="AX38" i="1" s="1"/>
  <c r="AL22" i="1"/>
  <c r="AL16" i="1"/>
  <c r="Z26" i="12"/>
  <c r="BB30" i="1"/>
  <c r="X26" i="12" s="1"/>
  <c r="BB27" i="1"/>
  <c r="AI2" i="12"/>
  <c r="K7" i="6"/>
  <c r="G2" i="13" s="1"/>
  <c r="K2" i="12"/>
  <c r="AA37" i="1"/>
  <c r="AA38" i="1" s="1"/>
  <c r="K27" i="1"/>
  <c r="G23" i="12" s="1"/>
  <c r="K15" i="1"/>
  <c r="G11" i="12" s="1"/>
  <c r="K33" i="1"/>
  <c r="G29" i="12" s="1"/>
  <c r="AG37" i="1"/>
  <c r="AG38" i="1" s="1"/>
  <c r="AL33" i="1"/>
  <c r="AL8" i="1"/>
  <c r="M4" i="12"/>
  <c r="AL32" i="1"/>
  <c r="BB18" i="1"/>
  <c r="BC18" i="1" s="1"/>
  <c r="Z22" i="12"/>
  <c r="BB26" i="1"/>
  <c r="X22" i="12" s="1"/>
  <c r="K24" i="12"/>
  <c r="AL28" i="1"/>
  <c r="Q37" i="1"/>
  <c r="H4" i="12"/>
  <c r="K9" i="6"/>
  <c r="G4" i="13" s="1"/>
  <c r="F42" i="11"/>
  <c r="G42" i="11" s="1"/>
  <c r="BB13" i="1"/>
  <c r="BB8" i="1"/>
  <c r="BC8" i="1" s="1"/>
  <c r="K33" i="6"/>
  <c r="G28" i="13" s="1"/>
  <c r="K28" i="6"/>
  <c r="G23" i="13" s="1"/>
  <c r="K24" i="6"/>
  <c r="G19" i="13" s="1"/>
  <c r="O2369" i="10"/>
  <c r="BE37" i="1"/>
  <c r="BE38" i="1" s="1"/>
  <c r="BP40" i="1"/>
  <c r="BR43" i="1"/>
  <c r="BS43" i="1"/>
  <c r="Y43" i="2"/>
  <c r="BP38" i="9" s="1"/>
  <c r="I10" i="4"/>
  <c r="Z40" i="2"/>
  <c r="BQ35" i="9" s="1"/>
  <c r="I28" i="13"/>
  <c r="U33" i="2"/>
  <c r="BM31" i="9" s="1"/>
  <c r="E37" i="1"/>
  <c r="E38" i="1" s="1"/>
  <c r="X32" i="2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C12" i="9"/>
  <c r="G23" i="9"/>
  <c r="G19" i="9"/>
  <c r="AT24" i="9"/>
  <c r="AL11" i="1"/>
  <c r="AL19" i="1"/>
  <c r="AL27" i="1"/>
  <c r="AL35" i="1"/>
  <c r="AL26" i="1"/>
  <c r="BB5" i="1"/>
  <c r="BC5" i="1" s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K12" i="1"/>
  <c r="G8" i="12" s="1"/>
  <c r="AL5" i="1"/>
  <c r="AH28" i="12"/>
  <c r="AH19" i="12"/>
  <c r="J37" i="1"/>
  <c r="F3" i="12"/>
  <c r="AE37" i="1"/>
  <c r="AE38" i="1" s="1"/>
  <c r="Y17" i="12"/>
  <c r="BB21" i="1"/>
  <c r="X17" i="12" s="1"/>
  <c r="BB25" i="1"/>
  <c r="Y37" i="1"/>
  <c r="Y38" i="1" s="1"/>
  <c r="J3" i="12"/>
  <c r="F52" i="11"/>
  <c r="G52" i="11" s="1"/>
  <c r="C23" i="9"/>
  <c r="G35" i="9"/>
  <c r="AT16" i="9"/>
  <c r="AT8" i="9"/>
  <c r="I14" i="6"/>
  <c r="J27" i="6"/>
  <c r="AJ25" i="9" s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W11" i="2" l="1"/>
  <c r="BN9" i="9" s="1"/>
  <c r="P9" i="9"/>
  <c r="Q11" i="2"/>
  <c r="X9" i="9" s="1"/>
  <c r="O2353" i="10"/>
  <c r="U11" i="2"/>
  <c r="BM9" i="9" s="1"/>
  <c r="O2370" i="10"/>
  <c r="R33" i="9"/>
  <c r="P26" i="9"/>
  <c r="W24" i="2"/>
  <c r="BN22" i="9" s="1"/>
  <c r="U24" i="2"/>
  <c r="BM22" i="9" s="1"/>
  <c r="P12" i="9"/>
  <c r="U25" i="2"/>
  <c r="BM23" i="9" s="1"/>
  <c r="X24" i="2"/>
  <c r="Z24" i="2" s="1"/>
  <c r="BQ22" i="9" s="1"/>
  <c r="Q24" i="2"/>
  <c r="X22" i="9" s="1"/>
  <c r="P22" i="9"/>
  <c r="X13" i="2"/>
  <c r="BO11" i="9" s="1"/>
  <c r="X8" i="2"/>
  <c r="Z8" i="2" s="1"/>
  <c r="BQ6" i="9" s="1"/>
  <c r="W8" i="2"/>
  <c r="BN6" i="9" s="1"/>
  <c r="X45" i="2"/>
  <c r="BO40" i="9" s="1"/>
  <c r="Q28" i="2"/>
  <c r="X26" i="9" s="1"/>
  <c r="U28" i="2"/>
  <c r="BM26" i="9" s="1"/>
  <c r="X28" i="2"/>
  <c r="Z28" i="2" s="1"/>
  <c r="BQ26" i="9" s="1"/>
  <c r="W28" i="2"/>
  <c r="BN26" i="9" s="1"/>
  <c r="U17" i="2"/>
  <c r="BM15" i="9" s="1"/>
  <c r="W14" i="2"/>
  <c r="BN12" i="9" s="1"/>
  <c r="G54" i="11"/>
  <c r="G43" i="11"/>
  <c r="X26" i="2"/>
  <c r="Z26" i="2" s="1"/>
  <c r="BQ24" i="9" s="1"/>
  <c r="BO20" i="9"/>
  <c r="I17" i="13"/>
  <c r="W22" i="2"/>
  <c r="BN20" i="9" s="1"/>
  <c r="Y22" i="2"/>
  <c r="BP20" i="9" s="1"/>
  <c r="Q22" i="2"/>
  <c r="X20" i="9" s="1"/>
  <c r="I20" i="13"/>
  <c r="BO35" i="9"/>
  <c r="X44" i="2"/>
  <c r="Y44" i="2" s="1"/>
  <c r="BP39" i="9" s="1"/>
  <c r="Z43" i="2"/>
  <c r="BQ38" i="9" s="1"/>
  <c r="U14" i="2"/>
  <c r="BM12" i="9" s="1"/>
  <c r="I8" i="13"/>
  <c r="BO12" i="9"/>
  <c r="J38" i="4"/>
  <c r="Q19" i="2"/>
  <c r="X17" i="9" s="1"/>
  <c r="W17" i="2"/>
  <c r="BN15" i="9" s="1"/>
  <c r="I12" i="13"/>
  <c r="W13" i="2"/>
  <c r="BN11" i="9" s="1"/>
  <c r="Q13" i="2"/>
  <c r="X11" i="9" s="1"/>
  <c r="P11" i="9"/>
  <c r="Q14" i="2"/>
  <c r="X12" i="9" s="1"/>
  <c r="I9" i="13"/>
  <c r="Z14" i="2"/>
  <c r="BQ12" i="9" s="1"/>
  <c r="Q21" i="2"/>
  <c r="X19" i="9" s="1"/>
  <c r="I21" i="13"/>
  <c r="Q17" i="2"/>
  <c r="X15" i="9" s="1"/>
  <c r="U26" i="2"/>
  <c r="BM24" i="9" s="1"/>
  <c r="BO9" i="9"/>
  <c r="I13" i="4"/>
  <c r="Q29" i="2"/>
  <c r="X27" i="9" s="1"/>
  <c r="J17" i="4"/>
  <c r="I14" i="13"/>
  <c r="U22" i="2"/>
  <c r="BM20" i="9" s="1"/>
  <c r="P20" i="9"/>
  <c r="BS40" i="1"/>
  <c r="S39" i="2"/>
  <c r="BC29" i="1"/>
  <c r="BL29" i="1" s="1"/>
  <c r="BN29" i="1" s="1"/>
  <c r="I12" i="4"/>
  <c r="U20" i="2"/>
  <c r="BM18" i="9" s="1"/>
  <c r="P6" i="9"/>
  <c r="Q8" i="2"/>
  <c r="X6" i="9" s="1"/>
  <c r="U8" i="2"/>
  <c r="BM6" i="9" s="1"/>
  <c r="X21" i="2"/>
  <c r="Y21" i="2" s="1"/>
  <c r="BP19" i="9" s="1"/>
  <c r="P24" i="9"/>
  <c r="Q26" i="2"/>
  <c r="X24" i="9" s="1"/>
  <c r="W25" i="2"/>
  <c r="BN23" i="9" s="1"/>
  <c r="X25" i="2"/>
  <c r="Y25" i="2" s="1"/>
  <c r="BP23" i="9" s="1"/>
  <c r="Q25" i="2"/>
  <c r="X23" i="9" s="1"/>
  <c r="X17" i="2"/>
  <c r="Z17" i="2" s="1"/>
  <c r="BQ15" i="9" s="1"/>
  <c r="I39" i="4"/>
  <c r="Y11" i="2"/>
  <c r="BP9" i="9" s="1"/>
  <c r="U27" i="2"/>
  <c r="BM25" i="9" s="1"/>
  <c r="X19" i="2"/>
  <c r="W19" i="2"/>
  <c r="BN17" i="9" s="1"/>
  <c r="U19" i="2"/>
  <c r="BM17" i="9" s="1"/>
  <c r="Z27" i="2"/>
  <c r="BQ25" i="9" s="1"/>
  <c r="I22" i="13"/>
  <c r="W27" i="2"/>
  <c r="BN25" i="9" s="1"/>
  <c r="Y27" i="2"/>
  <c r="BP25" i="9" s="1"/>
  <c r="P25" i="9"/>
  <c r="Q27" i="2"/>
  <c r="X25" i="9" s="1"/>
  <c r="X34" i="2"/>
  <c r="Y34" i="2" s="1"/>
  <c r="BP32" i="9" s="1"/>
  <c r="BC35" i="1"/>
  <c r="BL35" i="1" s="1"/>
  <c r="Q34" i="2"/>
  <c r="X32" i="9" s="1"/>
  <c r="P32" i="9"/>
  <c r="U34" i="2"/>
  <c r="BM32" i="9" s="1"/>
  <c r="W34" i="2"/>
  <c r="BN32" i="9" s="1"/>
  <c r="P29" i="9"/>
  <c r="W31" i="2"/>
  <c r="BN29" i="9" s="1"/>
  <c r="U31" i="2"/>
  <c r="BM29" i="9" s="1"/>
  <c r="Q31" i="2"/>
  <c r="X29" i="9" s="1"/>
  <c r="I26" i="13"/>
  <c r="J40" i="4"/>
  <c r="J13" i="4"/>
  <c r="BO29" i="9"/>
  <c r="Q20" i="2"/>
  <c r="X18" i="9" s="1"/>
  <c r="Y20" i="2"/>
  <c r="BP18" i="9" s="1"/>
  <c r="P18" i="9"/>
  <c r="W20" i="2"/>
  <c r="BN18" i="9" s="1"/>
  <c r="BO18" i="9"/>
  <c r="P10" i="9"/>
  <c r="Q12" i="2"/>
  <c r="X10" i="9" s="1"/>
  <c r="U12" i="2"/>
  <c r="BM10" i="9" s="1"/>
  <c r="X12" i="2"/>
  <c r="I7" i="13"/>
  <c r="I15" i="13"/>
  <c r="Y33" i="2"/>
  <c r="BP31" i="9" s="1"/>
  <c r="X29" i="2"/>
  <c r="Y29" i="2" s="1"/>
  <c r="BP27" i="9" s="1"/>
  <c r="I24" i="13"/>
  <c r="W29" i="2"/>
  <c r="BN27" i="9" s="1"/>
  <c r="P27" i="9"/>
  <c r="I19" i="4"/>
  <c r="BC28" i="1"/>
  <c r="BL28" i="1" s="1"/>
  <c r="I16" i="13"/>
  <c r="W21" i="2"/>
  <c r="BN19" i="9" s="1"/>
  <c r="U21" i="2"/>
  <c r="BM19" i="9" s="1"/>
  <c r="BL18" i="1"/>
  <c r="BN18" i="1" s="1"/>
  <c r="I14" i="4"/>
  <c r="I16" i="4"/>
  <c r="I28" i="4"/>
  <c r="Y31" i="2"/>
  <c r="BP29" i="9" s="1"/>
  <c r="C39" i="2"/>
  <c r="I34" i="9" s="1"/>
  <c r="I11" i="13"/>
  <c r="Q16" i="2"/>
  <c r="X14" i="9" s="1"/>
  <c r="BO15" i="9"/>
  <c r="X16" i="2"/>
  <c r="Z16" i="2" s="1"/>
  <c r="BQ14" i="9" s="1"/>
  <c r="U16" i="2"/>
  <c r="BM14" i="9" s="1"/>
  <c r="P14" i="9"/>
  <c r="BC20" i="1"/>
  <c r="BL20" i="1" s="1"/>
  <c r="E16" i="13" s="1"/>
  <c r="BC23" i="1"/>
  <c r="BL23" i="1" s="1"/>
  <c r="X14" i="12"/>
  <c r="X10" i="2"/>
  <c r="Z10" i="2" s="1"/>
  <c r="BQ8" i="9" s="1"/>
  <c r="Q10" i="2"/>
  <c r="X8" i="9" s="1"/>
  <c r="W10" i="2"/>
  <c r="BN8" i="9" s="1"/>
  <c r="U10" i="2"/>
  <c r="BM8" i="9" s="1"/>
  <c r="I5" i="13"/>
  <c r="X9" i="2"/>
  <c r="Y9" i="2" s="1"/>
  <c r="BP7" i="9" s="1"/>
  <c r="Q9" i="2"/>
  <c r="X7" i="9" s="1"/>
  <c r="I24" i="4"/>
  <c r="I22" i="4"/>
  <c r="I29" i="4"/>
  <c r="I18" i="4"/>
  <c r="I23" i="4"/>
  <c r="I21" i="4"/>
  <c r="J39" i="4"/>
  <c r="BL8" i="1"/>
  <c r="BQ8" i="1" s="1"/>
  <c r="F34" i="11"/>
  <c r="G34" i="11" s="1"/>
  <c r="G35" i="11" s="1"/>
  <c r="Z33" i="2"/>
  <c r="BQ31" i="9" s="1"/>
  <c r="BC33" i="1"/>
  <c r="BL33" i="1" s="1"/>
  <c r="BP33" i="1" s="1"/>
  <c r="BC34" i="1"/>
  <c r="BL34" i="1" s="1"/>
  <c r="BP34" i="1" s="1"/>
  <c r="I26" i="4"/>
  <c r="I20" i="4"/>
  <c r="I15" i="4"/>
  <c r="I30" i="4"/>
  <c r="BC10" i="1"/>
  <c r="BL10" i="1" s="1"/>
  <c r="E6" i="13" s="1"/>
  <c r="I25" i="4"/>
  <c r="O66" i="10"/>
  <c r="AH33" i="9"/>
  <c r="E27" i="11"/>
  <c r="F27" i="11" s="1"/>
  <c r="H38" i="6"/>
  <c r="BC26" i="1"/>
  <c r="BL26" i="1" s="1"/>
  <c r="J15" i="4"/>
  <c r="J12" i="4"/>
  <c r="BC30" i="1"/>
  <c r="BL30" i="1" s="1"/>
  <c r="BC22" i="1"/>
  <c r="BL22" i="1" s="1"/>
  <c r="J37" i="4"/>
  <c r="I17" i="4"/>
  <c r="J25" i="4"/>
  <c r="J14" i="4"/>
  <c r="W15" i="2"/>
  <c r="BN13" i="9" s="1"/>
  <c r="Q15" i="2"/>
  <c r="X13" i="9" s="1"/>
  <c r="I10" i="13"/>
  <c r="P13" i="9"/>
  <c r="X15" i="2"/>
  <c r="U15" i="2"/>
  <c r="BM13" i="9" s="1"/>
  <c r="X35" i="2"/>
  <c r="U35" i="2"/>
  <c r="I30" i="13"/>
  <c r="W35" i="2"/>
  <c r="Q35" i="2"/>
  <c r="J18" i="4"/>
  <c r="BC16" i="1"/>
  <c r="BL16" i="1" s="1"/>
  <c r="X12" i="12"/>
  <c r="J33" i="4"/>
  <c r="H13" i="11"/>
  <c r="I13" i="11" s="1"/>
  <c r="Q38" i="1"/>
  <c r="I33" i="4"/>
  <c r="I37" i="4"/>
  <c r="J34" i="4"/>
  <c r="BC31" i="1"/>
  <c r="BL31" i="1" s="1"/>
  <c r="E27" i="13" s="1"/>
  <c r="X4" i="12"/>
  <c r="J19" i="4"/>
  <c r="E42" i="4"/>
  <c r="C38" i="7" s="1"/>
  <c r="I35" i="4"/>
  <c r="BC14" i="1"/>
  <c r="BL14" i="1" s="1"/>
  <c r="I34" i="4"/>
  <c r="I38" i="4"/>
  <c r="I32" i="4"/>
  <c r="J36" i="4"/>
  <c r="BC7" i="1"/>
  <c r="BL7" i="1" s="1"/>
  <c r="U23" i="2"/>
  <c r="BM21" i="9" s="1"/>
  <c r="I18" i="13"/>
  <c r="P21" i="9"/>
  <c r="X23" i="2"/>
  <c r="Q23" i="2"/>
  <c r="X21" i="9" s="1"/>
  <c r="W23" i="2"/>
  <c r="BN21" i="9" s="1"/>
  <c r="J11" i="4"/>
  <c r="I36" i="4"/>
  <c r="BC19" i="1"/>
  <c r="BL19" i="1" s="1"/>
  <c r="BC11" i="1"/>
  <c r="BL11" i="1" s="1"/>
  <c r="W9" i="2"/>
  <c r="BN7" i="9" s="1"/>
  <c r="U9" i="2"/>
  <c r="BM7" i="9" s="1"/>
  <c r="I4" i="13"/>
  <c r="J16" i="4"/>
  <c r="X23" i="12"/>
  <c r="BC27" i="1"/>
  <c r="BL27" i="1" s="1"/>
  <c r="J35" i="4"/>
  <c r="I40" i="4"/>
  <c r="X9" i="12"/>
  <c r="BC13" i="1"/>
  <c r="BL13" i="1" s="1"/>
  <c r="I31" i="4"/>
  <c r="Q7" i="2"/>
  <c r="X5" i="9" s="1"/>
  <c r="W7" i="2"/>
  <c r="BN5" i="9" s="1"/>
  <c r="I2" i="13"/>
  <c r="X7" i="2"/>
  <c r="U7" i="2"/>
  <c r="BM5" i="9" s="1"/>
  <c r="P5" i="9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 i="2"/>
  <c r="BM16" i="9" s="1"/>
  <c r="P16" i="9"/>
  <c r="I27" i="4"/>
  <c r="W36" i="2"/>
  <c r="U36" i="2"/>
  <c r="I31" i="13"/>
  <c r="Q36" i="2"/>
  <c r="I32" i="13"/>
  <c r="Q37" i="2"/>
  <c r="U37" i="2"/>
  <c r="W37" i="2"/>
  <c r="X37" i="2"/>
  <c r="D13" i="11"/>
  <c r="E13" i="11" s="1"/>
  <c r="J38" i="1"/>
  <c r="BC21" i="1"/>
  <c r="BL21" i="1" s="1"/>
  <c r="BC24" i="1"/>
  <c r="BL24" i="1" s="1"/>
  <c r="X20" i="12"/>
  <c r="BC6" i="1"/>
  <c r="X2" i="12"/>
  <c r="BB37" i="1"/>
  <c r="BB38" i="1" s="1"/>
  <c r="BC9" i="1"/>
  <c r="BL9" i="1" s="1"/>
  <c r="X5" i="12"/>
  <c r="I38" i="6"/>
  <c r="BC25" i="1"/>
  <c r="BL25" i="1" s="1"/>
  <c r="X21" i="12"/>
  <c r="AL37" i="1"/>
  <c r="J38" i="6"/>
  <c r="Z32" i="2"/>
  <c r="BQ30" i="9" s="1"/>
  <c r="BO30" i="9"/>
  <c r="Y32" i="2"/>
  <c r="BP30" i="9" s="1"/>
  <c r="J28" i="4"/>
  <c r="H38" i="2"/>
  <c r="G5" i="13"/>
  <c r="K38" i="6"/>
  <c r="BC15" i="1"/>
  <c r="BL15" i="1" s="1"/>
  <c r="X11" i="12"/>
  <c r="BC32" i="1"/>
  <c r="BL32" i="1" s="1"/>
  <c r="BC17" i="1"/>
  <c r="BL17" i="1" s="1"/>
  <c r="J23" i="4"/>
  <c r="Z44" i="2"/>
  <c r="BQ39" i="9" s="1"/>
  <c r="G4" i="12"/>
  <c r="K37" i="1"/>
  <c r="K38" i="1" s="1"/>
  <c r="BC36" i="1"/>
  <c r="BL36" i="1" s="1"/>
  <c r="BC12" i="1"/>
  <c r="BL12" i="1" s="1"/>
  <c r="X8" i="12"/>
  <c r="J30" i="4"/>
  <c r="J20" i="4"/>
  <c r="J27" i="4"/>
  <c r="J32" i="4"/>
  <c r="J24" i="4"/>
  <c r="E44" i="4"/>
  <c r="C39" i="7" s="1"/>
  <c r="J31" i="4"/>
  <c r="J29" i="4"/>
  <c r="J22" i="4"/>
  <c r="Z36" i="2"/>
  <c r="Y36" i="2"/>
  <c r="J21" i="4"/>
  <c r="J26" i="4"/>
  <c r="Y28" i="2"/>
  <c r="BP26" i="9" s="1"/>
  <c r="Z13" i="2" l="1"/>
  <c r="BQ11" i="9" s="1"/>
  <c r="BO39" i="9"/>
  <c r="Y24" i="2"/>
  <c r="BP22" i="9" s="1"/>
  <c r="Y17" i="2"/>
  <c r="BP15" i="9" s="1"/>
  <c r="BO26" i="9"/>
  <c r="Y26" i="2"/>
  <c r="BP24" i="9" s="1"/>
  <c r="BO24" i="9"/>
  <c r="BO22" i="9"/>
  <c r="Y8" i="2"/>
  <c r="BP6" i="9" s="1"/>
  <c r="Y13" i="2"/>
  <c r="BP11" i="9" s="1"/>
  <c r="BO6" i="9"/>
  <c r="BO23" i="9"/>
  <c r="Z34" i="2"/>
  <c r="BQ32" i="9" s="1"/>
  <c r="Z25" i="2"/>
  <c r="BQ23" i="9" s="1"/>
  <c r="Z21" i="2"/>
  <c r="BQ19" i="9" s="1"/>
  <c r="BO19" i="9"/>
  <c r="BO32" i="9"/>
  <c r="BO7" i="9"/>
  <c r="BN35" i="1"/>
  <c r="E31" i="13"/>
  <c r="Y19" i="2"/>
  <c r="BP17" i="9" s="1"/>
  <c r="Z19" i="2"/>
  <c r="BQ17" i="9" s="1"/>
  <c r="BO17" i="9"/>
  <c r="BP35" i="1"/>
  <c r="BQ35" i="1"/>
  <c r="BS35" i="1" s="1"/>
  <c r="Y10" i="2"/>
  <c r="BP8" i="9" s="1"/>
  <c r="BO10" i="9"/>
  <c r="Y12" i="2"/>
  <c r="BP10" i="9" s="1"/>
  <c r="Z12" i="2"/>
  <c r="BQ10" i="9" s="1"/>
  <c r="BO27" i="9"/>
  <c r="Z29" i="2"/>
  <c r="BQ27" i="9" s="1"/>
  <c r="E29" i="13"/>
  <c r="BN28" i="1"/>
  <c r="BP28" i="1"/>
  <c r="BN33" i="1"/>
  <c r="BN20" i="1"/>
  <c r="E14" i="13"/>
  <c r="BP18" i="1"/>
  <c r="BQ18" i="1"/>
  <c r="BS18" i="1" s="1"/>
  <c r="Z9" i="2"/>
  <c r="BQ7" i="9" s="1"/>
  <c r="BQ20" i="1"/>
  <c r="BS20" i="1" s="1"/>
  <c r="BQ28" i="1"/>
  <c r="BS28" i="1" s="1"/>
  <c r="E25" i="13"/>
  <c r="BP29" i="1"/>
  <c r="BQ29" i="1"/>
  <c r="BR29" i="1" s="1"/>
  <c r="E24" i="13"/>
  <c r="BP20" i="1"/>
  <c r="BQ23" i="1"/>
  <c r="BS23" i="1" s="1"/>
  <c r="BN23" i="1"/>
  <c r="BN10" i="1"/>
  <c r="Y16" i="2"/>
  <c r="BP14" i="9" s="1"/>
  <c r="BO14" i="9"/>
  <c r="E19" i="13"/>
  <c r="BP23" i="1"/>
  <c r="BO8" i="9"/>
  <c r="BQ10" i="1"/>
  <c r="BS10" i="1" s="1"/>
  <c r="BP10" i="1"/>
  <c r="BN8" i="1"/>
  <c r="BP8" i="1"/>
  <c r="E4" i="13"/>
  <c r="BQ33" i="1"/>
  <c r="BS33" i="1" s="1"/>
  <c r="BQ34" i="1"/>
  <c r="BS34" i="1" s="1"/>
  <c r="BN34" i="1"/>
  <c r="E30" i="13"/>
  <c r="BP31" i="1"/>
  <c r="E15" i="13"/>
  <c r="BP19" i="1"/>
  <c r="BN22" i="1"/>
  <c r="BQ22" i="1"/>
  <c r="BS22" i="1" s="1"/>
  <c r="BP22" i="1"/>
  <c r="E18" i="13"/>
  <c r="E23" i="13"/>
  <c r="BQ27" i="1"/>
  <c r="BR27" i="1" s="1"/>
  <c r="BQ7" i="1"/>
  <c r="BN7" i="1"/>
  <c r="BP7" i="1"/>
  <c r="E3" i="13"/>
  <c r="BO5" i="9"/>
  <c r="Y7" i="2"/>
  <c r="BP5" i="9" s="1"/>
  <c r="BN19" i="1"/>
  <c r="BQ31" i="1"/>
  <c r="BR31" i="1" s="1"/>
  <c r="Q38" i="2"/>
  <c r="X33" i="9" s="1"/>
  <c r="BN27" i="1"/>
  <c r="X38" i="2"/>
  <c r="C43" i="7" s="1"/>
  <c r="BQ30" i="1"/>
  <c r="BN30" i="1"/>
  <c r="BP30" i="1"/>
  <c r="E26" i="13"/>
  <c r="BQ14" i="1"/>
  <c r="BP14" i="1"/>
  <c r="BN14" i="1"/>
  <c r="E10" i="13"/>
  <c r="Y18" i="2"/>
  <c r="BP16" i="9" s="1"/>
  <c r="Z18" i="2"/>
  <c r="BQ16" i="9" s="1"/>
  <c r="BO16" i="9"/>
  <c r="Z35" i="2"/>
  <c r="Y35" i="2"/>
  <c r="BQ19" i="1"/>
  <c r="BS19" i="1" s="1"/>
  <c r="BP27" i="1"/>
  <c r="BO28" i="9"/>
  <c r="Z30" i="2"/>
  <c r="BQ28" i="9" s="1"/>
  <c r="Y30" i="2"/>
  <c r="BP28" i="9" s="1"/>
  <c r="E9" i="13"/>
  <c r="BP13" i="1"/>
  <c r="BN13" i="1"/>
  <c r="BQ13" i="1"/>
  <c r="Y23" i="2"/>
  <c r="BP21" i="9" s="1"/>
  <c r="Z23" i="2"/>
  <c r="BQ21" i="9" s="1"/>
  <c r="BO21" i="9"/>
  <c r="BN31" i="1"/>
  <c r="BQ16" i="1"/>
  <c r="E12" i="13"/>
  <c r="BN16" i="1"/>
  <c r="BP16" i="1"/>
  <c r="Y15" i="2"/>
  <c r="BP13" i="9" s="1"/>
  <c r="BO13" i="9"/>
  <c r="Z15" i="2"/>
  <c r="BQ13" i="9" s="1"/>
  <c r="BQ36" i="1"/>
  <c r="BN36" i="1"/>
  <c r="BP36" i="1"/>
  <c r="E32" i="13"/>
  <c r="BS8" i="1"/>
  <c r="BR8" i="1"/>
  <c r="E11" i="13"/>
  <c r="BN15" i="1"/>
  <c r="BP15" i="1"/>
  <c r="BQ15" i="1"/>
  <c r="BN11" i="1"/>
  <c r="BQ11" i="1"/>
  <c r="BP11" i="1"/>
  <c r="E7" i="13"/>
  <c r="BP21" i="1"/>
  <c r="E17" i="13"/>
  <c r="BN21" i="1"/>
  <c r="BQ21" i="1"/>
  <c r="BQ26" i="1"/>
  <c r="BP26" i="1"/>
  <c r="BN26" i="1"/>
  <c r="E22" i="13"/>
  <c r="E8" i="13"/>
  <c r="BQ12" i="1"/>
  <c r="BN12" i="1"/>
  <c r="BP12" i="1"/>
  <c r="E28" i="13"/>
  <c r="BN32" i="1"/>
  <c r="BQ32" i="1"/>
  <c r="BP32" i="1"/>
  <c r="J39" i="6"/>
  <c r="AJ34" i="9" s="1"/>
  <c r="AJ33" i="9"/>
  <c r="BN9" i="1"/>
  <c r="BQ9" i="1"/>
  <c r="BP9" i="1"/>
  <c r="E5" i="13"/>
  <c r="BQ17" i="1"/>
  <c r="BN17" i="1"/>
  <c r="E13" i="13"/>
  <c r="BP17" i="1"/>
  <c r="BC37" i="1"/>
  <c r="F13" i="11" s="1"/>
  <c r="G13" i="11" s="1"/>
  <c r="BL6" i="1"/>
  <c r="E20" i="11"/>
  <c r="F20" i="11" s="1"/>
  <c r="W38" i="2"/>
  <c r="BN33" i="9" s="1"/>
  <c r="H39" i="2"/>
  <c r="U38" i="2"/>
  <c r="BM33" i="9" s="1"/>
  <c r="C27" i="7"/>
  <c r="P33" i="9"/>
  <c r="AL38" i="1"/>
  <c r="B13" i="11"/>
  <c r="BQ25" i="1"/>
  <c r="BN25" i="1"/>
  <c r="E21" i="13"/>
  <c r="BP25" i="1"/>
  <c r="BQ24" i="1"/>
  <c r="BN24" i="1"/>
  <c r="BP24" i="1"/>
  <c r="E20" i="13"/>
  <c r="Z37" i="2"/>
  <c r="Y37" i="2"/>
  <c r="BR35" i="1" l="1"/>
  <c r="BS29" i="1"/>
  <c r="BR34" i="1"/>
  <c r="BR28" i="1"/>
  <c r="BR20" i="1"/>
  <c r="BR23" i="1"/>
  <c r="BR18" i="1"/>
  <c r="BR33" i="1"/>
  <c r="BR22" i="1"/>
  <c r="BR10" i="1"/>
  <c r="BR19" i="1"/>
  <c r="Z38" i="2"/>
  <c r="BQ33" i="9" s="1"/>
  <c r="BS27" i="1"/>
  <c r="Y38" i="2"/>
  <c r="BP33" i="9" s="1"/>
  <c r="X39" i="2"/>
  <c r="Z39" i="2" s="1"/>
  <c r="BQ34" i="9" s="1"/>
  <c r="Q39" i="2"/>
  <c r="X34" i="9" s="1"/>
  <c r="BO33" i="9"/>
  <c r="BS31" i="1"/>
  <c r="BS13" i="1"/>
  <c r="BR13" i="1"/>
  <c r="BS16" i="1"/>
  <c r="BR16" i="1"/>
  <c r="BR14" i="1"/>
  <c r="BS14" i="1"/>
  <c r="BR30" i="1"/>
  <c r="BS30" i="1"/>
  <c r="BS7" i="1"/>
  <c r="BR7" i="1"/>
  <c r="BS9" i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BS32" i="1"/>
  <c r="BR32" i="1"/>
  <c r="BS26" i="1"/>
  <c r="BR26" i="1"/>
  <c r="BR36" i="1"/>
  <c r="BS36" i="1"/>
  <c r="Y39" i="2" l="1"/>
  <c r="BP34" i="9" s="1"/>
  <c r="BO34" i="9"/>
  <c r="BQ37" i="1"/>
  <c r="BS6" i="1"/>
  <c r="BR6" i="1"/>
  <c r="K13" i="11"/>
  <c r="BN37" i="1"/>
  <c r="BP37" i="1"/>
  <c r="BL38" i="1"/>
  <c r="F2" i="13" l="1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7" i="11"/>
  <c r="BN38" i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<sst xmlns="http://schemas.openxmlformats.org/spreadsheetml/2006/main" count="890" uniqueCount="412">
  <si>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</si>
  <si>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</si>
  <si>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</si>
  <si>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</si>
  <si>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</si>
  <si>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</si>
  <si>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</si>
  <si>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</si>
  <si>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</si>
  <si>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</si>
  <si>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</si>
  <si>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</si>
  <si>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</si>
  <si>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</si>
  <si>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</si>
  <si>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</si>
  <si>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</si>
  <si>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</si>
  <si>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</si>
  <si>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</si>
  <si>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</si>
  <si>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</si>
  <si>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</si>
  <si>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</si>
  <si>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</si>
  <si>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</si>
  <si>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</si>
  <si>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</si>
  <si>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</si>
  <si>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</si>
  <si>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</si>
  <si>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</si>
  <si>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</si>
  <si>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</si>
  <si>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</si>
  <si>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</si>
  <si>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</si>
  <si>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</si>
  <si>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</si>
  <si>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</si>
  <si>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</si>
  <si>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</si>
  <si>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</si>
  <si>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</si>
  <si>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</si>
  <si>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</si>
  <si>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March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</si>
  <si>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</si>
  <si>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</si>
  <si>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</si>
  <si>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</si>
  <si>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</si>
  <si>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</si>
  <si>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</si>
  <si>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</si>
  <si>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</si>
  <si>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</si>
  <si>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</si>
  <si>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</si>
  <si>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</si>
  <si>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</si>
  <si>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</si>
  <si>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</si>
  <si>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</si>
  <si>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</si>
  <si>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</si>
  <si>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</si>
  <si>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</si>
  <si>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</si>
  <si>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</si>
  <si>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</si>
  <si>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</si>
  <si>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</si>
  <si>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</si>
  <si>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</si>
  <si>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</si>
  <si>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</si>
  <si>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</si>
  <si>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</si>
  <si>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</si>
  <si>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1</t>
  </si>
  <si>
    <t>Casino 2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</si>
  <si>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</si>
  <si>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</si>
  <si>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</si>
  <si>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</si>
  <si>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</si>
  <si>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</si>
  <si>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</si>
  <si>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Cooling towers</t>
  </si>
  <si>
    <t>Chiller Pumps</t>
  </si>
  <si>
    <t>Total Plant Room Consp</t>
  </si>
  <si>
    <t>LG Bakery</t>
  </si>
  <si>
    <t>Mall Ceiling light</t>
  </si>
  <si>
    <t>New chiller for Second floor</t>
  </si>
  <si>
    <t>LG Bakery light ( Old lockers )</t>
  </si>
  <si>
    <t>MCCR1</t>
  </si>
  <si>
    <t>Children Swimming pool</t>
  </si>
  <si>
    <t>DPH1</t>
  </si>
  <si>
    <t>Main G2</t>
  </si>
  <si>
    <t>Total Consp From First Arabian</t>
  </si>
  <si>
    <t>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</si>
  <si>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</si>
  <si>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</si>
  <si>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</si>
  <si>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</si>
  <si>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</si>
  <si>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</si>
  <si>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</si>
  <si>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</si>
  <si>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</si>
  <si>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</si>
  <si>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</si>
  <si>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AVER. Bud</t>
  </si>
  <si>
    <t>Total RFC</t>
  </si>
  <si>
    <t>RFC MTD</t>
  </si>
  <si>
    <t xml:space="preserve">         </t>
  </si>
  <si>
    <t>AVER RFC</t>
  </si>
  <si>
    <t>Tot. Act. 13</t>
  </si>
  <si>
    <t>Ave. Act. 13</t>
  </si>
  <si>
    <t>Accounting Readings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</si>
  <si>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</si>
  <si>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</si>
  <si>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</si>
  <si>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</si>
  <si>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</si>
  <si>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</si>
  <si>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</si>
  <si>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</si>
  <si>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</si>
  <si>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</si>
  <si>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</si>
  <si>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</si>
  <si>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</si>
  <si>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</si>
  <si>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</si>
  <si>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</si>
  <si>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</si>
  <si>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</si>
  <si>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</si>
  <si>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</si>
  <si>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</si>
  <si>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</si>
  <si>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</si>
  <si>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</si>
  <si>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</si>
  <si>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</si>
  <si>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</si>
  <si>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</si>
  <si>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</si>
  <si>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</si>
  <si>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</si>
  <si>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</si>
  <si>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</si>
  <si>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</si>
  <si>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</si>
  <si>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</si>
  <si>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</si>
  <si>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</si>
  <si>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</si>
  <si>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</si>
  <si>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</si>
  <si>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</si>
  <si>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</si>
  <si>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Total Budget</t>
  </si>
  <si>
    <t>MTD 2013</t>
  </si>
  <si>
    <t>AVER. Act 2013</t>
  </si>
  <si>
    <t>Cost MTD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</si>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</sst>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4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16" fillId="0" borderId="35" xfId="0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0" fillId="0" borderId="39" xfId="0" applyBorder="1" applyAlignment="1"/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00192"/>
        <c:axId val="14798777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01216"/>
        <c:axId val="177869888"/>
      </c:lineChart>
      <c:catAx>
        <c:axId val="1938001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79877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47987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800192"/>
        <c:crosses val="autoZero"/>
        <c:crossBetween val="between"/>
      </c:valAx>
      <c:catAx>
        <c:axId val="193801216"/>
        <c:scaling>
          <c:orientation val="minMax"/>
        </c:scaling>
        <c:delete val="1"/>
        <c:axPos val="b"/>
        <c:majorTickMark val="out"/>
        <c:minorTickMark val="none"/>
        <c:tickLblPos val="none"/>
        <c:crossAx val="177869888"/>
        <c:crosses val="autoZero"/>
        <c:auto val="0"/>
        <c:lblAlgn val="ctr"/>
        <c:lblOffset val="100"/>
        <c:noMultiLvlLbl val="0"/>
      </c:catAx>
      <c:valAx>
        <c:axId val="17786988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38012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323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62848"/>
        <c:axId val="17787161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063872"/>
        <c:axId val="194281472"/>
      </c:lineChart>
      <c:catAx>
        <c:axId val="1540628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87161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77871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062848"/>
        <c:crosses val="autoZero"/>
        <c:crossBetween val="between"/>
      </c:valAx>
      <c:catAx>
        <c:axId val="154063872"/>
        <c:scaling>
          <c:orientation val="minMax"/>
        </c:scaling>
        <c:delete val="1"/>
        <c:axPos val="b"/>
        <c:majorTickMark val="out"/>
        <c:minorTickMark val="none"/>
        <c:tickLblPos val="none"/>
        <c:crossAx val="194281472"/>
        <c:crosses val="autoZero"/>
        <c:auto val="0"/>
        <c:lblAlgn val="ctr"/>
        <c:lblOffset val="100"/>
        <c:noMultiLvlLbl val="0"/>
      </c:catAx>
      <c:valAx>
        <c:axId val="19428147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063872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908" bestFit="1" customWidth="1"/>
    <col min="2" max="3" width="11.5703125" style="909"/>
    <col min="4" max="4" width="13.42578125" style="909" customWidth="1"/>
    <col min="5" max="5" width="20.7109375" style="100" customWidth="1"/>
    <col min="6" max="6" width="20.140625" style="909" customWidth="1"/>
    <col min="7" max="7" width="18.28515625" style="100" customWidth="1"/>
    <col min="8" max="8" width="17.42578125" style="909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11" customFormat="1" ht="30">
      <c r="A1" s="931" t="s">
        <v>0</v>
      </c>
      <c r="B1" s="932" t="s">
        <v>1</v>
      </c>
      <c r="C1" s="932" t="s">
        <v>2</v>
      </c>
      <c r="D1" s="932" t="s">
        <v>3</v>
      </c>
      <c r="E1" s="925" t="s">
        <v>4</v>
      </c>
      <c r="F1" s="926" t="s">
        <v>5</v>
      </c>
      <c r="G1" s="925" t="s">
        <v>6</v>
      </c>
      <c r="H1" s="926" t="s">
        <v>7</v>
      </c>
      <c r="I1" s="925" t="s">
        <v>8</v>
      </c>
      <c r="J1" s="925" t="s">
        <v>9</v>
      </c>
      <c r="K1" s="925" t="s">
        <v>10</v>
      </c>
    </row>
    <row r="2" spans="1:12">
      <c r="A2" s="934" t="s">
        <v>11</v>
      </c>
      <c r="B2" s="935">
        <v>1</v>
      </c>
      <c r="C2" s="936">
        <v>3</v>
      </c>
      <c r="D2" s="937">
        <v>2020</v>
      </c>
      <c r="E2" s="930">
        <f>Elect!BL6</f>
        <v>27329.13</v>
      </c>
      <c r="F2" s="927">
        <f>'Utility Consnsumption'!K13/'Utility Consnsumption'!J13</f>
        <v>1.4558550708323708</v>
      </c>
      <c r="G2" s="928">
        <f>Gas!K7</f>
        <v>1681.52</v>
      </c>
      <c r="H2" s="927">
        <v>3.8</v>
      </c>
      <c r="I2" s="928">
        <f>Water!H7</f>
        <v>201.84</v>
      </c>
      <c r="J2" s="929">
        <v>10</v>
      </c>
      <c r="K2" s="928">
        <f>Elect!BM6</f>
        <v>169</v>
      </c>
    </row>
    <row r="3" spans="1:12">
      <c r="A3" s="938" t="s">
        <v>11</v>
      </c>
      <c r="B3" s="933">
        <f>B2+1</f>
        <v>2</v>
      </c>
      <c r="C3" s="936">
        <v>3</v>
      </c>
      <c r="D3" s="937">
        <v>2020</v>
      </c>
      <c r="E3" s="930">
        <f>Elect!BL7</f>
        <v>26268.53</v>
      </c>
      <c r="F3" s="927">
        <f>F2</f>
        <v>1.4558550708323708</v>
      </c>
      <c r="G3" s="928">
        <f>Gas!K8</f>
        <v>1980.76</v>
      </c>
      <c r="H3" s="927">
        <v>3.8</v>
      </c>
      <c r="I3" s="928">
        <f>Water!H8</f>
        <v>197.2</v>
      </c>
      <c r="J3" s="929">
        <v>10</v>
      </c>
      <c r="K3" s="928">
        <f>Elect!BM7</f>
        <v>160</v>
      </c>
    </row>
    <row r="4" spans="1:12">
      <c r="A4" s="938" t="s">
        <v>11</v>
      </c>
      <c r="B4" s="933">
        <f t="shared" ref="B4:B32" si="0">B3+1</f>
        <v>3</v>
      </c>
      <c r="C4" s="936">
        <v>3</v>
      </c>
      <c r="D4" s="937">
        <v>2020</v>
      </c>
      <c r="E4" s="930">
        <f>Elect!BL8</f>
        <v>24951.526666668844</v>
      </c>
      <c r="F4" s="927">
        <f t="shared" ref="F4:F32" si="1">F3</f>
        <v>1.4558550708323708</v>
      </c>
      <c r="G4" s="928">
        <f>Gas!K9</f>
        <v>1557.7600000000002</v>
      </c>
      <c r="H4" s="927">
        <v>3.8</v>
      </c>
      <c r="I4" s="928">
        <f>Water!H9</f>
        <v>168.2</v>
      </c>
      <c r="J4" s="929">
        <v>10</v>
      </c>
      <c r="K4" s="928">
        <f>Elect!BM8</f>
        <v>162</v>
      </c>
    </row>
    <row r="5" spans="1:12">
      <c r="A5" s="938" t="s">
        <v>11</v>
      </c>
      <c r="B5" s="933">
        <f t="shared" si="0"/>
        <v>4</v>
      </c>
      <c r="C5" s="936">
        <v>3</v>
      </c>
      <c r="D5" s="937">
        <v>2020</v>
      </c>
      <c r="E5" s="930">
        <f>Elect!BL9</f>
        <v>29454.763333331157</v>
      </c>
      <c r="F5" s="927">
        <f t="shared" si="1"/>
        <v>1.4558550708323708</v>
      </c>
      <c r="G5" s="928">
        <f>Gas!K10</f>
        <v>2060.6400000000003</v>
      </c>
      <c r="H5" s="927">
        <v>3.8</v>
      </c>
      <c r="I5" s="928">
        <f>Water!H10</f>
        <v>186.18</v>
      </c>
      <c r="J5" s="929">
        <v>10</v>
      </c>
      <c r="K5" s="928">
        <f>Elect!BM9</f>
        <v>174</v>
      </c>
    </row>
    <row r="6" spans="1:12">
      <c r="A6" s="938" t="s">
        <v>11</v>
      </c>
      <c r="B6" s="933">
        <f t="shared" si="0"/>
        <v>5</v>
      </c>
      <c r="C6" s="936">
        <v>3</v>
      </c>
      <c r="D6" s="937">
        <v>2020</v>
      </c>
      <c r="E6" s="930">
        <f>Elect!BL10</f>
        <v>22207.106000000007</v>
      </c>
      <c r="F6" s="927">
        <f t="shared" si="1"/>
        <v>1.4558550708323708</v>
      </c>
      <c r="G6" s="928">
        <f>Gas!K11</f>
        <v>2338.2800000000002</v>
      </c>
      <c r="H6" s="927">
        <v>3.8</v>
      </c>
      <c r="I6" s="928">
        <f>Water!H11</f>
        <v>133.39999999999998</v>
      </c>
      <c r="J6" s="929">
        <v>10</v>
      </c>
      <c r="K6" s="928">
        <f>Elect!BM10</f>
        <v>169</v>
      </c>
    </row>
    <row r="7" spans="1:12">
      <c r="A7" s="938" t="s">
        <v>11</v>
      </c>
      <c r="B7" s="933">
        <f t="shared" si="0"/>
        <v>6</v>
      </c>
      <c r="C7" s="936">
        <v>3</v>
      </c>
      <c r="D7" s="937">
        <v>2020</v>
      </c>
      <c r="E7" s="930">
        <f>Elect!BL11</f>
        <v>26127.273999999994</v>
      </c>
      <c r="F7" s="927">
        <f t="shared" si="1"/>
        <v>1.4558550708323708</v>
      </c>
      <c r="G7" s="928">
        <f>Gas!K12</f>
        <v>2269.3199999999997</v>
      </c>
      <c r="H7" s="927">
        <v>3.8</v>
      </c>
      <c r="I7" s="928">
        <f>Water!H12</f>
        <v>244.18</v>
      </c>
      <c r="J7" s="929">
        <v>10</v>
      </c>
      <c r="K7" s="928">
        <f>Elect!BM11</f>
        <v>120</v>
      </c>
    </row>
    <row r="8" spans="1:12">
      <c r="A8" s="938" t="s">
        <v>11</v>
      </c>
      <c r="B8" s="933">
        <f t="shared" si="0"/>
        <v>7</v>
      </c>
      <c r="C8" s="936">
        <v>3</v>
      </c>
      <c r="D8" s="937">
        <v>2020</v>
      </c>
      <c r="E8" s="930">
        <f>Elect!BL12</f>
        <v>25733.85</v>
      </c>
      <c r="F8" s="927">
        <f t="shared" si="1"/>
        <v>1.4558550708323708</v>
      </c>
      <c r="G8" s="928">
        <f>Gas!K13</f>
        <v>1377.64</v>
      </c>
      <c r="H8" s="927">
        <v>3.8</v>
      </c>
      <c r="I8" s="928">
        <f>Water!H13</f>
        <v>169.94</v>
      </c>
      <c r="J8" s="929">
        <v>10</v>
      </c>
      <c r="K8" s="928">
        <f>Elect!BM12</f>
        <v>9</v>
      </c>
    </row>
    <row r="9" spans="1:12">
      <c r="A9" s="938" t="s">
        <v>11</v>
      </c>
      <c r="B9" s="933">
        <f t="shared" si="0"/>
        <v>8</v>
      </c>
      <c r="C9" s="936">
        <v>3</v>
      </c>
      <c r="D9" s="937">
        <v>2020</v>
      </c>
      <c r="E9" s="930">
        <f>Elect!BL13</f>
        <v>25635.97</v>
      </c>
      <c r="F9" s="927">
        <f t="shared" si="1"/>
        <v>1.4558550708323708</v>
      </c>
      <c r="G9" s="928">
        <f>Gas!K14</f>
        <v>1027.24</v>
      </c>
      <c r="H9" s="927">
        <v>3.8</v>
      </c>
      <c r="I9" s="928">
        <f>Water!H14</f>
        <v>290</v>
      </c>
      <c r="J9" s="929">
        <v>10</v>
      </c>
      <c r="K9" s="928">
        <f>Elect!BM13</f>
        <v>70</v>
      </c>
    </row>
    <row r="10" spans="1:12">
      <c r="A10" s="938" t="s">
        <v>11</v>
      </c>
      <c r="B10" s="933">
        <f t="shared" si="0"/>
        <v>9</v>
      </c>
      <c r="C10" s="936">
        <v>3</v>
      </c>
      <c r="D10" s="937">
        <v>2020</v>
      </c>
      <c r="E10" s="930">
        <f>Elect!BL14</f>
        <v>25100.84</v>
      </c>
      <c r="F10" s="927">
        <f t="shared" si="1"/>
        <v>1.4558550708323708</v>
      </c>
      <c r="G10" s="928">
        <f>Gas!K15</f>
        <v>1350.98</v>
      </c>
      <c r="H10" s="927">
        <v>3.8</v>
      </c>
      <c r="I10" s="928">
        <f>Water!H15</f>
        <v>169.35999999999999</v>
      </c>
      <c r="J10" s="929">
        <v>10</v>
      </c>
      <c r="K10" s="928">
        <f>Elect!BM14</f>
        <v>89</v>
      </c>
    </row>
    <row r="11" spans="1:12">
      <c r="A11" s="938" t="s">
        <v>11</v>
      </c>
      <c r="B11" s="933">
        <f t="shared" si="0"/>
        <v>10</v>
      </c>
      <c r="C11" s="936">
        <v>3</v>
      </c>
      <c r="D11" s="937">
        <v>2020</v>
      </c>
      <c r="E11" s="930">
        <f>Elect!BL15</f>
        <v>22104.55</v>
      </c>
      <c r="F11" s="927">
        <f t="shared" si="1"/>
        <v>1.4558550708323708</v>
      </c>
      <c r="G11" s="928">
        <f>Gas!K16</f>
        <v>1531.42</v>
      </c>
      <c r="H11" s="927">
        <v>3.8</v>
      </c>
      <c r="I11" s="928">
        <f>Water!H16</f>
        <v>272.60000000000002</v>
      </c>
      <c r="J11" s="929">
        <v>10</v>
      </c>
      <c r="K11" s="928">
        <f>Elect!BM15</f>
        <v>80</v>
      </c>
    </row>
    <row r="12" spans="1:12">
      <c r="A12" s="938" t="s">
        <v>11</v>
      </c>
      <c r="B12" s="933">
        <f t="shared" si="0"/>
        <v>11</v>
      </c>
      <c r="C12" s="936">
        <v>3</v>
      </c>
      <c r="D12" s="937">
        <v>2020</v>
      </c>
      <c r="E12" s="930">
        <f>Elect!BL16</f>
        <v>23232.7</v>
      </c>
      <c r="F12" s="927">
        <f t="shared" si="1"/>
        <v>1.4558550708323708</v>
      </c>
      <c r="G12" s="928">
        <f>Gas!K17</f>
        <v>1262.92</v>
      </c>
      <c r="H12" s="927">
        <v>3.8</v>
      </c>
      <c r="I12" s="928">
        <f>Water!H17</f>
        <v>196.62</v>
      </c>
      <c r="J12" s="929">
        <v>10</v>
      </c>
      <c r="K12" s="928">
        <f>Elect!BM16</f>
        <v>71</v>
      </c>
      <c r="L12" s="912" t="s">
        <v>12</v>
      </c>
    </row>
    <row r="13" spans="1:12">
      <c r="A13" s="938" t="s">
        <v>11</v>
      </c>
      <c r="B13" s="933">
        <f t="shared" si="0"/>
        <v>12</v>
      </c>
      <c r="C13" s="936">
        <v>3</v>
      </c>
      <c r="D13" s="937">
        <v>2020</v>
      </c>
      <c r="E13" s="930">
        <f>Elect!BL17</f>
        <v>16322.18</v>
      </c>
      <c r="F13" s="927">
        <f t="shared" si="1"/>
        <v>1.4558550708323708</v>
      </c>
      <c r="G13" s="928">
        <f>Gas!K18</f>
        <v>1389.08</v>
      </c>
      <c r="H13" s="927">
        <v>3.8</v>
      </c>
      <c r="I13" s="928">
        <f>Water!H18</f>
        <v>103.24</v>
      </c>
      <c r="J13" s="929">
        <v>10</v>
      </c>
      <c r="K13" s="928">
        <f>Elect!BM17</f>
        <v>89</v>
      </c>
      <c r="L13" s="912" t="s">
        <v>13</v>
      </c>
    </row>
    <row r="14" spans="1:12">
      <c r="A14" s="938" t="s">
        <v>11</v>
      </c>
      <c r="B14" s="933">
        <f t="shared" si="0"/>
        <v>13</v>
      </c>
      <c r="C14" s="936">
        <v>3</v>
      </c>
      <c r="D14" s="937">
        <v>2020</v>
      </c>
      <c r="E14" s="930">
        <f>Elect!BL18</f>
        <v>18998.97</v>
      </c>
      <c r="F14" s="927">
        <f t="shared" si="1"/>
        <v>1.4558550708323708</v>
      </c>
      <c r="G14" s="928">
        <f>Gas!K19</f>
        <v>1324.94</v>
      </c>
      <c r="H14" s="927">
        <v>3.8</v>
      </c>
      <c r="I14" s="928">
        <f>Water!H19</f>
        <v>145</v>
      </c>
      <c r="J14" s="929">
        <v>10</v>
      </c>
      <c r="K14" s="928">
        <f>Elect!BM18</f>
        <v>83</v>
      </c>
    </row>
    <row r="15" spans="1:12">
      <c r="A15" s="938" t="s">
        <v>11</v>
      </c>
      <c r="B15" s="933">
        <f t="shared" si="0"/>
        <v>14</v>
      </c>
      <c r="C15" s="936">
        <v>3</v>
      </c>
      <c r="D15" s="937">
        <v>2020</v>
      </c>
      <c r="E15" s="930">
        <f>Elect!BL19</f>
        <v>20829.2</v>
      </c>
      <c r="F15" s="927">
        <f t="shared" si="1"/>
        <v>1.4558550708323708</v>
      </c>
      <c r="G15" s="928">
        <f>Gas!K20</f>
        <v>1459.54</v>
      </c>
      <c r="H15" s="927">
        <v>3.8</v>
      </c>
      <c r="I15" s="928">
        <f>Water!H20</f>
        <v>116</v>
      </c>
      <c r="J15" s="929">
        <v>10</v>
      </c>
      <c r="K15" s="928">
        <f>Elect!BM19</f>
        <v>82</v>
      </c>
    </row>
    <row r="16" spans="1:12">
      <c r="A16" s="938" t="s">
        <v>11</v>
      </c>
      <c r="B16" s="933">
        <f t="shared" si="0"/>
        <v>15</v>
      </c>
      <c r="C16" s="936">
        <v>3</v>
      </c>
      <c r="D16" s="937">
        <v>2020</v>
      </c>
      <c r="E16" s="930">
        <f>Elect!BL20</f>
        <v>22944.31</v>
      </c>
      <c r="F16" s="927">
        <f t="shared" si="1"/>
        <v>1.4558550708323708</v>
      </c>
      <c r="G16" s="928">
        <f>Gas!K21</f>
        <v>1281.72</v>
      </c>
      <c r="H16" s="927">
        <v>3.8</v>
      </c>
      <c r="I16" s="928">
        <f>Water!H21</f>
        <v>153.69999999999999</v>
      </c>
      <c r="J16" s="929">
        <v>10</v>
      </c>
      <c r="K16" s="928">
        <f>Elect!BM20</f>
        <v>20</v>
      </c>
    </row>
    <row r="17" spans="1:11">
      <c r="A17" s="938" t="s">
        <v>11</v>
      </c>
      <c r="B17" s="933">
        <f t="shared" si="0"/>
        <v>16</v>
      </c>
      <c r="C17" s="936">
        <v>3</v>
      </c>
      <c r="D17" s="937">
        <v>2020</v>
      </c>
      <c r="E17" s="930">
        <f>Elect!BL21</f>
        <v>18611.099999999999</v>
      </c>
      <c r="F17" s="927">
        <f t="shared" si="1"/>
        <v>1.4558550708323708</v>
      </c>
      <c r="G17" s="928">
        <f>Gas!K22</f>
        <v>1171.26</v>
      </c>
      <c r="H17" s="927">
        <v>3.8</v>
      </c>
      <c r="I17" s="928">
        <f>Water!H22</f>
        <v>123.53999999999999</v>
      </c>
      <c r="J17" s="929">
        <v>10</v>
      </c>
      <c r="K17" s="928">
        <f>Elect!BM21</f>
        <v>12</v>
      </c>
    </row>
    <row r="18" spans="1:11">
      <c r="A18" s="938" t="s">
        <v>11</v>
      </c>
      <c r="B18" s="933">
        <f t="shared" si="0"/>
        <v>17</v>
      </c>
      <c r="C18" s="936">
        <v>3</v>
      </c>
      <c r="D18" s="937">
        <v>2020</v>
      </c>
      <c r="E18" s="930">
        <f>Elect!BL22</f>
        <v>20802.66</v>
      </c>
      <c r="F18" s="927">
        <f t="shared" si="1"/>
        <v>1.4558550708323708</v>
      </c>
      <c r="G18" s="928">
        <f>Gas!K23</f>
        <v>1212.3599999999999</v>
      </c>
      <c r="H18" s="927">
        <v>3.8</v>
      </c>
      <c r="I18" s="928">
        <f>Water!H23</f>
        <v>78.880000000016864</v>
      </c>
      <c r="J18" s="929">
        <v>10</v>
      </c>
      <c r="K18" s="928">
        <f>Elect!BM22</f>
        <v>38</v>
      </c>
    </row>
    <row r="19" spans="1:11">
      <c r="A19" s="938" t="s">
        <v>11</v>
      </c>
      <c r="B19" s="933">
        <f t="shared" si="0"/>
        <v>18</v>
      </c>
      <c r="C19" s="936">
        <v>3</v>
      </c>
      <c r="D19" s="937">
        <v>2020</v>
      </c>
      <c r="E19" s="930">
        <f>Elect!BL23</f>
        <v>15984.27</v>
      </c>
      <c r="F19" s="927">
        <f t="shared" si="1"/>
        <v>1.4558550708323708</v>
      </c>
      <c r="G19" s="928">
        <f>Gas!K24</f>
        <v>1194.06</v>
      </c>
      <c r="H19" s="927">
        <v>3.8</v>
      </c>
      <c r="I19" s="928">
        <f>Water!H24</f>
        <v>79.459999999983111</v>
      </c>
      <c r="J19" s="929">
        <v>10</v>
      </c>
      <c r="K19" s="928">
        <f>Elect!BM23</f>
        <v>25</v>
      </c>
    </row>
    <row r="20" spans="1:11">
      <c r="A20" s="938" t="s">
        <v>11</v>
      </c>
      <c r="B20" s="933">
        <f t="shared" si="0"/>
        <v>19</v>
      </c>
      <c r="C20" s="936">
        <v>3</v>
      </c>
      <c r="D20" s="937">
        <v>2020</v>
      </c>
      <c r="E20" s="930">
        <f>Elect!BL24</f>
        <v>17157.82</v>
      </c>
      <c r="F20" s="927">
        <f t="shared" si="1"/>
        <v>1.4558550708323708</v>
      </c>
      <c r="G20" s="928">
        <f>Gas!K25</f>
        <v>730.96</v>
      </c>
      <c r="H20" s="927">
        <v>3.8</v>
      </c>
      <c r="I20" s="928">
        <f>Water!H25</f>
        <v>86.999999999999986</v>
      </c>
      <c r="J20" s="929">
        <v>10</v>
      </c>
      <c r="K20" s="928">
        <f>Elect!BM24</f>
        <v>18</v>
      </c>
    </row>
    <row r="21" spans="1:11">
      <c r="A21" s="938" t="s">
        <v>11</v>
      </c>
      <c r="B21" s="933">
        <f t="shared" si="0"/>
        <v>20</v>
      </c>
      <c r="C21" s="936">
        <v>3</v>
      </c>
      <c r="D21" s="937">
        <v>2020</v>
      </c>
      <c r="E21" s="930">
        <f>Elect!BL25</f>
        <v>15709.260000000002</v>
      </c>
      <c r="F21" s="927">
        <f t="shared" si="1"/>
        <v>1.4558550708323708</v>
      </c>
      <c r="G21" s="928">
        <f>Gas!K26</f>
        <v>878.56</v>
      </c>
      <c r="H21" s="927">
        <v>3.8</v>
      </c>
      <c r="I21" s="928">
        <f>Water!H26</f>
        <v>115.99999999999999</v>
      </c>
      <c r="J21" s="929">
        <v>10</v>
      </c>
      <c r="K21" s="928">
        <f>Elect!BM25</f>
        <v>3</v>
      </c>
    </row>
    <row r="22" spans="1:11">
      <c r="A22" s="938" t="s">
        <v>11</v>
      </c>
      <c r="B22" s="933">
        <f t="shared" si="0"/>
        <v>21</v>
      </c>
      <c r="C22" s="936">
        <v>3</v>
      </c>
      <c r="D22" s="937">
        <v>2020</v>
      </c>
      <c r="E22" s="930">
        <f>Elect!BL26</f>
        <v>15226.94</v>
      </c>
      <c r="F22" s="927">
        <f t="shared" si="1"/>
        <v>1.4558550708323708</v>
      </c>
      <c r="G22" s="928">
        <f>Gas!K27</f>
        <v>788.66000000000008</v>
      </c>
      <c r="H22" s="927">
        <v>3.8</v>
      </c>
      <c r="I22" s="928">
        <f>Water!H27</f>
        <v>121.79999999999998</v>
      </c>
      <c r="J22" s="929">
        <v>10</v>
      </c>
      <c r="K22" s="928">
        <f>Elect!BM26</f>
        <v>2</v>
      </c>
    </row>
    <row r="23" spans="1:11">
      <c r="A23" s="938" t="s">
        <v>11</v>
      </c>
      <c r="B23" s="933">
        <f t="shared" si="0"/>
        <v>22</v>
      </c>
      <c r="C23" s="936">
        <v>3</v>
      </c>
      <c r="D23" s="937">
        <v>2020</v>
      </c>
      <c r="E23" s="930">
        <f>Elect!BL27</f>
        <v>12339.52</v>
      </c>
      <c r="F23" s="927">
        <f t="shared" si="1"/>
        <v>1.4558550708323708</v>
      </c>
      <c r="G23" s="928">
        <f>Gas!K28</f>
        <v>754.16</v>
      </c>
      <c r="H23" s="927">
        <v>3.8</v>
      </c>
      <c r="I23" s="928">
        <f>Water!H28</f>
        <v>121.8</v>
      </c>
      <c r="J23" s="929">
        <v>10</v>
      </c>
      <c r="K23" s="928">
        <f>Elect!BM27</f>
        <v>2</v>
      </c>
    </row>
    <row r="24" spans="1:11">
      <c r="A24" s="938" t="s">
        <v>11</v>
      </c>
      <c r="B24" s="933">
        <f t="shared" si="0"/>
        <v>23</v>
      </c>
      <c r="C24" s="936">
        <v>3</v>
      </c>
      <c r="D24" s="937">
        <v>2020</v>
      </c>
      <c r="E24" s="930">
        <f>Elect!BL28</f>
        <v>11377.57</v>
      </c>
      <c r="F24" s="927">
        <f t="shared" si="1"/>
        <v>1.4558550708323708</v>
      </c>
      <c r="G24" s="928">
        <f>Gas!K29</f>
        <v>426.94</v>
      </c>
      <c r="H24" s="927">
        <v>3.8</v>
      </c>
      <c r="I24" s="928">
        <f>Water!H29</f>
        <v>110.19999999999999</v>
      </c>
      <c r="J24" s="929">
        <v>10</v>
      </c>
      <c r="K24" s="928">
        <f>Elect!BM28</f>
        <v>2</v>
      </c>
    </row>
    <row r="25" spans="1:11">
      <c r="A25" s="938" t="s">
        <v>11</v>
      </c>
      <c r="B25" s="933">
        <f t="shared" si="0"/>
        <v>24</v>
      </c>
      <c r="C25" s="936">
        <v>3</v>
      </c>
      <c r="D25" s="937">
        <v>2020</v>
      </c>
      <c r="E25" s="930">
        <f>Elect!BL29</f>
        <v>11312.46</v>
      </c>
      <c r="F25" s="927">
        <f t="shared" si="1"/>
        <v>1.4558550708323708</v>
      </c>
      <c r="G25" s="928">
        <f>Gas!K30</f>
        <v>316.65999999999997</v>
      </c>
      <c r="H25" s="927">
        <v>3.8</v>
      </c>
      <c r="I25" s="928">
        <f>Water!H30</f>
        <v>139.19999999999999</v>
      </c>
      <c r="J25" s="929">
        <v>10</v>
      </c>
      <c r="K25" s="928">
        <f>Elect!BM29</f>
        <v>2</v>
      </c>
    </row>
    <row r="26" spans="1:11">
      <c r="A26" s="938" t="s">
        <v>11</v>
      </c>
      <c r="B26" s="933">
        <f>B25+1</f>
        <v>25</v>
      </c>
      <c r="C26" s="936">
        <v>3</v>
      </c>
      <c r="D26" s="937">
        <v>2020</v>
      </c>
      <c r="E26" s="930">
        <f>Elect!BL30</f>
        <v>12562.92</v>
      </c>
      <c r="F26" s="927">
        <f t="shared" si="1"/>
        <v>1.4558550708323708</v>
      </c>
      <c r="G26" s="928">
        <f>Gas!K31</f>
        <v>376.76</v>
      </c>
      <c r="H26" s="927">
        <v>3.8</v>
      </c>
      <c r="I26" s="928">
        <f>Water!H31</f>
        <v>145</v>
      </c>
      <c r="J26" s="929">
        <v>10</v>
      </c>
      <c r="K26" s="928">
        <f>Elect!BM30</f>
        <v>2</v>
      </c>
    </row>
    <row r="27" spans="1:11">
      <c r="A27" s="938" t="s">
        <v>11</v>
      </c>
      <c r="B27" s="933">
        <f t="shared" si="0"/>
        <v>26</v>
      </c>
      <c r="C27" s="936">
        <v>3</v>
      </c>
      <c r="D27" s="937">
        <v>2020</v>
      </c>
      <c r="E27" s="930">
        <f>Elect!BL31</f>
        <v>13619.900000000001</v>
      </c>
      <c r="F27" s="927">
        <f t="shared" si="1"/>
        <v>1.4558550708323708</v>
      </c>
      <c r="G27" s="928">
        <f>Gas!K32</f>
        <v>456.65999999999997</v>
      </c>
      <c r="H27" s="927">
        <v>3.8</v>
      </c>
      <c r="I27" s="928">
        <f>Water!H32</f>
        <v>156.6</v>
      </c>
      <c r="J27" s="929">
        <v>10</v>
      </c>
      <c r="K27" s="928">
        <f>Elect!BM31</f>
        <v>2</v>
      </c>
    </row>
    <row r="28" spans="1:11">
      <c r="A28" s="938" t="s">
        <v>11</v>
      </c>
      <c r="B28" s="933">
        <f t="shared" si="0"/>
        <v>27</v>
      </c>
      <c r="C28" s="936">
        <v>3</v>
      </c>
      <c r="D28" s="937">
        <v>2020</v>
      </c>
      <c r="E28" s="930">
        <f>Elect!BL32</f>
        <v>11088.59</v>
      </c>
      <c r="F28" s="927">
        <f t="shared" si="1"/>
        <v>1.4558550708323708</v>
      </c>
      <c r="G28" s="928">
        <f>Gas!K33</f>
        <v>480.46</v>
      </c>
      <c r="H28" s="927">
        <v>3.8</v>
      </c>
      <c r="I28" s="928">
        <f>Water!H33</f>
        <v>156.6</v>
      </c>
      <c r="J28" s="929">
        <v>10</v>
      </c>
      <c r="K28" s="928">
        <f>Elect!BM32</f>
        <v>2</v>
      </c>
    </row>
    <row r="29" spans="1:11">
      <c r="A29" s="938" t="s">
        <v>11</v>
      </c>
      <c r="B29" s="933">
        <f t="shared" si="0"/>
        <v>28</v>
      </c>
      <c r="C29" s="936">
        <v>3</v>
      </c>
      <c r="D29" s="937">
        <v>2020</v>
      </c>
      <c r="E29" s="930">
        <f>Elect!BL33</f>
        <v>8492.91</v>
      </c>
      <c r="F29" s="927">
        <f t="shared" si="1"/>
        <v>1.4558550708323708</v>
      </c>
      <c r="G29" s="928">
        <f>Gas!K34</f>
        <v>423.29999999999995</v>
      </c>
      <c r="H29" s="927">
        <v>3.8</v>
      </c>
      <c r="I29" s="928">
        <f>Water!H34</f>
        <v>150.80000000000001</v>
      </c>
      <c r="J29" s="929">
        <v>10</v>
      </c>
      <c r="K29" s="928">
        <f>Elect!BM33</f>
        <v>2</v>
      </c>
    </row>
    <row r="30" spans="1:11">
      <c r="A30" s="938" t="s">
        <v>11</v>
      </c>
      <c r="B30" s="933">
        <f t="shared" si="0"/>
        <v>29</v>
      </c>
      <c r="C30" s="936">
        <v>3</v>
      </c>
      <c r="D30" s="937">
        <v>2020</v>
      </c>
      <c r="E30" s="930">
        <f>Elect!BL34</f>
        <v>13036.36</v>
      </c>
      <c r="F30" s="927">
        <f t="shared" si="1"/>
        <v>1.4558550708323708</v>
      </c>
      <c r="G30" s="928">
        <f>Gas!K35</f>
        <v>419.56</v>
      </c>
      <c r="H30" s="927">
        <v>3.8</v>
      </c>
      <c r="I30" s="928">
        <f>Water!H35</f>
        <v>156.6</v>
      </c>
      <c r="J30" s="929">
        <v>10</v>
      </c>
      <c r="K30" s="928">
        <f>Elect!BM34</f>
        <v>2</v>
      </c>
    </row>
    <row r="31" spans="1:11">
      <c r="A31" s="938" t="s">
        <v>11</v>
      </c>
      <c r="B31" s="933">
        <f t="shared" si="0"/>
        <v>30</v>
      </c>
      <c r="C31" s="936">
        <v>3</v>
      </c>
      <c r="D31" s="937">
        <v>2020</v>
      </c>
      <c r="E31" s="930">
        <f>Elect!BL35</f>
        <v>11030.3</v>
      </c>
      <c r="F31" s="927">
        <f t="shared" si="1"/>
        <v>1.4558550708323708</v>
      </c>
      <c r="G31" s="928">
        <f>Gas!K36</f>
        <v>436.03999999999996</v>
      </c>
      <c r="H31" s="927">
        <v>3.8</v>
      </c>
      <c r="I31" s="928">
        <f>Water!H36</f>
        <v>133.4</v>
      </c>
      <c r="J31" s="929">
        <v>10</v>
      </c>
      <c r="K31" s="928">
        <f>Elect!BM35</f>
        <v>2</v>
      </c>
    </row>
    <row r="32" spans="1:11">
      <c r="A32" s="939" t="s">
        <v>11</v>
      </c>
      <c r="B32" s="940">
        <f t="shared" si="0"/>
        <v>31</v>
      </c>
      <c r="C32" s="936">
        <v>3</v>
      </c>
      <c r="D32" s="937">
        <v>2020</v>
      </c>
      <c r="E32" s="930">
        <f>Elect!BL36</f>
        <v>11488.01</v>
      </c>
      <c r="F32" s="927">
        <f t="shared" si="1"/>
        <v>1.4558550708323708</v>
      </c>
      <c r="G32" s="928">
        <f>Gas!K37</f>
        <v>431.82</v>
      </c>
      <c r="H32" s="927">
        <v>3.8</v>
      </c>
      <c r="I32" s="928">
        <f>Water!H37</f>
        <v>145</v>
      </c>
      <c r="J32" s="929">
        <v>10</v>
      </c>
      <c r="K32" s="928">
        <f>Elect!BM36</f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K33"/>
  <sheetViews>
    <sheetView workbookViewId="0">
      <selection activeCell="F25" sqref="F25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23" t="s">
        <v>0</v>
      </c>
      <c r="B1" s="924" t="s">
        <v>1</v>
      </c>
      <c r="C1" s="924" t="s">
        <v>2</v>
      </c>
      <c r="D1" s="924" t="s">
        <v>3</v>
      </c>
      <c r="E1" s="958" t="s">
        <v>14</v>
      </c>
      <c r="F1" s="919" t="s">
        <v>15</v>
      </c>
      <c r="G1" s="920" t="s">
        <v>16</v>
      </c>
      <c r="H1" s="919" t="s">
        <v>17</v>
      </c>
      <c r="I1" s="919" t="s">
        <v>18</v>
      </c>
      <c r="J1" s="919" t="s">
        <v>19</v>
      </c>
      <c r="K1" s="910" t="s">
        <v>20</v>
      </c>
      <c r="L1" s="910" t="s">
        <v>21</v>
      </c>
      <c r="M1" s="942" t="s">
        <v>22</v>
      </c>
      <c r="N1" s="942" t="s">
        <v>23</v>
      </c>
      <c r="O1" s="942" t="s">
        <v>24</v>
      </c>
      <c r="P1" s="942" t="s">
        <v>25</v>
      </c>
      <c r="Q1" s="942" t="s">
        <v>26</v>
      </c>
      <c r="R1" s="942" t="s">
        <v>27</v>
      </c>
      <c r="S1" s="942" t="s">
        <v>28</v>
      </c>
      <c r="T1" s="942" t="s">
        <v>29</v>
      </c>
      <c r="U1" s="942" t="s">
        <v>30</v>
      </c>
      <c r="V1" s="942" t="s">
        <v>31</v>
      </c>
      <c r="W1" s="942" t="s">
        <v>32</v>
      </c>
      <c r="X1" s="942" t="s">
        <v>33</v>
      </c>
      <c r="Y1" s="942" t="s">
        <v>34</v>
      </c>
      <c r="Z1" s="942" t="s">
        <v>35</v>
      </c>
      <c r="AA1" s="942" t="s">
        <v>36</v>
      </c>
      <c r="AB1" s="942" t="s">
        <v>37</v>
      </c>
      <c r="AC1" s="942" t="s">
        <v>38</v>
      </c>
      <c r="AD1" s="942" t="s">
        <v>39</v>
      </c>
      <c r="AE1" s="942" t="s">
        <v>40</v>
      </c>
      <c r="AF1" s="942" t="s">
        <v>41</v>
      </c>
      <c r="AG1" s="942" t="s">
        <v>42</v>
      </c>
      <c r="AH1" s="942" t="s">
        <v>43</v>
      </c>
      <c r="AI1" s="942" t="s">
        <v>44</v>
      </c>
      <c r="AJ1" s="942" t="s">
        <v>45</v>
      </c>
      <c r="AK1" s="925" t="s">
        <v>10</v>
      </c>
    </row>
    <row r="2" spans="1:37" ht="19.5" customHeight="1">
      <c r="A2" s="934" t="s">
        <v>11</v>
      </c>
      <c r="B2" s="935">
        <v>1</v>
      </c>
      <c r="C2" s="936">
        <v>3</v>
      </c>
      <c r="D2" s="937">
        <v>2020</v>
      </c>
      <c r="E2" s="959"/>
      <c r="F2" s="921">
        <f>Elect!J6</f>
        <v>6715</v>
      </c>
      <c r="G2" s="921">
        <f>Elect!K6</f>
        <v>4066</v>
      </c>
      <c r="H2" s="921">
        <f>Elect!Q6</f>
        <v>750</v>
      </c>
      <c r="I2" s="921">
        <f>Elect!W6</f>
        <v>149</v>
      </c>
      <c r="J2" s="921">
        <f>Elect!Y6</f>
        <v>213</v>
      </c>
      <c r="K2" s="921">
        <f>Elect!AA6</f>
        <v>0</v>
      </c>
      <c r="L2" s="921">
        <f>Elect!AC6</f>
        <v>0</v>
      </c>
      <c r="M2" s="941">
        <f>Elect!AE6</f>
        <v>1815.25</v>
      </c>
      <c r="N2" s="941">
        <f>Elect!AG6</f>
        <v>0</v>
      </c>
      <c r="O2" s="941">
        <f>Elect!AI6</f>
        <v>302.63</v>
      </c>
      <c r="P2" s="941">
        <f>Elect!AK6</f>
        <v>2515.9100000000003</v>
      </c>
      <c r="Q2" s="941">
        <f>Elect!AN6</f>
        <v>2082</v>
      </c>
      <c r="R2" s="941">
        <f>Elect!AP6</f>
        <v>287</v>
      </c>
      <c r="S2" s="941">
        <f>Elect!AR6</f>
        <v>33.44</v>
      </c>
      <c r="T2" s="941">
        <f>Elect!AT6</f>
        <v>209</v>
      </c>
      <c r="U2" s="941">
        <f>Elect!AV6</f>
        <v>1202</v>
      </c>
      <c r="V2" s="941">
        <f>Elect!AX6</f>
        <v>45</v>
      </c>
      <c r="W2" s="941">
        <f>Elect!AZ6</f>
        <v>5558</v>
      </c>
      <c r="X2" s="941">
        <f>Elect!BB6</f>
        <v>5813.9</v>
      </c>
      <c r="Y2" s="941">
        <f>Elect!BE6</f>
        <v>0</v>
      </c>
      <c r="Z2" s="941">
        <f>Elect!BG6</f>
        <v>1141</v>
      </c>
      <c r="AA2" s="941">
        <f>Elect!BI6</f>
        <v>113</v>
      </c>
      <c r="AB2" s="941">
        <f>Elect!BK6</f>
        <v>191</v>
      </c>
      <c r="AC2" s="941"/>
      <c r="AD2" s="941">
        <f>Water!C7</f>
        <v>179.79999999999998</v>
      </c>
      <c r="AE2" s="941">
        <f>Water!E7</f>
        <v>5.8</v>
      </c>
      <c r="AF2" s="941">
        <f>Water!G7</f>
        <v>16.239999999999998</v>
      </c>
      <c r="AG2" s="941"/>
      <c r="AH2" s="941">
        <f>Gas!C7</f>
        <v>1459.6200000000001</v>
      </c>
      <c r="AI2" s="941">
        <f>Gas!E7</f>
        <v>221.89999999999998</v>
      </c>
      <c r="AJ2" s="941">
        <f>Gas!G7</f>
        <v>138</v>
      </c>
      <c r="AK2" s="928">
        <f>Elect!BM6</f>
        <v>169</v>
      </c>
    </row>
    <row r="3" spans="1:37" ht="12.75" customHeight="1">
      <c r="A3" s="938" t="s">
        <v>11</v>
      </c>
      <c r="B3" s="933">
        <f>B2+1</f>
        <v>2</v>
      </c>
      <c r="C3" s="936">
        <v>3</v>
      </c>
      <c r="D3" s="937">
        <v>2020</v>
      </c>
      <c r="E3" s="959"/>
      <c r="F3" s="921">
        <f>Elect!J7</f>
        <v>6172</v>
      </c>
      <c r="G3" s="921">
        <f>Elect!K7</f>
        <v>4554</v>
      </c>
      <c r="H3" s="921">
        <f>Elect!Q7</f>
        <v>660</v>
      </c>
      <c r="I3" s="921">
        <f>Elect!W7</f>
        <v>144</v>
      </c>
      <c r="J3" s="921">
        <f>Elect!Y7</f>
        <v>229</v>
      </c>
      <c r="K3" s="921">
        <f>Elect!AA7</f>
        <v>0</v>
      </c>
      <c r="L3" s="921">
        <f>Elect!AC7</f>
        <v>0</v>
      </c>
      <c r="M3" s="941">
        <f>Elect!AE7</f>
        <v>2441.71</v>
      </c>
      <c r="N3" s="941">
        <f>Elect!AG7</f>
        <v>0</v>
      </c>
      <c r="O3" s="941">
        <f>Elect!AI7</f>
        <v>249.10000000000002</v>
      </c>
      <c r="P3" s="941">
        <f>Elect!AK7</f>
        <v>2364.86</v>
      </c>
      <c r="Q3" s="941">
        <f>Elect!AN7</f>
        <v>1036</v>
      </c>
      <c r="R3" s="941">
        <f>Elect!AP7</f>
        <v>433</v>
      </c>
      <c r="S3" s="941">
        <f>Elect!AR7</f>
        <v>34.76</v>
      </c>
      <c r="T3" s="941">
        <f>Elect!AT7</f>
        <v>301</v>
      </c>
      <c r="U3" s="941">
        <f>Elect!AV7</f>
        <v>994</v>
      </c>
      <c r="V3" s="941">
        <f>Elect!AX7</f>
        <v>68</v>
      </c>
      <c r="W3" s="941">
        <f>Elect!AZ7</f>
        <v>5754</v>
      </c>
      <c r="X3" s="941">
        <f>Elect!BB7</f>
        <v>5760.1</v>
      </c>
      <c r="Y3" s="941">
        <f>Elect!BE7</f>
        <v>0</v>
      </c>
      <c r="Z3" s="941">
        <f>Elect!BG7</f>
        <v>1009</v>
      </c>
      <c r="AA3" s="941">
        <f>Elect!BI7</f>
        <v>133</v>
      </c>
      <c r="AB3" s="941">
        <f>Elect!BK7</f>
        <v>196</v>
      </c>
      <c r="AC3" s="941"/>
      <c r="AD3" s="941">
        <f>Water!C8</f>
        <v>191.39999999999998</v>
      </c>
      <c r="AE3" s="941">
        <f>Water!E8</f>
        <v>5.8</v>
      </c>
      <c r="AF3" s="941">
        <f>Water!G8</f>
        <v>0</v>
      </c>
      <c r="AG3" s="941"/>
      <c r="AH3" s="941">
        <f>Gas!C8</f>
        <v>1606.96</v>
      </c>
      <c r="AI3" s="941">
        <f>Gas!E8</f>
        <v>373.79999999999995</v>
      </c>
      <c r="AJ3" s="941">
        <f>Gas!G8</f>
        <v>64</v>
      </c>
      <c r="AK3" s="928">
        <f>Elect!BM7</f>
        <v>160</v>
      </c>
    </row>
    <row r="4" spans="1:37" ht="12.75" customHeight="1">
      <c r="A4" s="938" t="s">
        <v>11</v>
      </c>
      <c r="B4" s="933">
        <f t="shared" ref="B4:B31" si="0">B3+1</f>
        <v>3</v>
      </c>
      <c r="C4" s="936">
        <v>3</v>
      </c>
      <c r="D4" s="937">
        <v>2020</v>
      </c>
      <c r="E4" s="959"/>
      <c r="F4" s="921">
        <f>Elect!J8</f>
        <v>6534</v>
      </c>
      <c r="G4" s="921">
        <f>Elect!K8</f>
        <v>4228.6666666669771</v>
      </c>
      <c r="H4" s="921">
        <f>Elect!Q8</f>
        <v>720</v>
      </c>
      <c r="I4" s="921">
        <f>Elect!W8</f>
        <v>147.33333333329938</v>
      </c>
      <c r="J4" s="921">
        <f>Elect!Y8</f>
        <v>218.33333333299379</v>
      </c>
      <c r="K4" s="921">
        <f>Elect!AA8</f>
        <v>0</v>
      </c>
      <c r="L4" s="921">
        <f>Elect!AC8</f>
        <v>0</v>
      </c>
      <c r="M4" s="941">
        <f>Elect!AE8</f>
        <v>0</v>
      </c>
      <c r="N4" s="941">
        <f>Elect!AG8</f>
        <v>0</v>
      </c>
      <c r="O4" s="941">
        <f>Elect!AI8</f>
        <v>284.78666666648672</v>
      </c>
      <c r="P4" s="941">
        <f>Elect!AK8</f>
        <v>2465.56</v>
      </c>
      <c r="Q4" s="941">
        <f>Elect!AN8</f>
        <v>1733.3333333302289</v>
      </c>
      <c r="R4" s="941">
        <f>Elect!AP8</f>
        <v>335.66666666697711</v>
      </c>
      <c r="S4" s="941">
        <f>Elect!AR8</f>
        <v>33.880000000000003</v>
      </c>
      <c r="T4" s="941">
        <f>Elect!AT8</f>
        <v>239.66666666697711</v>
      </c>
      <c r="U4" s="941">
        <f>Elect!AV8</f>
        <v>1132.6666666697711</v>
      </c>
      <c r="V4" s="941">
        <f>Elect!AX8</f>
        <v>52.666666667006211</v>
      </c>
      <c r="W4" s="941">
        <f>Elect!AZ8</f>
        <v>5623.3333333004266</v>
      </c>
      <c r="X4" s="941">
        <f>Elect!BB8</f>
        <v>5795.9666667009706</v>
      </c>
      <c r="Y4" s="941">
        <f>Elect!BE8</f>
        <v>0</v>
      </c>
      <c r="Z4" s="941">
        <f>Elect!BG8</f>
        <v>1097</v>
      </c>
      <c r="AA4" s="941">
        <f>Elect!BI8</f>
        <v>119.66666666697711</v>
      </c>
      <c r="AB4" s="941">
        <f>Elect!BK8</f>
        <v>192.66666666697711</v>
      </c>
      <c r="AC4" s="941"/>
      <c r="AD4" s="941">
        <f>Water!C9</f>
        <v>168.2</v>
      </c>
      <c r="AE4" s="941">
        <f>Water!E9</f>
        <v>0</v>
      </c>
      <c r="AF4" s="941">
        <f>Water!G9</f>
        <v>0</v>
      </c>
      <c r="AG4" s="941"/>
      <c r="AH4" s="941">
        <f>Gas!C9</f>
        <v>1251.8600000000001</v>
      </c>
      <c r="AI4" s="941">
        <f>Gas!E9</f>
        <v>305.89999999999998</v>
      </c>
      <c r="AJ4" s="941">
        <f>Gas!G9</f>
        <v>11</v>
      </c>
      <c r="AK4" s="928">
        <f>Elect!BM8</f>
        <v>162</v>
      </c>
    </row>
    <row r="5" spans="1:37" ht="12.75" customHeight="1">
      <c r="A5" s="938" t="s">
        <v>11</v>
      </c>
      <c r="B5" s="933">
        <f t="shared" si="0"/>
        <v>4</v>
      </c>
      <c r="C5" s="936">
        <v>3</v>
      </c>
      <c r="D5" s="937">
        <v>2020</v>
      </c>
      <c r="E5" s="959"/>
      <c r="F5" s="921">
        <f>Elect!J9</f>
        <v>7854</v>
      </c>
      <c r="G5" s="921">
        <f>Elect!K9</f>
        <v>4352.3333333330229</v>
      </c>
      <c r="H5" s="921">
        <f>Elect!Q9</f>
        <v>690</v>
      </c>
      <c r="I5" s="921">
        <f>Elect!W9</f>
        <v>147.66666666670062</v>
      </c>
      <c r="J5" s="921">
        <f>Elect!Y9</f>
        <v>264.66666666700621</v>
      </c>
      <c r="K5" s="921">
        <f>Elect!AA9</f>
        <v>0</v>
      </c>
      <c r="L5" s="921">
        <f>Elect!AC9</f>
        <v>3769.8900000000003</v>
      </c>
      <c r="M5" s="941">
        <f>Elect!AE9</f>
        <v>1552.3700000000001</v>
      </c>
      <c r="N5" s="941">
        <f>Elect!AG9</f>
        <v>0</v>
      </c>
      <c r="O5" s="941">
        <f>Elect!AI9</f>
        <v>234.08333333351331</v>
      </c>
      <c r="P5" s="941">
        <f>Elect!AK9</f>
        <v>2017.18</v>
      </c>
      <c r="Q5" s="941">
        <f>Elect!AN9</f>
        <v>622.66666666977108</v>
      </c>
      <c r="R5" s="941">
        <f>Elect!AP9</f>
        <v>518.33333333302289</v>
      </c>
      <c r="S5" s="941">
        <f>Elect!AR9</f>
        <v>24.64</v>
      </c>
      <c r="T5" s="941">
        <f>Elect!AT9</f>
        <v>260.33333333302289</v>
      </c>
      <c r="U5" s="941">
        <f>Elect!AV9</f>
        <v>994.33333333022892</v>
      </c>
      <c r="V5" s="941">
        <f>Elect!AX9</f>
        <v>86.333333332993789</v>
      </c>
      <c r="W5" s="941">
        <f>Elect!AZ9</f>
        <v>5438.6666666995734</v>
      </c>
      <c r="X5" s="941">
        <f>Elect!BB9</f>
        <v>5391.93333329903</v>
      </c>
      <c r="Y5" s="941">
        <f>Elect!BE9</f>
        <v>0</v>
      </c>
      <c r="Z5" s="941">
        <f>Elect!BG9</f>
        <v>1109</v>
      </c>
      <c r="AA5" s="941">
        <f>Elect!BI9</f>
        <v>147.33333333302289</v>
      </c>
      <c r="AB5" s="941">
        <f>Elect!BK9</f>
        <v>197.33333333302289</v>
      </c>
      <c r="AC5" s="941"/>
      <c r="AD5" s="941">
        <f>Water!C10</f>
        <v>185.6</v>
      </c>
      <c r="AE5" s="941">
        <f>Water!E10</f>
        <v>0</v>
      </c>
      <c r="AF5" s="941">
        <f>Water!G10</f>
        <v>0.57999999999999996</v>
      </c>
      <c r="AG5" s="941"/>
      <c r="AH5" s="941">
        <f>Gas!C10</f>
        <v>1838.0400000000002</v>
      </c>
      <c r="AI5" s="941">
        <f>Gas!E10</f>
        <v>222.6</v>
      </c>
      <c r="AJ5" s="941">
        <f>Gas!G10</f>
        <v>118</v>
      </c>
      <c r="AK5" s="928">
        <f>Elect!BM9</f>
        <v>174</v>
      </c>
    </row>
    <row r="6" spans="1:37" ht="12.75" customHeight="1">
      <c r="A6" s="938" t="s">
        <v>11</v>
      </c>
      <c r="B6" s="933">
        <f t="shared" si="0"/>
        <v>5</v>
      </c>
      <c r="C6" s="936">
        <v>3</v>
      </c>
      <c r="D6" s="937">
        <v>2020</v>
      </c>
      <c r="E6" s="959"/>
      <c r="F6" s="921">
        <f>Elect!J10</f>
        <v>4821</v>
      </c>
      <c r="G6" s="921">
        <f>Elect!K10</f>
        <v>3886.8888888889924</v>
      </c>
      <c r="H6" s="921">
        <f>Elect!Q10</f>
        <v>600</v>
      </c>
      <c r="I6" s="921">
        <f>Elect!W10</f>
        <v>111</v>
      </c>
      <c r="J6" s="921">
        <f>Elect!Y10</f>
        <v>187</v>
      </c>
      <c r="K6" s="921">
        <f>Elect!AA10</f>
        <v>0</v>
      </c>
      <c r="L6" s="921">
        <f>Elect!AC10</f>
        <v>2617.67</v>
      </c>
      <c r="M6" s="941">
        <f>Elect!AE10</f>
        <v>0</v>
      </c>
      <c r="N6" s="941">
        <f>Elect!AG10</f>
        <v>0</v>
      </c>
      <c r="O6" s="941">
        <f>Elect!AI10</f>
        <v>241.68</v>
      </c>
      <c r="P6" s="941">
        <f>Elect!AK10</f>
        <v>2525.0260000000062</v>
      </c>
      <c r="Q6" s="941">
        <f>Elect!AN10</f>
        <v>1242</v>
      </c>
      <c r="R6" s="941">
        <f>Elect!AP10</f>
        <v>206</v>
      </c>
      <c r="S6" s="941">
        <f>Elect!AR10</f>
        <v>21.23</v>
      </c>
      <c r="T6" s="941">
        <f>Elect!AT10</f>
        <v>156</v>
      </c>
      <c r="U6" s="941">
        <f>Elect!AV10</f>
        <v>864</v>
      </c>
      <c r="V6" s="941">
        <f>Elect!AX10</f>
        <v>52</v>
      </c>
      <c r="W6" s="941">
        <f>Elect!AZ10</f>
        <v>4685</v>
      </c>
      <c r="X6" s="941">
        <f>Elect!BB10</f>
        <v>4175.5</v>
      </c>
      <c r="Y6" s="941">
        <f>Elect!BE10</f>
        <v>0</v>
      </c>
      <c r="Z6" s="941">
        <f>Elect!BG10</f>
        <v>850</v>
      </c>
      <c r="AA6" s="941">
        <f>Elect!BI10</f>
        <v>97</v>
      </c>
      <c r="AB6" s="941">
        <f>Elect!BK10</f>
        <v>141</v>
      </c>
      <c r="AC6" s="941"/>
      <c r="AD6" s="941">
        <f>Water!C11</f>
        <v>133.39999999999998</v>
      </c>
      <c r="AE6" s="941">
        <f>Water!E11</f>
        <v>0</v>
      </c>
      <c r="AF6" s="941">
        <f>Water!G11</f>
        <v>0</v>
      </c>
      <c r="AG6" s="941"/>
      <c r="AH6" s="941">
        <f>Gas!C11</f>
        <v>1958.88</v>
      </c>
      <c r="AI6" s="941">
        <f>Gas!E11</f>
        <v>379.4</v>
      </c>
      <c r="AJ6" s="941">
        <f>Gas!G11</f>
        <v>118</v>
      </c>
      <c r="AK6" s="928">
        <f>Elect!BM10</f>
        <v>169</v>
      </c>
    </row>
    <row r="7" spans="1:37" ht="12.75" customHeight="1">
      <c r="A7" s="938" t="s">
        <v>11</v>
      </c>
      <c r="B7" s="933">
        <f t="shared" si="0"/>
        <v>6</v>
      </c>
      <c r="C7" s="936">
        <v>3</v>
      </c>
      <c r="D7" s="937">
        <v>2020</v>
      </c>
      <c r="E7" s="959"/>
      <c r="F7" s="921">
        <f>Elect!J11</f>
        <v>6554</v>
      </c>
      <c r="G7" s="921">
        <f>Elect!K11</f>
        <v>4691.1111111110076</v>
      </c>
      <c r="H7" s="921">
        <f>Elect!Q11</f>
        <v>690</v>
      </c>
      <c r="I7" s="921">
        <f>Elect!W11</f>
        <v>146</v>
      </c>
      <c r="J7" s="921">
        <f>Elect!Y11</f>
        <v>248</v>
      </c>
      <c r="K7" s="921">
        <f>Elect!AA11</f>
        <v>0</v>
      </c>
      <c r="L7" s="921">
        <f>Elect!AC11</f>
        <v>2553.0100000000002</v>
      </c>
      <c r="M7" s="941">
        <f>Elect!AE11</f>
        <v>0</v>
      </c>
      <c r="N7" s="941">
        <f>Elect!AG11</f>
        <v>0</v>
      </c>
      <c r="O7" s="941">
        <f>Elect!AI11</f>
        <v>266.59000000000003</v>
      </c>
      <c r="P7" s="941">
        <f>Elect!AK11</f>
        <v>2355.7439999999938</v>
      </c>
      <c r="Q7" s="941">
        <f>Elect!AN11</f>
        <v>1001</v>
      </c>
      <c r="R7" s="941">
        <f>Elect!AP11</f>
        <v>336</v>
      </c>
      <c r="S7" s="941">
        <f>Elect!AR11</f>
        <v>31.13</v>
      </c>
      <c r="T7" s="941">
        <f>Elect!AT11</f>
        <v>225</v>
      </c>
      <c r="U7" s="941">
        <f>Elect!AV11</f>
        <v>1096</v>
      </c>
      <c r="V7" s="941">
        <f>Elect!AX11</f>
        <v>66</v>
      </c>
      <c r="W7" s="941">
        <f>Elect!AZ11</f>
        <v>5579</v>
      </c>
      <c r="X7" s="941">
        <f>Elect!BB11</f>
        <v>5373.8</v>
      </c>
      <c r="Y7" s="941">
        <f>Elect!BE11</f>
        <v>0</v>
      </c>
      <c r="Z7" s="941">
        <f>Elect!BG11</f>
        <v>1122</v>
      </c>
      <c r="AA7" s="941">
        <f>Elect!BI11</f>
        <v>132</v>
      </c>
      <c r="AB7" s="941">
        <f>Elect!BK11</f>
        <v>195</v>
      </c>
      <c r="AC7" s="941"/>
      <c r="AD7" s="941">
        <f>Water!C12</f>
        <v>237.79999999999998</v>
      </c>
      <c r="AE7" s="941">
        <f>Water!E12</f>
        <v>5.8</v>
      </c>
      <c r="AF7" s="941">
        <f>Water!G12</f>
        <v>0.57999999999999996</v>
      </c>
      <c r="AG7" s="941"/>
      <c r="AH7" s="941">
        <f>Gas!C12</f>
        <v>1846.52</v>
      </c>
      <c r="AI7" s="941">
        <f>Gas!E12</f>
        <v>422.79999999999995</v>
      </c>
      <c r="AJ7" s="941">
        <f>Gas!G12</f>
        <v>115</v>
      </c>
      <c r="AK7" s="928">
        <f>Elect!BM11</f>
        <v>120</v>
      </c>
    </row>
    <row r="8" spans="1:37" ht="12.75" customHeight="1">
      <c r="A8" s="938" t="s">
        <v>11</v>
      </c>
      <c r="B8" s="933">
        <f t="shared" si="0"/>
        <v>7</v>
      </c>
      <c r="C8" s="936">
        <v>3</v>
      </c>
      <c r="D8" s="937">
        <v>2020</v>
      </c>
      <c r="E8" s="959"/>
      <c r="F8" s="921">
        <f>Elect!J12</f>
        <v>6414</v>
      </c>
      <c r="G8" s="921">
        <f>Elect!K12</f>
        <v>4048.7777777779847</v>
      </c>
      <c r="H8" s="921">
        <f>Elect!Q12</f>
        <v>630</v>
      </c>
      <c r="I8" s="921">
        <f>Elect!W12</f>
        <v>144</v>
      </c>
      <c r="J8" s="921">
        <f>Elect!Y12</f>
        <v>230</v>
      </c>
      <c r="K8" s="921">
        <f>Elect!AA12</f>
        <v>0</v>
      </c>
      <c r="L8" s="921">
        <f>Elect!AC12</f>
        <v>95.4</v>
      </c>
      <c r="M8" s="941">
        <f>Elect!AE12</f>
        <v>2483.58</v>
      </c>
      <c r="N8" s="941">
        <f>Elect!AG12</f>
        <v>0</v>
      </c>
      <c r="O8" s="941">
        <f>Elect!AI12</f>
        <v>284.61</v>
      </c>
      <c r="P8" s="941">
        <f>Elect!AK12</f>
        <v>1982.73</v>
      </c>
      <c r="Q8" s="941">
        <f>Elect!AN12</f>
        <v>1608</v>
      </c>
      <c r="R8" s="941">
        <f>Elect!AP12</f>
        <v>312</v>
      </c>
      <c r="S8" s="941">
        <f>Elect!AR12</f>
        <v>31.13</v>
      </c>
      <c r="T8" s="941">
        <f>Elect!AT12</f>
        <v>250</v>
      </c>
      <c r="U8" s="941">
        <f>Elect!AV12</f>
        <v>1027</v>
      </c>
      <c r="V8" s="941">
        <f>Elect!AX12</f>
        <v>31</v>
      </c>
      <c r="W8" s="941">
        <f>Elect!AZ12</f>
        <v>5185</v>
      </c>
      <c r="X8" s="941">
        <f>Elect!BB12</f>
        <v>5399.4</v>
      </c>
      <c r="Y8" s="941">
        <f>Elect!BE12</f>
        <v>0</v>
      </c>
      <c r="Z8" s="941">
        <f>Elect!BG12</f>
        <v>1116</v>
      </c>
      <c r="AA8" s="941">
        <f>Elect!BI12</f>
        <v>126</v>
      </c>
      <c r="AB8" s="941">
        <f>Elect!BK12</f>
        <v>192</v>
      </c>
      <c r="AC8" s="941"/>
      <c r="AD8" s="941">
        <f>Water!C13</f>
        <v>75.399999999999991</v>
      </c>
      <c r="AE8" s="941">
        <f>Water!E13</f>
        <v>5.8</v>
      </c>
      <c r="AF8" s="941">
        <f>Water!G13</f>
        <v>88.74</v>
      </c>
      <c r="AG8" s="941"/>
      <c r="AH8" s="941">
        <f>Gas!C13</f>
        <v>1080.1400000000001</v>
      </c>
      <c r="AI8" s="941">
        <f>Gas!E13</f>
        <v>297.5</v>
      </c>
      <c r="AJ8" s="941">
        <f>Gas!G13</f>
        <v>127</v>
      </c>
      <c r="AK8" s="928">
        <f>Elect!BM12</f>
        <v>9</v>
      </c>
    </row>
    <row r="9" spans="1:37" ht="12.75" customHeight="1">
      <c r="A9" s="938" t="s">
        <v>11</v>
      </c>
      <c r="B9" s="933">
        <f t="shared" si="0"/>
        <v>8</v>
      </c>
      <c r="C9" s="936">
        <v>3</v>
      </c>
      <c r="D9" s="937">
        <v>2020</v>
      </c>
      <c r="E9" s="959"/>
      <c r="F9" s="921">
        <f>Elect!J13</f>
        <v>6815</v>
      </c>
      <c r="G9" s="921">
        <f>Elect!K13</f>
        <v>4255.2222222220153</v>
      </c>
      <c r="H9" s="921">
        <f>Elect!Q13</f>
        <v>600</v>
      </c>
      <c r="I9" s="921">
        <f>Elect!W13</f>
        <v>147</v>
      </c>
      <c r="J9" s="921">
        <f>Elect!Y13</f>
        <v>246</v>
      </c>
      <c r="K9" s="921">
        <f>Elect!AA13</f>
        <v>0</v>
      </c>
      <c r="L9" s="921">
        <f>Elect!AC13</f>
        <v>0</v>
      </c>
      <c r="M9" s="941">
        <f>Elect!AE13</f>
        <v>2847.69</v>
      </c>
      <c r="N9" s="941">
        <f>Elect!AG13</f>
        <v>0</v>
      </c>
      <c r="O9" s="941">
        <f>Elect!AI13</f>
        <v>341.32</v>
      </c>
      <c r="P9" s="941">
        <f>Elect!AK13</f>
        <v>1566.15</v>
      </c>
      <c r="Q9" s="941">
        <f>Elect!AN13</f>
        <v>1141</v>
      </c>
      <c r="R9" s="941">
        <f>Elect!AP13</f>
        <v>352</v>
      </c>
      <c r="S9" s="941">
        <f>Elect!AR13</f>
        <v>30.91</v>
      </c>
      <c r="T9" s="941">
        <f>Elect!AT13</f>
        <v>245</v>
      </c>
      <c r="U9" s="941">
        <f>Elect!AV13</f>
        <v>1061</v>
      </c>
      <c r="V9" s="941">
        <f>Elect!AX13</f>
        <v>66</v>
      </c>
      <c r="W9" s="941">
        <f>Elect!AZ13</f>
        <v>5078</v>
      </c>
      <c r="X9" s="941">
        <f>Elect!BB13</f>
        <v>5491.9</v>
      </c>
      <c r="Y9" s="941">
        <f>Elect!BE13</f>
        <v>0</v>
      </c>
      <c r="Z9" s="941">
        <f>Elect!BG13</f>
        <v>1161</v>
      </c>
      <c r="AA9" s="941">
        <f>Elect!BI13</f>
        <v>127</v>
      </c>
      <c r="AB9" s="941">
        <f>Elect!BK13</f>
        <v>198</v>
      </c>
      <c r="AC9" s="941"/>
      <c r="AD9" s="941">
        <f>Water!C14</f>
        <v>214.6</v>
      </c>
      <c r="AE9" s="941">
        <f>Water!E14</f>
        <v>0</v>
      </c>
      <c r="AF9" s="941">
        <f>Water!G14</f>
        <v>75.399999999999991</v>
      </c>
      <c r="AG9" s="941"/>
      <c r="AH9" s="941">
        <f>Gas!C14</f>
        <v>740.94</v>
      </c>
      <c r="AI9" s="941">
        <f>Gas!E14</f>
        <v>286.29999999999995</v>
      </c>
      <c r="AJ9" s="941">
        <f>Gas!G14</f>
        <v>51</v>
      </c>
      <c r="AK9" s="928">
        <f>Elect!BM13</f>
        <v>70</v>
      </c>
    </row>
    <row r="10" spans="1:37" ht="12.75" customHeight="1">
      <c r="A10" s="938" t="s">
        <v>11</v>
      </c>
      <c r="B10" s="933">
        <f t="shared" si="0"/>
        <v>9</v>
      </c>
      <c r="C10" s="936">
        <v>3</v>
      </c>
      <c r="D10" s="937">
        <v>2020</v>
      </c>
      <c r="E10" s="959"/>
      <c r="F10" s="921">
        <f>Elect!J14</f>
        <v>5761</v>
      </c>
      <c r="G10" s="921">
        <f>Elect!K14</f>
        <v>4085.2222222220153</v>
      </c>
      <c r="H10" s="921">
        <f>Elect!Q14</f>
        <v>540</v>
      </c>
      <c r="I10" s="921">
        <f>Elect!W14</f>
        <v>145</v>
      </c>
      <c r="J10" s="921">
        <f>Elect!Y14</f>
        <v>283</v>
      </c>
      <c r="K10" s="921">
        <f>Elect!AA14</f>
        <v>0</v>
      </c>
      <c r="L10" s="921">
        <f>Elect!AC14</f>
        <v>0</v>
      </c>
      <c r="M10" s="941">
        <f>Elect!AE14</f>
        <v>2751.76</v>
      </c>
      <c r="N10" s="941">
        <f>Elect!AG14</f>
        <v>0</v>
      </c>
      <c r="O10" s="941">
        <f>Elect!AI14</f>
        <v>276.66000000000003</v>
      </c>
      <c r="P10" s="941">
        <f>Elect!AK14</f>
        <v>2227.06</v>
      </c>
      <c r="Q10" s="941">
        <f>Elect!AN14</f>
        <v>1730</v>
      </c>
      <c r="R10" s="941">
        <f>Elect!AP14</f>
        <v>345</v>
      </c>
      <c r="S10" s="941">
        <f>Elect!AR14</f>
        <v>30.36</v>
      </c>
      <c r="T10" s="941">
        <f>Elect!AT14</f>
        <v>200</v>
      </c>
      <c r="U10" s="941">
        <f>Elect!AV14</f>
        <v>1060</v>
      </c>
      <c r="V10" s="941">
        <f>Elect!AX14</f>
        <v>66</v>
      </c>
      <c r="W10" s="941">
        <f>Elect!AZ14</f>
        <v>4664</v>
      </c>
      <c r="X10" s="941">
        <f>Elect!BB14</f>
        <v>5449</v>
      </c>
      <c r="Y10" s="941">
        <f>Elect!BE14</f>
        <v>0</v>
      </c>
      <c r="Z10" s="941">
        <f>Elect!BG14</f>
        <v>1160</v>
      </c>
      <c r="AA10" s="941">
        <f>Elect!BI14</f>
        <v>114</v>
      </c>
      <c r="AB10" s="941">
        <f>Elect!BK14</f>
        <v>196</v>
      </c>
      <c r="AC10" s="941"/>
      <c r="AD10" s="941">
        <f>Water!C15</f>
        <v>57.999999999999993</v>
      </c>
      <c r="AE10" s="941">
        <f>Water!E15</f>
        <v>0</v>
      </c>
      <c r="AF10" s="941">
        <f>Water!G15</f>
        <v>111.35999999999999</v>
      </c>
      <c r="AG10" s="941"/>
      <c r="AH10" s="941">
        <f>Gas!C15</f>
        <v>1036.68</v>
      </c>
      <c r="AI10" s="941">
        <f>Gas!E15</f>
        <v>314.29999999999995</v>
      </c>
      <c r="AJ10" s="941">
        <f>Gas!G15</f>
        <v>58</v>
      </c>
      <c r="AK10" s="928">
        <f>Elect!BM14</f>
        <v>89</v>
      </c>
    </row>
    <row r="11" spans="1:37" ht="12.75" customHeight="1">
      <c r="A11" s="938" t="s">
        <v>11</v>
      </c>
      <c r="B11" s="933">
        <f t="shared" si="0"/>
        <v>10</v>
      </c>
      <c r="C11" s="936">
        <v>3</v>
      </c>
      <c r="D11" s="937">
        <v>2020</v>
      </c>
      <c r="E11" s="959"/>
      <c r="F11" s="921">
        <f>Elect!J15</f>
        <v>5120</v>
      </c>
      <c r="G11" s="921">
        <f>Elect!K15</f>
        <v>2633.7777777779847</v>
      </c>
      <c r="H11" s="921">
        <f>Elect!Q15</f>
        <v>570</v>
      </c>
      <c r="I11" s="921">
        <f>Elect!W15</f>
        <v>147</v>
      </c>
      <c r="J11" s="921">
        <f>Elect!Y15</f>
        <v>281</v>
      </c>
      <c r="K11" s="921">
        <f>Elect!AA15</f>
        <v>0</v>
      </c>
      <c r="L11" s="921">
        <f>Elect!AC15</f>
        <v>0</v>
      </c>
      <c r="M11" s="941">
        <f>Elect!AE15</f>
        <v>2094.0300000000002</v>
      </c>
      <c r="N11" s="941">
        <f>Elect!AG15</f>
        <v>0</v>
      </c>
      <c r="O11" s="941">
        <f>Elect!AI15</f>
        <v>233.73000000000002</v>
      </c>
      <c r="P11" s="941">
        <f>Elect!AK15</f>
        <v>2023.5400000000002</v>
      </c>
      <c r="Q11" s="941">
        <f>Elect!AN15</f>
        <v>680</v>
      </c>
      <c r="R11" s="941">
        <f>Elect!AP15</f>
        <v>328</v>
      </c>
      <c r="S11" s="941">
        <f>Elect!AR15</f>
        <v>31.35</v>
      </c>
      <c r="T11" s="941">
        <f>Elect!AT15</f>
        <v>173</v>
      </c>
      <c r="U11" s="941">
        <f>Elect!AV15</f>
        <v>629</v>
      </c>
      <c r="V11" s="941">
        <f>Elect!AX15</f>
        <v>67</v>
      </c>
      <c r="W11" s="941">
        <f>Elect!AZ15</f>
        <v>4773</v>
      </c>
      <c r="X11" s="941">
        <f>Elect!BB15</f>
        <v>5381.9</v>
      </c>
      <c r="Y11" s="941">
        <f>Elect!BE15</f>
        <v>0</v>
      </c>
      <c r="Z11" s="941">
        <f>Elect!BG15</f>
        <v>1086</v>
      </c>
      <c r="AA11" s="941">
        <f>Elect!BI15</f>
        <v>121</v>
      </c>
      <c r="AB11" s="941">
        <f>Elect!BK15</f>
        <v>198</v>
      </c>
      <c r="AC11" s="941"/>
      <c r="AD11" s="941">
        <f>Water!C16</f>
        <v>185.6</v>
      </c>
      <c r="AE11" s="941">
        <f>Water!E16</f>
        <v>0</v>
      </c>
      <c r="AF11" s="941">
        <f>Water!G16</f>
        <v>87</v>
      </c>
      <c r="AG11" s="941"/>
      <c r="AH11" s="941">
        <f>Gas!C16</f>
        <v>1205.22</v>
      </c>
      <c r="AI11" s="941">
        <f>Gas!E16</f>
        <v>326.2</v>
      </c>
      <c r="AJ11" s="941">
        <f>Gas!G16</f>
        <v>114</v>
      </c>
      <c r="AK11" s="928">
        <f>Elect!BM15</f>
        <v>80</v>
      </c>
    </row>
    <row r="12" spans="1:37" ht="12.75" customHeight="1">
      <c r="A12" s="938" t="s">
        <v>11</v>
      </c>
      <c r="B12" s="933">
        <f t="shared" si="0"/>
        <v>11</v>
      </c>
      <c r="C12" s="936">
        <v>3</v>
      </c>
      <c r="D12" s="937">
        <v>2020</v>
      </c>
      <c r="E12" s="959"/>
      <c r="F12" s="921">
        <f>Elect!J16</f>
        <v>5042</v>
      </c>
      <c r="G12" s="921">
        <f>Elect!K16</f>
        <v>3178</v>
      </c>
      <c r="H12" s="921">
        <f>Elect!Q16</f>
        <v>630</v>
      </c>
      <c r="I12" s="921">
        <f>Elect!W16</f>
        <v>154</v>
      </c>
      <c r="J12" s="921">
        <f>Elect!Y16</f>
        <v>300</v>
      </c>
      <c r="K12" s="921">
        <f>Elect!AA16</f>
        <v>0</v>
      </c>
      <c r="L12" s="921">
        <f>Elect!AC16</f>
        <v>0</v>
      </c>
      <c r="M12" s="941">
        <f>Elect!AE16</f>
        <v>2883.73</v>
      </c>
      <c r="N12" s="941">
        <f>Elect!AG16</f>
        <v>0</v>
      </c>
      <c r="O12" s="941">
        <f>Elect!AI16</f>
        <v>278.25</v>
      </c>
      <c r="P12" s="941">
        <f>Elect!AK16</f>
        <v>2262.04</v>
      </c>
      <c r="Q12" s="941">
        <f>Elect!AN16</f>
        <v>626</v>
      </c>
      <c r="R12" s="941">
        <f>Elect!AP16</f>
        <v>378</v>
      </c>
      <c r="S12" s="941">
        <f>Elect!AR16</f>
        <v>27.28</v>
      </c>
      <c r="T12" s="941">
        <f>Elect!AT16</f>
        <v>175</v>
      </c>
      <c r="U12" s="941">
        <f>Elect!AV16</f>
        <v>638</v>
      </c>
      <c r="V12" s="941">
        <f>Elect!AX16</f>
        <v>70</v>
      </c>
      <c r="W12" s="941">
        <f>Elect!AZ16</f>
        <v>4832</v>
      </c>
      <c r="X12" s="941">
        <f>Elect!BB16</f>
        <v>5390.4</v>
      </c>
      <c r="Y12" s="941">
        <f>Elect!BE16</f>
        <v>0</v>
      </c>
      <c r="Z12" s="941">
        <f>Elect!BG16</f>
        <v>1001</v>
      </c>
      <c r="AA12" s="941">
        <f>Elect!BI16</f>
        <v>130</v>
      </c>
      <c r="AB12" s="941">
        <f>Elect!BK16</f>
        <v>209</v>
      </c>
      <c r="AC12" s="941"/>
      <c r="AD12" s="941">
        <f>Water!C17</f>
        <v>104.39999999999999</v>
      </c>
      <c r="AE12" s="941">
        <f>Water!E17</f>
        <v>0</v>
      </c>
      <c r="AF12" s="941">
        <f>Water!G17</f>
        <v>92.22</v>
      </c>
      <c r="AG12" s="941"/>
      <c r="AH12" s="941">
        <f>Gas!C17</f>
        <v>1051.52</v>
      </c>
      <c r="AI12" s="941">
        <f>Gas!E17</f>
        <v>211.39999999999998</v>
      </c>
      <c r="AJ12" s="941">
        <f>Gas!G17</f>
        <v>73</v>
      </c>
      <c r="AK12" s="928">
        <f>Elect!BM16</f>
        <v>71</v>
      </c>
    </row>
    <row r="13" spans="1:37" ht="12.75" customHeight="1">
      <c r="A13" s="938" t="s">
        <v>11</v>
      </c>
      <c r="B13" s="933">
        <f t="shared" si="0"/>
        <v>12</v>
      </c>
      <c r="C13" s="936">
        <v>3</v>
      </c>
      <c r="D13" s="937">
        <v>2020</v>
      </c>
      <c r="E13" s="959"/>
      <c r="F13" s="921">
        <f>Elect!J17</f>
        <v>4121</v>
      </c>
      <c r="G13" s="921">
        <f>Elect!K17</f>
        <v>1761</v>
      </c>
      <c r="H13" s="921">
        <f>Elect!Q17</f>
        <v>330</v>
      </c>
      <c r="I13" s="921">
        <f>Elect!W17</f>
        <v>133</v>
      </c>
      <c r="J13" s="921">
        <f>Elect!Y17</f>
        <v>243</v>
      </c>
      <c r="K13" s="921">
        <f>Elect!AA17</f>
        <v>0</v>
      </c>
      <c r="L13" s="921">
        <f>Elect!AC17</f>
        <v>0</v>
      </c>
      <c r="M13" s="941">
        <f>Elect!AE17</f>
        <v>967.78000000000009</v>
      </c>
      <c r="N13" s="941">
        <f>Elect!AG17</f>
        <v>0</v>
      </c>
      <c r="O13" s="941">
        <f>Elect!AI17</f>
        <v>92.22</v>
      </c>
      <c r="P13" s="941">
        <f>Elect!AK17</f>
        <v>1283.6600000000001</v>
      </c>
      <c r="Q13" s="941">
        <f>Elect!AN17</f>
        <v>400</v>
      </c>
      <c r="R13" s="941">
        <f>Elect!AP17</f>
        <v>147</v>
      </c>
      <c r="S13" s="941">
        <f>Elect!AR17</f>
        <v>23.32</v>
      </c>
      <c r="T13" s="941">
        <f>Elect!AT17</f>
        <v>164</v>
      </c>
      <c r="U13" s="941">
        <f>Elect!AV17</f>
        <v>533</v>
      </c>
      <c r="V13" s="941">
        <f>Elect!AX17</f>
        <v>47</v>
      </c>
      <c r="W13" s="941">
        <f>Elect!AZ17</f>
        <v>4090</v>
      </c>
      <c r="X13" s="941">
        <f>Elect!BB17</f>
        <v>4123.2</v>
      </c>
      <c r="Y13" s="941">
        <f>Elect!BE17</f>
        <v>0</v>
      </c>
      <c r="Z13" s="941">
        <f>Elect!BG17</f>
        <v>733</v>
      </c>
      <c r="AA13" s="941">
        <f>Elect!BI17</f>
        <v>88</v>
      </c>
      <c r="AB13" s="941">
        <f>Elect!BK17</f>
        <v>182</v>
      </c>
      <c r="AC13" s="941"/>
      <c r="AD13" s="941">
        <f>Water!C18</f>
        <v>69.599999999999994</v>
      </c>
      <c r="AE13" s="941">
        <f>Water!E18</f>
        <v>0</v>
      </c>
      <c r="AF13" s="941">
        <f>Water!G18</f>
        <v>33.64</v>
      </c>
      <c r="AG13" s="941"/>
      <c r="AH13" s="941">
        <f>Gas!C18</f>
        <v>994.28000000000009</v>
      </c>
      <c r="AI13" s="941">
        <f>Gas!E18</f>
        <v>394.79999999999995</v>
      </c>
      <c r="AJ13" s="941">
        <f>Gas!G18</f>
        <v>103</v>
      </c>
      <c r="AK13" s="928">
        <f>Elect!BM17</f>
        <v>89</v>
      </c>
    </row>
    <row r="14" spans="1:37" ht="12.75" customHeight="1">
      <c r="A14" s="938" t="s">
        <v>11</v>
      </c>
      <c r="B14" s="933">
        <f t="shared" si="0"/>
        <v>13</v>
      </c>
      <c r="C14" s="936">
        <v>3</v>
      </c>
      <c r="D14" s="937">
        <v>2020</v>
      </c>
      <c r="E14" s="959"/>
      <c r="F14" s="921">
        <f>Elect!J18</f>
        <v>5116</v>
      </c>
      <c r="G14" s="921">
        <f>Elect!K18</f>
        <v>3373</v>
      </c>
      <c r="H14" s="921">
        <f>Elect!Q18</f>
        <v>720</v>
      </c>
      <c r="I14" s="921">
        <f>Elect!W18</f>
        <v>153</v>
      </c>
      <c r="J14" s="921">
        <f>Elect!Y18</f>
        <v>292</v>
      </c>
      <c r="K14" s="921">
        <f>Elect!AA18</f>
        <v>0</v>
      </c>
      <c r="L14" s="921">
        <f>Elect!AC18</f>
        <v>0</v>
      </c>
      <c r="M14" s="941">
        <f>Elect!AE18</f>
        <v>1480.29</v>
      </c>
      <c r="N14" s="941">
        <f>Elect!AG18</f>
        <v>0</v>
      </c>
      <c r="O14" s="941">
        <f>Elect!AI18</f>
        <v>153.70000000000002</v>
      </c>
      <c r="P14" s="941">
        <f>Elect!AK18</f>
        <v>1287.3700000000001</v>
      </c>
      <c r="Q14" s="941">
        <f>Elect!AN18</f>
        <v>441</v>
      </c>
      <c r="R14" s="941">
        <f>Elect!AP18</f>
        <v>201</v>
      </c>
      <c r="S14" s="941">
        <f>Elect!AR18</f>
        <v>25.41</v>
      </c>
      <c r="T14" s="941">
        <f>Elect!AT18</f>
        <v>158</v>
      </c>
      <c r="U14" s="941">
        <f>Elect!AV18</f>
        <v>547</v>
      </c>
      <c r="V14" s="941">
        <f>Elect!AX18</f>
        <v>63</v>
      </c>
      <c r="W14" s="941">
        <f>Elect!AZ18</f>
        <v>4251</v>
      </c>
      <c r="X14" s="941">
        <f>Elect!BB18</f>
        <v>4555.2</v>
      </c>
      <c r="Y14" s="941">
        <f>Elect!BE18</f>
        <v>0</v>
      </c>
      <c r="Z14" s="941">
        <f>Elect!BG18</f>
        <v>938</v>
      </c>
      <c r="AA14" s="941">
        <f>Elect!BI18</f>
        <v>126</v>
      </c>
      <c r="AB14" s="941">
        <f>Elect!BK18</f>
        <v>200</v>
      </c>
      <c r="AC14" s="941"/>
      <c r="AD14" s="941">
        <f>Water!C19</f>
        <v>75.399999999999991</v>
      </c>
      <c r="AE14" s="941">
        <f>Water!E19</f>
        <v>0</v>
      </c>
      <c r="AF14" s="941">
        <f>Water!G19</f>
        <v>69.599999999999994</v>
      </c>
      <c r="AG14" s="941"/>
      <c r="AH14" s="941">
        <f>Gas!C19</f>
        <v>1021.84</v>
      </c>
      <c r="AI14" s="941">
        <f>Gas!E19</f>
        <v>303.09999999999997</v>
      </c>
      <c r="AJ14" s="941">
        <f>Gas!G19</f>
        <v>90</v>
      </c>
      <c r="AK14" s="928">
        <f>Elect!BM18</f>
        <v>83</v>
      </c>
    </row>
    <row r="15" spans="1:37" ht="12.75" customHeight="1">
      <c r="A15" s="938" t="s">
        <v>11</v>
      </c>
      <c r="B15" s="933">
        <f t="shared" si="0"/>
        <v>14</v>
      </c>
      <c r="C15" s="936">
        <v>3</v>
      </c>
      <c r="D15" s="937">
        <v>2020</v>
      </c>
      <c r="E15" s="959"/>
      <c r="F15" s="921">
        <f>Elect!J19</f>
        <v>4819</v>
      </c>
      <c r="G15" s="921">
        <f>Elect!K19</f>
        <v>3094</v>
      </c>
      <c r="H15" s="921">
        <f>Elect!Q19</f>
        <v>510</v>
      </c>
      <c r="I15" s="921">
        <f>Elect!W19</f>
        <v>144</v>
      </c>
      <c r="J15" s="921">
        <f>Elect!Y19</f>
        <v>277</v>
      </c>
      <c r="K15" s="921">
        <f>Elect!AA19</f>
        <v>0</v>
      </c>
      <c r="L15" s="921">
        <f>Elect!AC19</f>
        <v>0</v>
      </c>
      <c r="M15" s="941">
        <f>Elect!AE19</f>
        <v>0</v>
      </c>
      <c r="N15" s="941">
        <f>Elect!AG19</f>
        <v>2219.11</v>
      </c>
      <c r="O15" s="941">
        <f>Elect!AI19</f>
        <v>195.57000000000002</v>
      </c>
      <c r="P15" s="941">
        <f>Elect!AK19</f>
        <v>1944.0400000000002</v>
      </c>
      <c r="Q15" s="941">
        <f>Elect!AN19</f>
        <v>719</v>
      </c>
      <c r="R15" s="941">
        <f>Elect!AP19</f>
        <v>290</v>
      </c>
      <c r="S15" s="941">
        <f>Elect!AR19</f>
        <v>27.28</v>
      </c>
      <c r="T15" s="941">
        <f>Elect!AT19</f>
        <v>158</v>
      </c>
      <c r="U15" s="941">
        <f>Elect!AV19</f>
        <v>559</v>
      </c>
      <c r="V15" s="941">
        <f>Elect!AX19</f>
        <v>55</v>
      </c>
      <c r="W15" s="941">
        <f>Elect!AZ19</f>
        <v>4702</v>
      </c>
      <c r="X15" s="941">
        <f>Elect!BB19</f>
        <v>4631.2</v>
      </c>
      <c r="Y15" s="941">
        <f>Elect!BE19</f>
        <v>0</v>
      </c>
      <c r="Z15" s="941">
        <f>Elect!BG19</f>
        <v>963</v>
      </c>
      <c r="AA15" s="941">
        <f>Elect!BI19</f>
        <v>128</v>
      </c>
      <c r="AB15" s="941">
        <f>Elect!BK19</f>
        <v>194</v>
      </c>
      <c r="AC15" s="941"/>
      <c r="AD15" s="941">
        <f>Water!C20</f>
        <v>69.599999999999994</v>
      </c>
      <c r="AE15" s="941">
        <f>Water!E20</f>
        <v>0</v>
      </c>
      <c r="AF15" s="941">
        <f>Water!G20</f>
        <v>46.4</v>
      </c>
      <c r="AG15" s="941"/>
      <c r="AH15" s="941">
        <f>Gas!C20</f>
        <v>1191.44</v>
      </c>
      <c r="AI15" s="941">
        <f>Gas!E20</f>
        <v>268.09999999999997</v>
      </c>
      <c r="AJ15" s="941">
        <f>Gas!G20</f>
        <v>83</v>
      </c>
      <c r="AK15" s="928">
        <f>Elect!BM19</f>
        <v>82</v>
      </c>
    </row>
    <row r="16" spans="1:37" ht="12.75" customHeight="1">
      <c r="A16" s="938" t="s">
        <v>11</v>
      </c>
      <c r="B16" s="933">
        <f t="shared" si="0"/>
        <v>15</v>
      </c>
      <c r="C16" s="936">
        <v>3</v>
      </c>
      <c r="D16" s="937">
        <v>2020</v>
      </c>
      <c r="E16" s="959"/>
      <c r="F16" s="921">
        <f>Elect!J20</f>
        <v>5520</v>
      </c>
      <c r="G16" s="921">
        <f>Elect!K20</f>
        <v>3435</v>
      </c>
      <c r="H16" s="921">
        <f>Elect!Q20</f>
        <v>540</v>
      </c>
      <c r="I16" s="921">
        <f>Elect!W20</f>
        <v>155</v>
      </c>
      <c r="J16" s="921">
        <f>Elect!Y20</f>
        <v>302</v>
      </c>
      <c r="K16" s="921">
        <f>Elect!AA20</f>
        <v>0</v>
      </c>
      <c r="L16" s="921">
        <f>Elect!AC20</f>
        <v>0</v>
      </c>
      <c r="M16" s="941">
        <f>Elect!AE20</f>
        <v>0</v>
      </c>
      <c r="N16" s="941">
        <f>Elect!AG20</f>
        <v>2574.21</v>
      </c>
      <c r="O16" s="941">
        <f>Elect!AI20</f>
        <v>279.84000000000003</v>
      </c>
      <c r="P16" s="941">
        <f>Elect!AK20</f>
        <v>2182.0100000000002</v>
      </c>
      <c r="Q16" s="941">
        <f>Elect!AN20</f>
        <v>848</v>
      </c>
      <c r="R16" s="941">
        <f>Elect!AP20</f>
        <v>269</v>
      </c>
      <c r="S16" s="941">
        <f>Elect!AR20</f>
        <v>28.05</v>
      </c>
      <c r="T16" s="941">
        <f>Elect!AT20</f>
        <v>152</v>
      </c>
      <c r="U16" s="941">
        <f>Elect!AV20</f>
        <v>615</v>
      </c>
      <c r="V16" s="941">
        <f>Elect!AX20</f>
        <v>57</v>
      </c>
      <c r="W16" s="941">
        <f>Elect!AZ20</f>
        <v>4727</v>
      </c>
      <c r="X16" s="941">
        <f>Elect!BB20</f>
        <v>5152.2</v>
      </c>
      <c r="Y16" s="941">
        <f>Elect!BE20</f>
        <v>0</v>
      </c>
      <c r="Z16" s="941">
        <f>Elect!BG20</f>
        <v>1043</v>
      </c>
      <c r="AA16" s="941">
        <f>Elect!BI20</f>
        <v>118</v>
      </c>
      <c r="AB16" s="941">
        <f>Elect!BK20</f>
        <v>210</v>
      </c>
      <c r="AC16" s="941"/>
      <c r="AD16" s="941">
        <f>Water!C21</f>
        <v>98.6</v>
      </c>
      <c r="AE16" s="941">
        <f>Water!E21</f>
        <v>0</v>
      </c>
      <c r="AF16" s="941">
        <f>Water!G21</f>
        <v>55.099999999999994</v>
      </c>
      <c r="AG16" s="941"/>
      <c r="AH16" s="941">
        <f>Gas!C21</f>
        <v>1115.1200000000001</v>
      </c>
      <c r="AI16" s="941">
        <f>Gas!E21</f>
        <v>166.6</v>
      </c>
      <c r="AJ16" s="941">
        <f>Gas!G21</f>
        <v>98</v>
      </c>
      <c r="AK16" s="928">
        <f>Elect!BM20</f>
        <v>20</v>
      </c>
    </row>
    <row r="17" spans="1:37" ht="12.75" customHeight="1">
      <c r="A17" s="938" t="s">
        <v>11</v>
      </c>
      <c r="B17" s="933">
        <f t="shared" si="0"/>
        <v>16</v>
      </c>
      <c r="C17" s="936">
        <v>3</v>
      </c>
      <c r="D17" s="937">
        <v>2020</v>
      </c>
      <c r="E17" s="959"/>
      <c r="F17" s="921">
        <f>Elect!J21</f>
        <v>4306</v>
      </c>
      <c r="G17" s="921">
        <f>Elect!K21</f>
        <v>2846</v>
      </c>
      <c r="H17" s="921">
        <f>Elect!Q21</f>
        <v>450</v>
      </c>
      <c r="I17" s="921">
        <f>Elect!W21</f>
        <v>131</v>
      </c>
      <c r="J17" s="921">
        <f>Elect!Y21</f>
        <v>259</v>
      </c>
      <c r="K17" s="921">
        <f>Elect!AA21</f>
        <v>0</v>
      </c>
      <c r="L17" s="921">
        <f>Elect!AC21</f>
        <v>0</v>
      </c>
      <c r="M17" s="941">
        <f>Elect!AE21</f>
        <v>0</v>
      </c>
      <c r="N17" s="941">
        <f>Elect!AG21</f>
        <v>2312.92</v>
      </c>
      <c r="O17" s="941">
        <f>Elect!AI21</f>
        <v>208.29000000000002</v>
      </c>
      <c r="P17" s="941">
        <f>Elect!AK21</f>
        <v>1865.6000000000001</v>
      </c>
      <c r="Q17" s="941">
        <f>Elect!AN21</f>
        <v>105</v>
      </c>
      <c r="R17" s="941">
        <f>Elect!AP21</f>
        <v>221</v>
      </c>
      <c r="S17" s="941">
        <f>Elect!AR21</f>
        <v>21.89</v>
      </c>
      <c r="T17" s="941">
        <f>Elect!AT21</f>
        <v>140</v>
      </c>
      <c r="U17" s="941">
        <f>Elect!AV21</f>
        <v>566</v>
      </c>
      <c r="V17" s="941">
        <f>Elect!AX21</f>
        <v>5</v>
      </c>
      <c r="W17" s="941">
        <f>Elect!AZ21</f>
        <v>4063</v>
      </c>
      <c r="X17" s="941">
        <f>Elect!BB21</f>
        <v>4346.3999999999996</v>
      </c>
      <c r="Y17" s="941">
        <f>Elect!BE21</f>
        <v>0</v>
      </c>
      <c r="Z17" s="941">
        <f>Elect!BG21</f>
        <v>916</v>
      </c>
      <c r="AA17" s="941">
        <f>Elect!BI21</f>
        <v>110</v>
      </c>
      <c r="AB17" s="941">
        <f>Elect!BK21</f>
        <v>177</v>
      </c>
      <c r="AC17" s="941"/>
      <c r="AD17" s="941">
        <f>Water!C22</f>
        <v>87</v>
      </c>
      <c r="AE17" s="941">
        <f>Water!E22</f>
        <v>0</v>
      </c>
      <c r="AF17" s="941">
        <f>Water!G22</f>
        <v>36.54</v>
      </c>
      <c r="AG17" s="941"/>
      <c r="AH17" s="941">
        <f>Gas!C22</f>
        <v>907.36</v>
      </c>
      <c r="AI17" s="941">
        <f>Gas!E22</f>
        <v>263.89999999999998</v>
      </c>
      <c r="AJ17" s="941">
        <f>Gas!G22</f>
        <v>83</v>
      </c>
      <c r="AK17" s="928">
        <f>Elect!BM21</f>
        <v>12</v>
      </c>
    </row>
    <row r="18" spans="1:37" ht="12.75" customHeight="1">
      <c r="A18" s="938" t="s">
        <v>11</v>
      </c>
      <c r="B18" s="933">
        <f t="shared" si="0"/>
        <v>17</v>
      </c>
      <c r="C18" s="936">
        <v>3</v>
      </c>
      <c r="D18" s="937">
        <v>2020</v>
      </c>
      <c r="E18" s="959"/>
      <c r="F18" s="921">
        <f>Elect!J22</f>
        <v>6294</v>
      </c>
      <c r="G18" s="921">
        <f>Elect!K22</f>
        <v>3971</v>
      </c>
      <c r="H18" s="921">
        <f>Elect!Q22</f>
        <v>630</v>
      </c>
      <c r="I18" s="921">
        <f>Elect!W22</f>
        <v>168</v>
      </c>
      <c r="J18" s="921">
        <f>Elect!Y22</f>
        <v>329</v>
      </c>
      <c r="K18" s="921">
        <f>Elect!AA22</f>
        <v>0</v>
      </c>
      <c r="L18" s="921">
        <f>Elect!AC22</f>
        <v>0</v>
      </c>
      <c r="M18" s="941">
        <f>Elect!AE22</f>
        <v>0</v>
      </c>
      <c r="N18" s="941">
        <f>Elect!AG22</f>
        <v>1188.26</v>
      </c>
      <c r="O18" s="941">
        <f>Elect!AI22</f>
        <v>138.33000000000001</v>
      </c>
      <c r="P18" s="941">
        <f>Elect!AK22</f>
        <v>2006.5800000000002</v>
      </c>
      <c r="Q18" s="941">
        <f>Elect!AN22</f>
        <v>38</v>
      </c>
      <c r="R18" s="941">
        <f>Elect!AP22</f>
        <v>316</v>
      </c>
      <c r="S18" s="941">
        <f>Elect!AR22</f>
        <v>24.09</v>
      </c>
      <c r="T18" s="941">
        <f>Elect!AT22</f>
        <v>237</v>
      </c>
      <c r="U18" s="941">
        <f>Elect!AV22</f>
        <v>663</v>
      </c>
      <c r="V18" s="941">
        <f>Elect!AX22</f>
        <v>49</v>
      </c>
      <c r="W18" s="941">
        <f>Elect!AZ22</f>
        <v>4156</v>
      </c>
      <c r="X18" s="941">
        <f>Elect!BB22</f>
        <v>5062.3999999999996</v>
      </c>
      <c r="Y18" s="941">
        <f>Elect!BE22</f>
        <v>0</v>
      </c>
      <c r="Z18" s="941">
        <f>Elect!BG22</f>
        <v>941</v>
      </c>
      <c r="AA18" s="941">
        <f>Elect!BI22</f>
        <v>124</v>
      </c>
      <c r="AB18" s="941">
        <f>Elect!BK22</f>
        <v>219</v>
      </c>
      <c r="AC18" s="941"/>
      <c r="AD18" s="941">
        <f>Water!C23</f>
        <v>77.140000000016869</v>
      </c>
      <c r="AE18" s="941">
        <f>Water!E23</f>
        <v>0</v>
      </c>
      <c r="AF18" s="941">
        <f>Water!G23</f>
        <v>1.7399999999999998</v>
      </c>
      <c r="AG18" s="941"/>
      <c r="AH18" s="941">
        <f>Gas!C23</f>
        <v>960.36</v>
      </c>
      <c r="AI18" s="941">
        <f>Gas!E23</f>
        <v>251.99999999999997</v>
      </c>
      <c r="AJ18" s="941">
        <f>Gas!G23</f>
        <v>90</v>
      </c>
      <c r="AK18" s="928">
        <f>Elect!BM22</f>
        <v>38</v>
      </c>
    </row>
    <row r="19" spans="1:37" ht="12.75" customHeight="1">
      <c r="A19" s="938" t="s">
        <v>11</v>
      </c>
      <c r="B19" s="933">
        <f t="shared" si="0"/>
        <v>18</v>
      </c>
      <c r="C19" s="936">
        <v>3</v>
      </c>
      <c r="D19" s="937">
        <v>2020</v>
      </c>
      <c r="E19" s="959"/>
      <c r="F19" s="921">
        <f>Elect!J23</f>
        <v>3292</v>
      </c>
      <c r="G19" s="921">
        <f>Elect!K23</f>
        <v>3023</v>
      </c>
      <c r="H19" s="921">
        <f>Elect!Q23</f>
        <v>450</v>
      </c>
      <c r="I19" s="921">
        <f>Elect!W23</f>
        <v>131</v>
      </c>
      <c r="J19" s="921">
        <f>Elect!Y23</f>
        <v>254</v>
      </c>
      <c r="K19" s="921">
        <f>Elect!AA23</f>
        <v>0</v>
      </c>
      <c r="L19" s="921">
        <f>Elect!AC23</f>
        <v>0</v>
      </c>
      <c r="M19" s="941">
        <f>Elect!AE23</f>
        <v>0</v>
      </c>
      <c r="N19" s="941">
        <f>Elect!AG23</f>
        <v>1323.94</v>
      </c>
      <c r="O19" s="941">
        <f>Elect!AI23</f>
        <v>147.87</v>
      </c>
      <c r="P19" s="941">
        <f>Elect!AK23</f>
        <v>1334.54</v>
      </c>
      <c r="Q19" s="941">
        <f>Elect!AN23</f>
        <v>37</v>
      </c>
      <c r="R19" s="941">
        <f>Elect!AP23</f>
        <v>222</v>
      </c>
      <c r="S19" s="941">
        <f>Elect!AR23</f>
        <v>18.920000000000002</v>
      </c>
      <c r="T19" s="941">
        <f>Elect!AT23</f>
        <v>101</v>
      </c>
      <c r="U19" s="941">
        <f>Elect!AV23</f>
        <v>482</v>
      </c>
      <c r="V19" s="941">
        <f>Elect!AX23</f>
        <v>46</v>
      </c>
      <c r="W19" s="941">
        <f>Elect!AZ23</f>
        <v>4181</v>
      </c>
      <c r="X19" s="941">
        <f>Elect!BB23</f>
        <v>4348</v>
      </c>
      <c r="Y19" s="941">
        <f>Elect!BE23</f>
        <v>0</v>
      </c>
      <c r="Z19" s="941">
        <f>Elect!BG23</f>
        <v>815</v>
      </c>
      <c r="AA19" s="941">
        <f>Elect!BI23</f>
        <v>124</v>
      </c>
      <c r="AB19" s="941">
        <f>Elect!BK23</f>
        <v>194</v>
      </c>
      <c r="AC19" s="941"/>
      <c r="AD19" s="941">
        <f>Water!C24</f>
        <v>79.459999999983111</v>
      </c>
      <c r="AE19" s="941">
        <f>Water!E24</f>
        <v>0</v>
      </c>
      <c r="AF19" s="941">
        <f>Water!G24</f>
        <v>0</v>
      </c>
      <c r="AG19" s="941"/>
      <c r="AH19" s="941">
        <f>Gas!C24</f>
        <v>949.76</v>
      </c>
      <c r="AI19" s="941">
        <f>Gas!E24</f>
        <v>244.29999999999998</v>
      </c>
      <c r="AJ19" s="941">
        <f>Gas!G24</f>
        <v>89</v>
      </c>
      <c r="AK19" s="928">
        <f>Elect!BM23</f>
        <v>25</v>
      </c>
    </row>
    <row r="20" spans="1:37" ht="12.75" customHeight="1">
      <c r="A20" s="938" t="s">
        <v>11</v>
      </c>
      <c r="B20" s="933">
        <f t="shared" si="0"/>
        <v>19</v>
      </c>
      <c r="C20" s="936">
        <v>3</v>
      </c>
      <c r="D20" s="937">
        <v>2020</v>
      </c>
      <c r="E20" s="959"/>
      <c r="F20" s="921">
        <f>Elect!J24</f>
        <v>3889</v>
      </c>
      <c r="G20" s="921">
        <f>Elect!K24</f>
        <v>2327</v>
      </c>
      <c r="H20" s="921">
        <f>Elect!Q24</f>
        <v>510</v>
      </c>
      <c r="I20" s="921">
        <f>Elect!W24</f>
        <v>147</v>
      </c>
      <c r="J20" s="921">
        <f>Elect!Y24</f>
        <v>286</v>
      </c>
      <c r="K20" s="921">
        <f>Elect!AA24</f>
        <v>0</v>
      </c>
      <c r="L20" s="921">
        <f>Elect!AC24</f>
        <v>1397.0800000000002</v>
      </c>
      <c r="M20" s="941">
        <f>Elect!AE24</f>
        <v>0</v>
      </c>
      <c r="N20" s="941">
        <f>Elect!AG24</f>
        <v>0</v>
      </c>
      <c r="O20" s="941">
        <f>Elect!AI24</f>
        <v>186.56</v>
      </c>
      <c r="P20" s="941">
        <f>Elect!AK24</f>
        <v>2179.36</v>
      </c>
      <c r="Q20" s="941">
        <f>Elect!AN24</f>
        <v>28</v>
      </c>
      <c r="R20" s="941">
        <f>Elect!AP24</f>
        <v>162</v>
      </c>
      <c r="S20" s="941">
        <f>Elect!AR24</f>
        <v>21.12</v>
      </c>
      <c r="T20" s="941">
        <f>Elect!AT24</f>
        <v>143</v>
      </c>
      <c r="U20" s="941">
        <f>Elect!AV24</f>
        <v>639</v>
      </c>
      <c r="V20" s="941">
        <f>Elect!AX24</f>
        <v>34</v>
      </c>
      <c r="W20" s="941">
        <f>Elect!AZ24</f>
        <v>3559</v>
      </c>
      <c r="X20" s="941">
        <f>Elect!BB24</f>
        <v>4409.7</v>
      </c>
      <c r="Y20" s="941">
        <f>Elect!BE24</f>
        <v>0</v>
      </c>
      <c r="Z20" s="941">
        <f>Elect!BG24</f>
        <v>883</v>
      </c>
      <c r="AA20" s="941">
        <f>Elect!BI24</f>
        <v>121</v>
      </c>
      <c r="AB20" s="941">
        <f>Elect!BK24</f>
        <v>199</v>
      </c>
      <c r="AC20" s="941"/>
      <c r="AD20" s="941">
        <f>Water!C25</f>
        <v>81.199999999999989</v>
      </c>
      <c r="AE20" s="941">
        <f>Water!E25</f>
        <v>5.8</v>
      </c>
      <c r="AF20" s="941">
        <f>Water!G25</f>
        <v>0</v>
      </c>
      <c r="AG20" s="941"/>
      <c r="AH20" s="941">
        <f>Gas!C25</f>
        <v>536.36</v>
      </c>
      <c r="AI20" s="941">
        <f>Gas!E25</f>
        <v>194.6</v>
      </c>
      <c r="AJ20" s="941">
        <f>Gas!G25</f>
        <v>87</v>
      </c>
      <c r="AK20" s="928">
        <f>Elect!BM24</f>
        <v>18</v>
      </c>
    </row>
    <row r="21" spans="1:37" ht="12.75" customHeight="1">
      <c r="A21" s="938" t="s">
        <v>11</v>
      </c>
      <c r="B21" s="933">
        <f t="shared" si="0"/>
        <v>20</v>
      </c>
      <c r="C21" s="936">
        <v>3</v>
      </c>
      <c r="D21" s="937">
        <v>2020</v>
      </c>
      <c r="E21" s="959"/>
      <c r="F21" s="921">
        <f>Elect!J25</f>
        <v>3720</v>
      </c>
      <c r="G21" s="921">
        <f>Elect!K25</f>
        <v>2205</v>
      </c>
      <c r="H21" s="921">
        <f>Elect!Q25</f>
        <v>420</v>
      </c>
      <c r="I21" s="921">
        <f>Elect!W25</f>
        <v>145</v>
      </c>
      <c r="J21" s="921">
        <f>Elect!Y25</f>
        <v>264</v>
      </c>
      <c r="K21" s="921">
        <f>Elect!AA25</f>
        <v>0</v>
      </c>
      <c r="L21" s="921">
        <f>Elect!AC25</f>
        <v>863.90000000000009</v>
      </c>
      <c r="M21" s="941">
        <f>Elect!AE25</f>
        <v>0</v>
      </c>
      <c r="N21" s="941">
        <f>Elect!AG25</f>
        <v>248.04000000000002</v>
      </c>
      <c r="O21" s="941">
        <f>Elect!AI25</f>
        <v>110.77000000000001</v>
      </c>
      <c r="P21" s="941">
        <f>Elect!AK25</f>
        <v>1697.0600000000002</v>
      </c>
      <c r="Q21" s="941">
        <f>Elect!AN25</f>
        <v>29</v>
      </c>
      <c r="R21" s="941">
        <f>Elect!AP25</f>
        <v>83</v>
      </c>
      <c r="S21" s="941">
        <f>Elect!AR25</f>
        <v>19.690000000000001</v>
      </c>
      <c r="T21" s="941">
        <f>Elect!AT25</f>
        <v>105</v>
      </c>
      <c r="U21" s="941">
        <f>Elect!AV25</f>
        <v>452</v>
      </c>
      <c r="V21" s="941">
        <f>Elect!AX25</f>
        <v>21</v>
      </c>
      <c r="W21" s="941">
        <f>Elect!AZ25</f>
        <v>3419</v>
      </c>
      <c r="X21" s="941">
        <f>Elect!BB25</f>
        <v>4520.8</v>
      </c>
      <c r="Y21" s="941">
        <f>Elect!BE25</f>
        <v>0</v>
      </c>
      <c r="Z21" s="941">
        <f>Elect!BG25</f>
        <v>932</v>
      </c>
      <c r="AA21" s="941">
        <f>Elect!BI25</f>
        <v>110</v>
      </c>
      <c r="AB21" s="941">
        <f>Elect!BK25</f>
        <v>209</v>
      </c>
      <c r="AC21" s="941"/>
      <c r="AD21" s="941">
        <f>Water!C26</f>
        <v>115.99999999999999</v>
      </c>
      <c r="AE21" s="941">
        <f>Water!E26</f>
        <v>0</v>
      </c>
      <c r="AF21" s="941">
        <f>Water!G26</f>
        <v>0</v>
      </c>
      <c r="AG21" s="941"/>
      <c r="AH21" s="941">
        <f>Gas!C26</f>
        <v>599.96</v>
      </c>
      <c r="AI21" s="941">
        <f>Gas!E26</f>
        <v>278.59999999999997</v>
      </c>
      <c r="AJ21" s="941">
        <f>Gas!G26</f>
        <v>91</v>
      </c>
      <c r="AK21" s="928">
        <f>Elect!BM25</f>
        <v>3</v>
      </c>
    </row>
    <row r="22" spans="1:37" ht="12.75" customHeight="1">
      <c r="A22" s="938" t="s">
        <v>11</v>
      </c>
      <c r="B22" s="933">
        <f t="shared" si="0"/>
        <v>21</v>
      </c>
      <c r="C22" s="936">
        <v>3</v>
      </c>
      <c r="D22" s="937">
        <v>2020</v>
      </c>
      <c r="E22" s="959"/>
      <c r="F22" s="921">
        <f>Elect!J26</f>
        <v>4409</v>
      </c>
      <c r="G22" s="921">
        <f>Elect!K26</f>
        <v>1977</v>
      </c>
      <c r="H22" s="921">
        <f>Elect!Q26</f>
        <v>270</v>
      </c>
      <c r="I22" s="921">
        <f>Elect!W26</f>
        <v>149</v>
      </c>
      <c r="J22" s="921">
        <f>Elect!Y26</f>
        <v>259</v>
      </c>
      <c r="K22" s="921">
        <f>Elect!AA26</f>
        <v>0</v>
      </c>
      <c r="L22" s="921">
        <f>Elect!AC26</f>
        <v>956.12</v>
      </c>
      <c r="M22" s="941">
        <f>Elect!AE26</f>
        <v>0</v>
      </c>
      <c r="N22" s="941">
        <f>Elect!AG26</f>
        <v>0</v>
      </c>
      <c r="O22" s="941">
        <f>Elect!AI26</f>
        <v>118.19000000000001</v>
      </c>
      <c r="P22" s="941">
        <f>Elect!AK26</f>
        <v>1652.01</v>
      </c>
      <c r="Q22" s="941">
        <f>Elect!AN26</f>
        <v>26</v>
      </c>
      <c r="R22" s="941">
        <f>Elect!AP26</f>
        <v>96</v>
      </c>
      <c r="S22" s="941">
        <f>Elect!AR26</f>
        <v>20.02</v>
      </c>
      <c r="T22" s="941">
        <f>Elect!AT26</f>
        <v>125</v>
      </c>
      <c r="U22" s="941">
        <f>Elect!AV26</f>
        <v>329</v>
      </c>
      <c r="V22" s="941">
        <f>Elect!AX26</f>
        <v>27</v>
      </c>
      <c r="W22" s="941">
        <f>Elect!AZ26</f>
        <v>3072</v>
      </c>
      <c r="X22" s="941">
        <f>Elect!BB26</f>
        <v>4126.6000000000004</v>
      </c>
      <c r="Y22" s="941">
        <f>Elect!BE26</f>
        <v>0</v>
      </c>
      <c r="Z22" s="941">
        <f>Elect!BG26</f>
        <v>859</v>
      </c>
      <c r="AA22" s="941">
        <f>Elect!BI26</f>
        <v>90</v>
      </c>
      <c r="AB22" s="941">
        <f>Elect!BK26</f>
        <v>161</v>
      </c>
      <c r="AC22" s="941"/>
      <c r="AD22" s="941">
        <f>Water!C27</f>
        <v>110.19999999999999</v>
      </c>
      <c r="AE22" s="941">
        <f>Water!E27</f>
        <v>11.6</v>
      </c>
      <c r="AF22" s="941">
        <f>Water!G27</f>
        <v>0</v>
      </c>
      <c r="AG22" s="941"/>
      <c r="AH22" s="941">
        <f>Gas!C27</f>
        <v>531.06000000000006</v>
      </c>
      <c r="AI22" s="941">
        <f>Gas!E27</f>
        <v>257.59999999999997</v>
      </c>
      <c r="AJ22" s="941">
        <f>Gas!G27</f>
        <v>82</v>
      </c>
      <c r="AK22" s="928">
        <f>Elect!BM26</f>
        <v>2</v>
      </c>
    </row>
    <row r="23" spans="1:37" ht="12.75" customHeight="1">
      <c r="A23" s="938" t="s">
        <v>11</v>
      </c>
      <c r="B23" s="933">
        <f t="shared" si="0"/>
        <v>22</v>
      </c>
      <c r="C23" s="936">
        <v>3</v>
      </c>
      <c r="D23" s="937">
        <v>2020</v>
      </c>
      <c r="E23" s="959"/>
      <c r="F23" s="921">
        <f>Elect!J27</f>
        <v>2372</v>
      </c>
      <c r="G23" s="921">
        <f>Elect!K27</f>
        <v>1460</v>
      </c>
      <c r="H23" s="921">
        <f>Elect!Q27</f>
        <v>240</v>
      </c>
      <c r="I23" s="921">
        <f>Elect!W27</f>
        <v>137</v>
      </c>
      <c r="J23" s="921">
        <f>Elect!Y27</f>
        <v>268</v>
      </c>
      <c r="K23" s="921">
        <f>Elect!AA27</f>
        <v>0</v>
      </c>
      <c r="L23" s="921">
        <f>Elect!AC27</f>
        <v>949.23</v>
      </c>
      <c r="M23" s="941">
        <f>Elect!AE27</f>
        <v>0</v>
      </c>
      <c r="N23" s="941">
        <f>Elect!AG27</f>
        <v>0</v>
      </c>
      <c r="O23" s="941">
        <f>Elect!AI27</f>
        <v>102.29</v>
      </c>
      <c r="P23" s="941">
        <f>Elect!AK27</f>
        <v>641.83000000000004</v>
      </c>
      <c r="Q23" s="941">
        <f>Elect!AN27</f>
        <v>26</v>
      </c>
      <c r="R23" s="941">
        <f>Elect!AP27</f>
        <v>53</v>
      </c>
      <c r="S23" s="941">
        <f>Elect!AR27</f>
        <v>19.47</v>
      </c>
      <c r="T23" s="941">
        <f>Elect!AT27</f>
        <v>123</v>
      </c>
      <c r="U23" s="941">
        <f>Elect!AV27</f>
        <v>319</v>
      </c>
      <c r="V23" s="941">
        <f>Elect!AX27</f>
        <v>25</v>
      </c>
      <c r="W23" s="941">
        <f>Elect!AZ27</f>
        <v>3992</v>
      </c>
      <c r="X23" s="941">
        <f>Elect!BB27</f>
        <v>3476.7</v>
      </c>
      <c r="Y23" s="941">
        <f>Elect!BE27</f>
        <v>0</v>
      </c>
      <c r="Z23" s="941">
        <f>Elect!BG27</f>
        <v>723</v>
      </c>
      <c r="AA23" s="941">
        <f>Elect!BI27</f>
        <v>101</v>
      </c>
      <c r="AB23" s="941">
        <f>Elect!BK27</f>
        <v>198</v>
      </c>
      <c r="AC23" s="941"/>
      <c r="AD23" s="941">
        <f>Water!C28</f>
        <v>121.8</v>
      </c>
      <c r="AE23" s="941">
        <f>Water!E28</f>
        <v>0</v>
      </c>
      <c r="AF23" s="941">
        <f>Water!G28</f>
        <v>0</v>
      </c>
      <c r="AG23" s="941"/>
      <c r="AH23" s="941">
        <f>Gas!C28</f>
        <v>509.86</v>
      </c>
      <c r="AI23" s="941">
        <f>Gas!E28</f>
        <v>244.29999999999998</v>
      </c>
      <c r="AJ23" s="941">
        <f>Gas!G28</f>
        <v>71</v>
      </c>
      <c r="AK23" s="928">
        <f>Elect!BM27</f>
        <v>2</v>
      </c>
    </row>
    <row r="24" spans="1:37" ht="12.75" customHeight="1">
      <c r="A24" s="938" t="s">
        <v>11</v>
      </c>
      <c r="B24" s="933">
        <f t="shared" si="0"/>
        <v>23</v>
      </c>
      <c r="C24" s="936">
        <v>3</v>
      </c>
      <c r="D24" s="937">
        <v>2020</v>
      </c>
      <c r="E24" s="959"/>
      <c r="F24" s="921">
        <f>Elect!J28</f>
        <v>1673</v>
      </c>
      <c r="G24" s="921">
        <f>Elect!K28</f>
        <v>1591</v>
      </c>
      <c r="H24" s="921">
        <f>Elect!Q28</f>
        <v>630</v>
      </c>
      <c r="I24" s="921">
        <f>Elect!W28</f>
        <v>123</v>
      </c>
      <c r="J24" s="921">
        <f>Elect!Y28</f>
        <v>211</v>
      </c>
      <c r="K24" s="921">
        <f>Elect!AA28</f>
        <v>0</v>
      </c>
      <c r="L24" s="921">
        <f>Elect!AC28</f>
        <v>0</v>
      </c>
      <c r="M24" s="941">
        <f>Elect!AE28</f>
        <v>611.62</v>
      </c>
      <c r="N24" s="941">
        <f>Elect!AG28</f>
        <v>0</v>
      </c>
      <c r="O24" s="941">
        <f>Elect!AI28</f>
        <v>104.94000000000001</v>
      </c>
      <c r="P24" s="941">
        <f>Elect!AK28</f>
        <v>1235.43</v>
      </c>
      <c r="Q24" s="941">
        <f>Elect!AN28</f>
        <v>20</v>
      </c>
      <c r="R24" s="941">
        <f>Elect!AP28</f>
        <v>73</v>
      </c>
      <c r="S24" s="941">
        <f>Elect!AR28</f>
        <v>21.78</v>
      </c>
      <c r="T24" s="941">
        <f>Elect!AT28</f>
        <v>110</v>
      </c>
      <c r="U24" s="941">
        <f>Elect!AV28</f>
        <v>378</v>
      </c>
      <c r="V24" s="941">
        <f>Elect!AX28</f>
        <v>33</v>
      </c>
      <c r="W24" s="941">
        <f>Elect!AZ28</f>
        <v>2897</v>
      </c>
      <c r="X24" s="941">
        <f>Elect!BB28</f>
        <v>3589.8</v>
      </c>
      <c r="Y24" s="941">
        <f>Elect!BE28</f>
        <v>0</v>
      </c>
      <c r="Z24" s="941">
        <f>Elect!BG28</f>
        <v>847</v>
      </c>
      <c r="AA24" s="941">
        <f>Elect!BI28</f>
        <v>84</v>
      </c>
      <c r="AB24" s="941">
        <f>Elect!BK28</f>
        <v>187</v>
      </c>
      <c r="AC24" s="941"/>
      <c r="AD24" s="941">
        <f>Water!C29</f>
        <v>110.19999999999999</v>
      </c>
      <c r="AE24" s="941">
        <f>Water!E29</f>
        <v>0</v>
      </c>
      <c r="AF24" s="941">
        <f>Water!G29</f>
        <v>0</v>
      </c>
      <c r="AG24" s="941"/>
      <c r="AH24" s="941">
        <f>Gas!C29</f>
        <v>253.34</v>
      </c>
      <c r="AI24" s="941">
        <f>Gas!E29</f>
        <v>173.6</v>
      </c>
      <c r="AJ24" s="941">
        <f>Gas!G29</f>
        <v>0</v>
      </c>
      <c r="AK24" s="928">
        <f>Elect!BM28</f>
        <v>2</v>
      </c>
    </row>
    <row r="25" spans="1:37" ht="12.75" customHeight="1">
      <c r="A25" s="938" t="s">
        <v>11</v>
      </c>
      <c r="B25" s="933">
        <f t="shared" si="0"/>
        <v>24</v>
      </c>
      <c r="C25" s="936">
        <v>3</v>
      </c>
      <c r="D25" s="937">
        <v>2020</v>
      </c>
      <c r="E25" s="959"/>
      <c r="F25" s="921">
        <f>Elect!J29</f>
        <v>2027</v>
      </c>
      <c r="G25" s="921">
        <f>Elect!K29</f>
        <v>1409</v>
      </c>
      <c r="H25" s="921">
        <f>Elect!Q29</f>
        <v>300</v>
      </c>
      <c r="I25" s="921">
        <f>Elect!W29</f>
        <v>122</v>
      </c>
      <c r="J25" s="921">
        <f>Elect!Y29</f>
        <v>217</v>
      </c>
      <c r="K25" s="921">
        <f>Elect!AA29</f>
        <v>0</v>
      </c>
      <c r="L25" s="921">
        <f>Elect!AC29</f>
        <v>1117.77</v>
      </c>
      <c r="M25" s="941">
        <f>Elect!AE29</f>
        <v>0</v>
      </c>
      <c r="N25" s="941">
        <f>Elect!AG29</f>
        <v>0</v>
      </c>
      <c r="O25" s="941">
        <f>Elect!AI29</f>
        <v>179.14000000000001</v>
      </c>
      <c r="P25" s="941">
        <f>Elect!AK29</f>
        <v>1277.3</v>
      </c>
      <c r="Q25" s="941">
        <f>Elect!AN29</f>
        <v>11</v>
      </c>
      <c r="R25" s="941">
        <f>Elect!AP29</f>
        <v>58</v>
      </c>
      <c r="S25" s="941">
        <f>Elect!AR29</f>
        <v>9.35</v>
      </c>
      <c r="T25" s="941">
        <f>Elect!AT29</f>
        <v>47</v>
      </c>
      <c r="U25" s="941">
        <f>Elect!AV29</f>
        <v>322</v>
      </c>
      <c r="V25" s="941">
        <f>Elect!AX29</f>
        <v>29</v>
      </c>
      <c r="W25" s="941">
        <f>Elect!AZ29</f>
        <v>2463</v>
      </c>
      <c r="X25" s="941">
        <f>Elect!BB29</f>
        <v>3471.9</v>
      </c>
      <c r="Y25" s="941">
        <f>Elect!BE29</f>
        <v>0</v>
      </c>
      <c r="Z25" s="941">
        <f>Elect!BG29</f>
        <v>861</v>
      </c>
      <c r="AA25" s="941">
        <f>Elect!BI29</f>
        <v>83</v>
      </c>
      <c r="AB25" s="941">
        <f>Elect!BK29</f>
        <v>192</v>
      </c>
      <c r="AC25" s="941"/>
      <c r="AD25" s="941">
        <f>Water!C30</f>
        <v>127.6</v>
      </c>
      <c r="AE25" s="941">
        <f>Water!E30</f>
        <v>11.6</v>
      </c>
      <c r="AF25" s="941">
        <f>Water!G30</f>
        <v>0</v>
      </c>
      <c r="AG25" s="941"/>
      <c r="AH25" s="941">
        <f>Gas!C30</f>
        <v>213.06</v>
      </c>
      <c r="AI25" s="941">
        <f>Gas!E30</f>
        <v>103.6</v>
      </c>
      <c r="AJ25" s="941">
        <f>Gas!G30</f>
        <v>0</v>
      </c>
      <c r="AK25" s="928">
        <f>Elect!BM29</f>
        <v>2</v>
      </c>
    </row>
    <row r="26" spans="1:37" ht="12.75" customHeight="1">
      <c r="A26" s="938" t="s">
        <v>11</v>
      </c>
      <c r="B26" s="933">
        <f>B25+1</f>
        <v>25</v>
      </c>
      <c r="C26" s="936">
        <v>3</v>
      </c>
      <c r="D26" s="937">
        <v>2020</v>
      </c>
      <c r="E26" s="959"/>
      <c r="F26" s="921">
        <f>Elect!J30</f>
        <v>2127</v>
      </c>
      <c r="G26" s="921">
        <f>Elect!K30</f>
        <v>1552</v>
      </c>
      <c r="H26" s="921">
        <f>Elect!Q30</f>
        <v>180</v>
      </c>
      <c r="I26" s="921">
        <f>Elect!W30</f>
        <v>156</v>
      </c>
      <c r="J26" s="921">
        <f>Elect!Y30</f>
        <v>257</v>
      </c>
      <c r="K26" s="921">
        <f>Elect!AA30</f>
        <v>0</v>
      </c>
      <c r="L26" s="921">
        <f>Elect!AC30</f>
        <v>0</v>
      </c>
      <c r="M26" s="941">
        <f>Elect!AE30</f>
        <v>1820.5500000000002</v>
      </c>
      <c r="N26" s="941">
        <f>Elect!AG30</f>
        <v>0</v>
      </c>
      <c r="O26" s="941">
        <f>Elect!AI30</f>
        <v>146.81</v>
      </c>
      <c r="P26" s="941">
        <f>Elect!AK30</f>
        <v>1620.21</v>
      </c>
      <c r="Q26" s="941">
        <f>Elect!AN30</f>
        <v>13</v>
      </c>
      <c r="R26" s="941">
        <f>Elect!AP30</f>
        <v>44</v>
      </c>
      <c r="S26" s="941">
        <f>Elect!AR30</f>
        <v>10.45</v>
      </c>
      <c r="T26" s="941">
        <f>Elect!AT30</f>
        <v>37</v>
      </c>
      <c r="U26" s="941">
        <f>Elect!AV30</f>
        <v>359</v>
      </c>
      <c r="V26" s="941">
        <f>Elect!AX30</f>
        <v>31</v>
      </c>
      <c r="W26" s="941">
        <f>Elect!AZ30</f>
        <v>2752</v>
      </c>
      <c r="X26" s="941">
        <f>Elect!BB30</f>
        <v>3421.9</v>
      </c>
      <c r="Y26" s="941">
        <f>Elect!BE30</f>
        <v>0</v>
      </c>
      <c r="Z26" s="941">
        <f>Elect!BG30</f>
        <v>971</v>
      </c>
      <c r="AA26" s="941">
        <f>Elect!BI30</f>
        <v>93</v>
      </c>
      <c r="AB26" s="941">
        <f>Elect!BK30</f>
        <v>192</v>
      </c>
      <c r="AC26" s="941"/>
      <c r="AD26" s="941">
        <f>Water!C31</f>
        <v>139.19999999999999</v>
      </c>
      <c r="AE26" s="941">
        <f>Water!E31</f>
        <v>5.8</v>
      </c>
      <c r="AF26" s="941">
        <f>Water!G31</f>
        <v>0</v>
      </c>
      <c r="AG26" s="941"/>
      <c r="AH26" s="941">
        <f>Gas!C31</f>
        <v>202.46</v>
      </c>
      <c r="AI26" s="941">
        <f>Gas!E31</f>
        <v>174.29999999999998</v>
      </c>
      <c r="AJ26" s="941">
        <f>Gas!G31</f>
        <v>0</v>
      </c>
      <c r="AK26" s="928">
        <f>Elect!BM30</f>
        <v>2</v>
      </c>
    </row>
    <row r="27" spans="1:37" ht="12.75" customHeight="1">
      <c r="A27" s="938" t="s">
        <v>11</v>
      </c>
      <c r="B27" s="933">
        <f t="shared" si="0"/>
        <v>26</v>
      </c>
      <c r="C27" s="936">
        <v>3</v>
      </c>
      <c r="D27" s="937">
        <v>2020</v>
      </c>
      <c r="E27" s="959"/>
      <c r="F27" s="921">
        <f>Elect!J31</f>
        <v>1927</v>
      </c>
      <c r="G27" s="921">
        <f>Elect!K31</f>
        <v>1514</v>
      </c>
      <c r="H27" s="921">
        <f>Elect!Q31</f>
        <v>150</v>
      </c>
      <c r="I27" s="921">
        <f>Elect!W31</f>
        <v>138</v>
      </c>
      <c r="J27" s="921">
        <f>Elect!Y31</f>
        <v>239</v>
      </c>
      <c r="K27" s="921">
        <f>Elect!AA31</f>
        <v>0</v>
      </c>
      <c r="L27" s="921">
        <f>Elect!AC31</f>
        <v>2011.3500000000001</v>
      </c>
      <c r="M27" s="941">
        <f>Elect!AE31</f>
        <v>0</v>
      </c>
      <c r="N27" s="941">
        <f>Elect!AG31</f>
        <v>0</v>
      </c>
      <c r="O27" s="941">
        <f>Elect!AI31</f>
        <v>227.9</v>
      </c>
      <c r="P27" s="941">
        <f>Elect!AK31</f>
        <v>2634.1</v>
      </c>
      <c r="Q27" s="941">
        <f>Elect!AN31</f>
        <v>18</v>
      </c>
      <c r="R27" s="941">
        <f>Elect!AP31</f>
        <v>66</v>
      </c>
      <c r="S27" s="941">
        <f>Elect!AR31</f>
        <v>18.149999999999999</v>
      </c>
      <c r="T27" s="941">
        <f>Elect!AT31</f>
        <v>39</v>
      </c>
      <c r="U27" s="941">
        <f>Elect!AV31</f>
        <v>350</v>
      </c>
      <c r="V27" s="941">
        <f>Elect!AX31</f>
        <v>31</v>
      </c>
      <c r="W27" s="941">
        <f>Elect!AZ31</f>
        <v>2680</v>
      </c>
      <c r="X27" s="941">
        <f>Elect!BB31</f>
        <v>3467.4</v>
      </c>
      <c r="Y27" s="941">
        <f>Elect!BE31</f>
        <v>0</v>
      </c>
      <c r="Z27" s="941">
        <f>Elect!BG31</f>
        <v>851</v>
      </c>
      <c r="AA27" s="941">
        <f>Elect!BI31</f>
        <v>90</v>
      </c>
      <c r="AB27" s="941">
        <f>Elect!BK31</f>
        <v>222</v>
      </c>
      <c r="AC27" s="941"/>
      <c r="AD27" s="941">
        <f>Water!C32</f>
        <v>150.79999999999998</v>
      </c>
      <c r="AE27" s="941">
        <f>Water!E32</f>
        <v>5.8</v>
      </c>
      <c r="AF27" s="941">
        <f>Water!G32</f>
        <v>0</v>
      </c>
      <c r="AG27" s="941"/>
      <c r="AH27" s="941">
        <f>Gas!C32</f>
        <v>213.06</v>
      </c>
      <c r="AI27" s="941">
        <f>Gas!E32</f>
        <v>243.6</v>
      </c>
      <c r="AJ27" s="941">
        <f>Gas!G32</f>
        <v>0</v>
      </c>
      <c r="AK27" s="928">
        <f>Elect!BM31</f>
        <v>2</v>
      </c>
    </row>
    <row r="28" spans="1:37" ht="12.75" customHeight="1">
      <c r="A28" s="938" t="s">
        <v>11</v>
      </c>
      <c r="B28" s="933">
        <f t="shared" si="0"/>
        <v>27</v>
      </c>
      <c r="C28" s="936">
        <v>3</v>
      </c>
      <c r="D28" s="937">
        <v>2020</v>
      </c>
      <c r="E28" s="959"/>
      <c r="F28" s="921">
        <f>Elect!J32</f>
        <v>1887</v>
      </c>
      <c r="G28" s="921">
        <f>Elect!K32</f>
        <v>1492</v>
      </c>
      <c r="H28" s="921">
        <f>Elect!Q32</f>
        <v>120</v>
      </c>
      <c r="I28" s="921">
        <f>Elect!W32</f>
        <v>157</v>
      </c>
      <c r="J28" s="921">
        <f>Elect!Y32</f>
        <v>232</v>
      </c>
      <c r="K28" s="921">
        <f>Elect!AA32</f>
        <v>0</v>
      </c>
      <c r="L28" s="921">
        <f>Elect!AC32</f>
        <v>0</v>
      </c>
      <c r="M28" s="941">
        <f>Elect!AE32</f>
        <v>0</v>
      </c>
      <c r="N28" s="941">
        <f>Elect!AG32</f>
        <v>82.15</v>
      </c>
      <c r="O28" s="941">
        <f>Elect!AI32</f>
        <v>299.45</v>
      </c>
      <c r="P28" s="941">
        <f>Elect!AK32</f>
        <v>1472.3400000000001</v>
      </c>
      <c r="Q28" s="941">
        <f>Elect!AN32</f>
        <v>27</v>
      </c>
      <c r="R28" s="941">
        <f>Elect!AP32</f>
        <v>40</v>
      </c>
      <c r="S28" s="941">
        <f>Elect!AR32</f>
        <v>11.55</v>
      </c>
      <c r="T28" s="941">
        <f>Elect!AT32</f>
        <v>33</v>
      </c>
      <c r="U28" s="941">
        <f>Elect!AV32</f>
        <v>278</v>
      </c>
      <c r="V28" s="941">
        <f>Elect!AX32</f>
        <v>24</v>
      </c>
      <c r="W28" s="941">
        <f>Elect!AZ32</f>
        <v>2721</v>
      </c>
      <c r="X28" s="941">
        <f>Elect!BB32</f>
        <v>4093.1000000000004</v>
      </c>
      <c r="Y28" s="941">
        <f>Elect!BE32</f>
        <v>0</v>
      </c>
      <c r="Z28" s="941">
        <f>Elect!BG32</f>
        <v>974</v>
      </c>
      <c r="AA28" s="941">
        <f>Elect!BI32</f>
        <v>95</v>
      </c>
      <c r="AB28" s="941">
        <f>Elect!BK32</f>
        <v>204</v>
      </c>
      <c r="AC28" s="941"/>
      <c r="AD28" s="941">
        <f>Water!C33</f>
        <v>156.6</v>
      </c>
      <c r="AE28" s="941">
        <f>Water!E33</f>
        <v>0</v>
      </c>
      <c r="AF28" s="941">
        <f>Water!G33</f>
        <v>0</v>
      </c>
      <c r="AG28" s="941"/>
      <c r="AH28" s="941">
        <f>Gas!C33</f>
        <v>138.86000000000001</v>
      </c>
      <c r="AI28" s="941">
        <f>Gas!E33</f>
        <v>341.59999999999997</v>
      </c>
      <c r="AJ28" s="941">
        <f>Gas!G33</f>
        <v>0</v>
      </c>
      <c r="AK28" s="928">
        <f>Elect!BM32</f>
        <v>2</v>
      </c>
    </row>
    <row r="29" spans="1:37" ht="12.75" customHeight="1">
      <c r="A29" s="938" t="s">
        <v>11</v>
      </c>
      <c r="B29" s="933">
        <f t="shared" si="0"/>
        <v>28</v>
      </c>
      <c r="C29" s="936">
        <v>3</v>
      </c>
      <c r="D29" s="937">
        <v>2020</v>
      </c>
      <c r="E29" s="959"/>
      <c r="F29" s="921">
        <f>Elect!J33</f>
        <v>2027</v>
      </c>
      <c r="G29" s="921">
        <f>Elect!K33</f>
        <v>1511</v>
      </c>
      <c r="H29" s="921">
        <f>Elect!Q33</f>
        <v>120</v>
      </c>
      <c r="I29" s="921">
        <f>Elect!W33</f>
        <v>122</v>
      </c>
      <c r="J29" s="921">
        <f>Elect!Y33</f>
        <v>45</v>
      </c>
      <c r="K29" s="921">
        <f>Elect!AA33</f>
        <v>0</v>
      </c>
      <c r="L29" s="921">
        <f>Elect!AC33</f>
        <v>0</v>
      </c>
      <c r="M29" s="941">
        <f>Elect!AE33</f>
        <v>630.17000000000007</v>
      </c>
      <c r="N29" s="941">
        <f>Elect!AG33</f>
        <v>321.71000000000004</v>
      </c>
      <c r="O29" s="941">
        <f>Elect!AI33</f>
        <v>221.01000000000002</v>
      </c>
      <c r="P29" s="941">
        <f>Elect!AK33</f>
        <v>1366.3400000000001</v>
      </c>
      <c r="Q29" s="941">
        <f>Elect!AN33</f>
        <v>6</v>
      </c>
      <c r="R29" s="941">
        <f>Elect!AP33</f>
        <v>10</v>
      </c>
      <c r="S29" s="941">
        <f>Elect!AR33</f>
        <v>6.38</v>
      </c>
      <c r="T29" s="941">
        <f>Elect!AT33</f>
        <v>23</v>
      </c>
      <c r="U29" s="941">
        <f>Elect!AV33</f>
        <v>197</v>
      </c>
      <c r="V29" s="941">
        <f>Elect!AX33</f>
        <v>16</v>
      </c>
      <c r="W29" s="941">
        <f>Elect!AZ33</f>
        <v>1511</v>
      </c>
      <c r="X29" s="941">
        <f>Elect!BB33</f>
        <v>2037.3000000000002</v>
      </c>
      <c r="Y29" s="941">
        <f>Elect!BE33</f>
        <v>0</v>
      </c>
      <c r="Z29" s="941">
        <f>Elect!BG33</f>
        <v>527</v>
      </c>
      <c r="AA29" s="941">
        <f>Elect!BI33</f>
        <v>45</v>
      </c>
      <c r="AB29" s="941">
        <f>Elect!BK33</f>
        <v>113</v>
      </c>
      <c r="AC29" s="941"/>
      <c r="AD29" s="941">
        <f>Water!C34</f>
        <v>145</v>
      </c>
      <c r="AE29" s="941">
        <f>Water!E34</f>
        <v>5.8</v>
      </c>
      <c r="AF29" s="941">
        <f>Water!G34</f>
        <v>0</v>
      </c>
      <c r="AG29" s="941"/>
      <c r="AH29" s="941">
        <f>Gas!C34</f>
        <v>201.4</v>
      </c>
      <c r="AI29" s="941">
        <f>Gas!E34</f>
        <v>221.89999999999998</v>
      </c>
      <c r="AJ29" s="941">
        <f>Gas!G34</f>
        <v>0</v>
      </c>
      <c r="AK29" s="928">
        <f>Elect!BM33</f>
        <v>2</v>
      </c>
    </row>
    <row r="30" spans="1:37" ht="12.75" customHeight="1">
      <c r="A30" s="938" t="s">
        <v>11</v>
      </c>
      <c r="B30" s="933">
        <f t="shared" si="0"/>
        <v>29</v>
      </c>
      <c r="C30" s="936">
        <v>3</v>
      </c>
      <c r="D30" s="937">
        <v>2020</v>
      </c>
      <c r="E30" s="959"/>
      <c r="F30" s="921">
        <f>Elect!J34</f>
        <v>1975</v>
      </c>
      <c r="G30" s="921">
        <f>Elect!K34</f>
        <v>1514</v>
      </c>
      <c r="H30" s="921">
        <f>Elect!Q34</f>
        <v>180</v>
      </c>
      <c r="I30" s="921">
        <f>Elect!W34</f>
        <v>106</v>
      </c>
      <c r="J30" s="921">
        <f>Elect!Y34</f>
        <v>210</v>
      </c>
      <c r="K30" s="921">
        <f>Elect!AA34</f>
        <v>0</v>
      </c>
      <c r="L30" s="921">
        <f>Elect!AC34</f>
        <v>0</v>
      </c>
      <c r="M30" s="941">
        <f>Elect!AE34</f>
        <v>1910.65</v>
      </c>
      <c r="N30" s="941">
        <f>Elect!AG34</f>
        <v>0</v>
      </c>
      <c r="O30" s="941">
        <f>Elect!AI34</f>
        <v>173.31</v>
      </c>
      <c r="P30" s="941">
        <f>Elect!AK34</f>
        <v>2160.2800000000002</v>
      </c>
      <c r="Q30" s="941">
        <f>Elect!AN34</f>
        <v>24</v>
      </c>
      <c r="R30" s="941">
        <f>Elect!AP34</f>
        <v>18</v>
      </c>
      <c r="S30" s="941">
        <f>Elect!AR34</f>
        <v>12.32</v>
      </c>
      <c r="T30" s="941">
        <f>Elect!AT34</f>
        <v>33</v>
      </c>
      <c r="U30" s="941">
        <f>Elect!AV34</f>
        <v>333</v>
      </c>
      <c r="V30" s="941">
        <f>Elect!AX34</f>
        <v>30</v>
      </c>
      <c r="W30" s="941">
        <f>Elect!AZ34</f>
        <v>2385</v>
      </c>
      <c r="X30" s="941">
        <f>Elect!BB34</f>
        <v>3801.8</v>
      </c>
      <c r="Y30" s="941">
        <f>Elect!BE34</f>
        <v>0</v>
      </c>
      <c r="Z30" s="941">
        <f>Elect!BG34</f>
        <v>1012</v>
      </c>
      <c r="AA30" s="941">
        <f>Elect!BI34</f>
        <v>84</v>
      </c>
      <c r="AB30" s="941">
        <f>Elect!BK34</f>
        <v>214</v>
      </c>
      <c r="AC30" s="941"/>
      <c r="AD30" s="941">
        <f>Water!C35</f>
        <v>156.6</v>
      </c>
      <c r="AE30" s="941">
        <f>Water!E35</f>
        <v>0</v>
      </c>
      <c r="AF30" s="941">
        <f>Water!G35</f>
        <v>0</v>
      </c>
      <c r="AG30" s="941"/>
      <c r="AH30" s="941">
        <f>Gas!C35</f>
        <v>175.96</v>
      </c>
      <c r="AI30" s="941">
        <f>Gas!E35</f>
        <v>243.6</v>
      </c>
      <c r="AJ30" s="941">
        <f>Gas!G35</f>
        <v>0</v>
      </c>
      <c r="AK30" s="928">
        <f>Elect!BM34</f>
        <v>2</v>
      </c>
    </row>
    <row r="31" spans="1:37" ht="12.75" customHeight="1">
      <c r="A31" s="938" t="s">
        <v>11</v>
      </c>
      <c r="B31" s="933">
        <f t="shared" si="0"/>
        <v>30</v>
      </c>
      <c r="C31" s="936">
        <v>3</v>
      </c>
      <c r="D31" s="937">
        <v>2020</v>
      </c>
      <c r="E31" s="959"/>
      <c r="F31" s="921">
        <f>Elect!J35</f>
        <v>1947</v>
      </c>
      <c r="G31" s="921">
        <f>Elect!K35</f>
        <v>1517</v>
      </c>
      <c r="H31" s="921">
        <f>Elect!Q35</f>
        <v>30</v>
      </c>
      <c r="I31" s="921">
        <f>Elect!W35</f>
        <v>90</v>
      </c>
      <c r="J31" s="921">
        <f>Elect!Y35</f>
        <v>199</v>
      </c>
      <c r="K31" s="921">
        <f>Elect!AA35</f>
        <v>0</v>
      </c>
      <c r="L31" s="921">
        <f>Elect!AC35</f>
        <v>0</v>
      </c>
      <c r="M31" s="941">
        <f>Elect!AE35</f>
        <v>1123.6000000000001</v>
      </c>
      <c r="N31" s="941">
        <f>Elect!AG35</f>
        <v>0</v>
      </c>
      <c r="O31" s="941">
        <f>Elect!AI35</f>
        <v>299.98</v>
      </c>
      <c r="P31" s="941">
        <f>Elect!AK35</f>
        <v>1842.8100000000002</v>
      </c>
      <c r="Q31" s="941">
        <f>Elect!AN35</f>
        <v>48</v>
      </c>
      <c r="R31" s="941">
        <f>Elect!AP35</f>
        <v>16</v>
      </c>
      <c r="S31" s="941">
        <f>Elect!AR35</f>
        <v>7.81</v>
      </c>
      <c r="T31" s="941">
        <f>Elect!AT35</f>
        <v>47</v>
      </c>
      <c r="U31" s="941">
        <f>Elect!AV35</f>
        <v>329</v>
      </c>
      <c r="V31" s="941">
        <f>Elect!AX35</f>
        <v>31</v>
      </c>
      <c r="W31" s="941">
        <f>Elect!AZ35</f>
        <v>1910</v>
      </c>
      <c r="X31" s="941">
        <f>Elect!BB35</f>
        <v>3398.1</v>
      </c>
      <c r="Y31" s="941">
        <f>Elect!BE35</f>
        <v>0</v>
      </c>
      <c r="Z31" s="941">
        <f>Elect!BG35</f>
        <v>974</v>
      </c>
      <c r="AA31" s="941">
        <f>Elect!BI35</f>
        <v>79</v>
      </c>
      <c r="AB31" s="941">
        <f>Elect!BK35</f>
        <v>194</v>
      </c>
      <c r="AC31" s="941"/>
      <c r="AD31" s="941">
        <f>Water!C36</f>
        <v>127.6</v>
      </c>
      <c r="AE31" s="941">
        <f>Water!E36</f>
        <v>5.8</v>
      </c>
      <c r="AF31" s="941">
        <f>Water!G36</f>
        <v>0</v>
      </c>
      <c r="AG31" s="941"/>
      <c r="AH31" s="941">
        <f>Gas!C36</f>
        <v>179.14000000000001</v>
      </c>
      <c r="AI31" s="941">
        <f>Gas!E36</f>
        <v>256.89999999999998</v>
      </c>
      <c r="AJ31" s="941">
        <f>Gas!G36</f>
        <v>0</v>
      </c>
      <c r="AK31" s="928">
        <f>Elect!BM35</f>
        <v>2</v>
      </c>
    </row>
    <row r="32" spans="1:37" ht="12.75" customHeight="1">
      <c r="A32" s="939" t="s">
        <v>11</v>
      </c>
      <c r="B32" s="940">
        <f>B31+1</f>
        <v>31</v>
      </c>
      <c r="C32" s="936">
        <v>3</v>
      </c>
      <c r="D32" s="937">
        <v>2020</v>
      </c>
      <c r="E32" s="960"/>
      <c r="F32" s="921">
        <f>Elect!J36</f>
        <v>1760</v>
      </c>
      <c r="G32" s="921">
        <f>Elect!K36</f>
        <v>391</v>
      </c>
      <c r="H32" s="921">
        <f>Elect!Q36</f>
        <v>30</v>
      </c>
      <c r="I32" s="921">
        <f>Elect!W36</f>
        <v>106</v>
      </c>
      <c r="J32" s="921">
        <f>Elect!Y36</f>
        <v>311</v>
      </c>
      <c r="K32" s="921">
        <f>Elect!AA36</f>
        <v>0</v>
      </c>
      <c r="L32" s="921">
        <f>Elect!AC36</f>
        <v>0</v>
      </c>
      <c r="M32" s="941">
        <f>Elect!AE36</f>
        <v>0</v>
      </c>
      <c r="N32" s="941">
        <f>Elect!AG36</f>
        <v>1097.1000000000001</v>
      </c>
      <c r="O32" s="941">
        <f>Elect!AI36</f>
        <v>372.06</v>
      </c>
      <c r="P32" s="941">
        <f>Elect!AK36</f>
        <v>2212.75</v>
      </c>
      <c r="Q32" s="941">
        <f>Elect!AN36</f>
        <v>22</v>
      </c>
      <c r="R32" s="941">
        <f>Elect!AP36</f>
        <v>6</v>
      </c>
      <c r="S32" s="941">
        <f>Elect!AR36</f>
        <v>4.4000000000000004</v>
      </c>
      <c r="T32" s="941">
        <f>Elect!AT36</f>
        <v>33</v>
      </c>
      <c r="U32" s="941">
        <f>Elect!AV36</f>
        <v>363</v>
      </c>
      <c r="V32" s="941">
        <f>Elect!AX36</f>
        <v>39</v>
      </c>
      <c r="W32" s="941">
        <f>Elect!AZ36</f>
        <v>1855</v>
      </c>
      <c r="X32" s="941">
        <f>Elect!BB36</f>
        <v>3693.7</v>
      </c>
      <c r="Y32" s="941">
        <f>Elect!BE36</f>
        <v>0</v>
      </c>
      <c r="Z32" s="941">
        <f>Elect!BG36</f>
        <v>1073</v>
      </c>
      <c r="AA32" s="941">
        <f>Elect!BI36</f>
        <v>79</v>
      </c>
      <c r="AB32" s="941">
        <f>Elect!BK36</f>
        <v>209</v>
      </c>
      <c r="AC32" s="941"/>
      <c r="AD32" s="941">
        <f>Water!C37</f>
        <v>145</v>
      </c>
      <c r="AE32" s="941">
        <f>Water!E37</f>
        <v>0</v>
      </c>
      <c r="AF32" s="941">
        <f>Water!G37</f>
        <v>0</v>
      </c>
      <c r="AG32" s="941"/>
      <c r="AH32" s="941">
        <f>Gas!C37</f>
        <v>177.02</v>
      </c>
      <c r="AI32" s="941">
        <f>Gas!E37</f>
        <v>254.79999999999998</v>
      </c>
      <c r="AJ32" s="941">
        <f>Gas!G37</f>
        <v>0</v>
      </c>
      <c r="AK32" s="928">
        <f>Elect!BM36</f>
        <v>2</v>
      </c>
    </row>
    <row r="33" spans="34:36">
      <c r="AH33" s="918"/>
      <c r="AI33" s="918"/>
      <c r="AJ33" s="918"/>
    </row>
  </sheetData>
  <sheetProtection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O174"/>
  <sheetViews>
    <sheetView tabSelected="1" view="pageBreakPreview" zoomScale="60" zoomScaleNormal="60" workbookViewId="0">
      <pane xSplit="8" ySplit="4" topLeftCell="BB15" activePane="bottomRight" state="frozen"/>
      <selection pane="bottomRight" activeCell="BM26" sqref="BM26"/>
      <selection pane="bottomLeft" activeCell="G39" sqref="G39"/>
      <selection pane="topRight" activeCell="G39" sqref="G39"/>
    </sheetView>
  </sheetViews>
  <sheetFormatPr defaultColWidth="10.7109375" defaultRowHeight="30.75" customHeight="1"/>
  <cols>
    <col min="1" max="1" width="26.140625" style="195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8" customWidth="1"/>
    <col min="11" max="11" width="15.85546875" style="588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81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70" t="s">
        <v>46</v>
      </c>
      <c r="B1" s="413"/>
      <c r="C1" s="413"/>
      <c r="D1" s="413"/>
      <c r="E1" s="413"/>
      <c r="F1" s="413"/>
      <c r="G1" s="413"/>
      <c r="H1" s="413"/>
      <c r="I1" s="413"/>
      <c r="J1" s="587"/>
      <c r="K1" s="587"/>
      <c r="L1" s="947"/>
      <c r="M1" s="972" t="s">
        <v>14</v>
      </c>
      <c r="N1" s="972"/>
      <c r="O1" s="972"/>
      <c r="P1" s="947"/>
      <c r="Q1" s="972"/>
      <c r="R1" s="972"/>
      <c r="S1" s="972"/>
      <c r="T1" s="947"/>
      <c r="U1" s="579"/>
      <c r="V1" s="579"/>
      <c r="W1" s="579"/>
      <c r="X1" s="579"/>
      <c r="Y1" s="579"/>
      <c r="Z1" s="943"/>
      <c r="AA1" s="943"/>
      <c r="AB1" s="943"/>
      <c r="AC1" s="943"/>
      <c r="AD1" s="943"/>
      <c r="AE1" s="943"/>
      <c r="AF1" s="943"/>
      <c r="AG1" s="943"/>
      <c r="AH1" s="943"/>
      <c r="AI1" s="943"/>
      <c r="AJ1" s="943"/>
      <c r="AK1" s="943"/>
      <c r="AL1" s="943"/>
      <c r="AM1" s="943"/>
      <c r="AN1" s="943"/>
      <c r="AO1" s="943"/>
      <c r="AP1" s="943"/>
      <c r="AQ1" s="943"/>
      <c r="AR1" s="943"/>
      <c r="AS1" s="943"/>
      <c r="AT1" s="943"/>
      <c r="AU1" s="943"/>
      <c r="AV1" s="943"/>
      <c r="AW1" s="943"/>
      <c r="AX1" s="943"/>
      <c r="AY1" s="943"/>
      <c r="AZ1" s="943"/>
      <c r="BA1" s="943"/>
      <c r="BB1" s="943"/>
      <c r="BC1" s="943"/>
      <c r="BD1" s="579"/>
      <c r="BE1" s="579"/>
      <c r="BF1" s="943"/>
      <c r="BG1" s="943"/>
      <c r="BH1" s="573"/>
      <c r="BI1" s="578"/>
      <c r="BJ1" s="574"/>
      <c r="BK1" s="575"/>
      <c r="BL1" s="649" t="s">
        <v>47</v>
      </c>
      <c r="BM1" s="650">
        <v>5.9999999999999995E-4</v>
      </c>
      <c r="BN1" s="651" t="s">
        <v>48</v>
      </c>
      <c r="BO1" s="652"/>
      <c r="BP1" s="653">
        <v>500</v>
      </c>
      <c r="BQ1" s="654" t="s">
        <v>49</v>
      </c>
      <c r="BR1" s="655"/>
      <c r="BS1" s="653">
        <v>0.46</v>
      </c>
      <c r="BT1" s="947"/>
    </row>
    <row r="2" spans="1:86" ht="28.5" customHeight="1" thickBot="1">
      <c r="A2" s="971"/>
      <c r="B2" s="118"/>
      <c r="C2" s="30"/>
      <c r="D2" s="30"/>
      <c r="E2" s="193"/>
      <c r="F2" s="193"/>
      <c r="G2" s="947"/>
      <c r="H2" s="947"/>
      <c r="I2" s="194"/>
      <c r="L2" s="947"/>
      <c r="M2" s="973"/>
      <c r="N2" s="973"/>
      <c r="O2" s="973"/>
      <c r="P2" s="947"/>
      <c r="Q2" s="973"/>
      <c r="R2" s="973"/>
      <c r="S2" s="973"/>
      <c r="T2" s="947"/>
      <c r="U2" s="580"/>
      <c r="V2" s="580"/>
      <c r="W2" s="580"/>
      <c r="X2" s="580"/>
      <c r="Y2" s="580"/>
      <c r="Z2" s="944"/>
      <c r="AA2" s="944"/>
      <c r="AB2" s="944"/>
      <c r="AC2" s="944"/>
      <c r="AD2" s="944"/>
      <c r="AE2" s="944"/>
      <c r="AF2" s="944"/>
      <c r="AG2" s="944"/>
      <c r="AH2" s="944"/>
      <c r="AI2" s="944"/>
      <c r="AJ2" s="944"/>
      <c r="AK2" s="944"/>
      <c r="AL2" s="944"/>
      <c r="AM2" s="944"/>
      <c r="AN2" s="944"/>
      <c r="AO2" s="944"/>
      <c r="AP2" s="944"/>
      <c r="AQ2" s="944"/>
      <c r="AR2" s="944"/>
      <c r="AS2" s="944"/>
      <c r="AT2" s="944"/>
      <c r="AU2" s="944"/>
      <c r="AV2" s="944"/>
      <c r="AW2" s="944"/>
      <c r="AX2" s="944"/>
      <c r="AY2" s="944"/>
      <c r="AZ2" s="944"/>
      <c r="BA2" s="944"/>
      <c r="BB2" s="944"/>
      <c r="BC2" s="944"/>
      <c r="BD2" s="580"/>
      <c r="BE2" s="580"/>
      <c r="BF2" s="944"/>
      <c r="BG2" s="944"/>
      <c r="BH2" s="572"/>
      <c r="BI2" s="570"/>
      <c r="BJ2" s="576"/>
      <c r="BK2" s="577"/>
      <c r="BL2" s="656" t="s">
        <v>50</v>
      </c>
      <c r="BM2" s="657">
        <v>0.03</v>
      </c>
      <c r="BN2" s="651" t="s">
        <v>51</v>
      </c>
      <c r="BO2" s="655"/>
      <c r="BP2" s="658"/>
      <c r="BQ2" s="654" t="s">
        <v>52</v>
      </c>
      <c r="BR2" s="655"/>
      <c r="BS2" s="653">
        <v>30</v>
      </c>
      <c r="BT2" s="947"/>
    </row>
    <row r="3" spans="1:86" s="588" customFormat="1" ht="37.5" customHeight="1">
      <c r="A3" s="964" t="s">
        <v>53</v>
      </c>
      <c r="B3" s="966" t="s">
        <v>54</v>
      </c>
      <c r="C3" s="967"/>
      <c r="D3" s="961" t="s">
        <v>55</v>
      </c>
      <c r="E3" s="961"/>
      <c r="F3" s="961" t="s">
        <v>56</v>
      </c>
      <c r="G3" s="961"/>
      <c r="H3" s="968" t="s">
        <v>57</v>
      </c>
      <c r="I3" s="659" t="s">
        <v>58</v>
      </c>
      <c r="J3" s="589"/>
      <c r="K3" s="948"/>
      <c r="L3" s="961"/>
      <c r="M3" s="961"/>
      <c r="N3" s="961"/>
      <c r="O3" s="961"/>
      <c r="P3" s="961"/>
      <c r="Q3" s="961"/>
      <c r="R3" s="976" t="s">
        <v>59</v>
      </c>
      <c r="S3" s="977"/>
      <c r="T3" s="977"/>
      <c r="U3" s="977"/>
      <c r="V3" s="977"/>
      <c r="W3" s="978"/>
      <c r="X3" s="945"/>
      <c r="Y3" s="945"/>
      <c r="Z3" s="662"/>
      <c r="AA3" s="663"/>
      <c r="AB3" s="663"/>
      <c r="AC3" s="663"/>
      <c r="AD3" s="664" t="s">
        <v>60</v>
      </c>
      <c r="AE3" s="663"/>
      <c r="AF3" s="663"/>
      <c r="AG3" s="663"/>
      <c r="AH3" s="663"/>
      <c r="AI3" s="663"/>
      <c r="AJ3" s="663"/>
      <c r="AK3" s="665"/>
      <c r="AL3" s="665"/>
      <c r="AM3" s="660"/>
      <c r="AN3" s="666"/>
      <c r="AO3" s="666"/>
      <c r="AP3" s="666"/>
      <c r="AQ3" s="666"/>
      <c r="AR3" s="666"/>
      <c r="AS3" s="666"/>
      <c r="AT3" s="666"/>
      <c r="AU3" s="666"/>
      <c r="AV3" s="666"/>
      <c r="AW3" s="667" t="s">
        <v>61</v>
      </c>
      <c r="AX3" s="668"/>
      <c r="AY3" s="666"/>
      <c r="AZ3" s="666"/>
      <c r="BA3" s="666"/>
      <c r="BB3" s="661"/>
      <c r="BC3" s="661"/>
      <c r="BD3" s="840"/>
      <c r="BE3" s="838"/>
      <c r="BF3" s="838"/>
      <c r="BG3" s="838" t="s">
        <v>62</v>
      </c>
      <c r="BH3" s="838"/>
      <c r="BI3" s="838"/>
      <c r="BJ3" s="838"/>
      <c r="BK3" s="839"/>
      <c r="BL3" s="974" t="s">
        <v>63</v>
      </c>
      <c r="BM3" s="949" t="s">
        <v>64</v>
      </c>
      <c r="BN3" s="949" t="s">
        <v>65</v>
      </c>
      <c r="BO3" s="949" t="s">
        <v>64</v>
      </c>
      <c r="BP3" s="949" t="s">
        <v>65</v>
      </c>
      <c r="BQ3" s="961" t="s">
        <v>66</v>
      </c>
      <c r="BR3" s="669" t="s">
        <v>67</v>
      </c>
      <c r="BS3" s="670" t="s">
        <v>67</v>
      </c>
      <c r="BU3" s="595"/>
      <c r="BV3" s="595"/>
      <c r="BW3" s="595"/>
      <c r="BX3" s="595"/>
      <c r="BY3" s="595"/>
      <c r="BZ3" s="595"/>
      <c r="CA3" s="595"/>
      <c r="CB3" s="595"/>
      <c r="CC3" s="595"/>
      <c r="CD3" s="595"/>
      <c r="CE3" s="595"/>
      <c r="CF3" s="595"/>
      <c r="CG3" s="595"/>
      <c r="CH3" s="595"/>
    </row>
    <row r="4" spans="1:86" s="588" customFormat="1" ht="55.5" customHeight="1" thickBot="1">
      <c r="A4" s="965"/>
      <c r="B4" s="671" t="s">
        <v>68</v>
      </c>
      <c r="C4" s="672" t="s">
        <v>69</v>
      </c>
      <c r="D4" s="590" t="s">
        <v>68</v>
      </c>
      <c r="E4" s="672" t="s">
        <v>70</v>
      </c>
      <c r="F4" s="590" t="s">
        <v>71</v>
      </c>
      <c r="G4" s="672" t="s">
        <v>72</v>
      </c>
      <c r="H4" s="969"/>
      <c r="I4" s="673" t="s">
        <v>73</v>
      </c>
      <c r="J4" s="590" t="s">
        <v>74</v>
      </c>
      <c r="K4" s="590" t="s">
        <v>75</v>
      </c>
      <c r="L4" s="946" t="s">
        <v>76</v>
      </c>
      <c r="M4" s="590" t="s">
        <v>74</v>
      </c>
      <c r="N4" s="590" t="s">
        <v>77</v>
      </c>
      <c r="O4" s="590" t="s">
        <v>74</v>
      </c>
      <c r="P4" s="674" t="s">
        <v>78</v>
      </c>
      <c r="Q4" s="946" t="s">
        <v>79</v>
      </c>
      <c r="R4" s="590" t="s">
        <v>80</v>
      </c>
      <c r="S4" s="590" t="s">
        <v>74</v>
      </c>
      <c r="T4" s="837" t="s">
        <v>81</v>
      </c>
      <c r="U4" s="590" t="s">
        <v>74</v>
      </c>
      <c r="V4" s="837" t="s">
        <v>82</v>
      </c>
      <c r="W4" s="590" t="s">
        <v>74</v>
      </c>
      <c r="X4" s="837" t="s">
        <v>83</v>
      </c>
      <c r="Y4" s="590" t="s">
        <v>74</v>
      </c>
      <c r="Z4" s="607" t="s">
        <v>84</v>
      </c>
      <c r="AA4" s="946" t="s">
        <v>85</v>
      </c>
      <c r="AB4" s="607" t="s">
        <v>86</v>
      </c>
      <c r="AC4" s="946" t="s">
        <v>85</v>
      </c>
      <c r="AD4" s="893" t="s">
        <v>87</v>
      </c>
      <c r="AE4" s="946" t="s">
        <v>85</v>
      </c>
      <c r="AF4" s="607" t="s">
        <v>88</v>
      </c>
      <c r="AG4" s="946" t="s">
        <v>85</v>
      </c>
      <c r="AH4" s="607" t="s">
        <v>89</v>
      </c>
      <c r="AI4" s="946" t="s">
        <v>85</v>
      </c>
      <c r="AJ4" s="607" t="s">
        <v>90</v>
      </c>
      <c r="AK4" s="946" t="s">
        <v>85</v>
      </c>
      <c r="AL4" s="674" t="s">
        <v>91</v>
      </c>
      <c r="AM4" s="946" t="s">
        <v>92</v>
      </c>
      <c r="AN4" s="590" t="s">
        <v>74</v>
      </c>
      <c r="AO4" s="946" t="s">
        <v>93</v>
      </c>
      <c r="AP4" s="590" t="s">
        <v>74</v>
      </c>
      <c r="AQ4" s="946" t="s">
        <v>94</v>
      </c>
      <c r="AR4" s="590" t="s">
        <v>74</v>
      </c>
      <c r="AS4" s="946" t="s">
        <v>95</v>
      </c>
      <c r="AT4" s="590" t="s">
        <v>74</v>
      </c>
      <c r="AU4" s="590" t="s">
        <v>96</v>
      </c>
      <c r="AV4" s="590" t="s">
        <v>74</v>
      </c>
      <c r="AW4" s="946" t="s">
        <v>97</v>
      </c>
      <c r="AX4" s="590" t="s">
        <v>74</v>
      </c>
      <c r="AY4" s="590" t="s">
        <v>98</v>
      </c>
      <c r="AZ4" s="590" t="s">
        <v>74</v>
      </c>
      <c r="BA4" s="590" t="s">
        <v>99</v>
      </c>
      <c r="BB4" s="590" t="s">
        <v>74</v>
      </c>
      <c r="BC4" s="674" t="s">
        <v>100</v>
      </c>
      <c r="BD4" s="946" t="s">
        <v>101</v>
      </c>
      <c r="BE4" s="590" t="s">
        <v>74</v>
      </c>
      <c r="BF4" s="590" t="s">
        <v>102</v>
      </c>
      <c r="BG4" s="590" t="s">
        <v>74</v>
      </c>
      <c r="BH4" s="590" t="s">
        <v>103</v>
      </c>
      <c r="BI4" s="590" t="s">
        <v>74</v>
      </c>
      <c r="BJ4" s="590" t="s">
        <v>104</v>
      </c>
      <c r="BK4" s="590" t="s">
        <v>74</v>
      </c>
      <c r="BL4" s="975"/>
      <c r="BM4" s="590" t="s">
        <v>105</v>
      </c>
      <c r="BN4" s="590" t="s">
        <v>106</v>
      </c>
      <c r="BO4" s="590" t="s">
        <v>107</v>
      </c>
      <c r="BP4" s="590" t="s">
        <v>107</v>
      </c>
      <c r="BQ4" s="962"/>
      <c r="BR4" s="675" t="s">
        <v>108</v>
      </c>
      <c r="BS4" s="676" t="s">
        <v>109</v>
      </c>
      <c r="BT4" s="595"/>
      <c r="BU4" s="595"/>
      <c r="BV4" s="595"/>
      <c r="BW4" s="595"/>
      <c r="BX4" s="595"/>
      <c r="BY4" s="595"/>
      <c r="BZ4" s="595"/>
      <c r="CA4" s="595"/>
      <c r="CB4" s="595"/>
      <c r="CC4" s="595"/>
      <c r="CD4" s="595"/>
      <c r="CE4" s="595"/>
      <c r="CF4" s="595"/>
      <c r="CG4" s="595"/>
      <c r="CH4" s="595"/>
    </row>
    <row r="5" spans="1:86" s="414" customFormat="1" ht="39" customHeight="1">
      <c r="A5" s="568" t="s">
        <v>110</v>
      </c>
      <c r="B5" s="465"/>
      <c r="C5" s="466"/>
      <c r="D5" s="466"/>
      <c r="E5" s="466"/>
      <c r="F5" s="466"/>
      <c r="G5" s="466"/>
      <c r="H5" s="467"/>
      <c r="I5" s="468">
        <v>20770254</v>
      </c>
      <c r="J5" s="742">
        <f>IF(I5&gt;=I4,I5-I4,0)</f>
        <v>0</v>
      </c>
      <c r="K5" s="742">
        <f t="shared" ref="K5:K36" si="0">M5+O5</f>
        <v>0</v>
      </c>
      <c r="L5" s="468">
        <v>593059</v>
      </c>
      <c r="M5" s="742">
        <f t="shared" ref="M5:M36" si="1">IF(L5&gt;=L4,L5-L4,0)</f>
        <v>0</v>
      </c>
      <c r="N5" s="836">
        <v>585857</v>
      </c>
      <c r="O5" s="742">
        <f t="shared" ref="O5:O36" si="2">IF(N5&gt;=N4,N5-N4,0)</f>
        <v>0</v>
      </c>
      <c r="P5" s="836">
        <v>210204</v>
      </c>
      <c r="Q5" s="742">
        <f t="shared" ref="Q5:Q18" si="3">IF(P5&gt;=P4,P5-P4,0)*30</f>
        <v>0</v>
      </c>
      <c r="R5" s="468">
        <v>702925</v>
      </c>
      <c r="S5" s="742">
        <f>IF(R5&gt;=R4,R5-R4,0)</f>
        <v>0</v>
      </c>
      <c r="T5" s="468">
        <v>344001</v>
      </c>
      <c r="U5" s="742">
        <f t="shared" ref="U5:W20" si="4">IF(T5&gt;=T4,T5-T4,0)</f>
        <v>0</v>
      </c>
      <c r="V5" s="468">
        <v>85606</v>
      </c>
      <c r="W5" s="742">
        <f t="shared" si="4"/>
        <v>0</v>
      </c>
      <c r="X5" s="468">
        <v>160013</v>
      </c>
      <c r="Y5" s="742">
        <f t="shared" ref="Y5:Y36" si="5">IF(X5&gt;=X4,X5-X4,0)</f>
        <v>0</v>
      </c>
      <c r="Z5" s="468">
        <v>315108</v>
      </c>
      <c r="AA5" s="742">
        <f t="shared" ref="AA5:AA36" si="6">IF(Z5&gt;=Z4,Z5-Z4,0)*0.53</f>
        <v>0</v>
      </c>
      <c r="AB5" s="836">
        <v>626791</v>
      </c>
      <c r="AC5" s="742">
        <f t="shared" ref="AC5:AC28" si="7">IF(AB5&gt;=AB4,AB5-AB4,0)*0.53</f>
        <v>0</v>
      </c>
      <c r="AD5" s="468">
        <v>676670</v>
      </c>
      <c r="AE5" s="742">
        <f t="shared" ref="AE5:AE36" si="8">IF(AD5&gt;=AD4,AD5-AD4,0)*0.53</f>
        <v>0</v>
      </c>
      <c r="AF5" s="468">
        <v>683358</v>
      </c>
      <c r="AG5" s="742">
        <f t="shared" ref="AG5:AG36" si="9">IF(AF5&gt;=AF4,AF5-AF4,0)*0.53</f>
        <v>0</v>
      </c>
      <c r="AH5" s="468">
        <v>184038</v>
      </c>
      <c r="AI5" s="742">
        <f t="shared" ref="AI5:AI36" si="10">IF(AH5&gt;=AH4,AH5-AH4,0)*0.53</f>
        <v>0</v>
      </c>
      <c r="AJ5" s="836">
        <v>120223</v>
      </c>
      <c r="AK5" s="742">
        <f>IF(AJ5&gt;=AJ4,AJ5-AJ4,0)*0.53</f>
        <v>0</v>
      </c>
      <c r="AL5" s="742">
        <f t="shared" ref="AL5:AL36" si="11">AA5+AC5+AE5+AG5+AI5+AK5</f>
        <v>0</v>
      </c>
      <c r="AM5" s="468">
        <v>6867678</v>
      </c>
      <c r="AN5" s="742">
        <f t="shared" ref="AN5:AN36" si="12">IF(AM5&gt;=AM4,AM5-AM4,0)</f>
        <v>0</v>
      </c>
      <c r="AO5" s="468">
        <v>529933</v>
      </c>
      <c r="AP5" s="742">
        <f t="shared" ref="AP5:AP36" si="13">IF(AO5&gt;=AO4,AO5-AO4,0)</f>
        <v>0</v>
      </c>
      <c r="AQ5" s="836">
        <v>874231</v>
      </c>
      <c r="AR5" s="742">
        <f t="shared" ref="AR5:AR36" si="14">IF(AQ5&gt;=AQ4,AQ5-AQ4,0)*0.11</f>
        <v>0</v>
      </c>
      <c r="AS5" s="888">
        <v>777034</v>
      </c>
      <c r="AT5" s="742">
        <f t="shared" ref="AT5:AT36" si="15">IF(AS5&gt;=AS4,AS5-AS4,0)</f>
        <v>0</v>
      </c>
      <c r="AU5" s="836">
        <v>2132131</v>
      </c>
      <c r="AV5" s="742">
        <f t="shared" ref="AV5:AV36" si="16">IF(AU5&gt;=AU4,AU5-AU4,0)</f>
        <v>0</v>
      </c>
      <c r="AW5" s="836">
        <v>193354</v>
      </c>
      <c r="AX5" s="742">
        <v>0</v>
      </c>
      <c r="AY5" s="468">
        <v>16580025</v>
      </c>
      <c r="AZ5" s="742">
        <f t="shared" ref="AZ5:AZ36" si="17">IF(AY5&gt;=AY4,AY5-AY4,0)</f>
        <v>0</v>
      </c>
      <c r="BA5" s="836">
        <v>20032075</v>
      </c>
      <c r="BB5" s="742">
        <f t="shared" ref="BB5:BB36" si="18">IF(BA5&gt;=BA4,BA5-BA4,0)-(0.6*BG5)-(0.5*BI5)-BK5-BE5</f>
        <v>0</v>
      </c>
      <c r="BC5" s="742">
        <f t="shared" ref="BC5:BC36" si="19">AN5+AP5+AR5+AT5+AV5+AX5+AZ5+BB5</f>
        <v>0</v>
      </c>
      <c r="BD5" s="836">
        <v>1323286</v>
      </c>
      <c r="BE5" s="742">
        <f t="shared" ref="BE5:BE36" si="20">IF(BD5&gt;=BD4,BD5-BD4,0)</f>
        <v>0</v>
      </c>
      <c r="BF5" s="468">
        <v>3092671</v>
      </c>
      <c r="BG5" s="742">
        <f t="shared" ref="BG5:BG36" si="21">IF(BF5&gt;=BF4,BF5-BF4,0)</f>
        <v>0</v>
      </c>
      <c r="BH5" s="468">
        <v>343460</v>
      </c>
      <c r="BI5" s="742">
        <f t="shared" ref="BI5:BI36" si="22">IF(BH5&gt;=BH4,BH5-BH4,0)</f>
        <v>0</v>
      </c>
      <c r="BJ5" s="468">
        <v>388150</v>
      </c>
      <c r="BK5" s="742">
        <f>IF(BJ5&gt;=BJ4,BJ5-BJ4,0)</f>
        <v>0</v>
      </c>
      <c r="BL5" s="468"/>
      <c r="BM5" s="890"/>
      <c r="BN5" s="469"/>
      <c r="BO5" s="887"/>
      <c r="BP5" s="469"/>
      <c r="BQ5" s="466"/>
      <c r="BR5" s="469"/>
      <c r="BS5" s="470"/>
      <c r="BU5" s="471"/>
      <c r="BV5" s="471"/>
      <c r="BW5" s="471"/>
      <c r="BX5" s="471"/>
      <c r="BY5" s="471"/>
      <c r="BZ5" s="471"/>
      <c r="CA5" s="471"/>
      <c r="CB5" s="471"/>
      <c r="CC5" s="471"/>
      <c r="CD5" s="471"/>
      <c r="CE5" s="471"/>
      <c r="CF5" s="471"/>
      <c r="CG5" s="471"/>
      <c r="CH5" s="471"/>
    </row>
    <row r="6" spans="1:86" s="414" customFormat="1" ht="33.75" customHeight="1">
      <c r="A6" s="464">
        <v>1</v>
      </c>
      <c r="B6" s="465"/>
      <c r="C6" s="466">
        <f>IF(+B6-B5&gt;0,B6-B5,(B6-B5)&gt;0)*800</f>
        <v>0</v>
      </c>
      <c r="D6" s="466"/>
      <c r="E6" s="466">
        <f>IF(+D6-D5&gt;0,D6-D5,(D6-D5)&gt;0)*80</f>
        <v>0</v>
      </c>
      <c r="F6" s="466"/>
      <c r="G6" s="466">
        <f>IF(+F6-F5&gt;0,F6-F5,(F6-F5)&gt;0)*10</f>
        <v>0</v>
      </c>
      <c r="H6" s="467">
        <v>56</v>
      </c>
      <c r="I6" s="836">
        <v>20776969</v>
      </c>
      <c r="J6" s="742">
        <f t="shared" ref="J6:J36" si="23">IF(I6&gt;=I5,I6-I5,0)</f>
        <v>6715</v>
      </c>
      <c r="K6" s="742">
        <f t="shared" si="0"/>
        <v>4066</v>
      </c>
      <c r="L6" s="836">
        <v>595135</v>
      </c>
      <c r="M6" s="742">
        <f t="shared" si="1"/>
        <v>2076</v>
      </c>
      <c r="N6" s="836">
        <v>587847</v>
      </c>
      <c r="O6" s="742">
        <f>IF(N6&gt;=N5,N6-N5,0)</f>
        <v>1990</v>
      </c>
      <c r="P6" s="836">
        <v>210229</v>
      </c>
      <c r="Q6" s="742">
        <f t="shared" si="3"/>
        <v>750</v>
      </c>
      <c r="R6" s="468">
        <v>702925</v>
      </c>
      <c r="S6" s="742">
        <f t="shared" ref="S6:S18" si="24">IF(R6&gt;=R5,R6-R5,0)</f>
        <v>0</v>
      </c>
      <c r="T6" s="468">
        <v>344001</v>
      </c>
      <c r="U6" s="742">
        <f t="shared" si="4"/>
        <v>0</v>
      </c>
      <c r="V6" s="468">
        <v>85755</v>
      </c>
      <c r="W6" s="742">
        <f t="shared" si="4"/>
        <v>149</v>
      </c>
      <c r="X6" s="468">
        <v>160226</v>
      </c>
      <c r="Y6" s="742">
        <f t="shared" si="5"/>
        <v>213</v>
      </c>
      <c r="Z6" s="468">
        <v>315108</v>
      </c>
      <c r="AA6" s="742">
        <f t="shared" si="6"/>
        <v>0</v>
      </c>
      <c r="AB6" s="836">
        <v>626791</v>
      </c>
      <c r="AC6" s="742">
        <f t="shared" si="7"/>
        <v>0</v>
      </c>
      <c r="AD6" s="836">
        <v>680095</v>
      </c>
      <c r="AE6" s="742">
        <f t="shared" si="8"/>
        <v>1815.25</v>
      </c>
      <c r="AF6" s="468">
        <v>683358</v>
      </c>
      <c r="AG6" s="742">
        <f t="shared" si="9"/>
        <v>0</v>
      </c>
      <c r="AH6" s="468">
        <v>184609</v>
      </c>
      <c r="AI6" s="742">
        <f t="shared" si="10"/>
        <v>302.63</v>
      </c>
      <c r="AJ6" s="468">
        <v>124970</v>
      </c>
      <c r="AK6" s="742">
        <f>IF(AJ6&gt;=AJ5,AJ6-AJ5,0)*0.53</f>
        <v>2515.9100000000003</v>
      </c>
      <c r="AL6" s="742">
        <f>AA6+AC6+AE6+AG6+AI6+AK6</f>
        <v>4633.7900000000009</v>
      </c>
      <c r="AM6" s="468">
        <v>6869760</v>
      </c>
      <c r="AN6" s="742">
        <f t="shared" si="12"/>
        <v>2082</v>
      </c>
      <c r="AO6" s="836">
        <v>530220</v>
      </c>
      <c r="AP6" s="742">
        <f t="shared" si="13"/>
        <v>287</v>
      </c>
      <c r="AQ6" s="836">
        <v>874535</v>
      </c>
      <c r="AR6" s="742">
        <f t="shared" si="14"/>
        <v>33.44</v>
      </c>
      <c r="AS6" s="836">
        <v>777243</v>
      </c>
      <c r="AT6" s="742">
        <f t="shared" si="15"/>
        <v>209</v>
      </c>
      <c r="AU6" s="468">
        <v>2133333</v>
      </c>
      <c r="AV6" s="742">
        <f t="shared" si="16"/>
        <v>1202</v>
      </c>
      <c r="AW6" s="836">
        <v>193399</v>
      </c>
      <c r="AX6" s="742">
        <f t="shared" ref="AX6:AX18" si="25">IF(AW6&gt;=AW5,AW6-AW5,0)</f>
        <v>45</v>
      </c>
      <c r="AY6" s="836">
        <v>16585583</v>
      </c>
      <c r="AZ6" s="742">
        <f t="shared" si="17"/>
        <v>5558</v>
      </c>
      <c r="BA6" s="836">
        <v>20038821</v>
      </c>
      <c r="BB6" s="742">
        <f t="shared" si="18"/>
        <v>5813.9</v>
      </c>
      <c r="BC6" s="742">
        <f t="shared" si="19"/>
        <v>15230.34</v>
      </c>
      <c r="BD6" s="836">
        <v>1323286</v>
      </c>
      <c r="BE6" s="742">
        <f t="shared" si="20"/>
        <v>0</v>
      </c>
      <c r="BF6" s="836">
        <v>3093812</v>
      </c>
      <c r="BG6" s="742">
        <f t="shared" si="21"/>
        <v>1141</v>
      </c>
      <c r="BH6" s="836">
        <v>343573</v>
      </c>
      <c r="BI6" s="742">
        <f t="shared" si="22"/>
        <v>113</v>
      </c>
      <c r="BJ6" s="836">
        <v>388341</v>
      </c>
      <c r="BK6" s="742">
        <f>IF(BJ6&gt;=BJ5,BJ6-BJ5,0)</f>
        <v>191</v>
      </c>
      <c r="BL6" s="851">
        <f t="shared" ref="BL6:BL36" si="26">J6+Q6+AL6+BC6</f>
        <v>27329.13</v>
      </c>
      <c r="BM6" s="852">
        <v>169</v>
      </c>
      <c r="BN6" s="851" t="e">
        <f>IF(BL6&gt;0,BL6/#REF!,0)</f>
        <v>#REF!</v>
      </c>
      <c r="BO6" s="852"/>
      <c r="BP6" s="851" t="e">
        <f t="shared" ref="BP6:BP36" si="27">IF(BL6&gt;0,BL6/BO6,0)</f>
        <v>#DIV/0!</v>
      </c>
      <c r="BQ6" s="851">
        <f>BL6*BS1</f>
        <v>12571.399800000001</v>
      </c>
      <c r="BR6" s="851" t="e">
        <f>IF(BQ6&gt;0,BQ6/#REF!,0)</f>
        <v>#REF!</v>
      </c>
      <c r="BS6" s="853" t="e">
        <f>IF(BQ6&gt;0,BQ6/BO6,0)</f>
        <v>#DIV/0!</v>
      </c>
      <c r="BU6" s="471"/>
      <c r="BV6" s="471"/>
      <c r="BW6" s="471"/>
      <c r="BX6" s="471"/>
      <c r="BY6" s="471"/>
      <c r="BZ6" s="471"/>
      <c r="CA6" s="471"/>
      <c r="CB6" s="471"/>
      <c r="CC6" s="471"/>
      <c r="CD6" s="471"/>
      <c r="CE6" s="471"/>
      <c r="CF6" s="471"/>
      <c r="CG6" s="471"/>
      <c r="CH6" s="471"/>
    </row>
    <row r="7" spans="1:86" s="414" customFormat="1" ht="33.75" customHeight="1">
      <c r="A7" s="464">
        <v>2</v>
      </c>
      <c r="B7" s="465"/>
      <c r="C7" s="466"/>
      <c r="D7" s="466"/>
      <c r="E7" s="466"/>
      <c r="F7" s="466"/>
      <c r="G7" s="466"/>
      <c r="H7" s="467"/>
      <c r="I7" s="836">
        <v>20783141</v>
      </c>
      <c r="J7" s="742">
        <f t="shared" si="23"/>
        <v>6172</v>
      </c>
      <c r="K7" s="742">
        <f t="shared" si="0"/>
        <v>4554</v>
      </c>
      <c r="L7" s="836">
        <v>597696</v>
      </c>
      <c r="M7" s="742">
        <f>IF(L7&gt;=L6,L7-L6,0)</f>
        <v>2561</v>
      </c>
      <c r="N7" s="836">
        <v>589840</v>
      </c>
      <c r="O7" s="742">
        <f>IF(N7&gt;=N6,N7-N6,0)</f>
        <v>1993</v>
      </c>
      <c r="P7" s="836">
        <v>210251</v>
      </c>
      <c r="Q7" s="742">
        <f t="shared" si="3"/>
        <v>660</v>
      </c>
      <c r="R7" s="468">
        <v>702925</v>
      </c>
      <c r="S7" s="742">
        <f t="shared" si="24"/>
        <v>0</v>
      </c>
      <c r="T7" s="468">
        <v>344001</v>
      </c>
      <c r="U7" s="742">
        <f t="shared" si="4"/>
        <v>0</v>
      </c>
      <c r="V7" s="468">
        <v>85899</v>
      </c>
      <c r="W7" s="742">
        <f t="shared" si="4"/>
        <v>144</v>
      </c>
      <c r="X7" s="468">
        <v>160455</v>
      </c>
      <c r="Y7" s="742">
        <f t="shared" si="5"/>
        <v>229</v>
      </c>
      <c r="Z7" s="468">
        <v>315108</v>
      </c>
      <c r="AA7" s="742">
        <f t="shared" si="6"/>
        <v>0</v>
      </c>
      <c r="AB7" s="836">
        <v>626791</v>
      </c>
      <c r="AC7" s="742">
        <f t="shared" si="7"/>
        <v>0</v>
      </c>
      <c r="AD7" s="836">
        <v>684702</v>
      </c>
      <c r="AE7" s="742">
        <f t="shared" si="8"/>
        <v>2441.71</v>
      </c>
      <c r="AF7" s="468">
        <v>683358</v>
      </c>
      <c r="AG7" s="742">
        <f t="shared" si="9"/>
        <v>0</v>
      </c>
      <c r="AH7" s="836">
        <v>185079</v>
      </c>
      <c r="AI7" s="742">
        <f t="shared" si="10"/>
        <v>249.10000000000002</v>
      </c>
      <c r="AJ7" s="836">
        <v>129432</v>
      </c>
      <c r="AK7" s="742">
        <f t="shared" ref="AK7:AK36" si="28">IF(AJ7&gt;=AJ6,AJ7-AJ6,0)*0.53</f>
        <v>2364.86</v>
      </c>
      <c r="AL7" s="742">
        <f t="shared" si="11"/>
        <v>5055.67</v>
      </c>
      <c r="AM7" s="468">
        <v>6870796</v>
      </c>
      <c r="AN7" s="742">
        <f t="shared" si="12"/>
        <v>1036</v>
      </c>
      <c r="AO7" s="468">
        <v>530653</v>
      </c>
      <c r="AP7" s="742">
        <f t="shared" si="13"/>
        <v>433</v>
      </c>
      <c r="AQ7" s="468">
        <v>874851</v>
      </c>
      <c r="AR7" s="742">
        <f t="shared" si="14"/>
        <v>34.76</v>
      </c>
      <c r="AS7" s="888">
        <v>777544</v>
      </c>
      <c r="AT7" s="742">
        <f t="shared" si="15"/>
        <v>301</v>
      </c>
      <c r="AU7" s="836">
        <v>2134327</v>
      </c>
      <c r="AV7" s="742">
        <f t="shared" si="16"/>
        <v>994</v>
      </c>
      <c r="AW7" s="468">
        <v>193467</v>
      </c>
      <c r="AX7" s="742">
        <f t="shared" si="25"/>
        <v>68</v>
      </c>
      <c r="AY7" s="836">
        <v>16591337</v>
      </c>
      <c r="AZ7" s="742">
        <f t="shared" si="17"/>
        <v>5754</v>
      </c>
      <c r="BA7" s="836">
        <v>20045449</v>
      </c>
      <c r="BB7" s="742">
        <f t="shared" si="18"/>
        <v>5760.1</v>
      </c>
      <c r="BC7" s="742">
        <f t="shared" si="19"/>
        <v>14380.86</v>
      </c>
      <c r="BD7" s="836">
        <v>1323286</v>
      </c>
      <c r="BE7" s="742">
        <f t="shared" si="20"/>
        <v>0</v>
      </c>
      <c r="BF7" s="836">
        <v>3094821</v>
      </c>
      <c r="BG7" s="742">
        <f t="shared" si="21"/>
        <v>1009</v>
      </c>
      <c r="BH7" s="836">
        <v>343706</v>
      </c>
      <c r="BI7" s="742">
        <f t="shared" si="22"/>
        <v>133</v>
      </c>
      <c r="BJ7" s="468">
        <v>388537</v>
      </c>
      <c r="BK7" s="742">
        <f t="shared" ref="BK7:BK36" si="29">IF(BJ7&gt;=BJ6,BJ7-BJ6,0)</f>
        <v>196</v>
      </c>
      <c r="BL7" s="851">
        <f t="shared" si="26"/>
        <v>26268.53</v>
      </c>
      <c r="BM7" s="852">
        <v>160</v>
      </c>
      <c r="BN7" s="851">
        <f t="shared" ref="BN7:BN12" si="30">IF(BL7&gt;0,BL7/BM6,0)</f>
        <v>155.43508875739644</v>
      </c>
      <c r="BO7" s="852"/>
      <c r="BP7" s="851" t="e">
        <f t="shared" si="27"/>
        <v>#DIV/0!</v>
      </c>
      <c r="BQ7" s="851">
        <f>BL7*BS1</f>
        <v>12083.523800000001</v>
      </c>
      <c r="BR7" s="851">
        <f t="shared" ref="BR7:BR15" si="31">IF(BQ7&gt;0,BQ7/BM6,0)</f>
        <v>71.500140828402365</v>
      </c>
      <c r="BS7" s="853" t="e">
        <f t="shared" ref="BS7:BS36" si="32">IF(BQ7&gt;0,BQ7/BO7,0)</f>
        <v>#DIV/0!</v>
      </c>
      <c r="BU7" s="471"/>
      <c r="BV7" s="471"/>
      <c r="BW7" s="471"/>
      <c r="BX7" s="471"/>
      <c r="BY7" s="471"/>
      <c r="BZ7" s="471"/>
      <c r="CA7" s="471"/>
      <c r="CB7" s="471"/>
      <c r="CC7" s="471"/>
      <c r="CD7" s="471"/>
      <c r="CE7" s="471"/>
      <c r="CF7" s="471"/>
      <c r="CG7" s="471"/>
      <c r="CH7" s="471"/>
    </row>
    <row r="8" spans="1:86" s="414" customFormat="1" ht="33.75" customHeight="1">
      <c r="A8" s="464">
        <v>3</v>
      </c>
      <c r="B8" s="465"/>
      <c r="C8" s="466">
        <f t="shared" ref="C8:C29" si="33">IF(+B8-B7&gt;0,B8-B7,(B8-B7)&gt;0)*800</f>
        <v>0</v>
      </c>
      <c r="D8" s="466"/>
      <c r="E8" s="466">
        <f t="shared" ref="E8:E29" si="34">IF(+D8-D7&gt;0,D8-D7,(D8-D7)&gt;0)*80</f>
        <v>0</v>
      </c>
      <c r="F8" s="466"/>
      <c r="G8" s="466">
        <f t="shared" ref="G8:G29" si="35">IF(+F8-F7&gt;0,F8-F7,(F8-F7)&gt;0)*10</f>
        <v>0</v>
      </c>
      <c r="H8" s="467">
        <v>57</v>
      </c>
      <c r="I8" s="468">
        <v>20789675</v>
      </c>
      <c r="J8" s="742">
        <f t="shared" si="23"/>
        <v>6534</v>
      </c>
      <c r="K8" s="742">
        <f t="shared" si="0"/>
        <v>4228.6666666669771</v>
      </c>
      <c r="L8" s="468">
        <v>599933.66666666698</v>
      </c>
      <c r="M8" s="742">
        <f>IF(L8&gt;=L7,L8-L7,0)</f>
        <v>2237.6666666669771</v>
      </c>
      <c r="N8" s="836">
        <v>591831</v>
      </c>
      <c r="O8" s="742">
        <f t="shared" si="2"/>
        <v>1991</v>
      </c>
      <c r="P8" s="836">
        <v>210275</v>
      </c>
      <c r="Q8" s="742">
        <f t="shared" si="3"/>
        <v>720</v>
      </c>
      <c r="R8" s="468">
        <v>702925</v>
      </c>
      <c r="S8" s="742">
        <f t="shared" si="24"/>
        <v>0</v>
      </c>
      <c r="T8" s="468">
        <v>344001</v>
      </c>
      <c r="U8" s="742">
        <f t="shared" si="4"/>
        <v>0</v>
      </c>
      <c r="V8" s="468">
        <v>86046.333333333299</v>
      </c>
      <c r="W8" s="742">
        <f t="shared" si="4"/>
        <v>147.33333333329938</v>
      </c>
      <c r="X8" s="468">
        <v>160673.33333333299</v>
      </c>
      <c r="Y8" s="742">
        <f t="shared" si="5"/>
        <v>218.33333333299379</v>
      </c>
      <c r="Z8" s="468">
        <v>315108</v>
      </c>
      <c r="AA8" s="742">
        <f t="shared" si="6"/>
        <v>0</v>
      </c>
      <c r="AB8" s="836">
        <v>626791</v>
      </c>
      <c r="AC8" s="742">
        <f t="shared" si="7"/>
        <v>0</v>
      </c>
      <c r="AD8" s="468">
        <v>684702</v>
      </c>
      <c r="AE8" s="742">
        <f t="shared" si="8"/>
        <v>0</v>
      </c>
      <c r="AF8" s="468">
        <v>683358</v>
      </c>
      <c r="AG8" s="742">
        <f t="shared" si="9"/>
        <v>0</v>
      </c>
      <c r="AH8" s="468">
        <v>185616.33333333299</v>
      </c>
      <c r="AI8" s="742">
        <f t="shared" si="10"/>
        <v>284.78666666648672</v>
      </c>
      <c r="AJ8" s="836">
        <v>134084</v>
      </c>
      <c r="AK8" s="742">
        <f t="shared" si="28"/>
        <v>2465.56</v>
      </c>
      <c r="AL8" s="742">
        <f>AA8+AC8+AE8+AG8+AI8+AK8</f>
        <v>2750.3466666664867</v>
      </c>
      <c r="AM8" s="468">
        <v>6872529.3333333302</v>
      </c>
      <c r="AN8" s="742">
        <f t="shared" si="12"/>
        <v>1733.3333333302289</v>
      </c>
      <c r="AO8" s="468">
        <v>530988.66666666698</v>
      </c>
      <c r="AP8" s="742">
        <f t="shared" si="13"/>
        <v>335.66666666697711</v>
      </c>
      <c r="AQ8" s="836">
        <v>875159</v>
      </c>
      <c r="AR8" s="742">
        <f t="shared" si="14"/>
        <v>33.880000000000003</v>
      </c>
      <c r="AS8" s="888">
        <v>777783.66666666698</v>
      </c>
      <c r="AT8" s="742">
        <f>IF(AS8&gt;=AS7,AS8-AS7,0)</f>
        <v>239.66666666697711</v>
      </c>
      <c r="AU8" s="836">
        <v>2135459.6666666698</v>
      </c>
      <c r="AV8" s="742">
        <f t="shared" si="16"/>
        <v>1132.6666666697711</v>
      </c>
      <c r="AW8" s="836">
        <v>193519.66666666701</v>
      </c>
      <c r="AX8" s="742">
        <f t="shared" si="25"/>
        <v>52.666666667006211</v>
      </c>
      <c r="AY8" s="468">
        <v>16596960.3333333</v>
      </c>
      <c r="AZ8" s="742">
        <f t="shared" si="17"/>
        <v>5623.3333333004266</v>
      </c>
      <c r="BA8" s="836">
        <v>20052155.666666701</v>
      </c>
      <c r="BB8" s="742">
        <f t="shared" si="18"/>
        <v>5795.9666667009706</v>
      </c>
      <c r="BC8" s="742">
        <f t="shared" si="19"/>
        <v>14947.180000002358</v>
      </c>
      <c r="BD8" s="836">
        <v>1323286</v>
      </c>
      <c r="BE8" s="742">
        <f t="shared" si="20"/>
        <v>0</v>
      </c>
      <c r="BF8" s="468">
        <v>3095918</v>
      </c>
      <c r="BG8" s="742">
        <f t="shared" si="21"/>
        <v>1097</v>
      </c>
      <c r="BH8" s="468">
        <v>343825.66666666698</v>
      </c>
      <c r="BI8" s="742">
        <f t="shared" si="22"/>
        <v>119.66666666697711</v>
      </c>
      <c r="BJ8" s="468">
        <v>388729.66666666698</v>
      </c>
      <c r="BK8" s="742">
        <f t="shared" si="29"/>
        <v>192.66666666697711</v>
      </c>
      <c r="BL8" s="851">
        <f t="shared" si="26"/>
        <v>24951.526666668844</v>
      </c>
      <c r="BM8" s="852">
        <v>162</v>
      </c>
      <c r="BN8" s="851">
        <f t="shared" si="30"/>
        <v>155.94704166668026</v>
      </c>
      <c r="BO8" s="852"/>
      <c r="BP8" s="851" t="e">
        <f t="shared" si="27"/>
        <v>#DIV/0!</v>
      </c>
      <c r="BQ8" s="851">
        <f>BL8*BS1</f>
        <v>11477.702266667669</v>
      </c>
      <c r="BR8" s="851">
        <f t="shared" si="31"/>
        <v>71.735639166672939</v>
      </c>
      <c r="BS8" s="853" t="e">
        <f t="shared" si="32"/>
        <v>#DIV/0!</v>
      </c>
      <c r="BU8" s="471"/>
      <c r="BV8" s="471"/>
      <c r="BW8" s="471"/>
      <c r="BX8" s="471"/>
      <c r="BY8" s="471"/>
      <c r="BZ8" s="471"/>
      <c r="CA8" s="471"/>
      <c r="CB8" s="471"/>
      <c r="CC8" s="471"/>
      <c r="CD8" s="471"/>
      <c r="CE8" s="471"/>
      <c r="CF8" s="471"/>
      <c r="CG8" s="471"/>
      <c r="CH8" s="471"/>
    </row>
    <row r="9" spans="1:86" s="414" customFormat="1" ht="33.75" customHeight="1">
      <c r="A9" s="464">
        <v>4</v>
      </c>
      <c r="B9" s="465"/>
      <c r="C9" s="466">
        <f t="shared" si="33"/>
        <v>0</v>
      </c>
      <c r="D9" s="466"/>
      <c r="E9" s="466">
        <f t="shared" si="34"/>
        <v>0</v>
      </c>
      <c r="F9" s="466"/>
      <c r="G9" s="466">
        <f t="shared" si="35"/>
        <v>0</v>
      </c>
      <c r="H9" s="467"/>
      <c r="I9" s="468">
        <v>20797529</v>
      </c>
      <c r="J9" s="742">
        <f>IF(I9&gt;=I8,I9-I8,0)</f>
        <v>7854</v>
      </c>
      <c r="K9" s="742">
        <f t="shared" si="0"/>
        <v>4352.3333333330229</v>
      </c>
      <c r="L9" s="468">
        <v>602283</v>
      </c>
      <c r="M9" s="742">
        <f>IF(L9&gt;=L8,L9-L8,0)</f>
        <v>2349.3333333330229</v>
      </c>
      <c r="N9" s="468">
        <v>593834</v>
      </c>
      <c r="O9" s="742">
        <f t="shared" si="2"/>
        <v>2003</v>
      </c>
      <c r="P9" s="836">
        <v>210298</v>
      </c>
      <c r="Q9" s="742">
        <f t="shared" si="3"/>
        <v>690</v>
      </c>
      <c r="R9" s="468">
        <v>702925</v>
      </c>
      <c r="S9" s="742">
        <f t="shared" si="24"/>
        <v>0</v>
      </c>
      <c r="T9" s="468">
        <v>344001</v>
      </c>
      <c r="U9" s="742">
        <f t="shared" si="4"/>
        <v>0</v>
      </c>
      <c r="V9" s="468">
        <v>86194</v>
      </c>
      <c r="W9" s="742">
        <f t="shared" si="4"/>
        <v>147.66666666670062</v>
      </c>
      <c r="X9" s="468">
        <v>160938</v>
      </c>
      <c r="Y9" s="742">
        <f t="shared" si="5"/>
        <v>264.66666666700621</v>
      </c>
      <c r="Z9" s="468">
        <v>315108</v>
      </c>
      <c r="AA9" s="742">
        <f t="shared" si="6"/>
        <v>0</v>
      </c>
      <c r="AB9" s="836">
        <v>633904</v>
      </c>
      <c r="AC9" s="742">
        <f t="shared" si="7"/>
        <v>3769.8900000000003</v>
      </c>
      <c r="AD9" s="885">
        <v>687631</v>
      </c>
      <c r="AE9" s="742">
        <f t="shared" si="8"/>
        <v>1552.3700000000001</v>
      </c>
      <c r="AF9" s="468">
        <v>683358</v>
      </c>
      <c r="AG9" s="742">
        <f t="shared" si="9"/>
        <v>0</v>
      </c>
      <c r="AH9" s="468">
        <v>186058</v>
      </c>
      <c r="AI9" s="742">
        <f t="shared" si="10"/>
        <v>234.08333333351331</v>
      </c>
      <c r="AJ9" s="468">
        <v>137890</v>
      </c>
      <c r="AK9" s="742">
        <f t="shared" si="28"/>
        <v>2017.18</v>
      </c>
      <c r="AL9" s="742">
        <f t="shared" si="11"/>
        <v>7573.5233333335136</v>
      </c>
      <c r="AM9" s="468">
        <v>6873152</v>
      </c>
      <c r="AN9" s="742">
        <f t="shared" si="12"/>
        <v>622.66666666977108</v>
      </c>
      <c r="AO9" s="836">
        <v>531507</v>
      </c>
      <c r="AP9" s="742">
        <f t="shared" si="13"/>
        <v>518.33333333302289</v>
      </c>
      <c r="AQ9" s="468">
        <v>875383</v>
      </c>
      <c r="AR9" s="742">
        <f t="shared" si="14"/>
        <v>24.64</v>
      </c>
      <c r="AS9" s="468">
        <v>778044</v>
      </c>
      <c r="AT9" s="742">
        <f>IF(AS9&gt;=AS8,AS9-AS8,0)</f>
        <v>260.33333333302289</v>
      </c>
      <c r="AU9" s="468">
        <v>2136454</v>
      </c>
      <c r="AV9" s="742">
        <f t="shared" si="16"/>
        <v>994.33333333022892</v>
      </c>
      <c r="AW9" s="468">
        <v>193606</v>
      </c>
      <c r="AX9" s="742">
        <f t="shared" si="25"/>
        <v>86.333333332993789</v>
      </c>
      <c r="AY9" s="468">
        <v>16602399</v>
      </c>
      <c r="AZ9" s="742">
        <f t="shared" si="17"/>
        <v>5438.6666666995734</v>
      </c>
      <c r="BA9" s="836">
        <v>20058484</v>
      </c>
      <c r="BB9" s="742">
        <f t="shared" si="18"/>
        <v>5391.93333329903</v>
      </c>
      <c r="BC9" s="742">
        <f t="shared" si="19"/>
        <v>13337.239999997644</v>
      </c>
      <c r="BD9" s="836">
        <v>1323286</v>
      </c>
      <c r="BE9" s="742">
        <f t="shared" si="20"/>
        <v>0</v>
      </c>
      <c r="BF9" s="468">
        <v>3097027</v>
      </c>
      <c r="BG9" s="742">
        <f t="shared" si="21"/>
        <v>1109</v>
      </c>
      <c r="BH9" s="468">
        <v>343973</v>
      </c>
      <c r="BI9" s="742">
        <f t="shared" si="22"/>
        <v>147.33333333302289</v>
      </c>
      <c r="BJ9" s="468">
        <v>388927</v>
      </c>
      <c r="BK9" s="742">
        <f t="shared" si="29"/>
        <v>197.33333333302289</v>
      </c>
      <c r="BL9" s="851">
        <f t="shared" si="26"/>
        <v>29454.763333331157</v>
      </c>
      <c r="BM9" s="852">
        <v>174</v>
      </c>
      <c r="BN9" s="851">
        <f t="shared" si="30"/>
        <v>181.81952674895777</v>
      </c>
      <c r="BO9" s="852"/>
      <c r="BP9" s="851" t="e">
        <f t="shared" si="27"/>
        <v>#DIV/0!</v>
      </c>
      <c r="BQ9" s="851">
        <f>BL9*BS1</f>
        <v>13549.191133332333</v>
      </c>
      <c r="BR9" s="851">
        <f t="shared" si="31"/>
        <v>83.636982304520572</v>
      </c>
      <c r="BS9" s="853" t="e">
        <f t="shared" si="32"/>
        <v>#DIV/0!</v>
      </c>
      <c r="BU9" s="471"/>
      <c r="BV9" s="471"/>
      <c r="BW9" s="471"/>
      <c r="BX9" s="471"/>
      <c r="BY9" s="471"/>
      <c r="BZ9" s="471"/>
      <c r="CA9" s="471"/>
      <c r="CB9" s="471"/>
      <c r="CC9" s="471"/>
      <c r="CD9" s="471"/>
      <c r="CE9" s="471"/>
      <c r="CF9" s="471"/>
      <c r="CG9" s="471"/>
      <c r="CH9" s="471"/>
    </row>
    <row r="10" spans="1:86" s="495" customFormat="1" ht="33.75" customHeight="1">
      <c r="A10" s="464">
        <v>5</v>
      </c>
      <c r="B10" s="493"/>
      <c r="C10" s="468">
        <f t="shared" si="33"/>
        <v>0</v>
      </c>
      <c r="D10" s="468"/>
      <c r="E10" s="468">
        <f t="shared" si="34"/>
        <v>0</v>
      </c>
      <c r="F10" s="468"/>
      <c r="G10" s="468">
        <f t="shared" si="35"/>
        <v>0</v>
      </c>
      <c r="H10" s="494">
        <v>58</v>
      </c>
      <c r="I10" s="836">
        <v>20802350</v>
      </c>
      <c r="J10" s="742">
        <f>IF(I10&gt;=I9,I10-I9,0)</f>
        <v>4821</v>
      </c>
      <c r="K10" s="742">
        <f t="shared" si="0"/>
        <v>3886.8888888889924</v>
      </c>
      <c r="L10" s="836">
        <v>604557.88888888899</v>
      </c>
      <c r="M10" s="742">
        <f>IF(L10&gt;=L9,L10-L9,0)</f>
        <v>2274.8888888889924</v>
      </c>
      <c r="N10" s="836">
        <v>595446</v>
      </c>
      <c r="O10" s="742">
        <f t="shared" si="2"/>
        <v>1612</v>
      </c>
      <c r="P10" s="836">
        <v>210318</v>
      </c>
      <c r="Q10" s="742">
        <f t="shared" si="3"/>
        <v>600</v>
      </c>
      <c r="R10" s="468">
        <v>702925</v>
      </c>
      <c r="S10" s="742">
        <f t="shared" si="24"/>
        <v>0</v>
      </c>
      <c r="T10" s="468">
        <v>344001</v>
      </c>
      <c r="U10" s="742">
        <f t="shared" si="4"/>
        <v>0</v>
      </c>
      <c r="V10" s="468">
        <v>86305</v>
      </c>
      <c r="W10" s="742">
        <f t="shared" si="4"/>
        <v>111</v>
      </c>
      <c r="X10" s="468">
        <v>161125</v>
      </c>
      <c r="Y10" s="742">
        <f t="shared" si="5"/>
        <v>187</v>
      </c>
      <c r="Z10" s="468">
        <v>315108</v>
      </c>
      <c r="AA10" s="742">
        <f t="shared" si="6"/>
        <v>0</v>
      </c>
      <c r="AB10" s="836">
        <v>638843</v>
      </c>
      <c r="AC10" s="742">
        <f t="shared" si="7"/>
        <v>2617.67</v>
      </c>
      <c r="AD10" s="468">
        <v>687631</v>
      </c>
      <c r="AE10" s="742">
        <f t="shared" si="8"/>
        <v>0</v>
      </c>
      <c r="AF10" s="468">
        <v>683358</v>
      </c>
      <c r="AG10" s="742">
        <f t="shared" si="9"/>
        <v>0</v>
      </c>
      <c r="AH10" s="836">
        <v>186514</v>
      </c>
      <c r="AI10" s="742">
        <f t="shared" si="10"/>
        <v>241.68</v>
      </c>
      <c r="AJ10" s="836">
        <v>142654.20000000001</v>
      </c>
      <c r="AK10" s="742">
        <f t="shared" si="28"/>
        <v>2525.0260000000062</v>
      </c>
      <c r="AL10" s="742">
        <f t="shared" si="11"/>
        <v>5384.3760000000057</v>
      </c>
      <c r="AM10" s="468">
        <v>6874394</v>
      </c>
      <c r="AN10" s="742">
        <f t="shared" si="12"/>
        <v>1242</v>
      </c>
      <c r="AO10" s="836">
        <v>531713</v>
      </c>
      <c r="AP10" s="742">
        <f t="shared" si="13"/>
        <v>206</v>
      </c>
      <c r="AQ10" s="836">
        <v>875576</v>
      </c>
      <c r="AR10" s="742">
        <f t="shared" si="14"/>
        <v>21.23</v>
      </c>
      <c r="AS10" s="468">
        <v>778200</v>
      </c>
      <c r="AT10" s="742">
        <f>IF(AS10&gt;=AS9,AS10-AS9,0)</f>
        <v>156</v>
      </c>
      <c r="AU10" s="468">
        <v>2137318</v>
      </c>
      <c r="AV10" s="742">
        <f t="shared" si="16"/>
        <v>864</v>
      </c>
      <c r="AW10" s="468">
        <v>193658</v>
      </c>
      <c r="AX10" s="742">
        <f t="shared" si="25"/>
        <v>52</v>
      </c>
      <c r="AY10" s="468">
        <v>16607084</v>
      </c>
      <c r="AZ10" s="742">
        <f t="shared" si="17"/>
        <v>4685</v>
      </c>
      <c r="BA10" s="836">
        <v>20063359</v>
      </c>
      <c r="BB10" s="742">
        <f t="shared" si="18"/>
        <v>4175.5</v>
      </c>
      <c r="BC10" s="742">
        <f t="shared" si="19"/>
        <v>11401.73</v>
      </c>
      <c r="BD10" s="836">
        <v>1323286</v>
      </c>
      <c r="BE10" s="742">
        <f t="shared" si="20"/>
        <v>0</v>
      </c>
      <c r="BF10" s="836">
        <v>3097877</v>
      </c>
      <c r="BG10" s="742">
        <f t="shared" si="21"/>
        <v>850</v>
      </c>
      <c r="BH10" s="836">
        <v>344070</v>
      </c>
      <c r="BI10" s="742">
        <f t="shared" si="22"/>
        <v>97</v>
      </c>
      <c r="BJ10" s="836">
        <v>389068</v>
      </c>
      <c r="BK10" s="742">
        <f t="shared" si="29"/>
        <v>141</v>
      </c>
      <c r="BL10" s="851">
        <f t="shared" si="26"/>
        <v>22207.106000000007</v>
      </c>
      <c r="BM10" s="852">
        <v>169</v>
      </c>
      <c r="BN10" s="851">
        <f t="shared" si="30"/>
        <v>127.62704597701153</v>
      </c>
      <c r="BO10" s="852"/>
      <c r="BP10" s="851" t="e">
        <f t="shared" si="27"/>
        <v>#DIV/0!</v>
      </c>
      <c r="BQ10" s="851">
        <f>BL10*BS1</f>
        <v>10215.268760000004</v>
      </c>
      <c r="BR10" s="851">
        <f t="shared" si="31"/>
        <v>58.708441149425312</v>
      </c>
      <c r="BS10" s="853" t="e">
        <f t="shared" si="32"/>
        <v>#DIV/0!</v>
      </c>
      <c r="BU10" s="496"/>
      <c r="BV10" s="496"/>
      <c r="BW10" s="496"/>
      <c r="BX10" s="496"/>
      <c r="BY10" s="496"/>
      <c r="BZ10" s="496"/>
      <c r="CA10" s="496"/>
      <c r="CB10" s="496"/>
      <c r="CC10" s="496"/>
      <c r="CD10" s="496"/>
      <c r="CE10" s="496"/>
      <c r="CF10" s="496"/>
      <c r="CG10" s="496"/>
      <c r="CH10" s="496"/>
    </row>
    <row r="11" spans="1:86" s="414" customFormat="1" ht="33.75" customHeight="1">
      <c r="A11" s="464">
        <v>6</v>
      </c>
      <c r="B11" s="465"/>
      <c r="C11" s="466">
        <f t="shared" si="33"/>
        <v>0</v>
      </c>
      <c r="D11" s="466"/>
      <c r="E11" s="466">
        <f t="shared" si="34"/>
        <v>0</v>
      </c>
      <c r="F11" s="466"/>
      <c r="G11" s="466">
        <f t="shared" si="35"/>
        <v>0</v>
      </c>
      <c r="H11" s="467"/>
      <c r="I11" s="836">
        <v>20808904</v>
      </c>
      <c r="J11" s="742">
        <f>IF(I11&gt;=I10,I11-I10,0)</f>
        <v>6554</v>
      </c>
      <c r="K11" s="742">
        <f t="shared" si="0"/>
        <v>4691.1111111110076</v>
      </c>
      <c r="L11" s="468">
        <v>607310</v>
      </c>
      <c r="M11" s="742">
        <f>IF(L11&gt;=L10,L11-L10,0)</f>
        <v>2752.1111111110076</v>
      </c>
      <c r="N11" s="468">
        <v>597385</v>
      </c>
      <c r="O11" s="742">
        <f t="shared" si="2"/>
        <v>1939</v>
      </c>
      <c r="P11" s="468">
        <v>210341</v>
      </c>
      <c r="Q11" s="742">
        <f t="shared" si="3"/>
        <v>690</v>
      </c>
      <c r="R11" s="468">
        <v>702925</v>
      </c>
      <c r="S11" s="742">
        <f t="shared" si="24"/>
        <v>0</v>
      </c>
      <c r="T11" s="468">
        <v>344001</v>
      </c>
      <c r="U11" s="742">
        <f t="shared" si="4"/>
        <v>0</v>
      </c>
      <c r="V11" s="468">
        <v>86451</v>
      </c>
      <c r="W11" s="742">
        <f t="shared" si="4"/>
        <v>146</v>
      </c>
      <c r="X11" s="468">
        <v>161373</v>
      </c>
      <c r="Y11" s="742">
        <f t="shared" si="5"/>
        <v>248</v>
      </c>
      <c r="Z11" s="468">
        <v>315108</v>
      </c>
      <c r="AA11" s="742">
        <f t="shared" si="6"/>
        <v>0</v>
      </c>
      <c r="AB11" s="836">
        <v>643660</v>
      </c>
      <c r="AC11" s="742">
        <f t="shared" si="7"/>
        <v>2553.0100000000002</v>
      </c>
      <c r="AD11" s="468">
        <v>687631</v>
      </c>
      <c r="AE11" s="742">
        <f t="shared" si="8"/>
        <v>0</v>
      </c>
      <c r="AF11" s="468">
        <v>683358</v>
      </c>
      <c r="AG11" s="742">
        <f>IF(AF11&gt;=AF10,AF11-AF10,0)*0.53</f>
        <v>0</v>
      </c>
      <c r="AH11" s="468">
        <v>187017</v>
      </c>
      <c r="AI11" s="742">
        <f t="shared" si="10"/>
        <v>266.59000000000003</v>
      </c>
      <c r="AJ11" s="836">
        <v>147099</v>
      </c>
      <c r="AK11" s="742">
        <f t="shared" si="28"/>
        <v>2355.7439999999938</v>
      </c>
      <c r="AL11" s="742">
        <f t="shared" si="11"/>
        <v>5175.3439999999937</v>
      </c>
      <c r="AM11" s="468">
        <v>6875395</v>
      </c>
      <c r="AN11" s="742">
        <f t="shared" si="12"/>
        <v>1001</v>
      </c>
      <c r="AO11" s="468">
        <v>532049</v>
      </c>
      <c r="AP11" s="742">
        <f t="shared" si="13"/>
        <v>336</v>
      </c>
      <c r="AQ11" s="468">
        <v>875859</v>
      </c>
      <c r="AR11" s="742">
        <f t="shared" si="14"/>
        <v>31.13</v>
      </c>
      <c r="AS11" s="468">
        <v>778425</v>
      </c>
      <c r="AT11" s="742">
        <f t="shared" si="15"/>
        <v>225</v>
      </c>
      <c r="AU11" s="836">
        <v>2138414</v>
      </c>
      <c r="AV11" s="742">
        <f t="shared" si="16"/>
        <v>1096</v>
      </c>
      <c r="AW11" s="836">
        <v>193724</v>
      </c>
      <c r="AX11" s="742">
        <f t="shared" si="25"/>
        <v>66</v>
      </c>
      <c r="AY11" s="836">
        <v>16612663</v>
      </c>
      <c r="AZ11" s="742">
        <f t="shared" si="17"/>
        <v>5579</v>
      </c>
      <c r="BA11" s="468">
        <v>20069667</v>
      </c>
      <c r="BB11" s="742">
        <f t="shared" si="18"/>
        <v>5373.8</v>
      </c>
      <c r="BC11" s="742">
        <f t="shared" si="19"/>
        <v>13707.93</v>
      </c>
      <c r="BD11" s="836">
        <v>1323286</v>
      </c>
      <c r="BE11" s="742">
        <f t="shared" si="20"/>
        <v>0</v>
      </c>
      <c r="BF11" s="468">
        <v>3098999</v>
      </c>
      <c r="BG11" s="742">
        <f t="shared" si="21"/>
        <v>1122</v>
      </c>
      <c r="BH11" s="468">
        <v>344202</v>
      </c>
      <c r="BI11" s="917">
        <f t="shared" si="22"/>
        <v>132</v>
      </c>
      <c r="BJ11" s="468">
        <v>389263</v>
      </c>
      <c r="BK11" s="742">
        <f t="shared" si="29"/>
        <v>195</v>
      </c>
      <c r="BL11" s="851">
        <f t="shared" si="26"/>
        <v>26127.273999999994</v>
      </c>
      <c r="BM11" s="852">
        <v>120</v>
      </c>
      <c r="BN11" s="851">
        <f t="shared" si="30"/>
        <v>154.59925443786977</v>
      </c>
      <c r="BO11" s="852"/>
      <c r="BP11" s="851" t="e">
        <f t="shared" si="27"/>
        <v>#DIV/0!</v>
      </c>
      <c r="BQ11" s="851">
        <f>BL11*BS1</f>
        <v>12018.546039999997</v>
      </c>
      <c r="BR11" s="851">
        <f t="shared" si="31"/>
        <v>71.115657041420107</v>
      </c>
      <c r="BS11" s="853" t="e">
        <f t="shared" si="32"/>
        <v>#DIV/0!</v>
      </c>
      <c r="BU11" s="471"/>
      <c r="BV11" s="471"/>
      <c r="BW11" s="471"/>
      <c r="BX11" s="471"/>
      <c r="BY11" s="471"/>
      <c r="BZ11" s="471"/>
      <c r="CA11" s="471"/>
      <c r="CB11" s="471"/>
      <c r="CC11" s="471"/>
      <c r="CD11" s="471"/>
      <c r="CE11" s="471"/>
      <c r="CF11" s="471"/>
      <c r="CG11" s="471"/>
      <c r="CH11" s="471"/>
    </row>
    <row r="12" spans="1:86" s="414" customFormat="1" ht="33.75" customHeight="1">
      <c r="A12" s="464">
        <v>7</v>
      </c>
      <c r="B12" s="465"/>
      <c r="C12" s="466">
        <f t="shared" si="33"/>
        <v>0</v>
      </c>
      <c r="D12" s="466"/>
      <c r="E12" s="466">
        <f t="shared" si="34"/>
        <v>0</v>
      </c>
      <c r="F12" s="466"/>
      <c r="G12" s="466">
        <f t="shared" si="35"/>
        <v>0</v>
      </c>
      <c r="H12" s="467">
        <v>59</v>
      </c>
      <c r="I12" s="836">
        <v>20815318</v>
      </c>
      <c r="J12" s="742">
        <f>IF(I12&gt;=I11,I12-I11,0)</f>
        <v>6414</v>
      </c>
      <c r="K12" s="742">
        <f t="shared" si="0"/>
        <v>4048.7777777779847</v>
      </c>
      <c r="L12" s="836">
        <v>609511.77777777798</v>
      </c>
      <c r="M12" s="742">
        <f t="shared" si="1"/>
        <v>2201.7777777779847</v>
      </c>
      <c r="N12" s="836">
        <v>599232</v>
      </c>
      <c r="O12" s="742">
        <f>IF(N12&gt;=N11,N12-N11,0)</f>
        <v>1847</v>
      </c>
      <c r="P12" s="836">
        <v>210362</v>
      </c>
      <c r="Q12" s="742">
        <f t="shared" si="3"/>
        <v>630</v>
      </c>
      <c r="R12" s="468">
        <v>702925</v>
      </c>
      <c r="S12" s="742">
        <f t="shared" si="24"/>
        <v>0</v>
      </c>
      <c r="T12" s="468">
        <v>344001</v>
      </c>
      <c r="U12" s="742">
        <f t="shared" si="4"/>
        <v>0</v>
      </c>
      <c r="V12" s="468">
        <v>86595</v>
      </c>
      <c r="W12" s="742">
        <f t="shared" si="4"/>
        <v>144</v>
      </c>
      <c r="X12" s="468">
        <v>161603</v>
      </c>
      <c r="Y12" s="742">
        <f t="shared" si="5"/>
        <v>230</v>
      </c>
      <c r="Z12" s="468">
        <v>315108</v>
      </c>
      <c r="AA12" s="742">
        <f t="shared" si="6"/>
        <v>0</v>
      </c>
      <c r="AB12" s="836">
        <v>643840</v>
      </c>
      <c r="AC12" s="742">
        <f t="shared" si="7"/>
        <v>95.4</v>
      </c>
      <c r="AD12" s="836">
        <v>692317</v>
      </c>
      <c r="AE12" s="742">
        <f t="shared" si="8"/>
        <v>2483.58</v>
      </c>
      <c r="AF12" s="468">
        <v>683358</v>
      </c>
      <c r="AG12" s="742">
        <f t="shared" si="9"/>
        <v>0</v>
      </c>
      <c r="AH12" s="468">
        <v>187554</v>
      </c>
      <c r="AI12" s="742">
        <f t="shared" si="10"/>
        <v>284.61</v>
      </c>
      <c r="AJ12" s="468">
        <v>150840</v>
      </c>
      <c r="AK12" s="742">
        <f t="shared" si="28"/>
        <v>1982.73</v>
      </c>
      <c r="AL12" s="742">
        <f t="shared" si="11"/>
        <v>4846.32</v>
      </c>
      <c r="AM12" s="468">
        <v>6877003</v>
      </c>
      <c r="AN12" s="742">
        <f t="shared" si="12"/>
        <v>1608</v>
      </c>
      <c r="AO12" s="836">
        <v>532361</v>
      </c>
      <c r="AP12" s="742">
        <f t="shared" si="13"/>
        <v>312</v>
      </c>
      <c r="AQ12" s="836">
        <v>876142</v>
      </c>
      <c r="AR12" s="742">
        <f t="shared" si="14"/>
        <v>31.13</v>
      </c>
      <c r="AS12" s="836">
        <v>778675</v>
      </c>
      <c r="AT12" s="742">
        <f t="shared" si="15"/>
        <v>250</v>
      </c>
      <c r="AU12" s="468">
        <v>2139441</v>
      </c>
      <c r="AV12" s="742">
        <f t="shared" si="16"/>
        <v>1027</v>
      </c>
      <c r="AW12" s="836">
        <v>193755</v>
      </c>
      <c r="AX12" s="742">
        <f t="shared" si="25"/>
        <v>31</v>
      </c>
      <c r="AY12" s="468">
        <v>16617848</v>
      </c>
      <c r="AZ12" s="742">
        <f t="shared" si="17"/>
        <v>5185</v>
      </c>
      <c r="BA12" s="836">
        <v>20075991</v>
      </c>
      <c r="BB12" s="742">
        <f t="shared" si="18"/>
        <v>5399.4</v>
      </c>
      <c r="BC12" s="742">
        <f t="shared" si="19"/>
        <v>13843.53</v>
      </c>
      <c r="BD12" s="836">
        <v>1323286</v>
      </c>
      <c r="BE12" s="742">
        <f t="shared" si="20"/>
        <v>0</v>
      </c>
      <c r="BF12" s="836">
        <v>3100115</v>
      </c>
      <c r="BG12" s="742">
        <f t="shared" si="21"/>
        <v>1116</v>
      </c>
      <c r="BH12" s="836">
        <v>344328</v>
      </c>
      <c r="BI12" s="742">
        <f t="shared" si="22"/>
        <v>126</v>
      </c>
      <c r="BJ12" s="836">
        <v>389455</v>
      </c>
      <c r="BK12" s="742">
        <f t="shared" si="29"/>
        <v>192</v>
      </c>
      <c r="BL12" s="851">
        <f t="shared" si="26"/>
        <v>25733.85</v>
      </c>
      <c r="BM12" s="852">
        <v>9</v>
      </c>
      <c r="BN12" s="851">
        <f t="shared" si="30"/>
        <v>214.44874999999999</v>
      </c>
      <c r="BO12" s="852"/>
      <c r="BP12" s="851" t="e">
        <f t="shared" si="27"/>
        <v>#DIV/0!</v>
      </c>
      <c r="BQ12" s="851">
        <f>BL12*BS1</f>
        <v>11837.571</v>
      </c>
      <c r="BR12" s="851">
        <f t="shared" si="31"/>
        <v>98.646424999999994</v>
      </c>
      <c r="BS12" s="853" t="e">
        <f t="shared" si="32"/>
        <v>#DIV/0!</v>
      </c>
      <c r="BU12" s="471"/>
      <c r="BV12" s="471"/>
      <c r="BW12" s="471"/>
      <c r="BX12" s="471"/>
      <c r="BY12" s="471"/>
      <c r="BZ12" s="471"/>
      <c r="CA12" s="471"/>
      <c r="CB12" s="471"/>
      <c r="CC12" s="471"/>
      <c r="CD12" s="471"/>
      <c r="CE12" s="471"/>
      <c r="CF12" s="471"/>
      <c r="CG12" s="471"/>
      <c r="CH12" s="471"/>
    </row>
    <row r="13" spans="1:86" s="414" customFormat="1" ht="33.75" customHeight="1">
      <c r="A13" s="464">
        <v>8</v>
      </c>
      <c r="B13" s="465"/>
      <c r="C13" s="466">
        <f t="shared" si="33"/>
        <v>0</v>
      </c>
      <c r="D13" s="466"/>
      <c r="E13" s="466">
        <f t="shared" si="34"/>
        <v>0</v>
      </c>
      <c r="F13" s="466"/>
      <c r="G13" s="466">
        <f t="shared" si="35"/>
        <v>0</v>
      </c>
      <c r="H13" s="467"/>
      <c r="I13" s="836">
        <v>20822133</v>
      </c>
      <c r="J13" s="742">
        <f t="shared" si="23"/>
        <v>6815</v>
      </c>
      <c r="K13" s="742">
        <f t="shared" si="0"/>
        <v>4255.2222222220153</v>
      </c>
      <c r="L13" s="836">
        <v>611897</v>
      </c>
      <c r="M13" s="742">
        <f t="shared" si="1"/>
        <v>2385.2222222220153</v>
      </c>
      <c r="N13" s="836">
        <v>601102</v>
      </c>
      <c r="O13" s="742">
        <f>IF(N13&gt;=N12,N13-N12,0)</f>
        <v>1870</v>
      </c>
      <c r="P13" s="836">
        <v>210382</v>
      </c>
      <c r="Q13" s="742">
        <f t="shared" si="3"/>
        <v>600</v>
      </c>
      <c r="R13" s="468">
        <v>702925</v>
      </c>
      <c r="S13" s="742">
        <f t="shared" si="24"/>
        <v>0</v>
      </c>
      <c r="T13" s="468">
        <v>344001</v>
      </c>
      <c r="U13" s="742">
        <f t="shared" si="4"/>
        <v>0</v>
      </c>
      <c r="V13" s="468">
        <v>86742</v>
      </c>
      <c r="W13" s="742">
        <f t="shared" si="4"/>
        <v>147</v>
      </c>
      <c r="X13" s="468">
        <v>161849</v>
      </c>
      <c r="Y13" s="742">
        <f t="shared" si="5"/>
        <v>246</v>
      </c>
      <c r="Z13" s="468">
        <v>315108</v>
      </c>
      <c r="AA13" s="742">
        <f t="shared" si="6"/>
        <v>0</v>
      </c>
      <c r="AB13" s="836">
        <v>643840</v>
      </c>
      <c r="AC13" s="742">
        <f t="shared" si="7"/>
        <v>0</v>
      </c>
      <c r="AD13" s="836">
        <v>697690</v>
      </c>
      <c r="AE13" s="742">
        <f t="shared" si="8"/>
        <v>2847.69</v>
      </c>
      <c r="AF13" s="468">
        <v>683358</v>
      </c>
      <c r="AG13" s="742">
        <f t="shared" si="9"/>
        <v>0</v>
      </c>
      <c r="AH13" s="836">
        <v>188198</v>
      </c>
      <c r="AI13" s="742">
        <f t="shared" si="10"/>
        <v>341.32</v>
      </c>
      <c r="AJ13" s="836">
        <v>153795</v>
      </c>
      <c r="AK13" s="742">
        <f t="shared" si="28"/>
        <v>1566.15</v>
      </c>
      <c r="AL13" s="742">
        <f t="shared" si="11"/>
        <v>4755.16</v>
      </c>
      <c r="AM13" s="468">
        <v>6878144</v>
      </c>
      <c r="AN13" s="742">
        <f t="shared" si="12"/>
        <v>1141</v>
      </c>
      <c r="AO13" s="468">
        <v>532713</v>
      </c>
      <c r="AP13" s="742">
        <f t="shared" si="13"/>
        <v>352</v>
      </c>
      <c r="AQ13" s="836">
        <v>876423</v>
      </c>
      <c r="AR13" s="742">
        <f t="shared" si="14"/>
        <v>30.91</v>
      </c>
      <c r="AS13" s="468">
        <v>778920</v>
      </c>
      <c r="AT13" s="742">
        <f t="shared" si="15"/>
        <v>245</v>
      </c>
      <c r="AU13" s="836">
        <v>2140502</v>
      </c>
      <c r="AV13" s="742">
        <f t="shared" si="16"/>
        <v>1061</v>
      </c>
      <c r="AW13" s="468">
        <v>193821</v>
      </c>
      <c r="AX13" s="742">
        <f t="shared" si="25"/>
        <v>66</v>
      </c>
      <c r="AY13" s="836">
        <v>16622926</v>
      </c>
      <c r="AZ13" s="742">
        <f t="shared" si="17"/>
        <v>5078</v>
      </c>
      <c r="BA13" s="836">
        <v>20082441</v>
      </c>
      <c r="BB13" s="742">
        <f t="shared" si="18"/>
        <v>5491.9</v>
      </c>
      <c r="BC13" s="742">
        <f t="shared" si="19"/>
        <v>13465.81</v>
      </c>
      <c r="BD13" s="836">
        <v>1323286</v>
      </c>
      <c r="BE13" s="742">
        <f t="shared" si="20"/>
        <v>0</v>
      </c>
      <c r="BF13" s="836">
        <v>3101276</v>
      </c>
      <c r="BG13" s="742">
        <f t="shared" si="21"/>
        <v>1161</v>
      </c>
      <c r="BH13" s="836">
        <v>344455</v>
      </c>
      <c r="BI13" s="742">
        <f t="shared" si="22"/>
        <v>127</v>
      </c>
      <c r="BJ13" s="468">
        <v>389653</v>
      </c>
      <c r="BK13" s="742">
        <f t="shared" si="29"/>
        <v>198</v>
      </c>
      <c r="BL13" s="851">
        <f t="shared" si="26"/>
        <v>25635.97</v>
      </c>
      <c r="BM13" s="852">
        <v>70</v>
      </c>
      <c r="BN13" s="851">
        <f t="shared" ref="BN13:BN19" si="36">IF(BL13&gt;0,BL13/BM12,0)</f>
        <v>2848.4411111111112</v>
      </c>
      <c r="BO13" s="852"/>
      <c r="BP13" s="851" t="e">
        <f t="shared" si="27"/>
        <v>#DIV/0!</v>
      </c>
      <c r="BQ13" s="851">
        <f>BL13*BS1</f>
        <v>11792.546200000001</v>
      </c>
      <c r="BR13" s="851">
        <f t="shared" si="31"/>
        <v>1310.2829111111112</v>
      </c>
      <c r="BS13" s="853" t="e">
        <f t="shared" si="32"/>
        <v>#DIV/0!</v>
      </c>
      <c r="BU13" s="471"/>
      <c r="BV13" s="471"/>
      <c r="BW13" s="471"/>
      <c r="BX13" s="471"/>
      <c r="BY13" s="471"/>
      <c r="BZ13" s="471"/>
      <c r="CA13" s="471"/>
      <c r="CB13" s="471"/>
      <c r="CC13" s="471"/>
      <c r="CD13" s="471"/>
      <c r="CE13" s="471"/>
      <c r="CF13" s="471"/>
      <c r="CG13" s="471"/>
      <c r="CH13" s="471"/>
    </row>
    <row r="14" spans="1:86" s="414" customFormat="1" ht="33.75" customHeight="1">
      <c r="A14" s="464">
        <v>9</v>
      </c>
      <c r="B14" s="465"/>
      <c r="C14" s="466">
        <f t="shared" si="33"/>
        <v>0</v>
      </c>
      <c r="D14" s="466"/>
      <c r="E14" s="466">
        <f t="shared" si="34"/>
        <v>0</v>
      </c>
      <c r="F14" s="466"/>
      <c r="G14" s="466">
        <f t="shared" si="35"/>
        <v>0</v>
      </c>
      <c r="H14" s="467">
        <v>60</v>
      </c>
      <c r="I14" s="836">
        <v>20827894</v>
      </c>
      <c r="J14" s="742">
        <f t="shared" si="23"/>
        <v>5761</v>
      </c>
      <c r="K14" s="742">
        <f t="shared" si="0"/>
        <v>4085.2222222220153</v>
      </c>
      <c r="L14" s="836">
        <v>614282.22222222202</v>
      </c>
      <c r="M14" s="742">
        <f>IF(L14&gt;=L13,L14-L13,0)</f>
        <v>2385.2222222220153</v>
      </c>
      <c r="N14" s="836">
        <v>602802</v>
      </c>
      <c r="O14" s="742">
        <f t="shared" si="2"/>
        <v>1700</v>
      </c>
      <c r="P14" s="836">
        <v>210400</v>
      </c>
      <c r="Q14" s="742">
        <f t="shared" si="3"/>
        <v>540</v>
      </c>
      <c r="R14" s="468">
        <v>702925</v>
      </c>
      <c r="S14" s="742">
        <f t="shared" si="24"/>
        <v>0</v>
      </c>
      <c r="T14" s="468">
        <v>344001</v>
      </c>
      <c r="U14" s="742">
        <f t="shared" si="4"/>
        <v>0</v>
      </c>
      <c r="V14" s="468">
        <v>86887</v>
      </c>
      <c r="W14" s="742">
        <f t="shared" si="4"/>
        <v>145</v>
      </c>
      <c r="X14" s="468">
        <v>162132</v>
      </c>
      <c r="Y14" s="742">
        <f t="shared" si="5"/>
        <v>283</v>
      </c>
      <c r="Z14" s="468">
        <v>315108</v>
      </c>
      <c r="AA14" s="742">
        <f t="shared" si="6"/>
        <v>0</v>
      </c>
      <c r="AB14" s="836">
        <v>643840</v>
      </c>
      <c r="AC14" s="742">
        <f t="shared" si="7"/>
        <v>0</v>
      </c>
      <c r="AD14" s="836">
        <v>702882</v>
      </c>
      <c r="AE14" s="742">
        <f t="shared" si="8"/>
        <v>2751.76</v>
      </c>
      <c r="AF14" s="468">
        <v>683358</v>
      </c>
      <c r="AG14" s="742">
        <f t="shared" si="9"/>
        <v>0</v>
      </c>
      <c r="AH14" s="468">
        <v>188720</v>
      </c>
      <c r="AI14" s="742">
        <f t="shared" si="10"/>
        <v>276.66000000000003</v>
      </c>
      <c r="AJ14" s="836">
        <v>157997</v>
      </c>
      <c r="AK14" s="742">
        <f t="shared" si="28"/>
        <v>2227.06</v>
      </c>
      <c r="AL14" s="742">
        <f t="shared" si="11"/>
        <v>5255.48</v>
      </c>
      <c r="AM14" s="468">
        <v>6879874</v>
      </c>
      <c r="AN14" s="742">
        <f t="shared" si="12"/>
        <v>1730</v>
      </c>
      <c r="AO14" s="836">
        <v>533058</v>
      </c>
      <c r="AP14" s="742">
        <f t="shared" si="13"/>
        <v>345</v>
      </c>
      <c r="AQ14" s="836">
        <v>876699</v>
      </c>
      <c r="AR14" s="742">
        <f t="shared" si="14"/>
        <v>30.36</v>
      </c>
      <c r="AS14" s="836">
        <v>779120</v>
      </c>
      <c r="AT14" s="742">
        <f t="shared" si="15"/>
        <v>200</v>
      </c>
      <c r="AU14" s="468">
        <v>2141562</v>
      </c>
      <c r="AV14" s="742">
        <f t="shared" si="16"/>
        <v>1060</v>
      </c>
      <c r="AW14" s="836">
        <v>193887</v>
      </c>
      <c r="AX14" s="742">
        <f t="shared" si="25"/>
        <v>66</v>
      </c>
      <c r="AY14" s="836">
        <v>16627590</v>
      </c>
      <c r="AZ14" s="742">
        <f t="shared" si="17"/>
        <v>4664</v>
      </c>
      <c r="BA14" s="836">
        <v>20088839</v>
      </c>
      <c r="BB14" s="742">
        <f t="shared" si="18"/>
        <v>5449</v>
      </c>
      <c r="BC14" s="742">
        <f t="shared" si="19"/>
        <v>13544.36</v>
      </c>
      <c r="BD14" s="836">
        <v>1323286</v>
      </c>
      <c r="BE14" s="742">
        <f t="shared" si="20"/>
        <v>0</v>
      </c>
      <c r="BF14" s="836">
        <v>3102436</v>
      </c>
      <c r="BG14" s="742">
        <f t="shared" si="21"/>
        <v>1160</v>
      </c>
      <c r="BH14" s="836">
        <v>344569</v>
      </c>
      <c r="BI14" s="742">
        <f t="shared" si="22"/>
        <v>114</v>
      </c>
      <c r="BJ14" s="836">
        <v>389849</v>
      </c>
      <c r="BK14" s="742">
        <f t="shared" si="29"/>
        <v>196</v>
      </c>
      <c r="BL14" s="851">
        <f t="shared" si="26"/>
        <v>25100.84</v>
      </c>
      <c r="BM14" s="852">
        <v>89</v>
      </c>
      <c r="BN14" s="851">
        <f t="shared" si="36"/>
        <v>358.58342857142856</v>
      </c>
      <c r="BO14" s="852"/>
      <c r="BP14" s="851" t="e">
        <f t="shared" si="27"/>
        <v>#DIV/0!</v>
      </c>
      <c r="BQ14" s="851">
        <f>BL14*BS1</f>
        <v>11546.386400000001</v>
      </c>
      <c r="BR14" s="851">
        <f t="shared" si="31"/>
        <v>164.94837714285717</v>
      </c>
      <c r="BS14" s="853" t="e">
        <f t="shared" si="32"/>
        <v>#DIV/0!</v>
      </c>
      <c r="BU14" s="471"/>
      <c r="BV14" s="471"/>
      <c r="BW14" s="471"/>
      <c r="BX14" s="471"/>
      <c r="BY14" s="471"/>
      <c r="BZ14" s="471"/>
      <c r="CA14" s="471"/>
      <c r="CB14" s="471"/>
      <c r="CC14" s="471"/>
      <c r="CD14" s="471"/>
      <c r="CE14" s="471"/>
      <c r="CF14" s="471"/>
      <c r="CG14" s="471"/>
      <c r="CH14" s="471"/>
    </row>
    <row r="15" spans="1:86" s="414" customFormat="1" ht="33.75" customHeight="1">
      <c r="A15" s="464">
        <v>10</v>
      </c>
      <c r="B15" s="465"/>
      <c r="C15" s="466">
        <f t="shared" si="33"/>
        <v>0</v>
      </c>
      <c r="D15" s="466"/>
      <c r="E15" s="466">
        <f t="shared" si="34"/>
        <v>0</v>
      </c>
      <c r="F15" s="466"/>
      <c r="G15" s="466">
        <f t="shared" si="35"/>
        <v>0</v>
      </c>
      <c r="H15" s="467"/>
      <c r="I15" s="836">
        <v>20833014</v>
      </c>
      <c r="J15" s="742">
        <f t="shared" si="23"/>
        <v>5120</v>
      </c>
      <c r="K15" s="742">
        <f t="shared" si="0"/>
        <v>2633.7777777779847</v>
      </c>
      <c r="L15" s="836">
        <v>615275</v>
      </c>
      <c r="M15" s="742">
        <f>IF(L15&gt;=L14,L15-L14,0)</f>
        <v>992.77777777798474</v>
      </c>
      <c r="N15" s="836">
        <v>604443</v>
      </c>
      <c r="O15" s="742">
        <f t="shared" si="2"/>
        <v>1641</v>
      </c>
      <c r="P15" s="836">
        <v>210419</v>
      </c>
      <c r="Q15" s="742">
        <f t="shared" si="3"/>
        <v>570</v>
      </c>
      <c r="R15" s="468">
        <v>702925</v>
      </c>
      <c r="S15" s="742">
        <f t="shared" si="24"/>
        <v>0</v>
      </c>
      <c r="T15" s="468">
        <v>344001</v>
      </c>
      <c r="U15" s="742">
        <f t="shared" si="4"/>
        <v>0</v>
      </c>
      <c r="V15" s="468">
        <v>87034</v>
      </c>
      <c r="W15" s="742">
        <f t="shared" si="4"/>
        <v>147</v>
      </c>
      <c r="X15" s="468">
        <v>162413</v>
      </c>
      <c r="Y15" s="742">
        <f t="shared" si="5"/>
        <v>281</v>
      </c>
      <c r="Z15" s="468">
        <v>315108</v>
      </c>
      <c r="AA15" s="742">
        <f t="shared" si="6"/>
        <v>0</v>
      </c>
      <c r="AB15" s="836">
        <v>643840</v>
      </c>
      <c r="AC15" s="742">
        <f t="shared" si="7"/>
        <v>0</v>
      </c>
      <c r="AD15" s="836">
        <v>706833</v>
      </c>
      <c r="AE15" s="742">
        <f t="shared" si="8"/>
        <v>2094.0300000000002</v>
      </c>
      <c r="AF15" s="468">
        <v>683358</v>
      </c>
      <c r="AG15" s="742">
        <f t="shared" si="9"/>
        <v>0</v>
      </c>
      <c r="AH15" s="836">
        <v>189161</v>
      </c>
      <c r="AI15" s="742">
        <f t="shared" si="10"/>
        <v>233.73000000000002</v>
      </c>
      <c r="AJ15" s="468">
        <v>161815</v>
      </c>
      <c r="AK15" s="742">
        <f t="shared" si="28"/>
        <v>2023.5400000000002</v>
      </c>
      <c r="AL15" s="742">
        <f t="shared" si="11"/>
        <v>4351.3</v>
      </c>
      <c r="AM15" s="468">
        <v>6880554</v>
      </c>
      <c r="AN15" s="742">
        <f t="shared" si="12"/>
        <v>680</v>
      </c>
      <c r="AO15" s="468">
        <v>533386</v>
      </c>
      <c r="AP15" s="742">
        <f t="shared" si="13"/>
        <v>328</v>
      </c>
      <c r="AQ15" s="836">
        <v>876984</v>
      </c>
      <c r="AR15" s="742">
        <f t="shared" si="14"/>
        <v>31.35</v>
      </c>
      <c r="AS15" s="468">
        <v>779293</v>
      </c>
      <c r="AT15" s="742">
        <f t="shared" si="15"/>
        <v>173</v>
      </c>
      <c r="AU15" s="836">
        <v>2142191</v>
      </c>
      <c r="AV15" s="742">
        <f t="shared" si="16"/>
        <v>629</v>
      </c>
      <c r="AW15" s="836">
        <v>193954</v>
      </c>
      <c r="AX15" s="742">
        <f t="shared" si="25"/>
        <v>67</v>
      </c>
      <c r="AY15" s="836">
        <v>16632363</v>
      </c>
      <c r="AZ15" s="742">
        <f t="shared" si="17"/>
        <v>4773</v>
      </c>
      <c r="BA15" s="836">
        <v>20095131</v>
      </c>
      <c r="BB15" s="742">
        <f t="shared" si="18"/>
        <v>5381.9</v>
      </c>
      <c r="BC15" s="742">
        <f t="shared" si="19"/>
        <v>12063.25</v>
      </c>
      <c r="BD15" s="836">
        <v>1323286</v>
      </c>
      <c r="BE15" s="742">
        <f t="shared" si="20"/>
        <v>0</v>
      </c>
      <c r="BF15" s="836">
        <v>3103522</v>
      </c>
      <c r="BG15" s="742">
        <f t="shared" si="21"/>
        <v>1086</v>
      </c>
      <c r="BH15" s="836">
        <v>344690</v>
      </c>
      <c r="BI15" s="742">
        <f t="shared" si="22"/>
        <v>121</v>
      </c>
      <c r="BJ15" s="836">
        <v>390047</v>
      </c>
      <c r="BK15" s="742">
        <f t="shared" si="29"/>
        <v>198</v>
      </c>
      <c r="BL15" s="851">
        <f t="shared" si="26"/>
        <v>22104.55</v>
      </c>
      <c r="BM15" s="852">
        <v>80</v>
      </c>
      <c r="BN15" s="851">
        <f t="shared" si="36"/>
        <v>248.36573033707865</v>
      </c>
      <c r="BO15" s="852"/>
      <c r="BP15" s="851" t="e">
        <f t="shared" si="27"/>
        <v>#DIV/0!</v>
      </c>
      <c r="BQ15" s="851">
        <f>BL15*BS1</f>
        <v>10168.093000000001</v>
      </c>
      <c r="BR15" s="851">
        <f t="shared" si="31"/>
        <v>114.24823595505619</v>
      </c>
      <c r="BS15" s="853" t="e">
        <f t="shared" si="32"/>
        <v>#DIV/0!</v>
      </c>
      <c r="BU15" s="471"/>
      <c r="BV15" s="471"/>
      <c r="BW15" s="471"/>
      <c r="BX15" s="471"/>
      <c r="BY15" s="471"/>
      <c r="BZ15" s="471"/>
      <c r="CA15" s="471"/>
      <c r="CB15" s="471"/>
      <c r="CC15" s="471"/>
      <c r="CD15" s="471"/>
      <c r="CE15" s="471"/>
      <c r="CF15" s="471"/>
      <c r="CG15" s="471"/>
      <c r="CH15" s="471"/>
    </row>
    <row r="16" spans="1:86" s="414" customFormat="1" ht="33.75" customHeight="1">
      <c r="A16" s="464">
        <v>11</v>
      </c>
      <c r="B16" s="465"/>
      <c r="C16" s="466">
        <f t="shared" si="33"/>
        <v>0</v>
      </c>
      <c r="D16" s="466"/>
      <c r="E16" s="466">
        <f t="shared" si="34"/>
        <v>0</v>
      </c>
      <c r="F16" s="466"/>
      <c r="G16" s="466">
        <f t="shared" si="35"/>
        <v>0</v>
      </c>
      <c r="H16" s="467">
        <v>61</v>
      </c>
      <c r="I16" s="836">
        <v>20838056</v>
      </c>
      <c r="J16" s="742">
        <f t="shared" si="23"/>
        <v>5042</v>
      </c>
      <c r="K16" s="742">
        <f t="shared" si="0"/>
        <v>3178</v>
      </c>
      <c r="L16" s="836">
        <v>616889</v>
      </c>
      <c r="M16" s="742">
        <f>IF(L16&gt;=L15,L16-L15,0)</f>
        <v>1614</v>
      </c>
      <c r="N16" s="468">
        <v>606007</v>
      </c>
      <c r="O16" s="742">
        <f t="shared" si="2"/>
        <v>1564</v>
      </c>
      <c r="P16" s="836">
        <v>210440</v>
      </c>
      <c r="Q16" s="742">
        <f t="shared" si="3"/>
        <v>630</v>
      </c>
      <c r="R16" s="468">
        <v>702925</v>
      </c>
      <c r="S16" s="742">
        <f t="shared" si="24"/>
        <v>0</v>
      </c>
      <c r="T16" s="468">
        <v>344001</v>
      </c>
      <c r="U16" s="742">
        <f t="shared" si="4"/>
        <v>0</v>
      </c>
      <c r="V16" s="468">
        <v>87188</v>
      </c>
      <c r="W16" s="742">
        <f t="shared" si="4"/>
        <v>154</v>
      </c>
      <c r="X16" s="468">
        <v>162713</v>
      </c>
      <c r="Y16" s="742">
        <f t="shared" si="5"/>
        <v>300</v>
      </c>
      <c r="Z16" s="468">
        <v>315108</v>
      </c>
      <c r="AA16" s="742">
        <f t="shared" si="6"/>
        <v>0</v>
      </c>
      <c r="AB16" s="836">
        <v>643840</v>
      </c>
      <c r="AC16" s="742">
        <f t="shared" si="7"/>
        <v>0</v>
      </c>
      <c r="AD16" s="836">
        <v>712274</v>
      </c>
      <c r="AE16" s="742">
        <f t="shared" si="8"/>
        <v>2883.73</v>
      </c>
      <c r="AF16" s="468">
        <v>683358</v>
      </c>
      <c r="AG16" s="742">
        <f t="shared" si="9"/>
        <v>0</v>
      </c>
      <c r="AH16" s="468">
        <v>189686</v>
      </c>
      <c r="AI16" s="742">
        <f t="shared" si="10"/>
        <v>278.25</v>
      </c>
      <c r="AJ16" s="836">
        <v>166083</v>
      </c>
      <c r="AK16" s="742">
        <f t="shared" si="28"/>
        <v>2262.04</v>
      </c>
      <c r="AL16" s="742">
        <f t="shared" si="11"/>
        <v>5424.02</v>
      </c>
      <c r="AM16" s="885">
        <v>6881180</v>
      </c>
      <c r="AN16" s="742">
        <f t="shared" si="12"/>
        <v>626</v>
      </c>
      <c r="AO16" s="468">
        <v>533764</v>
      </c>
      <c r="AP16" s="742">
        <f t="shared" si="13"/>
        <v>378</v>
      </c>
      <c r="AQ16" s="468">
        <v>877232</v>
      </c>
      <c r="AR16" s="742">
        <f t="shared" si="14"/>
        <v>27.28</v>
      </c>
      <c r="AS16" s="468">
        <v>779468</v>
      </c>
      <c r="AT16" s="742">
        <f t="shared" si="15"/>
        <v>175</v>
      </c>
      <c r="AU16" s="468">
        <v>2142829</v>
      </c>
      <c r="AV16" s="742">
        <f t="shared" si="16"/>
        <v>638</v>
      </c>
      <c r="AW16" s="468">
        <v>194024</v>
      </c>
      <c r="AX16" s="742">
        <f t="shared" si="25"/>
        <v>70</v>
      </c>
      <c r="AY16" s="468">
        <v>16637195</v>
      </c>
      <c r="AZ16" s="742">
        <f t="shared" si="17"/>
        <v>4832</v>
      </c>
      <c r="BA16" s="836">
        <v>20101396</v>
      </c>
      <c r="BB16" s="742">
        <f t="shared" si="18"/>
        <v>5390.4</v>
      </c>
      <c r="BC16" s="742">
        <f t="shared" si="19"/>
        <v>12136.68</v>
      </c>
      <c r="BD16" s="836">
        <v>1323286</v>
      </c>
      <c r="BE16" s="742">
        <f t="shared" si="20"/>
        <v>0</v>
      </c>
      <c r="BF16" s="836">
        <v>3104523</v>
      </c>
      <c r="BG16" s="742">
        <f t="shared" si="21"/>
        <v>1001</v>
      </c>
      <c r="BH16" s="468">
        <v>344820</v>
      </c>
      <c r="BI16" s="742">
        <f t="shared" si="22"/>
        <v>130</v>
      </c>
      <c r="BJ16" s="468">
        <v>390256</v>
      </c>
      <c r="BK16" s="742">
        <f t="shared" si="29"/>
        <v>209</v>
      </c>
      <c r="BL16" s="851">
        <f t="shared" si="26"/>
        <v>23232.7</v>
      </c>
      <c r="BM16" s="852">
        <v>71</v>
      </c>
      <c r="BN16" s="851">
        <f t="shared" si="36"/>
        <v>290.40875</v>
      </c>
      <c r="BO16" s="852"/>
      <c r="BP16" s="851" t="e">
        <f t="shared" si="27"/>
        <v>#DIV/0!</v>
      </c>
      <c r="BQ16" s="851">
        <f>BL16*BS1</f>
        <v>10687.042000000001</v>
      </c>
      <c r="BR16" s="851">
        <f>IF(BQ16&gt;0,BQ16/BM15,0)</f>
        <v>133.58802500000002</v>
      </c>
      <c r="BS16" s="853" t="e">
        <f t="shared" si="32"/>
        <v>#DIV/0!</v>
      </c>
      <c r="BU16" s="471"/>
      <c r="BV16" s="471"/>
      <c r="BW16" s="471"/>
      <c r="BX16" s="471"/>
      <c r="BY16" s="471"/>
      <c r="BZ16" s="471"/>
      <c r="CA16" s="471"/>
      <c r="CB16" s="471"/>
      <c r="CC16" s="471"/>
      <c r="CD16" s="471"/>
      <c r="CE16" s="471"/>
      <c r="CF16" s="471"/>
      <c r="CG16" s="471"/>
      <c r="CH16" s="471"/>
    </row>
    <row r="17" spans="1:86" s="414" customFormat="1" ht="33.75" customHeight="1">
      <c r="A17" s="464">
        <v>12</v>
      </c>
      <c r="B17" s="465"/>
      <c r="C17" s="466">
        <f t="shared" si="33"/>
        <v>0</v>
      </c>
      <c r="D17" s="466"/>
      <c r="E17" s="466">
        <f t="shared" si="34"/>
        <v>0</v>
      </c>
      <c r="F17" s="466"/>
      <c r="G17" s="466">
        <f t="shared" si="35"/>
        <v>0</v>
      </c>
      <c r="H17" s="467"/>
      <c r="I17" s="468">
        <v>20842177</v>
      </c>
      <c r="J17" s="742">
        <f t="shared" si="23"/>
        <v>4121</v>
      </c>
      <c r="K17" s="742">
        <f t="shared" si="0"/>
        <v>1761</v>
      </c>
      <c r="L17" s="468">
        <v>617502</v>
      </c>
      <c r="M17" s="742">
        <f>IF(L17&gt;=L16,L17-L16,0)</f>
        <v>613</v>
      </c>
      <c r="N17" s="468">
        <v>607155</v>
      </c>
      <c r="O17" s="742">
        <f t="shared" si="2"/>
        <v>1148</v>
      </c>
      <c r="P17" s="836">
        <v>210451</v>
      </c>
      <c r="Q17" s="742">
        <f t="shared" si="3"/>
        <v>330</v>
      </c>
      <c r="R17" s="468">
        <v>702925</v>
      </c>
      <c r="S17" s="742">
        <f>IF(R17&gt;=R16,R17-R16,0)</f>
        <v>0</v>
      </c>
      <c r="T17" s="468">
        <v>344001</v>
      </c>
      <c r="U17" s="742">
        <f t="shared" si="4"/>
        <v>0</v>
      </c>
      <c r="V17" s="836">
        <v>87321</v>
      </c>
      <c r="W17" s="742">
        <f t="shared" si="4"/>
        <v>133</v>
      </c>
      <c r="X17" s="836">
        <v>162956</v>
      </c>
      <c r="Y17" s="742">
        <f t="shared" si="5"/>
        <v>243</v>
      </c>
      <c r="Z17" s="468">
        <v>315108</v>
      </c>
      <c r="AA17" s="742">
        <f t="shared" si="6"/>
        <v>0</v>
      </c>
      <c r="AB17" s="468">
        <v>643840</v>
      </c>
      <c r="AC17" s="742">
        <f t="shared" si="7"/>
        <v>0</v>
      </c>
      <c r="AD17" s="885">
        <v>714100</v>
      </c>
      <c r="AE17" s="742">
        <f t="shared" si="8"/>
        <v>967.78000000000009</v>
      </c>
      <c r="AF17" s="468">
        <v>683358</v>
      </c>
      <c r="AG17" s="742">
        <f t="shared" si="9"/>
        <v>0</v>
      </c>
      <c r="AH17" s="468">
        <v>189860</v>
      </c>
      <c r="AI17" s="742">
        <f t="shared" si="10"/>
        <v>92.22</v>
      </c>
      <c r="AJ17" s="468">
        <v>168505</v>
      </c>
      <c r="AK17" s="742">
        <f t="shared" si="28"/>
        <v>1283.6600000000001</v>
      </c>
      <c r="AL17" s="742">
        <f t="shared" si="11"/>
        <v>2343.66</v>
      </c>
      <c r="AM17" s="468">
        <v>6881580</v>
      </c>
      <c r="AN17" s="742">
        <f t="shared" si="12"/>
        <v>400</v>
      </c>
      <c r="AO17" s="468">
        <v>533911</v>
      </c>
      <c r="AP17" s="742">
        <f t="shared" si="13"/>
        <v>147</v>
      </c>
      <c r="AQ17" s="468">
        <v>877444</v>
      </c>
      <c r="AR17" s="742">
        <f t="shared" si="14"/>
        <v>23.32</v>
      </c>
      <c r="AS17" s="468">
        <v>779632</v>
      </c>
      <c r="AT17" s="742">
        <f t="shared" si="15"/>
        <v>164</v>
      </c>
      <c r="AU17" s="468">
        <v>2143362</v>
      </c>
      <c r="AV17" s="742">
        <f t="shared" si="16"/>
        <v>533</v>
      </c>
      <c r="AW17" s="468">
        <v>194071</v>
      </c>
      <c r="AX17" s="742">
        <f t="shared" si="25"/>
        <v>47</v>
      </c>
      <c r="AY17" s="468">
        <v>16641285</v>
      </c>
      <c r="AZ17" s="742">
        <f t="shared" si="17"/>
        <v>4090</v>
      </c>
      <c r="BA17" s="836">
        <v>20106185</v>
      </c>
      <c r="BB17" s="742">
        <f t="shared" si="18"/>
        <v>4123.2</v>
      </c>
      <c r="BC17" s="742">
        <f t="shared" si="19"/>
        <v>9527.52</v>
      </c>
      <c r="BD17" s="836">
        <v>1323286</v>
      </c>
      <c r="BE17" s="742">
        <f>IF(BD17&gt;=BF16,BD17-BF16,0)</f>
        <v>0</v>
      </c>
      <c r="BF17" s="468">
        <v>3105256</v>
      </c>
      <c r="BG17" s="742">
        <f t="shared" si="21"/>
        <v>733</v>
      </c>
      <c r="BH17" s="468">
        <v>344908</v>
      </c>
      <c r="BI17" s="742">
        <f t="shared" si="22"/>
        <v>88</v>
      </c>
      <c r="BJ17" s="468">
        <v>390438</v>
      </c>
      <c r="BK17" s="742">
        <f t="shared" si="29"/>
        <v>182</v>
      </c>
      <c r="BL17" s="851">
        <f t="shared" si="26"/>
        <v>16322.18</v>
      </c>
      <c r="BM17" s="852">
        <v>89</v>
      </c>
      <c r="BN17" s="851">
        <f t="shared" si="36"/>
        <v>229.88985915492958</v>
      </c>
      <c r="BO17" s="852"/>
      <c r="BP17" s="851" t="e">
        <f t="shared" si="27"/>
        <v>#DIV/0!</v>
      </c>
      <c r="BQ17" s="851">
        <f>BL17*BS1</f>
        <v>7508.2028</v>
      </c>
      <c r="BR17" s="851">
        <f>IF(BQ17&gt;0,BQ17/BM16,0)</f>
        <v>105.74933521126761</v>
      </c>
      <c r="BS17" s="853" t="e">
        <f t="shared" si="32"/>
        <v>#DIV/0!</v>
      </c>
      <c r="BU17" s="471"/>
      <c r="BV17" s="471"/>
      <c r="BW17" s="471"/>
      <c r="BX17" s="471"/>
      <c r="BY17" s="471"/>
      <c r="BZ17" s="471"/>
      <c r="CA17" s="471"/>
      <c r="CB17" s="471"/>
      <c r="CC17" s="471"/>
      <c r="CD17" s="471"/>
      <c r="CE17" s="471"/>
      <c r="CF17" s="471"/>
      <c r="CG17" s="471"/>
      <c r="CH17" s="471"/>
    </row>
    <row r="18" spans="1:86" s="414" customFormat="1" ht="33.75" customHeight="1">
      <c r="A18" s="464">
        <v>13</v>
      </c>
      <c r="B18" s="465"/>
      <c r="C18" s="466">
        <f t="shared" si="33"/>
        <v>0</v>
      </c>
      <c r="D18" s="466"/>
      <c r="E18" s="466">
        <f t="shared" si="34"/>
        <v>0</v>
      </c>
      <c r="F18" s="466"/>
      <c r="G18" s="466">
        <f t="shared" si="35"/>
        <v>0</v>
      </c>
      <c r="H18" s="467">
        <v>62</v>
      </c>
      <c r="I18" s="836">
        <v>20847293</v>
      </c>
      <c r="J18" s="742">
        <f t="shared" si="23"/>
        <v>5116</v>
      </c>
      <c r="K18" s="742">
        <f t="shared" si="0"/>
        <v>3373</v>
      </c>
      <c r="L18" s="836">
        <v>619486</v>
      </c>
      <c r="M18" s="742">
        <f>IF(L18&gt;=L17,L18-L17,0)</f>
        <v>1984</v>
      </c>
      <c r="N18" s="836">
        <v>608544</v>
      </c>
      <c r="O18" s="742">
        <f t="shared" si="2"/>
        <v>1389</v>
      </c>
      <c r="P18" s="836">
        <v>210475</v>
      </c>
      <c r="Q18" s="742">
        <f t="shared" si="3"/>
        <v>720</v>
      </c>
      <c r="R18" s="468">
        <v>702925</v>
      </c>
      <c r="S18" s="742">
        <f t="shared" si="24"/>
        <v>0</v>
      </c>
      <c r="T18" s="468">
        <v>344001</v>
      </c>
      <c r="U18" s="742">
        <f t="shared" si="4"/>
        <v>0</v>
      </c>
      <c r="V18" s="468">
        <v>87474</v>
      </c>
      <c r="W18" s="742">
        <f t="shared" si="4"/>
        <v>153</v>
      </c>
      <c r="X18" s="468">
        <v>163248</v>
      </c>
      <c r="Y18" s="742">
        <f t="shared" si="5"/>
        <v>292</v>
      </c>
      <c r="Z18" s="468">
        <v>315108</v>
      </c>
      <c r="AA18" s="742">
        <f t="shared" si="6"/>
        <v>0</v>
      </c>
      <c r="AB18" s="468">
        <v>643840</v>
      </c>
      <c r="AC18" s="742">
        <f t="shared" si="7"/>
        <v>0</v>
      </c>
      <c r="AD18" s="885">
        <v>716893</v>
      </c>
      <c r="AE18" s="742">
        <f t="shared" si="8"/>
        <v>1480.29</v>
      </c>
      <c r="AF18" s="468">
        <v>683358</v>
      </c>
      <c r="AG18" s="742">
        <f t="shared" si="9"/>
        <v>0</v>
      </c>
      <c r="AH18" s="836">
        <v>190150</v>
      </c>
      <c r="AI18" s="742">
        <f t="shared" si="10"/>
        <v>153.70000000000002</v>
      </c>
      <c r="AJ18" s="468">
        <v>170934</v>
      </c>
      <c r="AK18" s="742">
        <f t="shared" si="28"/>
        <v>1287.3700000000001</v>
      </c>
      <c r="AL18" s="742">
        <f t="shared" si="11"/>
        <v>2921.36</v>
      </c>
      <c r="AM18" s="468">
        <v>6882021</v>
      </c>
      <c r="AN18" s="742">
        <f t="shared" si="12"/>
        <v>441</v>
      </c>
      <c r="AO18" s="836">
        <v>534112</v>
      </c>
      <c r="AP18" s="742">
        <f t="shared" si="13"/>
        <v>201</v>
      </c>
      <c r="AQ18" s="468">
        <v>877675</v>
      </c>
      <c r="AR18" s="742">
        <f t="shared" si="14"/>
        <v>25.41</v>
      </c>
      <c r="AS18" s="468">
        <v>779790</v>
      </c>
      <c r="AT18" s="742">
        <f t="shared" si="15"/>
        <v>158</v>
      </c>
      <c r="AU18" s="836">
        <v>2143909</v>
      </c>
      <c r="AV18" s="742">
        <f t="shared" si="16"/>
        <v>547</v>
      </c>
      <c r="AW18" s="836">
        <v>194134</v>
      </c>
      <c r="AX18" s="742">
        <f t="shared" si="25"/>
        <v>63</v>
      </c>
      <c r="AY18" s="836">
        <v>16645536</v>
      </c>
      <c r="AZ18" s="742">
        <f t="shared" si="17"/>
        <v>4251</v>
      </c>
      <c r="BA18" s="836">
        <v>20111566</v>
      </c>
      <c r="BB18" s="742">
        <f t="shared" si="18"/>
        <v>4555.2</v>
      </c>
      <c r="BC18" s="742">
        <f t="shared" si="19"/>
        <v>10241.61</v>
      </c>
      <c r="BD18" s="836">
        <v>1323286</v>
      </c>
      <c r="BE18" s="742">
        <f t="shared" si="20"/>
        <v>0</v>
      </c>
      <c r="BF18" s="468">
        <v>3106194</v>
      </c>
      <c r="BG18" s="742">
        <f t="shared" si="21"/>
        <v>938</v>
      </c>
      <c r="BH18" s="468">
        <v>345034</v>
      </c>
      <c r="BI18" s="742">
        <f t="shared" si="22"/>
        <v>126</v>
      </c>
      <c r="BJ18" s="468">
        <v>390638</v>
      </c>
      <c r="BK18" s="742">
        <f t="shared" si="29"/>
        <v>200</v>
      </c>
      <c r="BL18" s="851">
        <f t="shared" si="26"/>
        <v>18998.97</v>
      </c>
      <c r="BM18" s="852">
        <v>83</v>
      </c>
      <c r="BN18" s="851">
        <f t="shared" si="36"/>
        <v>213.47157303370787</v>
      </c>
      <c r="BO18" s="852"/>
      <c r="BP18" s="851" t="e">
        <f t="shared" si="27"/>
        <v>#DIV/0!</v>
      </c>
      <c r="BQ18" s="851">
        <f>BL18*BS1</f>
        <v>8739.5262000000002</v>
      </c>
      <c r="BR18" s="851">
        <f>IF(BQ18&gt;0,BQ18/BM17,0)</f>
        <v>98.196923595505623</v>
      </c>
      <c r="BS18" s="853" t="e">
        <f t="shared" si="32"/>
        <v>#DIV/0!</v>
      </c>
      <c r="BU18" s="471"/>
      <c r="BV18" s="471"/>
      <c r="BW18" s="471"/>
      <c r="BX18" s="471"/>
      <c r="BY18" s="471"/>
      <c r="BZ18" s="471"/>
      <c r="CA18" s="471"/>
      <c r="CB18" s="471"/>
      <c r="CC18" s="471"/>
      <c r="CD18" s="471"/>
      <c r="CE18" s="471"/>
      <c r="CF18" s="471"/>
      <c r="CG18" s="471"/>
      <c r="CH18" s="471"/>
    </row>
    <row r="19" spans="1:86" s="414" customFormat="1" ht="33.75" customHeight="1">
      <c r="A19" s="464">
        <v>14</v>
      </c>
      <c r="B19" s="465"/>
      <c r="C19" s="466">
        <f t="shared" si="33"/>
        <v>0</v>
      </c>
      <c r="D19" s="466"/>
      <c r="E19" s="466">
        <f t="shared" si="34"/>
        <v>0</v>
      </c>
      <c r="F19" s="466"/>
      <c r="G19" s="466">
        <f t="shared" si="35"/>
        <v>0</v>
      </c>
      <c r="H19" s="467"/>
      <c r="I19" s="468">
        <v>20852112</v>
      </c>
      <c r="J19" s="742">
        <f t="shared" si="23"/>
        <v>4819</v>
      </c>
      <c r="K19" s="742">
        <f t="shared" si="0"/>
        <v>3094</v>
      </c>
      <c r="L19" s="836">
        <v>621256</v>
      </c>
      <c r="M19" s="742">
        <f t="shared" si="1"/>
        <v>1770</v>
      </c>
      <c r="N19" s="836">
        <v>609868</v>
      </c>
      <c r="O19" s="742">
        <f t="shared" si="2"/>
        <v>1324</v>
      </c>
      <c r="P19" s="836">
        <v>210492</v>
      </c>
      <c r="Q19" s="742">
        <f t="shared" ref="Q19:Q36" si="37">IF(P19&gt;=P18,P19-P18,0)*30</f>
        <v>510</v>
      </c>
      <c r="R19" s="468">
        <v>702925</v>
      </c>
      <c r="S19" s="742">
        <f t="shared" ref="S19:S36" si="38">IF(R19&gt;=R18,R19-R18,0)</f>
        <v>0</v>
      </c>
      <c r="T19" s="468">
        <v>344001</v>
      </c>
      <c r="U19" s="742">
        <f t="shared" ref="U19:U36" si="39">IF(T19&gt;=T18,T19-T18,0)</f>
        <v>0</v>
      </c>
      <c r="V19" s="468">
        <v>87618</v>
      </c>
      <c r="W19" s="742">
        <f t="shared" si="4"/>
        <v>144</v>
      </c>
      <c r="X19" s="468">
        <v>163525</v>
      </c>
      <c r="Y19" s="742">
        <f t="shared" si="5"/>
        <v>277</v>
      </c>
      <c r="Z19" s="468">
        <v>315108</v>
      </c>
      <c r="AA19" s="742">
        <f t="shared" si="6"/>
        <v>0</v>
      </c>
      <c r="AB19" s="468">
        <v>643840</v>
      </c>
      <c r="AC19" s="742">
        <f t="shared" si="7"/>
        <v>0</v>
      </c>
      <c r="AD19" s="836">
        <v>716893</v>
      </c>
      <c r="AE19" s="742">
        <f t="shared" si="8"/>
        <v>0</v>
      </c>
      <c r="AF19" s="468">
        <v>687545</v>
      </c>
      <c r="AG19" s="742">
        <f t="shared" si="9"/>
        <v>2219.11</v>
      </c>
      <c r="AH19" s="836">
        <v>190519</v>
      </c>
      <c r="AI19" s="742">
        <f t="shared" si="10"/>
        <v>195.57000000000002</v>
      </c>
      <c r="AJ19" s="468">
        <v>174602</v>
      </c>
      <c r="AK19" s="742">
        <f t="shared" si="28"/>
        <v>1944.0400000000002</v>
      </c>
      <c r="AL19" s="742">
        <f t="shared" si="11"/>
        <v>4358.72</v>
      </c>
      <c r="AM19" s="885">
        <v>6882740</v>
      </c>
      <c r="AN19" s="742">
        <f t="shared" si="12"/>
        <v>719</v>
      </c>
      <c r="AO19" s="468">
        <v>534402</v>
      </c>
      <c r="AP19" s="742">
        <f t="shared" si="13"/>
        <v>290</v>
      </c>
      <c r="AQ19" s="836">
        <v>877923</v>
      </c>
      <c r="AR19" s="742">
        <f t="shared" si="14"/>
        <v>27.28</v>
      </c>
      <c r="AS19" s="468">
        <v>779948</v>
      </c>
      <c r="AT19" s="742">
        <f t="shared" si="15"/>
        <v>158</v>
      </c>
      <c r="AU19" s="836">
        <v>2144468</v>
      </c>
      <c r="AV19" s="742">
        <f t="shared" si="16"/>
        <v>559</v>
      </c>
      <c r="AW19" s="468">
        <v>194189</v>
      </c>
      <c r="AX19" s="742">
        <f t="shared" ref="AX19:AX36" si="40">IF(AW19&gt;=AW18,AW19-AW18,0)</f>
        <v>55</v>
      </c>
      <c r="AY19" s="836">
        <v>16650238</v>
      </c>
      <c r="AZ19" s="742">
        <f t="shared" si="17"/>
        <v>4702</v>
      </c>
      <c r="BA19" s="836">
        <v>20117033</v>
      </c>
      <c r="BB19" s="742">
        <f t="shared" si="18"/>
        <v>4631.2</v>
      </c>
      <c r="BC19" s="742">
        <f t="shared" si="19"/>
        <v>11141.48</v>
      </c>
      <c r="BD19" s="836">
        <v>1323286</v>
      </c>
      <c r="BE19" s="742">
        <f t="shared" si="20"/>
        <v>0</v>
      </c>
      <c r="BF19" s="468">
        <v>3107157</v>
      </c>
      <c r="BG19" s="742">
        <f t="shared" si="21"/>
        <v>963</v>
      </c>
      <c r="BH19" s="885">
        <v>345162</v>
      </c>
      <c r="BI19" s="742">
        <f t="shared" si="22"/>
        <v>128</v>
      </c>
      <c r="BJ19" s="836">
        <v>390832</v>
      </c>
      <c r="BK19" s="742">
        <f t="shared" si="29"/>
        <v>194</v>
      </c>
      <c r="BL19" s="851">
        <f t="shared" si="26"/>
        <v>20829.2</v>
      </c>
      <c r="BM19" s="885">
        <v>82</v>
      </c>
      <c r="BN19" s="851">
        <f t="shared" si="36"/>
        <v>250.95421686746988</v>
      </c>
      <c r="BO19" s="852"/>
      <c r="BP19" s="851" t="e">
        <f t="shared" si="27"/>
        <v>#DIV/0!</v>
      </c>
      <c r="BQ19" s="851">
        <f>BL19*BS1</f>
        <v>9581.4320000000007</v>
      </c>
      <c r="BR19" s="851">
        <f>IF(BQ19&gt;0,BQ19/BM18,0)</f>
        <v>115.43893975903616</v>
      </c>
      <c r="BS19" s="853" t="e">
        <f t="shared" si="32"/>
        <v>#DIV/0!</v>
      </c>
      <c r="BU19" s="471"/>
      <c r="BV19" s="471"/>
      <c r="BW19" s="471"/>
      <c r="BX19" s="471"/>
      <c r="BY19" s="471"/>
      <c r="BZ19" s="471"/>
      <c r="CA19" s="471"/>
      <c r="CB19" s="471"/>
      <c r="CC19" s="471"/>
      <c r="CD19" s="471"/>
      <c r="CE19" s="471"/>
      <c r="CF19" s="471"/>
      <c r="CG19" s="471"/>
      <c r="CH19" s="471"/>
    </row>
    <row r="20" spans="1:86" s="414" customFormat="1" ht="33.75" customHeight="1">
      <c r="A20" s="464">
        <v>15</v>
      </c>
      <c r="B20" s="465"/>
      <c r="C20" s="466">
        <f t="shared" si="33"/>
        <v>0</v>
      </c>
      <c r="D20" s="466"/>
      <c r="E20" s="466">
        <f t="shared" si="34"/>
        <v>0</v>
      </c>
      <c r="F20" s="466"/>
      <c r="G20" s="466">
        <f t="shared" si="35"/>
        <v>0</v>
      </c>
      <c r="H20" s="467">
        <v>63</v>
      </c>
      <c r="I20" s="468">
        <v>20857632</v>
      </c>
      <c r="J20" s="742">
        <f t="shared" si="23"/>
        <v>5520</v>
      </c>
      <c r="K20" s="742">
        <f t="shared" si="0"/>
        <v>3435</v>
      </c>
      <c r="L20" s="836">
        <v>623127</v>
      </c>
      <c r="M20" s="742">
        <f t="shared" si="1"/>
        <v>1871</v>
      </c>
      <c r="N20" s="468">
        <v>611432</v>
      </c>
      <c r="O20" s="742">
        <f t="shared" si="2"/>
        <v>1564</v>
      </c>
      <c r="P20" s="836">
        <v>210510</v>
      </c>
      <c r="Q20" s="742">
        <f t="shared" si="37"/>
        <v>540</v>
      </c>
      <c r="R20" s="468">
        <v>702925</v>
      </c>
      <c r="S20" s="742">
        <f t="shared" si="38"/>
        <v>0</v>
      </c>
      <c r="T20" s="468">
        <v>344001</v>
      </c>
      <c r="U20" s="742">
        <f t="shared" si="39"/>
        <v>0</v>
      </c>
      <c r="V20" s="468">
        <v>87773</v>
      </c>
      <c r="W20" s="742">
        <f t="shared" si="4"/>
        <v>155</v>
      </c>
      <c r="X20" s="468">
        <v>163827</v>
      </c>
      <c r="Y20" s="742">
        <f t="shared" si="5"/>
        <v>302</v>
      </c>
      <c r="Z20" s="468">
        <v>315108</v>
      </c>
      <c r="AA20" s="742">
        <f t="shared" si="6"/>
        <v>0</v>
      </c>
      <c r="AB20" s="468">
        <v>643840</v>
      </c>
      <c r="AC20" s="742">
        <f t="shared" si="7"/>
        <v>0</v>
      </c>
      <c r="AD20" s="836">
        <v>716893</v>
      </c>
      <c r="AE20" s="742">
        <f t="shared" si="8"/>
        <v>0</v>
      </c>
      <c r="AF20" s="468">
        <v>692402</v>
      </c>
      <c r="AG20" s="742">
        <f t="shared" si="9"/>
        <v>2574.21</v>
      </c>
      <c r="AH20" s="468">
        <v>191047</v>
      </c>
      <c r="AI20" s="742">
        <f t="shared" si="10"/>
        <v>279.84000000000003</v>
      </c>
      <c r="AJ20" s="468">
        <v>178719</v>
      </c>
      <c r="AK20" s="742">
        <f t="shared" si="28"/>
        <v>2182.0100000000002</v>
      </c>
      <c r="AL20" s="742">
        <f t="shared" si="11"/>
        <v>5036.0600000000004</v>
      </c>
      <c r="AM20" s="468">
        <v>6883588</v>
      </c>
      <c r="AN20" s="742">
        <f t="shared" si="12"/>
        <v>848</v>
      </c>
      <c r="AO20" s="468">
        <v>534671</v>
      </c>
      <c r="AP20" s="742">
        <f t="shared" si="13"/>
        <v>269</v>
      </c>
      <c r="AQ20" s="468">
        <v>878178</v>
      </c>
      <c r="AR20" s="742">
        <f t="shared" si="14"/>
        <v>28.05</v>
      </c>
      <c r="AS20" s="468">
        <v>780100</v>
      </c>
      <c r="AT20" s="742">
        <f t="shared" si="15"/>
        <v>152</v>
      </c>
      <c r="AU20" s="468">
        <v>2145083</v>
      </c>
      <c r="AV20" s="742">
        <f t="shared" si="16"/>
        <v>615</v>
      </c>
      <c r="AW20" s="468">
        <v>194246</v>
      </c>
      <c r="AX20" s="742">
        <f t="shared" si="40"/>
        <v>57</v>
      </c>
      <c r="AY20" s="468">
        <v>16654965</v>
      </c>
      <c r="AZ20" s="742">
        <f t="shared" si="17"/>
        <v>4727</v>
      </c>
      <c r="BA20" s="836">
        <v>20123080</v>
      </c>
      <c r="BB20" s="742">
        <f t="shared" si="18"/>
        <v>5152.2</v>
      </c>
      <c r="BC20" s="742">
        <f t="shared" si="19"/>
        <v>11848.25</v>
      </c>
      <c r="BD20" s="836">
        <v>1323286</v>
      </c>
      <c r="BE20" s="742">
        <f t="shared" si="20"/>
        <v>0</v>
      </c>
      <c r="BF20" s="468">
        <v>3108200</v>
      </c>
      <c r="BG20" s="742">
        <f t="shared" si="21"/>
        <v>1043</v>
      </c>
      <c r="BH20" s="468">
        <v>345280</v>
      </c>
      <c r="BI20" s="742">
        <f t="shared" si="22"/>
        <v>118</v>
      </c>
      <c r="BJ20" s="468">
        <v>391042</v>
      </c>
      <c r="BK20" s="742">
        <f t="shared" si="29"/>
        <v>210</v>
      </c>
      <c r="BL20" s="851">
        <f t="shared" si="26"/>
        <v>22944.31</v>
      </c>
      <c r="BM20" s="852">
        <v>20</v>
      </c>
      <c r="BN20" s="851">
        <f t="shared" ref="BN20:BN36" si="41">IF(BL20&gt;0,BL20/BM20,0)</f>
        <v>1147.2155</v>
      </c>
      <c r="BO20" s="852"/>
      <c r="BP20" s="851" t="e">
        <f t="shared" si="27"/>
        <v>#DIV/0!</v>
      </c>
      <c r="BQ20" s="851">
        <f>BL20*BS1</f>
        <v>10554.382600000001</v>
      </c>
      <c r="BR20" s="851">
        <f t="shared" ref="BR20:BR36" si="42">IF(BQ20&gt;0,BQ20/BM20,0)</f>
        <v>527.71913000000006</v>
      </c>
      <c r="BS20" s="853" t="e">
        <f t="shared" si="32"/>
        <v>#DIV/0!</v>
      </c>
      <c r="BU20" s="471"/>
      <c r="BV20" s="471"/>
      <c r="BW20" s="471"/>
      <c r="BX20" s="471"/>
      <c r="BY20" s="471"/>
      <c r="BZ20" s="471"/>
      <c r="CA20" s="471"/>
      <c r="CB20" s="471"/>
      <c r="CC20" s="471"/>
      <c r="CD20" s="471"/>
      <c r="CE20" s="471"/>
      <c r="CF20" s="471"/>
      <c r="CG20" s="471"/>
      <c r="CH20" s="471"/>
    </row>
    <row r="21" spans="1:86" s="414" customFormat="1" ht="33.75" customHeight="1">
      <c r="A21" s="464">
        <v>16</v>
      </c>
      <c r="B21" s="465"/>
      <c r="C21" s="466">
        <f t="shared" si="33"/>
        <v>0</v>
      </c>
      <c r="D21" s="466"/>
      <c r="E21" s="466">
        <f t="shared" si="34"/>
        <v>0</v>
      </c>
      <c r="F21" s="466"/>
      <c r="G21" s="466">
        <f t="shared" si="35"/>
        <v>0</v>
      </c>
      <c r="H21" s="467"/>
      <c r="I21" s="836">
        <v>20861938</v>
      </c>
      <c r="J21" s="742">
        <f t="shared" si="23"/>
        <v>4306</v>
      </c>
      <c r="K21" s="742">
        <f t="shared" si="0"/>
        <v>2846</v>
      </c>
      <c r="L21" s="468">
        <v>624607</v>
      </c>
      <c r="M21" s="742">
        <f t="shared" si="1"/>
        <v>1480</v>
      </c>
      <c r="N21" s="468">
        <v>612798</v>
      </c>
      <c r="O21" s="742">
        <f t="shared" si="2"/>
        <v>1366</v>
      </c>
      <c r="P21" s="836">
        <v>210525</v>
      </c>
      <c r="Q21" s="742">
        <f t="shared" si="37"/>
        <v>450</v>
      </c>
      <c r="R21" s="468">
        <v>702925</v>
      </c>
      <c r="S21" s="742">
        <f t="shared" si="38"/>
        <v>0</v>
      </c>
      <c r="T21" s="468">
        <v>344001</v>
      </c>
      <c r="U21" s="742">
        <f t="shared" si="39"/>
        <v>0</v>
      </c>
      <c r="V21" s="468">
        <v>87904</v>
      </c>
      <c r="W21" s="742">
        <f t="shared" ref="W21:W36" si="43">IF(V21&gt;=V20,V21-V20,0)</f>
        <v>131</v>
      </c>
      <c r="X21" s="836">
        <v>164086</v>
      </c>
      <c r="Y21" s="742">
        <f t="shared" si="5"/>
        <v>259</v>
      </c>
      <c r="Z21" s="468">
        <v>315108</v>
      </c>
      <c r="AA21" s="742">
        <f t="shared" si="6"/>
        <v>0</v>
      </c>
      <c r="AB21" s="836">
        <v>643840</v>
      </c>
      <c r="AC21" s="742">
        <f>IF(AB21&gt;=AB20,AB21-AB20,0)*0.53</f>
        <v>0</v>
      </c>
      <c r="AD21" s="836">
        <v>716893</v>
      </c>
      <c r="AE21" s="742">
        <f t="shared" si="8"/>
        <v>0</v>
      </c>
      <c r="AF21" s="468">
        <v>696766</v>
      </c>
      <c r="AG21" s="742">
        <f t="shared" si="9"/>
        <v>2312.92</v>
      </c>
      <c r="AH21" s="468">
        <v>191440</v>
      </c>
      <c r="AI21" s="742">
        <f t="shared" si="10"/>
        <v>208.29000000000002</v>
      </c>
      <c r="AJ21" s="468">
        <v>182239</v>
      </c>
      <c r="AK21" s="742">
        <f t="shared" si="28"/>
        <v>1865.6000000000001</v>
      </c>
      <c r="AL21" s="742">
        <f t="shared" si="11"/>
        <v>4386.8100000000004</v>
      </c>
      <c r="AM21" s="468">
        <v>6883693</v>
      </c>
      <c r="AN21" s="742">
        <f t="shared" si="12"/>
        <v>105</v>
      </c>
      <c r="AO21" s="468">
        <v>534892</v>
      </c>
      <c r="AP21" s="742">
        <f t="shared" si="13"/>
        <v>221</v>
      </c>
      <c r="AQ21" s="468">
        <v>878377</v>
      </c>
      <c r="AR21" s="742">
        <f t="shared" si="14"/>
        <v>21.89</v>
      </c>
      <c r="AS21" s="468">
        <v>780240</v>
      </c>
      <c r="AT21" s="742">
        <f t="shared" si="15"/>
        <v>140</v>
      </c>
      <c r="AU21" s="468">
        <v>2145649</v>
      </c>
      <c r="AV21" s="742">
        <f t="shared" si="16"/>
        <v>566</v>
      </c>
      <c r="AW21" s="836">
        <v>194251</v>
      </c>
      <c r="AX21" s="742">
        <f t="shared" si="40"/>
        <v>5</v>
      </c>
      <c r="AY21" s="836">
        <v>16659028</v>
      </c>
      <c r="AZ21" s="742">
        <f t="shared" si="17"/>
        <v>4063</v>
      </c>
      <c r="BA21" s="836">
        <v>20128208</v>
      </c>
      <c r="BB21" s="742">
        <f t="shared" si="18"/>
        <v>4346.3999999999996</v>
      </c>
      <c r="BC21" s="742">
        <f t="shared" si="19"/>
        <v>9468.2899999999991</v>
      </c>
      <c r="BD21" s="836">
        <v>1323286</v>
      </c>
      <c r="BE21" s="742">
        <f t="shared" si="20"/>
        <v>0</v>
      </c>
      <c r="BF21" s="468">
        <v>3109116</v>
      </c>
      <c r="BG21" s="742">
        <f t="shared" si="21"/>
        <v>916</v>
      </c>
      <c r="BH21" s="468">
        <v>345390</v>
      </c>
      <c r="BI21" s="742">
        <f t="shared" si="22"/>
        <v>110</v>
      </c>
      <c r="BJ21" s="468">
        <v>391219</v>
      </c>
      <c r="BK21" s="742">
        <f t="shared" si="29"/>
        <v>177</v>
      </c>
      <c r="BL21" s="851">
        <f t="shared" si="26"/>
        <v>18611.099999999999</v>
      </c>
      <c r="BM21" s="852">
        <v>12</v>
      </c>
      <c r="BN21" s="851">
        <f t="shared" si="41"/>
        <v>1550.925</v>
      </c>
      <c r="BO21" s="852"/>
      <c r="BP21" s="851" t="e">
        <f t="shared" si="27"/>
        <v>#DIV/0!</v>
      </c>
      <c r="BQ21" s="851">
        <f>BL21*BS1</f>
        <v>8561.1059999999998</v>
      </c>
      <c r="BR21" s="851">
        <f t="shared" si="42"/>
        <v>713.42549999999994</v>
      </c>
      <c r="BS21" s="853" t="e">
        <f t="shared" si="32"/>
        <v>#DIV/0!</v>
      </c>
      <c r="BU21" s="471"/>
      <c r="BV21" s="471"/>
      <c r="BW21" s="471"/>
      <c r="BX21" s="471"/>
      <c r="BY21" s="471"/>
      <c r="BZ21" s="471"/>
      <c r="CA21" s="471"/>
      <c r="CB21" s="471"/>
      <c r="CC21" s="471"/>
      <c r="CD21" s="471"/>
      <c r="CE21" s="471"/>
      <c r="CF21" s="471"/>
      <c r="CG21" s="471"/>
      <c r="CH21" s="471"/>
    </row>
    <row r="22" spans="1:86" s="414" customFormat="1" ht="33.75" customHeight="1">
      <c r="A22" s="464">
        <v>17</v>
      </c>
      <c r="B22" s="465"/>
      <c r="C22" s="466">
        <f t="shared" si="33"/>
        <v>0</v>
      </c>
      <c r="D22" s="466"/>
      <c r="E22" s="466">
        <f t="shared" si="34"/>
        <v>0</v>
      </c>
      <c r="F22" s="466"/>
      <c r="G22" s="466">
        <f t="shared" si="35"/>
        <v>0</v>
      </c>
      <c r="H22" s="467">
        <v>64</v>
      </c>
      <c r="I22" s="836">
        <v>20868232</v>
      </c>
      <c r="J22" s="742">
        <f t="shared" si="23"/>
        <v>6294</v>
      </c>
      <c r="K22" s="742">
        <f t="shared" si="0"/>
        <v>3971</v>
      </c>
      <c r="L22" s="836">
        <v>626844</v>
      </c>
      <c r="M22" s="742">
        <f t="shared" si="1"/>
        <v>2237</v>
      </c>
      <c r="N22" s="468">
        <v>614532</v>
      </c>
      <c r="O22" s="742">
        <f t="shared" si="2"/>
        <v>1734</v>
      </c>
      <c r="P22" s="836">
        <v>210546</v>
      </c>
      <c r="Q22" s="742">
        <f t="shared" si="37"/>
        <v>630</v>
      </c>
      <c r="R22" s="468">
        <v>702925</v>
      </c>
      <c r="S22" s="742">
        <f t="shared" si="38"/>
        <v>0</v>
      </c>
      <c r="T22" s="468">
        <v>344001</v>
      </c>
      <c r="U22" s="742">
        <f t="shared" si="39"/>
        <v>0</v>
      </c>
      <c r="V22" s="468">
        <v>88072</v>
      </c>
      <c r="W22" s="742">
        <f t="shared" si="43"/>
        <v>168</v>
      </c>
      <c r="X22" s="468">
        <v>164415</v>
      </c>
      <c r="Y22" s="742">
        <f t="shared" si="5"/>
        <v>329</v>
      </c>
      <c r="Z22" s="468">
        <v>315108</v>
      </c>
      <c r="AA22" s="742">
        <f t="shared" si="6"/>
        <v>0</v>
      </c>
      <c r="AB22" s="836">
        <v>643840</v>
      </c>
      <c r="AC22" s="742">
        <f>IF(AB22&gt;=AB21,AB22-AB21,0)*0.53</f>
        <v>0</v>
      </c>
      <c r="AD22" s="885">
        <v>716893</v>
      </c>
      <c r="AE22" s="742">
        <f t="shared" si="8"/>
        <v>0</v>
      </c>
      <c r="AF22" s="468">
        <v>699008</v>
      </c>
      <c r="AG22" s="742">
        <f t="shared" si="9"/>
        <v>1188.26</v>
      </c>
      <c r="AH22" s="836">
        <v>191701</v>
      </c>
      <c r="AI22" s="742">
        <f t="shared" si="10"/>
        <v>138.33000000000001</v>
      </c>
      <c r="AJ22" s="836">
        <v>186025</v>
      </c>
      <c r="AK22" s="742">
        <f t="shared" si="28"/>
        <v>2006.5800000000002</v>
      </c>
      <c r="AL22" s="742">
        <f t="shared" si="11"/>
        <v>3333.17</v>
      </c>
      <c r="AM22" s="468">
        <v>6883731</v>
      </c>
      <c r="AN22" s="742">
        <f t="shared" si="12"/>
        <v>38</v>
      </c>
      <c r="AO22" s="468">
        <v>535208</v>
      </c>
      <c r="AP22" s="742">
        <f t="shared" si="13"/>
        <v>316</v>
      </c>
      <c r="AQ22" s="468">
        <v>878596</v>
      </c>
      <c r="AR22" s="742">
        <f t="shared" si="14"/>
        <v>24.09</v>
      </c>
      <c r="AS22" s="468">
        <v>780477</v>
      </c>
      <c r="AT22" s="742">
        <f t="shared" si="15"/>
        <v>237</v>
      </c>
      <c r="AU22" s="468">
        <v>2146312</v>
      </c>
      <c r="AV22" s="742">
        <f t="shared" si="16"/>
        <v>663</v>
      </c>
      <c r="AW22" s="468">
        <v>194300</v>
      </c>
      <c r="AX22" s="742">
        <f t="shared" si="40"/>
        <v>49</v>
      </c>
      <c r="AY22" s="836">
        <v>16663184</v>
      </c>
      <c r="AZ22" s="742">
        <f t="shared" si="17"/>
        <v>4156</v>
      </c>
      <c r="BA22" s="836">
        <v>20134116</v>
      </c>
      <c r="BB22" s="742">
        <f t="shared" si="18"/>
        <v>5062.3999999999996</v>
      </c>
      <c r="BC22" s="742">
        <f t="shared" si="19"/>
        <v>10545.49</v>
      </c>
      <c r="BD22" s="836">
        <v>1323286</v>
      </c>
      <c r="BE22" s="742">
        <f t="shared" si="20"/>
        <v>0</v>
      </c>
      <c r="BF22" s="468">
        <v>3110057</v>
      </c>
      <c r="BG22" s="742">
        <f t="shared" si="21"/>
        <v>941</v>
      </c>
      <c r="BH22" s="468">
        <v>345514</v>
      </c>
      <c r="BI22" s="742">
        <f t="shared" si="22"/>
        <v>124</v>
      </c>
      <c r="BJ22" s="836">
        <v>391438</v>
      </c>
      <c r="BK22" s="742">
        <f t="shared" si="29"/>
        <v>219</v>
      </c>
      <c r="BL22" s="851">
        <f t="shared" si="26"/>
        <v>20802.66</v>
      </c>
      <c r="BM22" s="852">
        <v>38</v>
      </c>
      <c r="BN22" s="851">
        <f t="shared" si="41"/>
        <v>547.43842105263161</v>
      </c>
      <c r="BO22" s="852"/>
      <c r="BP22" s="851" t="e">
        <f t="shared" si="27"/>
        <v>#DIV/0!</v>
      </c>
      <c r="BQ22" s="851">
        <f>BL22*BS1</f>
        <v>9569.2236000000012</v>
      </c>
      <c r="BR22" s="851">
        <f t="shared" si="42"/>
        <v>251.82167368421057</v>
      </c>
      <c r="BS22" s="853" t="e">
        <f t="shared" si="32"/>
        <v>#DIV/0!</v>
      </c>
      <c r="BU22" s="471"/>
      <c r="BV22" s="471"/>
      <c r="BW22" s="471"/>
      <c r="BX22" s="471"/>
      <c r="BY22" s="471"/>
      <c r="BZ22" s="471"/>
      <c r="CA22" s="471"/>
      <c r="CB22" s="471"/>
      <c r="CC22" s="471"/>
      <c r="CD22" s="471"/>
      <c r="CE22" s="471"/>
      <c r="CF22" s="471"/>
      <c r="CG22" s="471"/>
      <c r="CH22" s="471"/>
    </row>
    <row r="23" spans="1:86" s="414" customFormat="1" ht="33.75" customHeight="1">
      <c r="A23" s="464">
        <v>18</v>
      </c>
      <c r="B23" s="465"/>
      <c r="C23" s="466">
        <f t="shared" si="33"/>
        <v>0</v>
      </c>
      <c r="D23" s="466"/>
      <c r="E23" s="466">
        <f t="shared" si="34"/>
        <v>0</v>
      </c>
      <c r="F23" s="466"/>
      <c r="G23" s="466">
        <f t="shared" si="35"/>
        <v>0</v>
      </c>
      <c r="H23" s="467"/>
      <c r="I23" s="468">
        <v>20871524</v>
      </c>
      <c r="J23" s="742">
        <f t="shared" si="23"/>
        <v>3292</v>
      </c>
      <c r="K23" s="742">
        <f t="shared" si="0"/>
        <v>3023</v>
      </c>
      <c r="L23" s="468">
        <v>628133</v>
      </c>
      <c r="M23" s="742">
        <f t="shared" si="1"/>
        <v>1289</v>
      </c>
      <c r="N23" s="468">
        <v>616266</v>
      </c>
      <c r="O23" s="742">
        <f t="shared" si="2"/>
        <v>1734</v>
      </c>
      <c r="P23" s="836">
        <v>210561</v>
      </c>
      <c r="Q23" s="742">
        <f t="shared" si="37"/>
        <v>450</v>
      </c>
      <c r="R23" s="468">
        <v>702925</v>
      </c>
      <c r="S23" s="742">
        <f t="shared" si="38"/>
        <v>0</v>
      </c>
      <c r="T23" s="468">
        <v>344001</v>
      </c>
      <c r="U23" s="742">
        <f t="shared" si="39"/>
        <v>0</v>
      </c>
      <c r="V23" s="468">
        <v>88203</v>
      </c>
      <c r="W23" s="742">
        <f t="shared" si="43"/>
        <v>131</v>
      </c>
      <c r="X23" s="468">
        <v>164669</v>
      </c>
      <c r="Y23" s="742">
        <f t="shared" si="5"/>
        <v>254</v>
      </c>
      <c r="Z23" s="468">
        <v>315108</v>
      </c>
      <c r="AA23" s="742">
        <f t="shared" si="6"/>
        <v>0</v>
      </c>
      <c r="AB23" s="468">
        <v>643840</v>
      </c>
      <c r="AC23" s="742">
        <f>IF(AB23&gt;=AB22,AB23-AB22,0)*0.53</f>
        <v>0</v>
      </c>
      <c r="AD23" s="885">
        <v>716893</v>
      </c>
      <c r="AE23" s="742">
        <f t="shared" si="8"/>
        <v>0</v>
      </c>
      <c r="AF23" s="468">
        <v>701506</v>
      </c>
      <c r="AG23" s="742">
        <f t="shared" si="9"/>
        <v>1323.94</v>
      </c>
      <c r="AH23" s="468">
        <v>191980</v>
      </c>
      <c r="AI23" s="742">
        <f t="shared" si="10"/>
        <v>147.87</v>
      </c>
      <c r="AJ23" s="468">
        <v>188543</v>
      </c>
      <c r="AK23" s="742">
        <f t="shared" si="28"/>
        <v>1334.54</v>
      </c>
      <c r="AL23" s="742">
        <f t="shared" si="11"/>
        <v>2806.35</v>
      </c>
      <c r="AM23" s="468">
        <v>6883768</v>
      </c>
      <c r="AN23" s="742">
        <f t="shared" si="12"/>
        <v>37</v>
      </c>
      <c r="AO23" s="468">
        <v>535430</v>
      </c>
      <c r="AP23" s="742">
        <f t="shared" si="13"/>
        <v>222</v>
      </c>
      <c r="AQ23" s="468">
        <v>878768</v>
      </c>
      <c r="AR23" s="742">
        <f t="shared" si="14"/>
        <v>18.920000000000002</v>
      </c>
      <c r="AS23" s="468">
        <v>780578</v>
      </c>
      <c r="AT23" s="742">
        <f t="shared" si="15"/>
        <v>101</v>
      </c>
      <c r="AU23" s="468">
        <v>2146794</v>
      </c>
      <c r="AV23" s="742">
        <f t="shared" si="16"/>
        <v>482</v>
      </c>
      <c r="AW23" s="836">
        <v>194346</v>
      </c>
      <c r="AX23" s="742">
        <f t="shared" si="40"/>
        <v>46</v>
      </c>
      <c r="AY23" s="836">
        <v>16667365</v>
      </c>
      <c r="AZ23" s="742">
        <f t="shared" si="17"/>
        <v>4181</v>
      </c>
      <c r="BA23" s="836">
        <v>20139209</v>
      </c>
      <c r="BB23" s="742">
        <f t="shared" si="18"/>
        <v>4348</v>
      </c>
      <c r="BC23" s="742">
        <f t="shared" si="19"/>
        <v>9435.92</v>
      </c>
      <c r="BD23" s="836">
        <v>1323286</v>
      </c>
      <c r="BE23" s="742">
        <f t="shared" si="20"/>
        <v>0</v>
      </c>
      <c r="BF23" s="468">
        <v>3110872</v>
      </c>
      <c r="BG23" s="742">
        <f t="shared" si="21"/>
        <v>815</v>
      </c>
      <c r="BH23" s="468">
        <v>345638</v>
      </c>
      <c r="BI23" s="742">
        <f t="shared" si="22"/>
        <v>124</v>
      </c>
      <c r="BJ23" s="836">
        <v>391632</v>
      </c>
      <c r="BK23" s="742">
        <f t="shared" si="29"/>
        <v>194</v>
      </c>
      <c r="BL23" s="851">
        <f t="shared" si="26"/>
        <v>15984.27</v>
      </c>
      <c r="BM23" s="852">
        <v>25</v>
      </c>
      <c r="BN23" s="851">
        <f t="shared" si="41"/>
        <v>639.37080000000003</v>
      </c>
      <c r="BO23" s="852"/>
      <c r="BP23" s="851" t="e">
        <f t="shared" si="27"/>
        <v>#DIV/0!</v>
      </c>
      <c r="BQ23" s="851">
        <f>BL23*BS1</f>
        <v>7352.7642000000005</v>
      </c>
      <c r="BR23" s="851">
        <f t="shared" si="42"/>
        <v>294.110568</v>
      </c>
      <c r="BS23" s="853" t="e">
        <f t="shared" si="32"/>
        <v>#DIV/0!</v>
      </c>
      <c r="BU23" s="471"/>
      <c r="BV23" s="471"/>
      <c r="BW23" s="471"/>
      <c r="BX23" s="471"/>
      <c r="BY23" s="471"/>
      <c r="BZ23" s="471"/>
      <c r="CA23" s="471"/>
      <c r="CB23" s="471"/>
      <c r="CC23" s="471"/>
      <c r="CD23" s="471"/>
      <c r="CE23" s="471"/>
      <c r="CF23" s="471"/>
      <c r="CG23" s="471"/>
      <c r="CH23" s="471"/>
    </row>
    <row r="24" spans="1:86" s="414" customFormat="1" ht="33.75" customHeight="1">
      <c r="A24" s="464">
        <v>19</v>
      </c>
      <c r="B24" s="465"/>
      <c r="C24" s="466">
        <f t="shared" si="33"/>
        <v>0</v>
      </c>
      <c r="D24" s="466"/>
      <c r="E24" s="466">
        <f t="shared" si="34"/>
        <v>0</v>
      </c>
      <c r="F24" s="466"/>
      <c r="G24" s="466">
        <f t="shared" si="35"/>
        <v>0</v>
      </c>
      <c r="H24" s="467">
        <v>65</v>
      </c>
      <c r="I24" s="836">
        <v>20875413</v>
      </c>
      <c r="J24" s="742">
        <f t="shared" si="23"/>
        <v>3889</v>
      </c>
      <c r="K24" s="742">
        <f t="shared" si="0"/>
        <v>2327</v>
      </c>
      <c r="L24" s="468">
        <v>629802</v>
      </c>
      <c r="M24" s="742">
        <f t="shared" si="1"/>
        <v>1669</v>
      </c>
      <c r="N24" s="836">
        <v>616924</v>
      </c>
      <c r="O24" s="742">
        <f t="shared" si="2"/>
        <v>658</v>
      </c>
      <c r="P24" s="836">
        <v>210578</v>
      </c>
      <c r="Q24" s="742">
        <f>IF(P24&gt;=P23,P24-P23,0)*30</f>
        <v>510</v>
      </c>
      <c r="R24" s="468">
        <v>702925</v>
      </c>
      <c r="S24" s="742">
        <f t="shared" si="38"/>
        <v>0</v>
      </c>
      <c r="T24" s="468">
        <v>344001</v>
      </c>
      <c r="U24" s="742">
        <f t="shared" si="39"/>
        <v>0</v>
      </c>
      <c r="V24" s="468">
        <v>88350</v>
      </c>
      <c r="W24" s="742">
        <f t="shared" si="43"/>
        <v>147</v>
      </c>
      <c r="X24" s="468">
        <v>164955</v>
      </c>
      <c r="Y24" s="742">
        <f t="shared" si="5"/>
        <v>286</v>
      </c>
      <c r="Z24" s="468">
        <v>315108</v>
      </c>
      <c r="AA24" s="742">
        <f t="shared" si="6"/>
        <v>0</v>
      </c>
      <c r="AB24" s="468">
        <v>646476</v>
      </c>
      <c r="AC24" s="742">
        <f t="shared" si="7"/>
        <v>1397.0800000000002</v>
      </c>
      <c r="AD24" s="468">
        <v>716893</v>
      </c>
      <c r="AE24" s="742">
        <f t="shared" si="8"/>
        <v>0</v>
      </c>
      <c r="AF24" s="468">
        <v>701506</v>
      </c>
      <c r="AG24" s="742">
        <f t="shared" si="9"/>
        <v>0</v>
      </c>
      <c r="AH24" s="468">
        <v>192332</v>
      </c>
      <c r="AI24" s="742">
        <f t="shared" si="10"/>
        <v>186.56</v>
      </c>
      <c r="AJ24" s="468">
        <v>192655</v>
      </c>
      <c r="AK24" s="742">
        <f t="shared" si="28"/>
        <v>2179.36</v>
      </c>
      <c r="AL24" s="742">
        <f t="shared" si="11"/>
        <v>3763</v>
      </c>
      <c r="AM24" s="468">
        <v>6883796</v>
      </c>
      <c r="AN24" s="742">
        <f t="shared" si="12"/>
        <v>28</v>
      </c>
      <c r="AO24" s="468">
        <v>535592</v>
      </c>
      <c r="AP24" s="742">
        <f t="shared" si="13"/>
        <v>162</v>
      </c>
      <c r="AQ24" s="468">
        <v>878960</v>
      </c>
      <c r="AR24" s="742">
        <f t="shared" si="14"/>
        <v>21.12</v>
      </c>
      <c r="AS24" s="468">
        <v>780721</v>
      </c>
      <c r="AT24" s="742">
        <f t="shared" si="15"/>
        <v>143</v>
      </c>
      <c r="AU24" s="468">
        <v>2147433</v>
      </c>
      <c r="AV24" s="742">
        <f t="shared" si="16"/>
        <v>639</v>
      </c>
      <c r="AW24" s="468">
        <v>194380</v>
      </c>
      <c r="AX24" s="742">
        <f t="shared" si="40"/>
        <v>34</v>
      </c>
      <c r="AY24" s="468">
        <v>16670924</v>
      </c>
      <c r="AZ24" s="742">
        <f t="shared" si="17"/>
        <v>3559</v>
      </c>
      <c r="BA24" s="836">
        <v>20144408</v>
      </c>
      <c r="BB24" s="742">
        <f t="shared" si="18"/>
        <v>4409.7</v>
      </c>
      <c r="BC24" s="742">
        <f t="shared" si="19"/>
        <v>8995.82</v>
      </c>
      <c r="BD24" s="836">
        <v>1323286</v>
      </c>
      <c r="BE24" s="742">
        <f t="shared" si="20"/>
        <v>0</v>
      </c>
      <c r="BF24" s="468">
        <v>3111755</v>
      </c>
      <c r="BG24" s="742">
        <f t="shared" si="21"/>
        <v>883</v>
      </c>
      <c r="BH24" s="468">
        <v>345759</v>
      </c>
      <c r="BI24" s="742">
        <f t="shared" si="22"/>
        <v>121</v>
      </c>
      <c r="BJ24" s="468">
        <v>391831</v>
      </c>
      <c r="BK24" s="742">
        <f t="shared" si="29"/>
        <v>199</v>
      </c>
      <c r="BL24" s="851">
        <f t="shared" si="26"/>
        <v>17157.82</v>
      </c>
      <c r="BM24" s="852">
        <v>18</v>
      </c>
      <c r="BN24" s="851">
        <f t="shared" si="41"/>
        <v>953.21222222222218</v>
      </c>
      <c r="BO24" s="852"/>
      <c r="BP24" s="851" t="e">
        <f t="shared" si="27"/>
        <v>#DIV/0!</v>
      </c>
      <c r="BQ24" s="851">
        <f>BL24*BS1</f>
        <v>7892.5972000000002</v>
      </c>
      <c r="BR24" s="851">
        <f t="shared" si="42"/>
        <v>438.47762222222224</v>
      </c>
      <c r="BS24" s="853" t="e">
        <f t="shared" si="32"/>
        <v>#DIV/0!</v>
      </c>
      <c r="BU24" s="471"/>
      <c r="BV24" s="471"/>
      <c r="BW24" s="471"/>
      <c r="BX24" s="471"/>
      <c r="BY24" s="471"/>
      <c r="BZ24" s="471"/>
      <c r="CA24" s="471"/>
      <c r="CB24" s="471"/>
      <c r="CC24" s="471"/>
      <c r="CD24" s="471"/>
      <c r="CE24" s="471"/>
      <c r="CF24" s="471"/>
      <c r="CG24" s="471"/>
      <c r="CH24" s="471"/>
    </row>
    <row r="25" spans="1:86" s="414" customFormat="1" ht="33.75" customHeight="1">
      <c r="A25" s="464">
        <v>20</v>
      </c>
      <c r="B25" s="465"/>
      <c r="C25" s="466">
        <f t="shared" si="33"/>
        <v>0</v>
      </c>
      <c r="D25" s="466"/>
      <c r="E25" s="466">
        <f t="shared" si="34"/>
        <v>0</v>
      </c>
      <c r="F25" s="466"/>
      <c r="G25" s="466">
        <f t="shared" si="35"/>
        <v>0</v>
      </c>
      <c r="H25" s="467"/>
      <c r="I25" s="468">
        <v>20879133</v>
      </c>
      <c r="J25" s="742">
        <f t="shared" si="23"/>
        <v>3720</v>
      </c>
      <c r="K25" s="742">
        <f t="shared" si="0"/>
        <v>2205</v>
      </c>
      <c r="L25" s="468">
        <v>631009</v>
      </c>
      <c r="M25" s="742">
        <f t="shared" si="1"/>
        <v>1207</v>
      </c>
      <c r="N25" s="468">
        <v>617922</v>
      </c>
      <c r="O25" s="742">
        <f t="shared" si="2"/>
        <v>998</v>
      </c>
      <c r="P25" s="836">
        <v>210592</v>
      </c>
      <c r="Q25" s="742">
        <f t="shared" si="37"/>
        <v>420</v>
      </c>
      <c r="R25" s="468">
        <v>702925</v>
      </c>
      <c r="S25" s="742">
        <f t="shared" si="38"/>
        <v>0</v>
      </c>
      <c r="T25" s="468">
        <v>344001</v>
      </c>
      <c r="U25" s="742">
        <f t="shared" si="39"/>
        <v>0</v>
      </c>
      <c r="V25" s="468">
        <v>88495</v>
      </c>
      <c r="W25" s="742">
        <f t="shared" si="43"/>
        <v>145</v>
      </c>
      <c r="X25" s="468">
        <v>165219</v>
      </c>
      <c r="Y25" s="742">
        <f t="shared" si="5"/>
        <v>264</v>
      </c>
      <c r="Z25" s="468">
        <v>315108</v>
      </c>
      <c r="AA25" s="742">
        <f t="shared" si="6"/>
        <v>0</v>
      </c>
      <c r="AB25" s="836">
        <v>648106</v>
      </c>
      <c r="AC25" s="742">
        <f t="shared" si="7"/>
        <v>863.90000000000009</v>
      </c>
      <c r="AD25" s="885">
        <v>716893</v>
      </c>
      <c r="AE25" s="742">
        <f t="shared" si="8"/>
        <v>0</v>
      </c>
      <c r="AF25" s="468">
        <v>701974</v>
      </c>
      <c r="AG25" s="742">
        <f t="shared" si="9"/>
        <v>248.04000000000002</v>
      </c>
      <c r="AH25" s="468">
        <v>192541</v>
      </c>
      <c r="AI25" s="742">
        <f t="shared" si="10"/>
        <v>110.77000000000001</v>
      </c>
      <c r="AJ25" s="468">
        <v>195857</v>
      </c>
      <c r="AK25" s="742">
        <f t="shared" si="28"/>
        <v>1697.0600000000002</v>
      </c>
      <c r="AL25" s="742">
        <f t="shared" si="11"/>
        <v>2919.7700000000004</v>
      </c>
      <c r="AM25" s="468">
        <v>6883825</v>
      </c>
      <c r="AN25" s="742">
        <f t="shared" si="12"/>
        <v>29</v>
      </c>
      <c r="AO25" s="836">
        <v>535675</v>
      </c>
      <c r="AP25" s="742">
        <f>IF(AO25&gt;=AO24,AO25-AO24,0)</f>
        <v>83</v>
      </c>
      <c r="AQ25" s="468">
        <v>879139</v>
      </c>
      <c r="AR25" s="742">
        <f t="shared" si="14"/>
        <v>19.690000000000001</v>
      </c>
      <c r="AS25" s="468">
        <v>780826</v>
      </c>
      <c r="AT25" s="742">
        <f t="shared" si="15"/>
        <v>105</v>
      </c>
      <c r="AU25" s="468">
        <v>2147885</v>
      </c>
      <c r="AV25" s="742">
        <f t="shared" si="16"/>
        <v>452</v>
      </c>
      <c r="AW25" s="836">
        <v>194401</v>
      </c>
      <c r="AX25" s="742">
        <f t="shared" si="40"/>
        <v>21</v>
      </c>
      <c r="AY25" s="468">
        <v>16674343</v>
      </c>
      <c r="AZ25" s="742">
        <f t="shared" si="17"/>
        <v>3419</v>
      </c>
      <c r="BA25" s="836">
        <v>20149752</v>
      </c>
      <c r="BB25" s="742">
        <f t="shared" si="18"/>
        <v>4520.8</v>
      </c>
      <c r="BC25" s="742">
        <f t="shared" si="19"/>
        <v>8649.4900000000016</v>
      </c>
      <c r="BD25" s="836">
        <v>1323286</v>
      </c>
      <c r="BE25" s="742">
        <f t="shared" si="20"/>
        <v>0</v>
      </c>
      <c r="BF25" s="468">
        <v>3112687</v>
      </c>
      <c r="BG25" s="742">
        <f t="shared" si="21"/>
        <v>932</v>
      </c>
      <c r="BH25" s="468">
        <v>345869</v>
      </c>
      <c r="BI25" s="742">
        <f t="shared" si="22"/>
        <v>110</v>
      </c>
      <c r="BJ25" s="468">
        <v>392040</v>
      </c>
      <c r="BK25" s="742">
        <f t="shared" si="29"/>
        <v>209</v>
      </c>
      <c r="BL25" s="851">
        <f t="shared" si="26"/>
        <v>15709.260000000002</v>
      </c>
      <c r="BM25" s="852">
        <v>3</v>
      </c>
      <c r="BN25" s="851">
        <f t="shared" si="41"/>
        <v>5236.420000000001</v>
      </c>
      <c r="BO25" s="852"/>
      <c r="BP25" s="851" t="e">
        <f t="shared" si="27"/>
        <v>#DIV/0!</v>
      </c>
      <c r="BQ25" s="851">
        <f>BL25*BS1</f>
        <v>7226.2596000000012</v>
      </c>
      <c r="BR25" s="851">
        <f t="shared" si="42"/>
        <v>2408.7532000000006</v>
      </c>
      <c r="BS25" s="853" t="e">
        <f t="shared" si="32"/>
        <v>#DIV/0!</v>
      </c>
      <c r="BU25" s="471"/>
      <c r="BV25" s="471"/>
      <c r="BW25" s="471"/>
      <c r="BX25" s="471"/>
      <c r="BY25" s="471"/>
      <c r="BZ25" s="471"/>
      <c r="CA25" s="471"/>
      <c r="CB25" s="471"/>
      <c r="CC25" s="471"/>
      <c r="CD25" s="471"/>
      <c r="CE25" s="471"/>
      <c r="CF25" s="471"/>
      <c r="CG25" s="471"/>
      <c r="CH25" s="471"/>
    </row>
    <row r="26" spans="1:86" s="414" customFormat="1" ht="33.75" customHeight="1">
      <c r="A26" s="464">
        <v>21</v>
      </c>
      <c r="B26" s="465"/>
      <c r="C26" s="466">
        <f t="shared" si="33"/>
        <v>0</v>
      </c>
      <c r="D26" s="466"/>
      <c r="E26" s="466">
        <f t="shared" si="34"/>
        <v>0</v>
      </c>
      <c r="F26" s="466"/>
      <c r="G26" s="466">
        <f t="shared" si="35"/>
        <v>0</v>
      </c>
      <c r="H26" s="467">
        <v>66</v>
      </c>
      <c r="I26" s="836">
        <v>20883542</v>
      </c>
      <c r="J26" s="742">
        <f t="shared" si="23"/>
        <v>4409</v>
      </c>
      <c r="K26" s="742">
        <f t="shared" si="0"/>
        <v>1977</v>
      </c>
      <c r="L26" s="468">
        <v>631954</v>
      </c>
      <c r="M26" s="742">
        <f t="shared" si="1"/>
        <v>945</v>
      </c>
      <c r="N26" s="836">
        <v>618954</v>
      </c>
      <c r="O26" s="742">
        <f t="shared" si="2"/>
        <v>1032</v>
      </c>
      <c r="P26" s="836">
        <v>210601</v>
      </c>
      <c r="Q26" s="742">
        <f t="shared" si="37"/>
        <v>270</v>
      </c>
      <c r="R26" s="468">
        <v>702925</v>
      </c>
      <c r="S26" s="742">
        <f t="shared" si="38"/>
        <v>0</v>
      </c>
      <c r="T26" s="468">
        <v>344001</v>
      </c>
      <c r="U26" s="742">
        <f t="shared" si="39"/>
        <v>0</v>
      </c>
      <c r="V26" s="468">
        <v>88644</v>
      </c>
      <c r="W26" s="742">
        <f t="shared" si="43"/>
        <v>149</v>
      </c>
      <c r="X26" s="468">
        <v>165478</v>
      </c>
      <c r="Y26" s="742">
        <f t="shared" si="5"/>
        <v>259</v>
      </c>
      <c r="Z26" s="468">
        <v>315108</v>
      </c>
      <c r="AA26" s="742">
        <f t="shared" si="6"/>
        <v>0</v>
      </c>
      <c r="AB26" s="468">
        <v>649910</v>
      </c>
      <c r="AC26" s="742">
        <f t="shared" si="7"/>
        <v>956.12</v>
      </c>
      <c r="AD26" s="468">
        <v>716893</v>
      </c>
      <c r="AE26" s="742">
        <f t="shared" si="8"/>
        <v>0</v>
      </c>
      <c r="AF26" s="468">
        <v>701974</v>
      </c>
      <c r="AG26" s="742">
        <f t="shared" si="9"/>
        <v>0</v>
      </c>
      <c r="AH26" s="468">
        <v>192764</v>
      </c>
      <c r="AI26" s="742">
        <f t="shared" si="10"/>
        <v>118.19000000000001</v>
      </c>
      <c r="AJ26" s="836">
        <v>198974</v>
      </c>
      <c r="AK26" s="742">
        <f t="shared" si="28"/>
        <v>1652.01</v>
      </c>
      <c r="AL26" s="742">
        <f t="shared" si="11"/>
        <v>2726.3199999999997</v>
      </c>
      <c r="AM26" s="468">
        <v>6883851</v>
      </c>
      <c r="AN26" s="742">
        <f t="shared" si="12"/>
        <v>26</v>
      </c>
      <c r="AO26" s="468">
        <v>535771</v>
      </c>
      <c r="AP26" s="742">
        <f>IF(AO26&gt;=AO25,AO26-AO25,0)</f>
        <v>96</v>
      </c>
      <c r="AQ26" s="468">
        <v>879321</v>
      </c>
      <c r="AR26" s="742">
        <f t="shared" si="14"/>
        <v>20.02</v>
      </c>
      <c r="AS26" s="888">
        <v>780951</v>
      </c>
      <c r="AT26" s="742">
        <f t="shared" si="15"/>
        <v>125</v>
      </c>
      <c r="AU26" s="836">
        <v>2148214</v>
      </c>
      <c r="AV26" s="742">
        <f t="shared" si="16"/>
        <v>329</v>
      </c>
      <c r="AW26" s="468">
        <v>194428</v>
      </c>
      <c r="AX26" s="742">
        <f t="shared" si="40"/>
        <v>27</v>
      </c>
      <c r="AY26" s="468">
        <v>16677415</v>
      </c>
      <c r="AZ26" s="742">
        <f t="shared" si="17"/>
        <v>3072</v>
      </c>
      <c r="BA26" s="836">
        <v>20154600</v>
      </c>
      <c r="BB26" s="742">
        <f t="shared" si="18"/>
        <v>4126.6000000000004</v>
      </c>
      <c r="BC26" s="742">
        <f t="shared" si="19"/>
        <v>7821.6200000000008</v>
      </c>
      <c r="BD26" s="836">
        <v>1323286</v>
      </c>
      <c r="BE26" s="742">
        <f t="shared" si="20"/>
        <v>0</v>
      </c>
      <c r="BF26" s="468">
        <v>3113546</v>
      </c>
      <c r="BG26" s="742">
        <f t="shared" si="21"/>
        <v>859</v>
      </c>
      <c r="BH26" s="468">
        <v>345959</v>
      </c>
      <c r="BI26" s="742">
        <f t="shared" si="22"/>
        <v>90</v>
      </c>
      <c r="BJ26" s="468">
        <v>392201</v>
      </c>
      <c r="BK26" s="742">
        <f t="shared" si="29"/>
        <v>161</v>
      </c>
      <c r="BL26" s="851">
        <f t="shared" si="26"/>
        <v>15226.94</v>
      </c>
      <c r="BM26" s="852">
        <v>2</v>
      </c>
      <c r="BN26" s="851">
        <f t="shared" si="41"/>
        <v>7613.47</v>
      </c>
      <c r="BO26" s="852"/>
      <c r="BP26" s="851" t="e">
        <f t="shared" si="27"/>
        <v>#DIV/0!</v>
      </c>
      <c r="BQ26" s="851">
        <f>BL26*BS1</f>
        <v>7004.3924000000006</v>
      </c>
      <c r="BR26" s="851">
        <f t="shared" si="42"/>
        <v>3502.1962000000003</v>
      </c>
      <c r="BS26" s="853" t="e">
        <f t="shared" si="32"/>
        <v>#DIV/0!</v>
      </c>
      <c r="BU26" s="471"/>
      <c r="BV26" s="471"/>
      <c r="BW26" s="471"/>
      <c r="BX26" s="471"/>
      <c r="BY26" s="471"/>
      <c r="BZ26" s="471"/>
      <c r="CA26" s="471"/>
      <c r="CB26" s="471"/>
      <c r="CC26" s="471"/>
      <c r="CD26" s="471"/>
      <c r="CE26" s="471"/>
      <c r="CF26" s="471"/>
      <c r="CG26" s="471"/>
      <c r="CH26" s="471"/>
    </row>
    <row r="27" spans="1:86" s="414" customFormat="1" ht="33.75" customHeight="1">
      <c r="A27" s="464">
        <v>22</v>
      </c>
      <c r="B27" s="465"/>
      <c r="C27" s="466">
        <f t="shared" si="33"/>
        <v>0</v>
      </c>
      <c r="D27" s="466"/>
      <c r="E27" s="466">
        <f t="shared" si="34"/>
        <v>0</v>
      </c>
      <c r="F27" s="466"/>
      <c r="G27" s="466">
        <f t="shared" si="35"/>
        <v>0</v>
      </c>
      <c r="H27" s="467"/>
      <c r="I27" s="836">
        <v>20885914</v>
      </c>
      <c r="J27" s="742">
        <f t="shared" si="23"/>
        <v>2372</v>
      </c>
      <c r="K27" s="742">
        <f t="shared" si="0"/>
        <v>1460</v>
      </c>
      <c r="L27" s="836">
        <v>632759</v>
      </c>
      <c r="M27" s="742">
        <f t="shared" si="1"/>
        <v>805</v>
      </c>
      <c r="N27" s="836">
        <v>619609</v>
      </c>
      <c r="O27" s="742">
        <f t="shared" si="2"/>
        <v>655</v>
      </c>
      <c r="P27" s="836">
        <v>210609</v>
      </c>
      <c r="Q27" s="742">
        <f>IF(P27&gt;=P26,P27-P26,0)*30</f>
        <v>240</v>
      </c>
      <c r="R27" s="468">
        <v>702925</v>
      </c>
      <c r="S27" s="742">
        <f t="shared" si="38"/>
        <v>0</v>
      </c>
      <c r="T27" s="468">
        <v>344001</v>
      </c>
      <c r="U27" s="742">
        <f t="shared" si="39"/>
        <v>0</v>
      </c>
      <c r="V27" s="468">
        <v>88781</v>
      </c>
      <c r="W27" s="742">
        <f t="shared" si="43"/>
        <v>137</v>
      </c>
      <c r="X27" s="468">
        <v>165746</v>
      </c>
      <c r="Y27" s="742">
        <f t="shared" si="5"/>
        <v>268</v>
      </c>
      <c r="Z27" s="468">
        <v>315108</v>
      </c>
      <c r="AA27" s="742">
        <f t="shared" si="6"/>
        <v>0</v>
      </c>
      <c r="AB27" s="836">
        <v>651701</v>
      </c>
      <c r="AC27" s="742">
        <f t="shared" si="7"/>
        <v>949.23</v>
      </c>
      <c r="AD27" s="885">
        <v>716893</v>
      </c>
      <c r="AE27" s="742">
        <f t="shared" si="8"/>
        <v>0</v>
      </c>
      <c r="AF27" s="836">
        <v>701974</v>
      </c>
      <c r="AG27" s="742">
        <f t="shared" si="9"/>
        <v>0</v>
      </c>
      <c r="AH27" s="836">
        <v>192957</v>
      </c>
      <c r="AI27" s="742">
        <f t="shared" si="10"/>
        <v>102.29</v>
      </c>
      <c r="AJ27" s="836">
        <v>200185</v>
      </c>
      <c r="AK27" s="742">
        <f t="shared" si="28"/>
        <v>641.83000000000004</v>
      </c>
      <c r="AL27" s="742">
        <f t="shared" si="11"/>
        <v>1693.35</v>
      </c>
      <c r="AM27" s="468">
        <v>6883877</v>
      </c>
      <c r="AN27" s="742">
        <f t="shared" si="12"/>
        <v>26</v>
      </c>
      <c r="AO27" s="468">
        <v>535824</v>
      </c>
      <c r="AP27" s="742">
        <f>IF(AO27&gt;=AO26,AO27-AO26,0)</f>
        <v>53</v>
      </c>
      <c r="AQ27" s="836">
        <v>879498</v>
      </c>
      <c r="AR27" s="742">
        <f t="shared" si="14"/>
        <v>19.47</v>
      </c>
      <c r="AS27" s="468">
        <v>781074</v>
      </c>
      <c r="AT27" s="742">
        <f t="shared" si="15"/>
        <v>123</v>
      </c>
      <c r="AU27" s="836">
        <v>2148533</v>
      </c>
      <c r="AV27" s="742">
        <f t="shared" si="16"/>
        <v>319</v>
      </c>
      <c r="AW27" s="468">
        <v>194453</v>
      </c>
      <c r="AX27" s="742">
        <f t="shared" si="40"/>
        <v>25</v>
      </c>
      <c r="AY27" s="836">
        <v>16681407</v>
      </c>
      <c r="AZ27" s="742">
        <f t="shared" si="17"/>
        <v>3992</v>
      </c>
      <c r="BA27" s="836">
        <v>20158759</v>
      </c>
      <c r="BB27" s="742">
        <f t="shared" si="18"/>
        <v>3476.7</v>
      </c>
      <c r="BC27" s="742">
        <f t="shared" si="19"/>
        <v>8034.17</v>
      </c>
      <c r="BD27" s="836">
        <v>1323286</v>
      </c>
      <c r="BE27" s="742">
        <f t="shared" si="20"/>
        <v>0</v>
      </c>
      <c r="BF27" s="836">
        <v>3114269</v>
      </c>
      <c r="BG27" s="742">
        <f t="shared" si="21"/>
        <v>723</v>
      </c>
      <c r="BH27" s="836">
        <v>346060</v>
      </c>
      <c r="BI27" s="742">
        <f t="shared" si="22"/>
        <v>101</v>
      </c>
      <c r="BJ27" s="836">
        <v>392399</v>
      </c>
      <c r="BK27" s="742">
        <f t="shared" si="29"/>
        <v>198</v>
      </c>
      <c r="BL27" s="851">
        <f t="shared" si="26"/>
        <v>12339.52</v>
      </c>
      <c r="BM27" s="852">
        <v>2</v>
      </c>
      <c r="BN27" s="851">
        <f t="shared" si="41"/>
        <v>6169.76</v>
      </c>
      <c r="BO27" s="852"/>
      <c r="BP27" s="851" t="e">
        <f t="shared" si="27"/>
        <v>#DIV/0!</v>
      </c>
      <c r="BQ27" s="851">
        <f>BL27*BS1</f>
        <v>5676.1792000000005</v>
      </c>
      <c r="BR27" s="851">
        <f t="shared" si="42"/>
        <v>2838.0896000000002</v>
      </c>
      <c r="BS27" s="853" t="e">
        <f t="shared" si="32"/>
        <v>#DIV/0!</v>
      </c>
      <c r="BU27" s="471"/>
      <c r="BV27" s="471"/>
      <c r="BW27" s="471"/>
      <c r="BX27" s="471"/>
      <c r="BY27" s="471"/>
      <c r="BZ27" s="471"/>
      <c r="CA27" s="471"/>
      <c r="CB27" s="471"/>
      <c r="CC27" s="471"/>
      <c r="CD27" s="471"/>
      <c r="CE27" s="471"/>
      <c r="CF27" s="471"/>
      <c r="CG27" s="471"/>
      <c r="CH27" s="471"/>
    </row>
    <row r="28" spans="1:86" s="414" customFormat="1" ht="33.75" customHeight="1">
      <c r="A28" s="464">
        <v>23</v>
      </c>
      <c r="B28" s="465"/>
      <c r="C28" s="466">
        <f t="shared" si="33"/>
        <v>0</v>
      </c>
      <c r="D28" s="466"/>
      <c r="E28" s="466">
        <f t="shared" si="34"/>
        <v>0</v>
      </c>
      <c r="F28" s="466"/>
      <c r="G28" s="466">
        <f t="shared" si="35"/>
        <v>0</v>
      </c>
      <c r="H28" s="467">
        <v>67</v>
      </c>
      <c r="I28" s="468">
        <v>20887587</v>
      </c>
      <c r="J28" s="742">
        <f t="shared" si="23"/>
        <v>1673</v>
      </c>
      <c r="K28" s="742">
        <f t="shared" si="0"/>
        <v>1591</v>
      </c>
      <c r="L28" s="468">
        <v>633587</v>
      </c>
      <c r="M28" s="742">
        <f t="shared" si="1"/>
        <v>828</v>
      </c>
      <c r="N28" s="468">
        <v>620372</v>
      </c>
      <c r="O28" s="742">
        <f t="shared" si="2"/>
        <v>763</v>
      </c>
      <c r="P28" s="836">
        <v>210630</v>
      </c>
      <c r="Q28" s="742">
        <f t="shared" si="37"/>
        <v>630</v>
      </c>
      <c r="R28" s="468">
        <v>702925</v>
      </c>
      <c r="S28" s="742">
        <f t="shared" si="38"/>
        <v>0</v>
      </c>
      <c r="T28" s="468">
        <v>344001</v>
      </c>
      <c r="U28" s="742">
        <f t="shared" si="39"/>
        <v>0</v>
      </c>
      <c r="V28" s="468">
        <v>88904</v>
      </c>
      <c r="W28" s="742">
        <f t="shared" si="43"/>
        <v>123</v>
      </c>
      <c r="X28" s="468">
        <v>165957</v>
      </c>
      <c r="Y28" s="742">
        <f t="shared" si="5"/>
        <v>211</v>
      </c>
      <c r="Z28" s="468">
        <v>315108</v>
      </c>
      <c r="AA28" s="742">
        <f t="shared" si="6"/>
        <v>0</v>
      </c>
      <c r="AB28" s="836">
        <v>651701</v>
      </c>
      <c r="AC28" s="742">
        <f t="shared" si="7"/>
        <v>0</v>
      </c>
      <c r="AD28" s="468">
        <v>718047</v>
      </c>
      <c r="AE28" s="742">
        <f t="shared" si="8"/>
        <v>611.62</v>
      </c>
      <c r="AF28" s="468">
        <v>701974</v>
      </c>
      <c r="AG28" s="742">
        <f t="shared" si="9"/>
        <v>0</v>
      </c>
      <c r="AH28" s="468">
        <v>193155</v>
      </c>
      <c r="AI28" s="742">
        <f t="shared" si="10"/>
        <v>104.94000000000001</v>
      </c>
      <c r="AJ28" s="468">
        <v>202516</v>
      </c>
      <c r="AK28" s="742">
        <f t="shared" si="28"/>
        <v>1235.43</v>
      </c>
      <c r="AL28" s="742">
        <f t="shared" si="11"/>
        <v>1951.9900000000002</v>
      </c>
      <c r="AM28" s="468">
        <v>6883897</v>
      </c>
      <c r="AN28" s="742">
        <f t="shared" si="12"/>
        <v>20</v>
      </c>
      <c r="AO28" s="468">
        <v>535897</v>
      </c>
      <c r="AP28" s="742">
        <f>IF(AO28&gt;=AO27,AO28-AO27,0)</f>
        <v>73</v>
      </c>
      <c r="AQ28" s="836">
        <v>879696</v>
      </c>
      <c r="AR28" s="742">
        <f t="shared" si="14"/>
        <v>21.78</v>
      </c>
      <c r="AS28" s="468">
        <v>781184</v>
      </c>
      <c r="AT28" s="742">
        <f t="shared" si="15"/>
        <v>110</v>
      </c>
      <c r="AU28" s="468">
        <v>2148911</v>
      </c>
      <c r="AV28" s="742">
        <f t="shared" si="16"/>
        <v>378</v>
      </c>
      <c r="AW28" s="468">
        <v>194486</v>
      </c>
      <c r="AX28" s="742">
        <f t="shared" si="40"/>
        <v>33</v>
      </c>
      <c r="AY28" s="468">
        <v>16684304</v>
      </c>
      <c r="AZ28" s="742">
        <f t="shared" si="17"/>
        <v>2897</v>
      </c>
      <c r="BA28" s="468">
        <v>20163086</v>
      </c>
      <c r="BB28" s="742">
        <f t="shared" si="18"/>
        <v>3589.8</v>
      </c>
      <c r="BC28" s="742">
        <f t="shared" si="19"/>
        <v>7122.58</v>
      </c>
      <c r="BD28" s="836">
        <v>1323286</v>
      </c>
      <c r="BE28" s="742">
        <f t="shared" si="20"/>
        <v>0</v>
      </c>
      <c r="BF28" s="468">
        <v>3115116</v>
      </c>
      <c r="BG28" s="742">
        <f t="shared" si="21"/>
        <v>847</v>
      </c>
      <c r="BH28" s="468">
        <v>346144</v>
      </c>
      <c r="BI28" s="742">
        <f t="shared" si="22"/>
        <v>84</v>
      </c>
      <c r="BJ28" s="468">
        <v>392586</v>
      </c>
      <c r="BK28" s="742">
        <f t="shared" si="29"/>
        <v>187</v>
      </c>
      <c r="BL28" s="851">
        <f t="shared" si="26"/>
        <v>11377.57</v>
      </c>
      <c r="BM28" s="852">
        <v>2</v>
      </c>
      <c r="BN28" s="851">
        <f t="shared" si="41"/>
        <v>5688.7849999999999</v>
      </c>
      <c r="BO28" s="852"/>
      <c r="BP28" s="851" t="e">
        <f t="shared" si="27"/>
        <v>#DIV/0!</v>
      </c>
      <c r="BQ28" s="851">
        <f>BL28*BS1</f>
        <v>5233.6822000000002</v>
      </c>
      <c r="BR28" s="851">
        <f t="shared" si="42"/>
        <v>2616.8411000000001</v>
      </c>
      <c r="BS28" s="853" t="e">
        <f t="shared" si="32"/>
        <v>#DIV/0!</v>
      </c>
      <c r="BU28" s="471"/>
      <c r="BV28" s="471"/>
      <c r="BW28" s="471"/>
      <c r="BX28" s="471"/>
      <c r="BY28" s="471"/>
      <c r="BZ28" s="471"/>
      <c r="CA28" s="471"/>
      <c r="CB28" s="471"/>
      <c r="CC28" s="471"/>
      <c r="CD28" s="471"/>
      <c r="CE28" s="471"/>
      <c r="CF28" s="471"/>
      <c r="CG28" s="471"/>
      <c r="CH28" s="471"/>
    </row>
    <row r="29" spans="1:86" s="414" customFormat="1" ht="33.75" customHeight="1">
      <c r="A29" s="464">
        <v>24</v>
      </c>
      <c r="B29" s="465"/>
      <c r="C29" s="466">
        <f t="shared" si="33"/>
        <v>0</v>
      </c>
      <c r="D29" s="466"/>
      <c r="E29" s="466">
        <f t="shared" si="34"/>
        <v>0</v>
      </c>
      <c r="F29" s="466"/>
      <c r="G29" s="466">
        <f t="shared" si="35"/>
        <v>0</v>
      </c>
      <c r="H29" s="467"/>
      <c r="I29" s="836">
        <v>20889614</v>
      </c>
      <c r="J29" s="742">
        <f t="shared" si="23"/>
        <v>2027</v>
      </c>
      <c r="K29" s="742">
        <f t="shared" si="0"/>
        <v>1409</v>
      </c>
      <c r="L29" s="836">
        <v>634312</v>
      </c>
      <c r="M29" s="742">
        <f t="shared" si="1"/>
        <v>725</v>
      </c>
      <c r="N29" s="836">
        <v>621056</v>
      </c>
      <c r="O29" s="742">
        <f t="shared" si="2"/>
        <v>684</v>
      </c>
      <c r="P29" s="836">
        <v>210640</v>
      </c>
      <c r="Q29" s="742">
        <f t="shared" si="37"/>
        <v>300</v>
      </c>
      <c r="R29" s="468">
        <v>702925</v>
      </c>
      <c r="S29" s="742">
        <f>IF(R29&gt;=R28,R29-R28,0)</f>
        <v>0</v>
      </c>
      <c r="T29" s="468">
        <v>344001</v>
      </c>
      <c r="U29" s="742">
        <f>IF(T29&gt;=T28,T29-T28,0)</f>
        <v>0</v>
      </c>
      <c r="V29" s="468">
        <v>89026</v>
      </c>
      <c r="W29" s="742">
        <f>IF(V29&gt;=V28,V29-V28,0)</f>
        <v>122</v>
      </c>
      <c r="X29" s="468">
        <v>166174</v>
      </c>
      <c r="Y29" s="742">
        <f>IF(X29&gt;=X28,X29-X28,0)</f>
        <v>217</v>
      </c>
      <c r="Z29" s="468">
        <v>315108</v>
      </c>
      <c r="AA29" s="742">
        <f t="shared" si="6"/>
        <v>0</v>
      </c>
      <c r="AB29" s="468">
        <v>653810</v>
      </c>
      <c r="AC29" s="742">
        <f t="shared" ref="AC29:AC36" si="44">IF(AB29&gt;=AB28,AB29-AB28,0)*0.53</f>
        <v>1117.77</v>
      </c>
      <c r="AD29" s="468">
        <v>718047</v>
      </c>
      <c r="AE29" s="742">
        <f t="shared" si="8"/>
        <v>0</v>
      </c>
      <c r="AF29" s="468">
        <v>701974</v>
      </c>
      <c r="AG29" s="742">
        <f t="shared" si="9"/>
        <v>0</v>
      </c>
      <c r="AH29" s="836">
        <v>193493</v>
      </c>
      <c r="AI29" s="742">
        <f t="shared" si="10"/>
        <v>179.14000000000001</v>
      </c>
      <c r="AJ29" s="468">
        <v>204926</v>
      </c>
      <c r="AK29" s="742">
        <f t="shared" si="28"/>
        <v>1277.3</v>
      </c>
      <c r="AL29" s="742">
        <f t="shared" si="11"/>
        <v>2574.21</v>
      </c>
      <c r="AM29" s="885">
        <v>6883908</v>
      </c>
      <c r="AN29" s="742">
        <f t="shared" si="12"/>
        <v>11</v>
      </c>
      <c r="AO29" s="836">
        <v>535955</v>
      </c>
      <c r="AP29" s="742">
        <f t="shared" si="13"/>
        <v>58</v>
      </c>
      <c r="AQ29" s="468">
        <v>879781</v>
      </c>
      <c r="AR29" s="742">
        <f t="shared" si="14"/>
        <v>9.35</v>
      </c>
      <c r="AS29" s="468">
        <v>781231</v>
      </c>
      <c r="AT29" s="742">
        <f t="shared" si="15"/>
        <v>47</v>
      </c>
      <c r="AU29" s="468">
        <v>2149233</v>
      </c>
      <c r="AV29" s="742">
        <f t="shared" si="16"/>
        <v>322</v>
      </c>
      <c r="AW29" s="468">
        <v>194515</v>
      </c>
      <c r="AX29" s="742">
        <f t="shared" si="40"/>
        <v>29</v>
      </c>
      <c r="AY29" s="836">
        <v>16686767</v>
      </c>
      <c r="AZ29" s="742">
        <f t="shared" si="17"/>
        <v>2463</v>
      </c>
      <c r="BA29" s="836">
        <v>20167308</v>
      </c>
      <c r="BB29" s="742">
        <f t="shared" si="18"/>
        <v>3471.9</v>
      </c>
      <c r="BC29" s="742">
        <f t="shared" si="19"/>
        <v>6411.25</v>
      </c>
      <c r="BD29" s="836">
        <v>1323286</v>
      </c>
      <c r="BE29" s="742">
        <f t="shared" si="20"/>
        <v>0</v>
      </c>
      <c r="BF29" s="468">
        <v>3115977</v>
      </c>
      <c r="BG29" s="742">
        <f t="shared" si="21"/>
        <v>861</v>
      </c>
      <c r="BH29" s="468">
        <v>346227</v>
      </c>
      <c r="BI29" s="742">
        <f t="shared" si="22"/>
        <v>83</v>
      </c>
      <c r="BJ29" s="468">
        <v>392778</v>
      </c>
      <c r="BK29" s="742">
        <f t="shared" si="29"/>
        <v>192</v>
      </c>
      <c r="BL29" s="851">
        <f t="shared" si="26"/>
        <v>11312.46</v>
      </c>
      <c r="BM29" s="852">
        <v>2</v>
      </c>
      <c r="BN29" s="851">
        <f t="shared" si="41"/>
        <v>5656.23</v>
      </c>
      <c r="BO29" s="852"/>
      <c r="BP29" s="851" t="e">
        <f t="shared" si="27"/>
        <v>#DIV/0!</v>
      </c>
      <c r="BQ29" s="851">
        <f>BL29*BS1</f>
        <v>5203.7316000000001</v>
      </c>
      <c r="BR29" s="851">
        <f t="shared" si="42"/>
        <v>2601.8658</v>
      </c>
      <c r="BS29" s="853" t="e">
        <f t="shared" si="32"/>
        <v>#DIV/0!</v>
      </c>
      <c r="BU29" s="471"/>
      <c r="BV29" s="471"/>
      <c r="BW29" s="471"/>
      <c r="BX29" s="471"/>
      <c r="BY29" s="471"/>
      <c r="BZ29" s="471"/>
      <c r="CA29" s="471"/>
      <c r="CB29" s="471"/>
      <c r="CC29" s="471"/>
      <c r="CD29" s="471"/>
      <c r="CE29" s="471"/>
      <c r="CF29" s="471"/>
      <c r="CG29" s="471"/>
      <c r="CH29" s="471"/>
    </row>
    <row r="30" spans="1:86" s="414" customFormat="1" ht="33.75" customHeight="1">
      <c r="A30" s="464">
        <v>25</v>
      </c>
      <c r="B30" s="465"/>
      <c r="C30" s="466">
        <f t="shared" ref="C30:C35" si="45">IF(+B30-B29&gt;0,B30-B29,(B30-B29)&gt;0)*800</f>
        <v>0</v>
      </c>
      <c r="D30" s="466"/>
      <c r="E30" s="466">
        <f t="shared" ref="E30:E35" si="46">IF(+D30-D29&gt;0,D30-D29,(D30-D29)&gt;0)*80</f>
        <v>0</v>
      </c>
      <c r="F30" s="466"/>
      <c r="G30" s="466">
        <f t="shared" ref="G30:G35" si="47">IF(+F30-F29&gt;0,F30-F29,(F30-F29)&gt;0)*10</f>
        <v>0</v>
      </c>
      <c r="H30" s="467">
        <v>68</v>
      </c>
      <c r="I30" s="468">
        <v>20891741</v>
      </c>
      <c r="J30" s="742">
        <f t="shared" si="23"/>
        <v>2127</v>
      </c>
      <c r="K30" s="742">
        <f t="shared" si="0"/>
        <v>1552</v>
      </c>
      <c r="L30" s="468">
        <v>635128</v>
      </c>
      <c r="M30" s="742">
        <f t="shared" si="1"/>
        <v>816</v>
      </c>
      <c r="N30" s="836">
        <v>621792</v>
      </c>
      <c r="O30" s="742">
        <f t="shared" si="2"/>
        <v>736</v>
      </c>
      <c r="P30" s="836">
        <v>210646</v>
      </c>
      <c r="Q30" s="742">
        <f t="shared" si="37"/>
        <v>180</v>
      </c>
      <c r="R30" s="468">
        <v>702925</v>
      </c>
      <c r="S30" s="742">
        <f>IF(R30&gt;=R29,R30-R29,0)</f>
        <v>0</v>
      </c>
      <c r="T30" s="468">
        <v>344001</v>
      </c>
      <c r="U30" s="742">
        <f>IF(T30&gt;=T29,T30-T29,0)</f>
        <v>0</v>
      </c>
      <c r="V30" s="468">
        <v>89182</v>
      </c>
      <c r="W30" s="742">
        <f>IF(V30&gt;=V29,V30-V29,0)</f>
        <v>156</v>
      </c>
      <c r="X30" s="468">
        <v>166431</v>
      </c>
      <c r="Y30" s="742">
        <f>IF(X30&gt;=X29,X30-X29,0)</f>
        <v>257</v>
      </c>
      <c r="Z30" s="468">
        <v>315108</v>
      </c>
      <c r="AA30" s="742">
        <f t="shared" si="6"/>
        <v>0</v>
      </c>
      <c r="AB30" s="468">
        <v>653810</v>
      </c>
      <c r="AC30" s="742">
        <f t="shared" si="44"/>
        <v>0</v>
      </c>
      <c r="AD30" s="468">
        <v>721482</v>
      </c>
      <c r="AE30" s="742">
        <f t="shared" si="8"/>
        <v>1820.5500000000002</v>
      </c>
      <c r="AF30" s="468">
        <v>701974</v>
      </c>
      <c r="AG30" s="742">
        <f t="shared" si="9"/>
        <v>0</v>
      </c>
      <c r="AH30" s="468">
        <v>193770</v>
      </c>
      <c r="AI30" s="742">
        <f t="shared" si="10"/>
        <v>146.81</v>
      </c>
      <c r="AJ30" s="836">
        <v>207983</v>
      </c>
      <c r="AK30" s="742">
        <f t="shared" si="28"/>
        <v>1620.21</v>
      </c>
      <c r="AL30" s="742">
        <f t="shared" si="11"/>
        <v>3587.57</v>
      </c>
      <c r="AM30" s="468">
        <v>6883921</v>
      </c>
      <c r="AN30" s="742">
        <f t="shared" si="12"/>
        <v>13</v>
      </c>
      <c r="AO30" s="468">
        <v>535999</v>
      </c>
      <c r="AP30" s="742">
        <f t="shared" si="13"/>
        <v>44</v>
      </c>
      <c r="AQ30" s="836">
        <v>879876</v>
      </c>
      <c r="AR30" s="742">
        <f t="shared" si="14"/>
        <v>10.45</v>
      </c>
      <c r="AS30" s="468">
        <v>781268</v>
      </c>
      <c r="AT30" s="742">
        <f t="shared" si="15"/>
        <v>37</v>
      </c>
      <c r="AU30" s="836">
        <v>2149592</v>
      </c>
      <c r="AV30" s="742">
        <f t="shared" si="16"/>
        <v>359</v>
      </c>
      <c r="AW30" s="468">
        <v>194546</v>
      </c>
      <c r="AX30" s="742">
        <f t="shared" si="40"/>
        <v>31</v>
      </c>
      <c r="AY30" s="836">
        <v>16689519</v>
      </c>
      <c r="AZ30" s="742">
        <f t="shared" si="17"/>
        <v>2752</v>
      </c>
      <c r="BA30" s="836">
        <v>20171551</v>
      </c>
      <c r="BB30" s="742">
        <f t="shared" si="18"/>
        <v>3421.9</v>
      </c>
      <c r="BC30" s="742">
        <f t="shared" si="19"/>
        <v>6668.35</v>
      </c>
      <c r="BD30" s="836">
        <v>1323286</v>
      </c>
      <c r="BE30" s="742">
        <f t="shared" si="20"/>
        <v>0</v>
      </c>
      <c r="BF30" s="468">
        <v>3116948</v>
      </c>
      <c r="BG30" s="742">
        <f t="shared" si="21"/>
        <v>971</v>
      </c>
      <c r="BH30" s="836">
        <v>346320</v>
      </c>
      <c r="BI30" s="742">
        <f t="shared" si="22"/>
        <v>93</v>
      </c>
      <c r="BJ30" s="468">
        <v>392970</v>
      </c>
      <c r="BK30" s="742">
        <f t="shared" si="29"/>
        <v>192</v>
      </c>
      <c r="BL30" s="851">
        <f t="shared" si="26"/>
        <v>12562.92</v>
      </c>
      <c r="BM30" s="852">
        <v>2</v>
      </c>
      <c r="BN30" s="851">
        <f t="shared" si="41"/>
        <v>6281.46</v>
      </c>
      <c r="BO30" s="852"/>
      <c r="BP30" s="851" t="e">
        <f t="shared" si="27"/>
        <v>#DIV/0!</v>
      </c>
      <c r="BQ30" s="851">
        <f>BL30*BS1</f>
        <v>5778.9432000000006</v>
      </c>
      <c r="BR30" s="851">
        <f t="shared" si="42"/>
        <v>2889.4716000000003</v>
      </c>
      <c r="BS30" s="853" t="e">
        <f t="shared" si="32"/>
        <v>#DIV/0!</v>
      </c>
      <c r="BU30" s="471"/>
      <c r="BV30" s="471"/>
      <c r="BW30" s="471"/>
      <c r="BX30" s="471"/>
      <c r="BY30" s="471"/>
      <c r="BZ30" s="471"/>
      <c r="CA30" s="471"/>
      <c r="CB30" s="471"/>
      <c r="CC30" s="471"/>
      <c r="CD30" s="471"/>
      <c r="CE30" s="471"/>
      <c r="CF30" s="471"/>
      <c r="CG30" s="471"/>
      <c r="CH30" s="471"/>
    </row>
    <row r="31" spans="1:86" s="414" customFormat="1" ht="33.75" customHeight="1">
      <c r="A31" s="464">
        <v>26</v>
      </c>
      <c r="B31" s="465"/>
      <c r="C31" s="466">
        <f t="shared" si="45"/>
        <v>0</v>
      </c>
      <c r="D31" s="466"/>
      <c r="E31" s="466">
        <f t="shared" si="46"/>
        <v>0</v>
      </c>
      <c r="F31" s="466"/>
      <c r="G31" s="466">
        <f t="shared" si="47"/>
        <v>0</v>
      </c>
      <c r="H31" s="467"/>
      <c r="I31" s="836">
        <v>20893668</v>
      </c>
      <c r="J31" s="742">
        <f t="shared" si="23"/>
        <v>1927</v>
      </c>
      <c r="K31" s="742">
        <f t="shared" si="0"/>
        <v>1514</v>
      </c>
      <c r="L31" s="836">
        <v>635918</v>
      </c>
      <c r="M31" s="742">
        <f t="shared" si="1"/>
        <v>790</v>
      </c>
      <c r="N31" s="468">
        <v>622516</v>
      </c>
      <c r="O31" s="742">
        <f t="shared" si="2"/>
        <v>724</v>
      </c>
      <c r="P31" s="836">
        <v>210651</v>
      </c>
      <c r="Q31" s="742">
        <f t="shared" si="37"/>
        <v>150</v>
      </c>
      <c r="R31" s="468">
        <v>702925</v>
      </c>
      <c r="S31" s="742">
        <f t="shared" si="38"/>
        <v>0</v>
      </c>
      <c r="T31" s="468">
        <v>344001</v>
      </c>
      <c r="U31" s="742">
        <f t="shared" si="39"/>
        <v>0</v>
      </c>
      <c r="V31" s="468">
        <v>89320</v>
      </c>
      <c r="W31" s="742">
        <f t="shared" si="43"/>
        <v>138</v>
      </c>
      <c r="X31" s="468">
        <v>166670</v>
      </c>
      <c r="Y31" s="742">
        <f t="shared" si="5"/>
        <v>239</v>
      </c>
      <c r="Z31" s="468">
        <v>315108</v>
      </c>
      <c r="AA31" s="742">
        <f t="shared" si="6"/>
        <v>0</v>
      </c>
      <c r="AB31" s="468">
        <v>657605</v>
      </c>
      <c r="AC31" s="742">
        <f t="shared" si="44"/>
        <v>2011.3500000000001</v>
      </c>
      <c r="AD31" s="468">
        <v>721482</v>
      </c>
      <c r="AE31" s="742">
        <f t="shared" si="8"/>
        <v>0</v>
      </c>
      <c r="AF31" s="468">
        <v>701974</v>
      </c>
      <c r="AG31" s="742">
        <f t="shared" si="9"/>
        <v>0</v>
      </c>
      <c r="AH31" s="468">
        <v>194200</v>
      </c>
      <c r="AI31" s="742">
        <f t="shared" si="10"/>
        <v>227.9</v>
      </c>
      <c r="AJ31" s="468">
        <v>212953</v>
      </c>
      <c r="AK31" s="742">
        <f t="shared" si="28"/>
        <v>2634.1</v>
      </c>
      <c r="AL31" s="742">
        <f t="shared" si="11"/>
        <v>4873.3500000000004</v>
      </c>
      <c r="AM31" s="885">
        <v>6883939</v>
      </c>
      <c r="AN31" s="742">
        <f t="shared" si="12"/>
        <v>18</v>
      </c>
      <c r="AO31" s="468">
        <v>536065</v>
      </c>
      <c r="AP31" s="742">
        <f t="shared" si="13"/>
        <v>66</v>
      </c>
      <c r="AQ31" s="468">
        <v>880041</v>
      </c>
      <c r="AR31" s="742">
        <f t="shared" si="14"/>
        <v>18.149999999999999</v>
      </c>
      <c r="AS31" s="468">
        <v>781307</v>
      </c>
      <c r="AT31" s="742">
        <f t="shared" si="15"/>
        <v>39</v>
      </c>
      <c r="AU31" s="468">
        <v>2149942</v>
      </c>
      <c r="AV31" s="742">
        <f t="shared" si="16"/>
        <v>350</v>
      </c>
      <c r="AW31" s="468">
        <v>194577</v>
      </c>
      <c r="AX31" s="742">
        <f t="shared" si="40"/>
        <v>31</v>
      </c>
      <c r="AY31" s="468">
        <v>16692199</v>
      </c>
      <c r="AZ31" s="742">
        <f t="shared" si="17"/>
        <v>2680</v>
      </c>
      <c r="BA31" s="836">
        <v>20175796</v>
      </c>
      <c r="BB31" s="742">
        <f t="shared" si="18"/>
        <v>3467.4</v>
      </c>
      <c r="BC31" s="742">
        <f t="shared" si="19"/>
        <v>6669.55</v>
      </c>
      <c r="BD31" s="836">
        <v>1323286</v>
      </c>
      <c r="BE31" s="742">
        <f t="shared" si="20"/>
        <v>0</v>
      </c>
      <c r="BF31" s="468">
        <v>3117799</v>
      </c>
      <c r="BG31" s="742">
        <f t="shared" si="21"/>
        <v>851</v>
      </c>
      <c r="BH31" s="468">
        <v>346410</v>
      </c>
      <c r="BI31" s="742">
        <f t="shared" si="22"/>
        <v>90</v>
      </c>
      <c r="BJ31" s="468">
        <v>393192</v>
      </c>
      <c r="BK31" s="742">
        <f t="shared" si="29"/>
        <v>222</v>
      </c>
      <c r="BL31" s="851">
        <f t="shared" si="26"/>
        <v>13619.900000000001</v>
      </c>
      <c r="BM31" s="852">
        <v>2</v>
      </c>
      <c r="BN31" s="851">
        <f t="shared" si="41"/>
        <v>6809.9500000000007</v>
      </c>
      <c r="BO31" s="852"/>
      <c r="BP31" s="851" t="e">
        <f t="shared" si="27"/>
        <v>#DIV/0!</v>
      </c>
      <c r="BQ31" s="851">
        <f>BL31*BS1</f>
        <v>6265.1540000000014</v>
      </c>
      <c r="BR31" s="851">
        <f t="shared" si="42"/>
        <v>3132.5770000000007</v>
      </c>
      <c r="BS31" s="853" t="e">
        <f t="shared" si="32"/>
        <v>#DIV/0!</v>
      </c>
      <c r="BU31" s="471"/>
      <c r="BV31" s="471"/>
      <c r="BW31" s="471"/>
      <c r="BX31" s="471"/>
      <c r="BY31" s="471"/>
      <c r="BZ31" s="471"/>
      <c r="CA31" s="471"/>
      <c r="CB31" s="471"/>
      <c r="CC31" s="471"/>
      <c r="CD31" s="471"/>
      <c r="CE31" s="471"/>
      <c r="CF31" s="471"/>
      <c r="CG31" s="471"/>
      <c r="CH31" s="471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68">
        <v>20895555</v>
      </c>
      <c r="J32" s="742">
        <f t="shared" si="23"/>
        <v>1887</v>
      </c>
      <c r="K32" s="742">
        <f t="shared" si="0"/>
        <v>1492</v>
      </c>
      <c r="L32" s="468">
        <v>636709</v>
      </c>
      <c r="M32" s="742">
        <f t="shared" si="1"/>
        <v>791</v>
      </c>
      <c r="N32" s="468">
        <v>623217</v>
      </c>
      <c r="O32" s="742">
        <f t="shared" si="2"/>
        <v>701</v>
      </c>
      <c r="P32" s="468">
        <v>210655</v>
      </c>
      <c r="Q32" s="742">
        <f t="shared" si="37"/>
        <v>120</v>
      </c>
      <c r="R32" s="468">
        <v>702925</v>
      </c>
      <c r="S32" s="742">
        <f t="shared" si="38"/>
        <v>0</v>
      </c>
      <c r="T32" s="468">
        <v>344001</v>
      </c>
      <c r="U32" s="742">
        <f t="shared" si="39"/>
        <v>0</v>
      </c>
      <c r="V32" s="468">
        <v>89477</v>
      </c>
      <c r="W32" s="742">
        <f t="shared" si="43"/>
        <v>157</v>
      </c>
      <c r="X32" s="468">
        <v>166902</v>
      </c>
      <c r="Y32" s="742">
        <f t="shared" si="5"/>
        <v>232</v>
      </c>
      <c r="Z32" s="468">
        <v>315108</v>
      </c>
      <c r="AA32" s="742">
        <f t="shared" si="6"/>
        <v>0</v>
      </c>
      <c r="AB32" s="468">
        <v>657605</v>
      </c>
      <c r="AC32" s="742">
        <f t="shared" si="44"/>
        <v>0</v>
      </c>
      <c r="AD32" s="468">
        <v>721482</v>
      </c>
      <c r="AE32" s="742">
        <f t="shared" si="8"/>
        <v>0</v>
      </c>
      <c r="AF32" s="468">
        <v>702129</v>
      </c>
      <c r="AG32" s="742">
        <f t="shared" si="9"/>
        <v>82.15</v>
      </c>
      <c r="AH32" s="468">
        <v>194765</v>
      </c>
      <c r="AI32" s="742">
        <f t="shared" si="10"/>
        <v>299.45</v>
      </c>
      <c r="AJ32" s="468">
        <v>215731</v>
      </c>
      <c r="AK32" s="742">
        <f t="shared" si="28"/>
        <v>1472.3400000000001</v>
      </c>
      <c r="AL32" s="742">
        <f t="shared" si="11"/>
        <v>1853.94</v>
      </c>
      <c r="AM32" s="468">
        <v>6883966</v>
      </c>
      <c r="AN32" s="742">
        <f t="shared" si="12"/>
        <v>27</v>
      </c>
      <c r="AO32" s="468">
        <v>536105</v>
      </c>
      <c r="AP32" s="742">
        <f t="shared" si="13"/>
        <v>40</v>
      </c>
      <c r="AQ32" s="468">
        <v>880146</v>
      </c>
      <c r="AR32" s="742">
        <f t="shared" si="14"/>
        <v>11.55</v>
      </c>
      <c r="AS32" s="468">
        <v>781340</v>
      </c>
      <c r="AT32" s="742">
        <f t="shared" si="15"/>
        <v>33</v>
      </c>
      <c r="AU32" s="468">
        <v>2150220</v>
      </c>
      <c r="AV32" s="742">
        <f t="shared" si="16"/>
        <v>278</v>
      </c>
      <c r="AW32" s="836">
        <v>194601</v>
      </c>
      <c r="AX32" s="742">
        <f t="shared" si="40"/>
        <v>24</v>
      </c>
      <c r="AY32" s="836">
        <v>16694920</v>
      </c>
      <c r="AZ32" s="742">
        <f t="shared" si="17"/>
        <v>2721</v>
      </c>
      <c r="BA32" s="836">
        <v>20180725</v>
      </c>
      <c r="BB32" s="742">
        <f t="shared" si="18"/>
        <v>4093.1000000000004</v>
      </c>
      <c r="BC32" s="742">
        <f t="shared" si="19"/>
        <v>7227.6500000000005</v>
      </c>
      <c r="BD32" s="836">
        <v>1323286</v>
      </c>
      <c r="BE32" s="742">
        <f t="shared" si="20"/>
        <v>0</v>
      </c>
      <c r="BF32" s="468">
        <v>3118773</v>
      </c>
      <c r="BG32" s="742">
        <f t="shared" si="21"/>
        <v>974</v>
      </c>
      <c r="BH32" s="468">
        <v>346505</v>
      </c>
      <c r="BI32" s="742">
        <f t="shared" si="22"/>
        <v>95</v>
      </c>
      <c r="BJ32" s="468">
        <v>393396</v>
      </c>
      <c r="BK32" s="742">
        <f t="shared" si="29"/>
        <v>204</v>
      </c>
      <c r="BL32" s="851">
        <f t="shared" si="26"/>
        <v>11088.59</v>
      </c>
      <c r="BM32" s="852">
        <v>2</v>
      </c>
      <c r="BN32" s="851">
        <f t="shared" si="41"/>
        <v>5544.2950000000001</v>
      </c>
      <c r="BO32" s="854"/>
      <c r="BP32" s="851" t="e">
        <f t="shared" si="27"/>
        <v>#DIV/0!</v>
      </c>
      <c r="BQ32" s="851">
        <f>BL32*BS1</f>
        <v>5100.7514000000001</v>
      </c>
      <c r="BR32" s="851">
        <f t="shared" si="42"/>
        <v>2550.3757000000001</v>
      </c>
      <c r="BS32" s="853" t="e">
        <f t="shared" si="32"/>
        <v>#DIV/0!</v>
      </c>
      <c r="BT32" s="947"/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836">
        <v>20897582</v>
      </c>
      <c r="J33" s="742">
        <f t="shared" si="23"/>
        <v>2027</v>
      </c>
      <c r="K33" s="742">
        <f t="shared" si="0"/>
        <v>1511</v>
      </c>
      <c r="L33" s="468">
        <v>637490</v>
      </c>
      <c r="M33" s="742">
        <f t="shared" si="1"/>
        <v>781</v>
      </c>
      <c r="N33" s="836">
        <v>623947</v>
      </c>
      <c r="O33" s="742">
        <f t="shared" si="2"/>
        <v>730</v>
      </c>
      <c r="P33" s="836">
        <v>210659</v>
      </c>
      <c r="Q33" s="742">
        <f t="shared" si="37"/>
        <v>120</v>
      </c>
      <c r="R33" s="468">
        <v>702925</v>
      </c>
      <c r="S33" s="742">
        <f t="shared" si="38"/>
        <v>0</v>
      </c>
      <c r="T33" s="468">
        <v>344001</v>
      </c>
      <c r="U33" s="742">
        <f t="shared" si="39"/>
        <v>0</v>
      </c>
      <c r="V33" s="468">
        <v>89599</v>
      </c>
      <c r="W33" s="742">
        <f t="shared" si="43"/>
        <v>122</v>
      </c>
      <c r="X33" s="468">
        <v>166947</v>
      </c>
      <c r="Y33" s="742">
        <f t="shared" si="5"/>
        <v>45</v>
      </c>
      <c r="Z33" s="468">
        <v>315108</v>
      </c>
      <c r="AA33" s="742">
        <f t="shared" si="6"/>
        <v>0</v>
      </c>
      <c r="AB33" s="468">
        <v>657605</v>
      </c>
      <c r="AC33" s="742">
        <f t="shared" si="44"/>
        <v>0</v>
      </c>
      <c r="AD33" s="468">
        <v>722671</v>
      </c>
      <c r="AE33" s="742">
        <f t="shared" si="8"/>
        <v>630.17000000000007</v>
      </c>
      <c r="AF33" s="468">
        <v>702736</v>
      </c>
      <c r="AG33" s="742">
        <f t="shared" si="9"/>
        <v>321.71000000000004</v>
      </c>
      <c r="AH33" s="468">
        <v>195182</v>
      </c>
      <c r="AI33" s="742">
        <f t="shared" si="10"/>
        <v>221.01000000000002</v>
      </c>
      <c r="AJ33" s="468">
        <v>218309</v>
      </c>
      <c r="AK33" s="742">
        <f t="shared" si="28"/>
        <v>1366.3400000000001</v>
      </c>
      <c r="AL33" s="742">
        <f t="shared" si="11"/>
        <v>2539.2300000000005</v>
      </c>
      <c r="AM33" s="885">
        <v>6883972</v>
      </c>
      <c r="AN33" s="742">
        <f t="shared" si="12"/>
        <v>6</v>
      </c>
      <c r="AO33" s="836">
        <v>536115</v>
      </c>
      <c r="AP33" s="742">
        <f t="shared" si="13"/>
        <v>10</v>
      </c>
      <c r="AQ33" s="468">
        <v>880204</v>
      </c>
      <c r="AR33" s="742">
        <f t="shared" si="14"/>
        <v>6.38</v>
      </c>
      <c r="AS33" s="468">
        <v>781363</v>
      </c>
      <c r="AT33" s="742">
        <f t="shared" si="15"/>
        <v>23</v>
      </c>
      <c r="AU33" s="468">
        <v>2150417</v>
      </c>
      <c r="AV33" s="742">
        <f t="shared" si="16"/>
        <v>197</v>
      </c>
      <c r="AW33" s="468">
        <v>194617</v>
      </c>
      <c r="AX33" s="742">
        <f t="shared" si="40"/>
        <v>16</v>
      </c>
      <c r="AY33" s="468">
        <v>16696431</v>
      </c>
      <c r="AZ33" s="742">
        <f t="shared" si="17"/>
        <v>1511</v>
      </c>
      <c r="BA33" s="468">
        <v>20183214</v>
      </c>
      <c r="BB33" s="742">
        <f t="shared" si="18"/>
        <v>2037.3000000000002</v>
      </c>
      <c r="BC33" s="742">
        <f t="shared" si="19"/>
        <v>3806.6800000000003</v>
      </c>
      <c r="BD33" s="836">
        <v>1323286</v>
      </c>
      <c r="BE33" s="742">
        <f t="shared" si="20"/>
        <v>0</v>
      </c>
      <c r="BF33" s="468">
        <v>3119300</v>
      </c>
      <c r="BG33" s="742">
        <f t="shared" si="21"/>
        <v>527</v>
      </c>
      <c r="BH33" s="468">
        <v>346550</v>
      </c>
      <c r="BI33" s="742">
        <f t="shared" si="22"/>
        <v>45</v>
      </c>
      <c r="BJ33" s="468">
        <v>393509</v>
      </c>
      <c r="BK33" s="742">
        <f t="shared" si="29"/>
        <v>113</v>
      </c>
      <c r="BL33" s="851">
        <f t="shared" si="26"/>
        <v>8492.91</v>
      </c>
      <c r="BM33" s="852">
        <v>2</v>
      </c>
      <c r="BN33" s="851">
        <f t="shared" si="41"/>
        <v>4246.4549999999999</v>
      </c>
      <c r="BO33" s="852"/>
      <c r="BP33" s="851" t="e">
        <f t="shared" si="27"/>
        <v>#DIV/0!</v>
      </c>
      <c r="BQ33" s="851">
        <f>BL33*BS1</f>
        <v>3906.7386000000001</v>
      </c>
      <c r="BR33" s="851">
        <f t="shared" si="42"/>
        <v>1953.3693000000001</v>
      </c>
      <c r="BS33" s="853" t="e">
        <f t="shared" si="32"/>
        <v>#DIV/0!</v>
      </c>
      <c r="BT33" s="947"/>
      <c r="CI33" s="947"/>
      <c r="CJ33" s="947"/>
      <c r="CK33" s="947"/>
      <c r="CL33" s="947"/>
      <c r="CM33" s="947"/>
      <c r="CN33" s="947"/>
      <c r="CO33" s="947"/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68">
        <v>20899557</v>
      </c>
      <c r="J34" s="742">
        <f t="shared" si="23"/>
        <v>1975</v>
      </c>
      <c r="K34" s="742">
        <f t="shared" si="0"/>
        <v>1514</v>
      </c>
      <c r="L34" s="836">
        <v>638284</v>
      </c>
      <c r="M34" s="742">
        <f t="shared" si="1"/>
        <v>794</v>
      </c>
      <c r="N34" s="836">
        <v>624667</v>
      </c>
      <c r="O34" s="742">
        <f t="shared" si="2"/>
        <v>720</v>
      </c>
      <c r="P34" s="836">
        <v>210665</v>
      </c>
      <c r="Q34" s="742">
        <f t="shared" si="37"/>
        <v>180</v>
      </c>
      <c r="R34" s="468">
        <v>702925</v>
      </c>
      <c r="S34" s="742">
        <f t="shared" si="38"/>
        <v>0</v>
      </c>
      <c r="T34" s="468">
        <v>344001</v>
      </c>
      <c r="U34" s="742">
        <f t="shared" si="39"/>
        <v>0</v>
      </c>
      <c r="V34" s="468">
        <v>89705</v>
      </c>
      <c r="W34" s="742">
        <f t="shared" si="43"/>
        <v>106</v>
      </c>
      <c r="X34" s="468">
        <v>167157</v>
      </c>
      <c r="Y34" s="742">
        <f t="shared" si="5"/>
        <v>210</v>
      </c>
      <c r="Z34" s="468">
        <v>315108</v>
      </c>
      <c r="AA34" s="742">
        <f t="shared" si="6"/>
        <v>0</v>
      </c>
      <c r="AB34" s="468">
        <v>657605</v>
      </c>
      <c r="AC34" s="742">
        <f t="shared" si="44"/>
        <v>0</v>
      </c>
      <c r="AD34" s="468">
        <v>726276</v>
      </c>
      <c r="AE34" s="742">
        <f t="shared" si="8"/>
        <v>1910.65</v>
      </c>
      <c r="AF34" s="468">
        <v>702736</v>
      </c>
      <c r="AG34" s="742">
        <f t="shared" si="9"/>
        <v>0</v>
      </c>
      <c r="AH34" s="836">
        <v>195509</v>
      </c>
      <c r="AI34" s="742">
        <f t="shared" si="10"/>
        <v>173.31</v>
      </c>
      <c r="AJ34" s="468">
        <v>222385</v>
      </c>
      <c r="AK34" s="742">
        <f t="shared" si="28"/>
        <v>2160.2800000000002</v>
      </c>
      <c r="AL34" s="742">
        <f t="shared" si="11"/>
        <v>4244.24</v>
      </c>
      <c r="AM34" s="468">
        <v>6883996</v>
      </c>
      <c r="AN34" s="742">
        <f t="shared" si="12"/>
        <v>24</v>
      </c>
      <c r="AO34" s="468">
        <v>536133</v>
      </c>
      <c r="AP34" s="742">
        <f t="shared" si="13"/>
        <v>18</v>
      </c>
      <c r="AQ34" s="836">
        <v>880316</v>
      </c>
      <c r="AR34" s="742">
        <f t="shared" si="14"/>
        <v>12.32</v>
      </c>
      <c r="AS34" s="468">
        <v>781396</v>
      </c>
      <c r="AT34" s="742">
        <f t="shared" si="15"/>
        <v>33</v>
      </c>
      <c r="AU34" s="468">
        <v>2150750</v>
      </c>
      <c r="AV34" s="742">
        <f t="shared" si="16"/>
        <v>333</v>
      </c>
      <c r="AW34" s="468">
        <v>194647</v>
      </c>
      <c r="AX34" s="742">
        <f t="shared" si="40"/>
        <v>30</v>
      </c>
      <c r="AY34" s="836">
        <v>16698816</v>
      </c>
      <c r="AZ34" s="742">
        <f t="shared" si="17"/>
        <v>2385</v>
      </c>
      <c r="BA34" s="836">
        <v>20187879</v>
      </c>
      <c r="BB34" s="742">
        <f t="shared" si="18"/>
        <v>3801.8</v>
      </c>
      <c r="BC34" s="742">
        <f t="shared" si="19"/>
        <v>6637.1200000000008</v>
      </c>
      <c r="BD34" s="836">
        <v>1323286</v>
      </c>
      <c r="BE34" s="742">
        <f t="shared" si="20"/>
        <v>0</v>
      </c>
      <c r="BF34" s="468">
        <v>3120312</v>
      </c>
      <c r="BG34" s="742">
        <f t="shared" si="21"/>
        <v>1012</v>
      </c>
      <c r="BH34" s="468">
        <v>346634</v>
      </c>
      <c r="BI34" s="742">
        <f t="shared" si="22"/>
        <v>84</v>
      </c>
      <c r="BJ34" s="468">
        <v>393723</v>
      </c>
      <c r="BK34" s="742">
        <f t="shared" si="29"/>
        <v>214</v>
      </c>
      <c r="BL34" s="851">
        <f t="shared" si="26"/>
        <v>13036.36</v>
      </c>
      <c r="BM34" s="852">
        <v>2</v>
      </c>
      <c r="BN34" s="851">
        <f t="shared" si="41"/>
        <v>6518.18</v>
      </c>
      <c r="BO34" s="852"/>
      <c r="BP34" s="851" t="e">
        <f t="shared" si="27"/>
        <v>#DIV/0!</v>
      </c>
      <c r="BQ34" s="851">
        <f>BL34*BS1</f>
        <v>5996.7256000000007</v>
      </c>
      <c r="BR34" s="851">
        <f t="shared" si="42"/>
        <v>2998.3628000000003</v>
      </c>
      <c r="BS34" s="853" t="e">
        <f t="shared" si="32"/>
        <v>#DIV/0!</v>
      </c>
      <c r="BT34" s="947"/>
      <c r="CI34" s="947"/>
      <c r="CJ34" s="947"/>
      <c r="CK34" s="947"/>
      <c r="CL34" s="947"/>
      <c r="CM34" s="947"/>
      <c r="CN34" s="947"/>
      <c r="CO34" s="947"/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36">
        <v>20901504</v>
      </c>
      <c r="J35" s="742">
        <f t="shared" si="23"/>
        <v>1947</v>
      </c>
      <c r="K35" s="742">
        <f t="shared" si="0"/>
        <v>1517</v>
      </c>
      <c r="L35" s="468">
        <v>639080</v>
      </c>
      <c r="M35" s="742">
        <f t="shared" si="1"/>
        <v>796</v>
      </c>
      <c r="N35" s="468">
        <v>625388</v>
      </c>
      <c r="O35" s="742">
        <f t="shared" si="2"/>
        <v>721</v>
      </c>
      <c r="P35" s="468">
        <v>210666</v>
      </c>
      <c r="Q35" s="742">
        <f t="shared" si="37"/>
        <v>30</v>
      </c>
      <c r="R35" s="468">
        <v>702925</v>
      </c>
      <c r="S35" s="742">
        <f t="shared" si="38"/>
        <v>0</v>
      </c>
      <c r="T35" s="468">
        <v>344001</v>
      </c>
      <c r="U35" s="742">
        <f t="shared" si="39"/>
        <v>0</v>
      </c>
      <c r="V35" s="468">
        <v>89795</v>
      </c>
      <c r="W35" s="742">
        <f t="shared" si="43"/>
        <v>90</v>
      </c>
      <c r="X35" s="468">
        <v>167356</v>
      </c>
      <c r="Y35" s="742">
        <f t="shared" si="5"/>
        <v>199</v>
      </c>
      <c r="Z35" s="468">
        <v>315108</v>
      </c>
      <c r="AA35" s="742">
        <f t="shared" si="6"/>
        <v>0</v>
      </c>
      <c r="AB35" s="468">
        <v>657605</v>
      </c>
      <c r="AC35" s="742">
        <f t="shared" si="44"/>
        <v>0</v>
      </c>
      <c r="AD35" s="468">
        <v>728396</v>
      </c>
      <c r="AE35" s="742">
        <f t="shared" si="8"/>
        <v>1123.6000000000001</v>
      </c>
      <c r="AF35" s="468">
        <v>702736</v>
      </c>
      <c r="AG35" s="742">
        <f t="shared" si="9"/>
        <v>0</v>
      </c>
      <c r="AH35" s="468">
        <v>196075</v>
      </c>
      <c r="AI35" s="742">
        <f t="shared" si="10"/>
        <v>299.98</v>
      </c>
      <c r="AJ35" s="836">
        <v>225862</v>
      </c>
      <c r="AK35" s="742">
        <f t="shared" si="28"/>
        <v>1842.8100000000002</v>
      </c>
      <c r="AL35" s="742">
        <f t="shared" si="11"/>
        <v>3266.3900000000003</v>
      </c>
      <c r="AM35" s="885">
        <v>6884044</v>
      </c>
      <c r="AN35" s="742">
        <f t="shared" si="12"/>
        <v>48</v>
      </c>
      <c r="AO35" s="468">
        <v>536149</v>
      </c>
      <c r="AP35" s="742">
        <f t="shared" si="13"/>
        <v>16</v>
      </c>
      <c r="AQ35" s="468">
        <v>880387</v>
      </c>
      <c r="AR35" s="742">
        <f t="shared" si="14"/>
        <v>7.81</v>
      </c>
      <c r="AS35" s="468">
        <v>781443</v>
      </c>
      <c r="AT35" s="742">
        <f t="shared" si="15"/>
        <v>47</v>
      </c>
      <c r="AU35" s="836">
        <v>2151079</v>
      </c>
      <c r="AV35" s="742">
        <f t="shared" si="16"/>
        <v>329</v>
      </c>
      <c r="AW35" s="836">
        <v>194678</v>
      </c>
      <c r="AX35" s="742">
        <f t="shared" si="40"/>
        <v>31</v>
      </c>
      <c r="AY35" s="836">
        <v>16700726</v>
      </c>
      <c r="AZ35" s="742">
        <f t="shared" si="17"/>
        <v>1910</v>
      </c>
      <c r="BA35" s="836">
        <v>20192095</v>
      </c>
      <c r="BB35" s="742">
        <f t="shared" si="18"/>
        <v>3398.1</v>
      </c>
      <c r="BC35" s="742">
        <f t="shared" si="19"/>
        <v>5786.91</v>
      </c>
      <c r="BD35" s="836">
        <v>1323286</v>
      </c>
      <c r="BE35" s="742">
        <f t="shared" si="20"/>
        <v>0</v>
      </c>
      <c r="BF35" s="468">
        <v>3121286</v>
      </c>
      <c r="BG35" s="742">
        <f t="shared" si="21"/>
        <v>974</v>
      </c>
      <c r="BH35" s="836">
        <v>346713</v>
      </c>
      <c r="BI35" s="742">
        <f t="shared" si="22"/>
        <v>79</v>
      </c>
      <c r="BJ35" s="468">
        <v>393917</v>
      </c>
      <c r="BK35" s="742">
        <f t="shared" si="29"/>
        <v>194</v>
      </c>
      <c r="BL35" s="851">
        <f t="shared" si="26"/>
        <v>11030.3</v>
      </c>
      <c r="BM35" s="852">
        <v>2</v>
      </c>
      <c r="BN35" s="851">
        <f t="shared" si="41"/>
        <v>5515.15</v>
      </c>
      <c r="BO35" s="852"/>
      <c r="BP35" s="851" t="e">
        <f t="shared" si="27"/>
        <v>#DIV/0!</v>
      </c>
      <c r="BQ35" s="851">
        <f>BL35*BS1</f>
        <v>5073.9380000000001</v>
      </c>
      <c r="BR35" s="851">
        <f t="shared" si="42"/>
        <v>2536.9690000000001</v>
      </c>
      <c r="BS35" s="853" t="e">
        <f t="shared" si="32"/>
        <v>#DIV/0!</v>
      </c>
      <c r="BT35" s="947"/>
      <c r="CI35" s="947"/>
      <c r="CJ35" s="947"/>
      <c r="CK35" s="947"/>
      <c r="CL35" s="947"/>
      <c r="CM35" s="947"/>
      <c r="CN35" s="947"/>
      <c r="CO35" s="947"/>
    </row>
    <row r="36" spans="1:93" ht="33.75" customHeight="1" thickBot="1">
      <c r="A36" s="115">
        <v>31</v>
      </c>
      <c r="B36" s="897"/>
      <c r="C36" s="898"/>
      <c r="D36" s="898"/>
      <c r="E36" s="898"/>
      <c r="F36" s="898"/>
      <c r="G36" s="898"/>
      <c r="H36" s="899"/>
      <c r="I36" s="468">
        <v>20903264</v>
      </c>
      <c r="J36" s="742">
        <f t="shared" si="23"/>
        <v>1760</v>
      </c>
      <c r="K36" s="742">
        <f t="shared" si="0"/>
        <v>391</v>
      </c>
      <c r="L36" s="468">
        <v>639087</v>
      </c>
      <c r="M36" s="742">
        <f t="shared" si="1"/>
        <v>7</v>
      </c>
      <c r="N36" s="468">
        <v>625772</v>
      </c>
      <c r="O36" s="742">
        <f t="shared" si="2"/>
        <v>384</v>
      </c>
      <c r="P36" s="836">
        <v>210667</v>
      </c>
      <c r="Q36" s="742">
        <f t="shared" si="37"/>
        <v>30</v>
      </c>
      <c r="R36" s="468">
        <v>702925</v>
      </c>
      <c r="S36" s="742">
        <f t="shared" si="38"/>
        <v>0</v>
      </c>
      <c r="T36" s="468">
        <v>344001</v>
      </c>
      <c r="U36" s="742">
        <f t="shared" si="39"/>
        <v>0</v>
      </c>
      <c r="V36" s="468">
        <v>89901</v>
      </c>
      <c r="W36" s="742">
        <f t="shared" si="43"/>
        <v>106</v>
      </c>
      <c r="X36" s="468">
        <v>167667</v>
      </c>
      <c r="Y36" s="742">
        <f t="shared" si="5"/>
        <v>311</v>
      </c>
      <c r="Z36" s="468">
        <v>315108</v>
      </c>
      <c r="AA36" s="742">
        <f t="shared" si="6"/>
        <v>0</v>
      </c>
      <c r="AB36" s="468">
        <v>657605</v>
      </c>
      <c r="AC36" s="742">
        <f t="shared" si="44"/>
        <v>0</v>
      </c>
      <c r="AD36" s="468">
        <v>728396</v>
      </c>
      <c r="AE36" s="742">
        <f t="shared" si="8"/>
        <v>0</v>
      </c>
      <c r="AF36" s="468">
        <v>704806</v>
      </c>
      <c r="AG36" s="742">
        <f t="shared" si="9"/>
        <v>1097.1000000000001</v>
      </c>
      <c r="AH36" s="468">
        <v>196777</v>
      </c>
      <c r="AI36" s="742">
        <f t="shared" si="10"/>
        <v>372.06</v>
      </c>
      <c r="AJ36" s="468">
        <v>230037</v>
      </c>
      <c r="AK36" s="742">
        <f t="shared" si="28"/>
        <v>2212.75</v>
      </c>
      <c r="AL36" s="742">
        <f t="shared" si="11"/>
        <v>3681.91</v>
      </c>
      <c r="AM36" s="468">
        <v>6884066</v>
      </c>
      <c r="AN36" s="742">
        <f t="shared" si="12"/>
        <v>22</v>
      </c>
      <c r="AO36" s="468">
        <v>536155</v>
      </c>
      <c r="AP36" s="742">
        <f t="shared" si="13"/>
        <v>6</v>
      </c>
      <c r="AQ36" s="468">
        <v>880427</v>
      </c>
      <c r="AR36" s="742">
        <f t="shared" si="14"/>
        <v>4.4000000000000004</v>
      </c>
      <c r="AS36" s="468">
        <v>781476</v>
      </c>
      <c r="AT36" s="742">
        <f t="shared" si="15"/>
        <v>33</v>
      </c>
      <c r="AU36" s="468">
        <v>2151442</v>
      </c>
      <c r="AV36" s="742">
        <f t="shared" si="16"/>
        <v>363</v>
      </c>
      <c r="AW36" s="468">
        <v>194717</v>
      </c>
      <c r="AX36" s="742">
        <f t="shared" si="40"/>
        <v>39</v>
      </c>
      <c r="AY36" s="468">
        <v>16702581</v>
      </c>
      <c r="AZ36" s="742">
        <f t="shared" si="17"/>
        <v>1855</v>
      </c>
      <c r="BA36" s="836">
        <v>20196681</v>
      </c>
      <c r="BB36" s="742">
        <f t="shared" si="18"/>
        <v>3693.7</v>
      </c>
      <c r="BC36" s="742">
        <f t="shared" si="19"/>
        <v>6016.1</v>
      </c>
      <c r="BD36" s="836">
        <v>1323286</v>
      </c>
      <c r="BE36" s="742">
        <f t="shared" si="20"/>
        <v>0</v>
      </c>
      <c r="BF36" s="468">
        <v>3122359</v>
      </c>
      <c r="BG36" s="742">
        <f t="shared" si="21"/>
        <v>1073</v>
      </c>
      <c r="BH36" s="468">
        <v>346792</v>
      </c>
      <c r="BI36" s="742">
        <f t="shared" si="22"/>
        <v>79</v>
      </c>
      <c r="BJ36" s="468">
        <v>394126</v>
      </c>
      <c r="BK36" s="742">
        <f t="shared" si="29"/>
        <v>209</v>
      </c>
      <c r="BL36" s="851">
        <f t="shared" si="26"/>
        <v>11488.01</v>
      </c>
      <c r="BM36" s="852">
        <v>2</v>
      </c>
      <c r="BN36" s="851">
        <f t="shared" si="41"/>
        <v>5744.0050000000001</v>
      </c>
      <c r="BO36" s="900"/>
      <c r="BP36" s="851" t="e">
        <f t="shared" si="27"/>
        <v>#DIV/0!</v>
      </c>
      <c r="BQ36" s="851">
        <f>BL36*BS1</f>
        <v>5284.4846000000007</v>
      </c>
      <c r="BR36" s="851">
        <f t="shared" si="42"/>
        <v>2642.2423000000003</v>
      </c>
      <c r="BS36" s="853" t="e">
        <f t="shared" si="32"/>
        <v>#DIV/0!</v>
      </c>
      <c r="BT36" s="947"/>
      <c r="CI36" s="947"/>
      <c r="CJ36" s="947"/>
      <c r="CK36" s="947"/>
      <c r="CL36" s="947"/>
      <c r="CM36" s="947"/>
      <c r="CN36" s="947"/>
      <c r="CO36" s="947"/>
    </row>
    <row r="37" spans="1:93" s="602" customFormat="1" ht="36.75" customHeight="1" thickBot="1">
      <c r="A37" s="598" t="s">
        <v>111</v>
      </c>
      <c r="B37" s="592"/>
      <c r="C37" s="599">
        <f>SUM(C9:C35)</f>
        <v>0</v>
      </c>
      <c r="D37" s="592"/>
      <c r="E37" s="599">
        <f>SUM(E9:E35)</f>
        <v>0</v>
      </c>
      <c r="F37" s="599">
        <f>SUM(F9:F35)</f>
        <v>0</v>
      </c>
      <c r="G37" s="599">
        <f>SUM(G9:G35)</f>
        <v>0</v>
      </c>
      <c r="H37" s="592"/>
      <c r="I37" s="855"/>
      <c r="J37" s="891">
        <f>SUM(J6:J36)</f>
        <v>133010</v>
      </c>
      <c r="K37" s="891">
        <f>SUM(K6:K36)</f>
        <v>85943</v>
      </c>
      <c r="L37" s="856"/>
      <c r="M37" s="623">
        <f>SUM(M6:M36)</f>
        <v>46028</v>
      </c>
      <c r="N37" s="856"/>
      <c r="O37" s="623">
        <f>SUM(O6:O36)</f>
        <v>39915</v>
      </c>
      <c r="P37" s="855"/>
      <c r="Q37" s="623">
        <f>SUM(Q6:Q36)</f>
        <v>13890</v>
      </c>
      <c r="R37" s="857"/>
      <c r="S37" s="623">
        <f>SUM(S6:S36)</f>
        <v>0</v>
      </c>
      <c r="T37" s="855"/>
      <c r="U37" s="623">
        <f>SUM(U6:U36)</f>
        <v>0</v>
      </c>
      <c r="V37" s="895"/>
      <c r="W37" s="623">
        <f>SUM(W6:W36)</f>
        <v>4295</v>
      </c>
      <c r="X37" s="895"/>
      <c r="Y37" s="623">
        <f>SUM(Y6:Y36)</f>
        <v>7654</v>
      </c>
      <c r="Z37" s="855"/>
      <c r="AA37" s="623">
        <f>SUM(AA6:AA36)</f>
        <v>0</v>
      </c>
      <c r="AB37" s="468"/>
      <c r="AC37" s="623">
        <f>SUM(AC5:AC36)</f>
        <v>16331.42</v>
      </c>
      <c r="AD37" s="892"/>
      <c r="AE37" s="891">
        <f>SUM(AE6:AE36)</f>
        <v>27414.78</v>
      </c>
      <c r="AF37" s="855"/>
      <c r="AG37" s="623">
        <f>SUM(AG6:AG36)</f>
        <v>11367.44</v>
      </c>
      <c r="AH37" s="858"/>
      <c r="AI37" s="623">
        <f>SUM(AI6:AI36)</f>
        <v>6751.670000000001</v>
      </c>
      <c r="AJ37" s="858"/>
      <c r="AK37" s="623">
        <f>SUM(AK6:AK36)</f>
        <v>58201.42</v>
      </c>
      <c r="AL37" s="891">
        <f>SUM(AL6:AL36)</f>
        <v>120066.73000000005</v>
      </c>
      <c r="AM37" s="858"/>
      <c r="AN37" s="623">
        <f>SUM(AN6:AN36)</f>
        <v>16388</v>
      </c>
      <c r="AO37" s="858"/>
      <c r="AP37" s="623">
        <f>SUM(AP6:AP36)</f>
        <v>6222</v>
      </c>
      <c r="AQ37" s="858"/>
      <c r="AR37" s="623">
        <f>SUM(AR6:AR36)</f>
        <v>681.56</v>
      </c>
      <c r="AS37" s="858"/>
      <c r="AT37" s="623">
        <f>SUM(AT6:AT36)</f>
        <v>4442</v>
      </c>
      <c r="AU37" s="858"/>
      <c r="AV37" s="623">
        <f>SUM(AV6:AV36)</f>
        <v>19311</v>
      </c>
      <c r="AW37" s="858"/>
      <c r="AX37" s="623">
        <f>SUM(AX6:AX36)</f>
        <v>1363</v>
      </c>
      <c r="AY37" s="858"/>
      <c r="AZ37" s="623">
        <f>SUM(AZ6:AZ36)</f>
        <v>122556</v>
      </c>
      <c r="BA37" s="858"/>
      <c r="BB37" s="891">
        <f>SUM(BB6:BB36)</f>
        <v>139151.19999999998</v>
      </c>
      <c r="BC37" s="891">
        <f>SUM(BC6:BC36)</f>
        <v>310114.75999999995</v>
      </c>
      <c r="BD37" s="856"/>
      <c r="BE37" s="623">
        <f>SUM(BE6:BE36)</f>
        <v>0</v>
      </c>
      <c r="BF37" s="858"/>
      <c r="BG37" s="623">
        <f>SUM(BG6:BG36)</f>
        <v>29688</v>
      </c>
      <c r="BH37" s="858"/>
      <c r="BI37" s="623">
        <f>SUM(BI6:BI36)</f>
        <v>3332</v>
      </c>
      <c r="BJ37" s="858"/>
      <c r="BK37" s="623">
        <f>SUM(BK6:BK36)</f>
        <v>5976</v>
      </c>
      <c r="BL37" s="623">
        <f>SUM(BL6:BL36)</f>
        <v>577081.49000000011</v>
      </c>
      <c r="BM37" s="859">
        <f>SUM(BM6:BM36)</f>
        <v>1665</v>
      </c>
      <c r="BN37" s="860">
        <f>IF(BL37&gt;0,BL37/BM37,0)</f>
        <v>346.59548948948958</v>
      </c>
      <c r="BO37" s="859">
        <f>SUM(BO6:BO35)</f>
        <v>0</v>
      </c>
      <c r="BP37" s="860" t="e">
        <f>IF(BL37&gt;0,BL37/BO37,0)</f>
        <v>#DIV/0!</v>
      </c>
      <c r="BQ37" s="601">
        <f>SUM(BQ6:BQ35)</f>
        <v>260173.0008000001</v>
      </c>
      <c r="BR37" s="860">
        <f>IF(BQ37&gt;0,BQ37/BM37,0)</f>
        <v>156.26006054054059</v>
      </c>
      <c r="BS37" s="861" t="e">
        <f>IF(BQ37&gt;0,BQ37/BO37,0)</f>
        <v>#DIV/0!</v>
      </c>
    </row>
    <row r="38" spans="1:93" s="602" customFormat="1" ht="36.75" customHeight="1" thickBot="1">
      <c r="A38" s="603" t="s">
        <v>112</v>
      </c>
      <c r="B38" s="604"/>
      <c r="C38" s="605" t="e">
        <f>C37/C47</f>
        <v>#DIV/0!</v>
      </c>
      <c r="D38" s="593"/>
      <c r="E38" s="605" t="e">
        <f>E37/C47</f>
        <v>#DIV/0!</v>
      </c>
      <c r="F38" s="605" t="e">
        <f>F37/C47</f>
        <v>#DIV/0!</v>
      </c>
      <c r="G38" s="605" t="e">
        <f>G37/C47</f>
        <v>#DIV/0!</v>
      </c>
      <c r="H38" s="593"/>
      <c r="I38" s="862"/>
      <c r="J38" s="862">
        <f>J37/J46</f>
        <v>4433.666666666667</v>
      </c>
      <c r="K38" s="862">
        <f>K37/J46</f>
        <v>2864.7666666666669</v>
      </c>
      <c r="L38" s="863"/>
      <c r="M38" s="862">
        <f>M37/J46</f>
        <v>1534.2666666666667</v>
      </c>
      <c r="N38" s="863"/>
      <c r="O38" s="862">
        <f>O37/J46</f>
        <v>1330.5</v>
      </c>
      <c r="P38" s="864"/>
      <c r="Q38" s="862">
        <f>Q37/J46</f>
        <v>463</v>
      </c>
      <c r="R38" s="606"/>
      <c r="S38" s="862">
        <f>S37/J46</f>
        <v>0</v>
      </c>
      <c r="T38" s="862"/>
      <c r="U38" s="862">
        <f>U37/J46</f>
        <v>0</v>
      </c>
      <c r="V38" s="896"/>
      <c r="W38" s="862">
        <f>W37/J46</f>
        <v>143.16666666666666</v>
      </c>
      <c r="X38" s="896"/>
      <c r="Y38" s="862">
        <f>Y37/J46</f>
        <v>255.13333333333333</v>
      </c>
      <c r="Z38" s="864"/>
      <c r="AA38" s="862">
        <f>AA37/J46</f>
        <v>0</v>
      </c>
      <c r="AB38" s="864"/>
      <c r="AC38" s="742"/>
      <c r="AD38" s="865"/>
      <c r="AE38" s="862">
        <f>AE37/J46</f>
        <v>913.82599999999991</v>
      </c>
      <c r="AF38" s="864"/>
      <c r="AG38" s="862">
        <f>AG37/J46</f>
        <v>378.91466666666668</v>
      </c>
      <c r="AH38" s="866"/>
      <c r="AI38" s="862">
        <f>AI37/J46</f>
        <v>225.0556666666667</v>
      </c>
      <c r="AJ38" s="866"/>
      <c r="AK38" s="862">
        <f>AK37/J46</f>
        <v>1940.0473333333332</v>
      </c>
      <c r="AL38" s="862">
        <f>AL37/J46</f>
        <v>4002.2243333333349</v>
      </c>
      <c r="AM38" s="866"/>
      <c r="AN38" s="862">
        <f>AN37/J46</f>
        <v>546.26666666666665</v>
      </c>
      <c r="AO38" s="866"/>
      <c r="AP38" s="862">
        <f>AP37/J46</f>
        <v>207.4</v>
      </c>
      <c r="AQ38" s="866"/>
      <c r="AR38" s="862">
        <f>AR37/J46</f>
        <v>22.718666666666664</v>
      </c>
      <c r="AS38" s="866"/>
      <c r="AT38" s="862">
        <f>AT37/J46</f>
        <v>148.06666666666666</v>
      </c>
      <c r="AU38" s="866"/>
      <c r="AV38" s="862">
        <f>AV37/J46</f>
        <v>643.70000000000005</v>
      </c>
      <c r="AW38" s="866"/>
      <c r="AX38" s="862">
        <f>AX37/J46</f>
        <v>45.43333333333333</v>
      </c>
      <c r="AY38" s="866"/>
      <c r="AZ38" s="862">
        <f>AZ37/J46</f>
        <v>4085.2</v>
      </c>
      <c r="BA38" s="866"/>
      <c r="BB38" s="862">
        <f>BB37/J46</f>
        <v>4638.373333333333</v>
      </c>
      <c r="BC38" s="862"/>
      <c r="BD38" s="863"/>
      <c r="BE38" s="862">
        <f>BE37/J46</f>
        <v>0</v>
      </c>
      <c r="BF38" s="866"/>
      <c r="BG38" s="862">
        <f>BG37/J46</f>
        <v>989.6</v>
      </c>
      <c r="BH38" s="866"/>
      <c r="BI38" s="862">
        <f>BI37/J46</f>
        <v>111.06666666666666</v>
      </c>
      <c r="BJ38" s="866"/>
      <c r="BK38" s="862">
        <f>BK37/J46</f>
        <v>199.2</v>
      </c>
      <c r="BL38" s="608" t="e">
        <f xml:space="preserve"> BL37/$J$48</f>
        <v>#DIV/0!</v>
      </c>
      <c r="BM38" s="608" t="e">
        <f>BM37/$J$48</f>
        <v>#DIV/0!</v>
      </c>
      <c r="BN38" s="608" t="e">
        <f>BL38/BM38</f>
        <v>#DIV/0!</v>
      </c>
      <c r="BO38" s="608" t="e">
        <f>BO37/$J$48</f>
        <v>#DIV/0!</v>
      </c>
      <c r="BP38" s="608" t="e">
        <f>BL38/BO38</f>
        <v>#DIV/0!</v>
      </c>
      <c r="BQ38" s="609" t="e">
        <f>BQ37/$J$48</f>
        <v>#DIV/0!</v>
      </c>
      <c r="BR38" s="608" t="e">
        <f>BQ38/BM38</f>
        <v>#DIV/0!</v>
      </c>
      <c r="BS38" s="867" t="e">
        <f>BQ38/BO38</f>
        <v>#DIV/0!</v>
      </c>
    </row>
    <row r="39" spans="1:93" s="588" customFormat="1" ht="30.75" customHeight="1" thickTop="1" thickBot="1">
      <c r="A39" s="610" t="s">
        <v>113</v>
      </c>
      <c r="B39" s="611"/>
      <c r="C39" s="591"/>
      <c r="D39" s="591"/>
      <c r="E39" s="591"/>
      <c r="F39" s="591"/>
      <c r="G39" s="591"/>
      <c r="H39" s="591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20"/>
      <c r="AB39" s="620"/>
      <c r="AC39" s="620"/>
      <c r="AD39" s="620"/>
      <c r="AE39" s="620"/>
      <c r="AF39" s="620"/>
      <c r="AG39" s="620"/>
      <c r="AH39" s="620"/>
      <c r="AI39" s="620"/>
      <c r="AJ39" s="620"/>
      <c r="AK39" s="620"/>
      <c r="AL39" s="620"/>
      <c r="AM39" s="620"/>
      <c r="AN39" s="620"/>
      <c r="AO39" s="620"/>
      <c r="AP39" s="620"/>
      <c r="AQ39" s="620"/>
      <c r="AR39" s="620"/>
      <c r="AS39" s="620"/>
      <c r="AT39" s="620"/>
      <c r="AU39" s="620"/>
      <c r="AV39" s="620"/>
      <c r="AW39" s="620"/>
      <c r="AX39" s="620"/>
      <c r="AY39" s="620"/>
      <c r="AZ39" s="620"/>
      <c r="BA39" s="620"/>
      <c r="BB39" s="620"/>
      <c r="BC39" s="620"/>
      <c r="BD39" s="620"/>
      <c r="BE39" s="620"/>
      <c r="BF39" s="620"/>
      <c r="BG39" s="620"/>
      <c r="BH39" s="620"/>
      <c r="BI39" s="620"/>
      <c r="BJ39" s="620"/>
      <c r="BK39" s="620"/>
      <c r="BL39" s="612" t="e">
        <f>(BQ39-($T$1*$BE$2+$T$2))/(0.7*$Q$1+0.3*$Q$2+$BE$1)</f>
        <v>#DIV/0!</v>
      </c>
      <c r="BM39" s="868">
        <v>0</v>
      </c>
      <c r="BN39" s="869" t="e">
        <f>IF(BL39&gt;0,BL39/BM39,0)</f>
        <v>#DIV/0!</v>
      </c>
      <c r="BO39" s="868">
        <v>0</v>
      </c>
      <c r="BP39" s="869" t="e">
        <f>IF(BL39&gt;0,BL39/BO39,0)</f>
        <v>#DIV/0!</v>
      </c>
      <c r="BQ39" s="613">
        <v>0</v>
      </c>
      <c r="BR39" s="869">
        <f>IF(BQ39&gt;0,BQ39/BM39,0)</f>
        <v>0</v>
      </c>
      <c r="BS39" s="870">
        <f>IF(BQ39&gt;0,BQ39/BO39,0)</f>
        <v>0</v>
      </c>
      <c r="BT39" s="614"/>
      <c r="BU39" s="595"/>
      <c r="BV39" s="595"/>
      <c r="BW39" s="595"/>
      <c r="BX39" s="595"/>
      <c r="BY39" s="595"/>
      <c r="BZ39" s="595"/>
      <c r="CA39" s="595"/>
      <c r="CB39" s="595"/>
      <c r="CC39" s="595"/>
      <c r="CD39" s="595"/>
      <c r="CE39" s="595"/>
      <c r="CF39" s="595"/>
      <c r="CG39" s="595"/>
      <c r="CH39" s="595"/>
    </row>
    <row r="40" spans="1:93" s="588" customFormat="1" ht="30.75" customHeight="1" thickTop="1" thickBot="1">
      <c r="A40" s="615" t="s">
        <v>114</v>
      </c>
      <c r="B40" s="616"/>
      <c r="C40" s="616"/>
      <c r="D40" s="616"/>
      <c r="E40" s="616"/>
      <c r="F40" s="616"/>
      <c r="G40" s="616"/>
      <c r="H40" s="616"/>
      <c r="I40" s="871"/>
      <c r="J40" s="872"/>
      <c r="K40" s="872"/>
      <c r="L40" s="872"/>
      <c r="M40" s="872"/>
      <c r="N40" s="872"/>
      <c r="O40" s="872"/>
      <c r="P40" s="872"/>
      <c r="Q40" s="872"/>
      <c r="R40" s="872"/>
      <c r="S40" s="872"/>
      <c r="T40" s="872"/>
      <c r="U40" s="872"/>
      <c r="V40" s="872"/>
      <c r="W40" s="872"/>
      <c r="X40" s="872"/>
      <c r="Y40" s="872"/>
      <c r="Z40" s="872"/>
      <c r="AA40" s="872"/>
      <c r="AB40" s="872"/>
      <c r="AC40" s="872"/>
      <c r="AD40" s="872"/>
      <c r="AE40" s="872"/>
      <c r="AF40" s="872"/>
      <c r="AG40" s="872"/>
      <c r="AH40" s="872"/>
      <c r="AI40" s="872"/>
      <c r="AJ40" s="872"/>
      <c r="AK40" s="872"/>
      <c r="AL40" s="872"/>
      <c r="AM40" s="872"/>
      <c r="AN40" s="872"/>
      <c r="AO40" s="872"/>
      <c r="AP40" s="872"/>
      <c r="AQ40" s="872"/>
      <c r="AR40" s="872"/>
      <c r="AS40" s="872"/>
      <c r="AT40" s="872"/>
      <c r="AU40" s="872"/>
      <c r="AV40" s="872"/>
      <c r="AW40" s="872"/>
      <c r="AX40" s="872"/>
      <c r="AY40" s="872"/>
      <c r="AZ40" s="872"/>
      <c r="BA40" s="872"/>
      <c r="BB40" s="872"/>
      <c r="BC40" s="872"/>
      <c r="BD40" s="872"/>
      <c r="BE40" s="872"/>
      <c r="BF40" s="872"/>
      <c r="BG40" s="872"/>
      <c r="BH40" s="872"/>
      <c r="BI40" s="872"/>
      <c r="BJ40" s="872"/>
      <c r="BK40" s="872"/>
      <c r="BL40" s="617" t="e">
        <f>(BL39/$J$49)*$J$48</f>
        <v>#DIV/0!</v>
      </c>
      <c r="BM40" s="617" t="e">
        <f>BM41*BF48</f>
        <v>#DIV/0!</v>
      </c>
      <c r="BN40" s="617" t="e">
        <f>IF(BL40&gt;0,BL40/BM40,0)</f>
        <v>#DIV/0!</v>
      </c>
      <c r="BO40" s="617" t="e">
        <f>BO41*$J$48</f>
        <v>#DIV/0!</v>
      </c>
      <c r="BP40" s="617" t="e">
        <f>IF(BL40&gt;0,BL40/BO40,0)</f>
        <v>#DIV/0!</v>
      </c>
      <c r="BQ40" s="617" t="e">
        <f>BQ39/$J$49*BF48</f>
        <v>#DIV/0!</v>
      </c>
      <c r="BR40" s="617" t="e">
        <f>IF(BQ40&gt;0,BQ40/BM40,0)</f>
        <v>#DIV/0!</v>
      </c>
      <c r="BS40" s="873" t="e">
        <f>IF(BQ40&gt;0,BQ40/BO40,0)</f>
        <v>#DIV/0!</v>
      </c>
      <c r="BU40" s="595"/>
      <c r="BV40" s="595"/>
      <c r="BW40" s="595"/>
      <c r="BX40" s="595"/>
      <c r="BY40" s="595"/>
      <c r="BZ40" s="595"/>
      <c r="CA40" s="595"/>
      <c r="CB40" s="595"/>
      <c r="CC40" s="595"/>
      <c r="CD40" s="595"/>
      <c r="CE40" s="595"/>
      <c r="CF40" s="595"/>
      <c r="CG40" s="595"/>
      <c r="CH40" s="595"/>
    </row>
    <row r="41" spans="1:93" s="588" customFormat="1" ht="30.75" customHeight="1" thickBot="1">
      <c r="A41" s="619" t="s">
        <v>115</v>
      </c>
      <c r="B41" s="595"/>
      <c r="C41" s="595"/>
      <c r="D41" s="595"/>
      <c r="E41" s="595"/>
      <c r="F41" s="595"/>
      <c r="G41" s="595"/>
      <c r="H41" s="595"/>
      <c r="I41" s="874"/>
      <c r="J41" s="875"/>
      <c r="K41" s="875"/>
      <c r="L41" s="875"/>
      <c r="M41" s="875"/>
      <c r="N41" s="875"/>
      <c r="O41" s="876"/>
      <c r="P41" s="875"/>
      <c r="Q41" s="875"/>
      <c r="R41" s="875"/>
      <c r="S41" s="876"/>
      <c r="T41" s="875"/>
      <c r="U41" s="875"/>
      <c r="V41" s="875"/>
      <c r="W41" s="875"/>
      <c r="X41" s="875"/>
      <c r="Y41" s="875"/>
      <c r="Z41" s="875"/>
      <c r="AA41" s="876"/>
      <c r="AB41" s="875"/>
      <c r="AC41" s="876"/>
      <c r="AD41" s="875"/>
      <c r="AE41" s="876"/>
      <c r="AF41" s="875"/>
      <c r="AG41" s="876"/>
      <c r="AH41" s="875"/>
      <c r="AI41" s="876"/>
      <c r="AJ41" s="875"/>
      <c r="AK41" s="876"/>
      <c r="AL41" s="876"/>
      <c r="AM41" s="875"/>
      <c r="AN41" s="876"/>
      <c r="AO41" s="875"/>
      <c r="AP41" s="876"/>
      <c r="AQ41" s="875"/>
      <c r="AR41" s="876"/>
      <c r="AS41" s="875"/>
      <c r="AT41" s="876"/>
      <c r="AU41" s="875"/>
      <c r="AV41" s="876"/>
      <c r="AW41" s="875"/>
      <c r="AX41" s="876"/>
      <c r="AY41" s="875"/>
      <c r="AZ41" s="876"/>
      <c r="BA41" s="875"/>
      <c r="BB41" s="876"/>
      <c r="BC41" s="876"/>
      <c r="BD41" s="875"/>
      <c r="BE41" s="876"/>
      <c r="BF41" s="875"/>
      <c r="BG41" s="876"/>
      <c r="BH41" s="875"/>
      <c r="BI41" s="876"/>
      <c r="BJ41" s="875"/>
      <c r="BK41" s="876"/>
      <c r="BL41" s="620" t="e">
        <f>BL39/$J$49</f>
        <v>#DIV/0!</v>
      </c>
      <c r="BM41" s="877" t="e">
        <f>BM39/$J$49</f>
        <v>#DIV/0!</v>
      </c>
      <c r="BN41" s="877"/>
      <c r="BO41" s="877" t="e">
        <f>BO39/$J$49</f>
        <v>#DIV/0!</v>
      </c>
      <c r="BP41" s="620"/>
      <c r="BQ41" s="620" t="e">
        <f>BQ39/$J$49</f>
        <v>#DIV/0!</v>
      </c>
      <c r="BR41" s="620"/>
      <c r="BS41" s="878"/>
      <c r="BT41" s="588" t="s">
        <v>116</v>
      </c>
      <c r="BU41" s="595"/>
      <c r="BV41" s="595"/>
      <c r="BW41" s="595"/>
      <c r="BX41" s="595"/>
      <c r="BY41" s="595"/>
      <c r="BZ41" s="595"/>
      <c r="CA41" s="595"/>
      <c r="CB41" s="595"/>
      <c r="CC41" s="595"/>
      <c r="CD41" s="595"/>
      <c r="CE41" s="595"/>
      <c r="CF41" s="595"/>
      <c r="CG41" s="595"/>
      <c r="CH41" s="595"/>
    </row>
    <row r="42" spans="1:93" s="588" customFormat="1" ht="30.75" customHeight="1" thickBot="1">
      <c r="A42" s="621" t="s">
        <v>117</v>
      </c>
      <c r="B42" s="595"/>
      <c r="C42" s="595"/>
      <c r="D42" s="595"/>
      <c r="E42" s="595"/>
      <c r="F42" s="595"/>
      <c r="G42" s="595"/>
      <c r="H42" s="595"/>
      <c r="I42" s="879"/>
      <c r="J42" s="632"/>
      <c r="K42" s="632"/>
      <c r="L42" s="632"/>
      <c r="M42" s="632"/>
      <c r="N42" s="632"/>
      <c r="O42" s="880"/>
      <c r="P42" s="632"/>
      <c r="Q42" s="632"/>
      <c r="R42" s="632"/>
      <c r="S42" s="880"/>
      <c r="T42" s="632"/>
      <c r="U42" s="632"/>
      <c r="V42" s="632"/>
      <c r="W42" s="632"/>
      <c r="X42" s="632"/>
      <c r="Y42" s="632"/>
      <c r="Z42" s="632"/>
      <c r="AA42" s="880"/>
      <c r="AB42" s="632"/>
      <c r="AC42" s="880"/>
      <c r="AD42" s="632"/>
      <c r="AE42" s="880"/>
      <c r="AF42" s="632"/>
      <c r="AG42" s="880"/>
      <c r="AH42" s="632"/>
      <c r="AI42" s="880"/>
      <c r="AJ42" s="632"/>
      <c r="AK42" s="880"/>
      <c r="AL42" s="880"/>
      <c r="AM42" s="632"/>
      <c r="AN42" s="880"/>
      <c r="AO42" s="632"/>
      <c r="AP42" s="880"/>
      <c r="AQ42" s="632"/>
      <c r="AR42" s="880"/>
      <c r="AS42" s="632"/>
      <c r="AT42" s="880"/>
      <c r="AU42" s="632"/>
      <c r="AV42" s="880"/>
      <c r="AW42" s="632"/>
      <c r="AX42" s="880"/>
      <c r="AY42" s="632"/>
      <c r="AZ42" s="880"/>
      <c r="BA42" s="632"/>
      <c r="BB42" s="880"/>
      <c r="BC42" s="880"/>
      <c r="BD42" s="632"/>
      <c r="BE42" s="880"/>
      <c r="BF42" s="632"/>
      <c r="BG42" s="880"/>
      <c r="BH42" s="632"/>
      <c r="BI42" s="880"/>
      <c r="BJ42" s="632"/>
      <c r="BK42" s="880"/>
      <c r="BL42" s="622" t="e">
        <f>(BQ42-($T$1*$BE$2+$T$2))/(0.7*$Q$1+0.3*$Q$2+$BE$1)</f>
        <v>#DIV/0!</v>
      </c>
      <c r="BM42" s="623">
        <v>0</v>
      </c>
      <c r="BN42" s="881" t="e">
        <f>IF(BL42&gt;0,BL42/BM42,0)</f>
        <v>#DIV/0!</v>
      </c>
      <c r="BO42" s="623">
        <v>0</v>
      </c>
      <c r="BP42" s="881" t="e">
        <f>IF(BL42&gt;0,BL42/BO42,0)</f>
        <v>#DIV/0!</v>
      </c>
      <c r="BQ42" s="624">
        <v>0</v>
      </c>
      <c r="BR42" s="882">
        <f>IF(BQ42&gt;0,BQ42/BM42,0)</f>
        <v>0</v>
      </c>
      <c r="BS42" s="883">
        <f>IF(BQ42&gt;0,BQ42/BO42,0)</f>
        <v>0</v>
      </c>
    </row>
    <row r="43" spans="1:93" s="630" customFormat="1" ht="23.25" customHeight="1">
      <c r="A43" s="598" t="s">
        <v>118</v>
      </c>
      <c r="B43" s="592"/>
      <c r="C43" s="625"/>
      <c r="D43" s="592"/>
      <c r="E43" s="592"/>
      <c r="F43" s="592"/>
      <c r="G43" s="592"/>
      <c r="H43" s="592"/>
      <c r="I43" s="592"/>
      <c r="J43" s="592"/>
      <c r="K43" s="592"/>
      <c r="L43" s="592"/>
      <c r="M43" s="592"/>
      <c r="N43" s="592"/>
      <c r="O43" s="592"/>
      <c r="P43" s="592"/>
      <c r="Q43" s="592"/>
      <c r="R43" s="592"/>
      <c r="S43" s="592"/>
      <c r="T43" s="592"/>
      <c r="U43" s="592"/>
      <c r="V43" s="592"/>
      <c r="W43" s="592"/>
      <c r="X43" s="592"/>
      <c r="Y43" s="592"/>
      <c r="Z43" s="592"/>
      <c r="AA43" s="592"/>
      <c r="AB43" s="592"/>
      <c r="AC43" s="592"/>
      <c r="AD43" s="592"/>
      <c r="AE43" s="592"/>
      <c r="AF43" s="592"/>
      <c r="AG43" s="592"/>
      <c r="AH43" s="592"/>
      <c r="AI43" s="592"/>
      <c r="AJ43" s="592"/>
      <c r="AK43" s="592"/>
      <c r="AL43" s="592"/>
      <c r="AM43" s="592"/>
      <c r="AN43" s="592"/>
      <c r="AO43" s="592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626" t="e">
        <f>(BL42/$J$49)*$J$48</f>
        <v>#DIV/0!</v>
      </c>
      <c r="BM43" s="626" t="e">
        <f>BM42/BF49*BF48</f>
        <v>#DIV/0!</v>
      </c>
      <c r="BN43" s="949" t="e">
        <f>IF(BL43&gt;0,BL43/BM43,0)</f>
        <v>#DIV/0!</v>
      </c>
      <c r="BO43" s="626" t="e">
        <f>BO42/BF49*BF48</f>
        <v>#DIV/0!</v>
      </c>
      <c r="BP43" s="618" t="e">
        <f>IF(BL43&gt;0,BL43/BO43,0)</f>
        <v>#DIV/0!</v>
      </c>
      <c r="BQ43" s="627" t="e">
        <f>BQ42/BF49*BF48</f>
        <v>#DIV/0!</v>
      </c>
      <c r="BR43" s="628" t="e">
        <f>IF(BQ43&gt;0,BQ43/BM43,0)</f>
        <v>#DIV/0!</v>
      </c>
      <c r="BS43" s="629" t="e">
        <f>IF(BQ43&gt;0,BQ43/BO43,0)</f>
        <v>#DIV/0!</v>
      </c>
      <c r="BT43" s="588"/>
      <c r="BU43" s="588"/>
      <c r="BV43" s="588"/>
      <c r="BW43" s="588"/>
      <c r="BX43" s="588"/>
      <c r="BY43" s="588"/>
      <c r="BZ43" s="588"/>
      <c r="CA43" s="588"/>
      <c r="CB43" s="588"/>
      <c r="CC43" s="588"/>
      <c r="CD43" s="588"/>
      <c r="CE43" s="588"/>
      <c r="CF43" s="588"/>
      <c r="CG43" s="588"/>
      <c r="CH43" s="588"/>
      <c r="CI43" s="588"/>
      <c r="CJ43" s="588"/>
      <c r="CK43" s="588"/>
      <c r="CL43" s="588"/>
      <c r="CM43" s="588"/>
      <c r="CN43" s="588"/>
      <c r="CO43" s="588"/>
    </row>
    <row r="44" spans="1:93" s="630" customFormat="1" ht="23.25" customHeight="1" thickBot="1">
      <c r="A44" s="603" t="s">
        <v>119</v>
      </c>
      <c r="B44" s="593"/>
      <c r="C44" s="631"/>
      <c r="D44" s="593"/>
      <c r="E44" s="593"/>
      <c r="F44" s="593"/>
      <c r="G44" s="593"/>
      <c r="H44" s="593"/>
      <c r="I44" s="593"/>
      <c r="J44" s="593"/>
      <c r="K44" s="593"/>
      <c r="L44" s="593"/>
      <c r="M44" s="593"/>
      <c r="N44" s="593"/>
      <c r="O44" s="593"/>
      <c r="P44" s="593"/>
      <c r="Q44" s="593"/>
      <c r="R44" s="593"/>
      <c r="S44" s="593"/>
      <c r="T44" s="593"/>
      <c r="U44" s="593"/>
      <c r="V44" s="593"/>
      <c r="W44" s="593"/>
      <c r="X44" s="593"/>
      <c r="Y44" s="593"/>
      <c r="Z44" s="593"/>
      <c r="AA44" s="593"/>
      <c r="AB44" s="593"/>
      <c r="AC44" s="593"/>
      <c r="AD44" s="593"/>
      <c r="AE44" s="593"/>
      <c r="AF44" s="593"/>
      <c r="AG44" s="593"/>
      <c r="AH44" s="593"/>
      <c r="AI44" s="593"/>
      <c r="AJ44" s="593"/>
      <c r="AK44" s="593"/>
      <c r="AL44" s="593"/>
      <c r="AM44" s="593"/>
      <c r="AN44" s="593"/>
      <c r="AO44" s="593"/>
      <c r="AP44" s="593"/>
      <c r="AQ44" s="593"/>
      <c r="AR44" s="593"/>
      <c r="AS44" s="593"/>
      <c r="AT44" s="593"/>
      <c r="AU44" s="593"/>
      <c r="AV44" s="593"/>
      <c r="AW44" s="593"/>
      <c r="AX44" s="593"/>
      <c r="AY44" s="593"/>
      <c r="AZ44" s="593"/>
      <c r="BA44" s="593"/>
      <c r="BB44" s="593"/>
      <c r="BC44" s="593"/>
      <c r="BD44" s="593"/>
      <c r="BE44" s="593"/>
      <c r="BF44" s="593"/>
      <c r="BG44" s="593"/>
      <c r="BH44" s="593"/>
      <c r="BI44" s="593"/>
      <c r="BJ44" s="593"/>
      <c r="BK44" s="593"/>
      <c r="BL44" s="617" t="e">
        <f>BL42/BF49</f>
        <v>#DIV/0!</v>
      </c>
      <c r="BM44" s="617" t="e">
        <f>BM42/BF49</f>
        <v>#DIV/0!</v>
      </c>
      <c r="BN44" s="632"/>
      <c r="BO44" s="617" t="e">
        <f>BO42/BF49</f>
        <v>#DIV/0!</v>
      </c>
      <c r="BP44" s="632"/>
      <c r="BQ44" s="633" t="e">
        <f>BQ42/BF49</f>
        <v>#DIV/0!</v>
      </c>
      <c r="BR44" s="634"/>
      <c r="BS44" s="635"/>
      <c r="BT44" s="588"/>
      <c r="BU44" s="588"/>
      <c r="BV44" s="588"/>
      <c r="BW44" s="588"/>
      <c r="BX44" s="588"/>
      <c r="BY44" s="588"/>
      <c r="BZ44" s="588"/>
      <c r="CA44" s="588"/>
      <c r="CB44" s="588"/>
      <c r="CC44" s="588"/>
      <c r="CD44" s="588"/>
      <c r="CE44" s="588"/>
      <c r="CF44" s="588"/>
      <c r="CG44" s="588"/>
      <c r="CH44" s="588"/>
      <c r="CI44" s="588"/>
      <c r="CJ44" s="588"/>
      <c r="CK44" s="588"/>
      <c r="CL44" s="588"/>
      <c r="CM44" s="588"/>
      <c r="CN44" s="588"/>
      <c r="CO44" s="588"/>
    </row>
    <row r="45" spans="1:93" s="588" customFormat="1" ht="36.75" thickBot="1">
      <c r="A45" s="636" t="s">
        <v>120</v>
      </c>
      <c r="B45" s="637"/>
      <c r="C45" s="637"/>
      <c r="D45" s="637"/>
      <c r="E45" s="637"/>
      <c r="F45" s="637"/>
      <c r="G45" s="637"/>
      <c r="H45" s="637"/>
      <c r="I45" s="594">
        <f>IF(I33&gt;0,I33,0)</f>
        <v>20897582</v>
      </c>
      <c r="J45" s="594"/>
      <c r="K45" s="595"/>
      <c r="BL45" s="638">
        <v>8688.15</v>
      </c>
      <c r="BM45" s="592"/>
      <c r="BN45" s="600">
        <v>0</v>
      </c>
      <c r="BO45" s="592"/>
      <c r="BP45" s="638">
        <v>0</v>
      </c>
      <c r="BQ45" s="639">
        <v>0</v>
      </c>
      <c r="BR45" s="640">
        <v>0</v>
      </c>
      <c r="BS45" s="641">
        <v>0</v>
      </c>
    </row>
    <row r="46" spans="1:93" s="588" customFormat="1" ht="30.75" customHeight="1" thickBot="1">
      <c r="A46" s="642" t="s">
        <v>121</v>
      </c>
      <c r="B46" s="614"/>
      <c r="C46" s="596"/>
      <c r="D46" s="614"/>
      <c r="E46" s="614"/>
      <c r="F46" s="614"/>
      <c r="G46" s="614"/>
      <c r="H46" s="614"/>
      <c r="I46" s="614"/>
      <c r="J46" s="596">
        <f>COUNTIF(I6:I35,"&gt;0")</f>
        <v>30</v>
      </c>
      <c r="K46" s="597"/>
      <c r="O46" s="643"/>
      <c r="S46" s="643"/>
      <c r="AA46" s="643"/>
      <c r="AC46" s="643"/>
      <c r="AE46" s="643"/>
      <c r="AG46" s="643"/>
      <c r="AI46" s="643"/>
      <c r="AK46" s="643"/>
      <c r="AL46" s="643"/>
      <c r="AN46" s="643"/>
      <c r="AP46" s="643"/>
      <c r="AR46" s="643"/>
      <c r="AT46" s="643"/>
      <c r="AV46" s="643"/>
      <c r="AX46" s="643"/>
      <c r="AZ46" s="643"/>
      <c r="BB46" s="643"/>
      <c r="BC46" s="643"/>
      <c r="BE46" s="643"/>
      <c r="BG46" s="643"/>
      <c r="BI46" s="643"/>
      <c r="BK46" s="643"/>
      <c r="BL46" s="644">
        <v>310.2910714285714</v>
      </c>
      <c r="BM46" s="593"/>
      <c r="BN46" s="607">
        <v>0</v>
      </c>
      <c r="BO46" s="593"/>
      <c r="BP46" s="644">
        <v>0</v>
      </c>
      <c r="BQ46" s="645">
        <v>0</v>
      </c>
      <c r="BR46" s="646">
        <v>0</v>
      </c>
      <c r="BS46" s="647">
        <v>0</v>
      </c>
      <c r="BU46" s="595"/>
      <c r="BV46" s="595"/>
      <c r="BW46" s="595"/>
      <c r="BX46" s="595"/>
      <c r="BY46" s="595"/>
      <c r="BZ46" s="595"/>
      <c r="CA46" s="595"/>
      <c r="CB46" s="595"/>
      <c r="CC46" s="595"/>
      <c r="CD46" s="595"/>
      <c r="CE46" s="595"/>
      <c r="CF46" s="595"/>
      <c r="CG46" s="595"/>
      <c r="CH46" s="595"/>
    </row>
    <row r="47" spans="1:93" s="588" customFormat="1" ht="30.75" customHeight="1">
      <c r="A47" s="642" t="s">
        <v>122</v>
      </c>
      <c r="E47" s="614"/>
      <c r="G47" s="614"/>
      <c r="J47" s="596">
        <f>COUNTIF(A6:A35,"&gt;0")</f>
        <v>30</v>
      </c>
      <c r="K47" s="597"/>
      <c r="BN47" s="614"/>
      <c r="BP47" s="614"/>
      <c r="BQ47" s="648"/>
      <c r="BU47" s="595"/>
      <c r="BV47" s="595"/>
      <c r="BW47" s="595"/>
      <c r="BX47" s="595"/>
      <c r="BY47" s="595"/>
      <c r="BZ47" s="595"/>
      <c r="CA47" s="595"/>
      <c r="CB47" s="595"/>
      <c r="CC47" s="595"/>
      <c r="CD47" s="595"/>
      <c r="CE47" s="595"/>
      <c r="CF47" s="595"/>
      <c r="CG47" s="595"/>
      <c r="CH47" s="595"/>
    </row>
    <row r="52" spans="1:65" ht="30.75" customHeight="1">
      <c r="A52" s="963"/>
      <c r="B52" s="963"/>
      <c r="C52" s="947"/>
      <c r="D52" s="947"/>
      <c r="E52" s="947"/>
      <c r="F52" s="947"/>
      <c r="G52" s="947"/>
      <c r="H52" s="947"/>
      <c r="I52" s="947"/>
      <c r="L52" s="947"/>
      <c r="M52" s="947"/>
      <c r="N52" s="947"/>
      <c r="O52" s="947"/>
      <c r="P52" s="947"/>
      <c r="Q52" s="947"/>
      <c r="R52" s="947"/>
      <c r="S52" s="947"/>
      <c r="T52" s="947"/>
      <c r="U52" s="947"/>
      <c r="V52" s="947"/>
      <c r="W52" s="947"/>
      <c r="X52" s="947"/>
      <c r="Y52" s="947"/>
      <c r="Z52" s="947"/>
      <c r="AA52" s="947"/>
      <c r="AB52" s="947"/>
      <c r="AC52" s="947"/>
      <c r="AD52" s="947"/>
      <c r="AE52" s="947"/>
      <c r="AF52" s="947"/>
      <c r="AG52" s="947"/>
      <c r="AH52" s="947"/>
      <c r="AI52" s="947"/>
      <c r="AJ52" s="947"/>
      <c r="AK52" s="947"/>
      <c r="AL52" s="947"/>
      <c r="AM52" s="947"/>
      <c r="AN52" s="947"/>
      <c r="AO52" s="947"/>
      <c r="AP52" s="947"/>
      <c r="AQ52" s="947"/>
      <c r="AR52" s="947"/>
      <c r="AS52" s="947"/>
      <c r="AT52" s="947"/>
      <c r="AU52" s="947"/>
      <c r="AV52" s="947"/>
      <c r="AW52" s="947"/>
      <c r="AX52" s="947"/>
      <c r="AY52" s="947"/>
      <c r="AZ52" s="947"/>
      <c r="BA52" s="947"/>
      <c r="BB52" s="947"/>
      <c r="BC52" s="947"/>
      <c r="BD52" s="947"/>
      <c r="BE52" s="947"/>
      <c r="BF52" s="947"/>
      <c r="BG52" s="947"/>
      <c r="BH52" s="947"/>
      <c r="BI52" s="947"/>
      <c r="BJ52" s="947"/>
      <c r="BK52" s="947"/>
      <c r="BL52" s="947"/>
      <c r="BM52" s="31"/>
    </row>
    <row r="54" spans="1:65" ht="30.75" customHeight="1">
      <c r="B54" s="947"/>
      <c r="C54" s="947"/>
      <c r="D54" s="947"/>
      <c r="E54" s="947"/>
      <c r="F54" s="947"/>
      <c r="G54" s="947"/>
      <c r="H54" s="947"/>
      <c r="I54" s="947"/>
      <c r="L54" s="947"/>
      <c r="M54" s="947"/>
      <c r="N54" s="947"/>
      <c r="O54" s="947"/>
      <c r="P54" s="947"/>
      <c r="Q54" s="947"/>
      <c r="R54" s="947"/>
      <c r="S54" s="947"/>
      <c r="T54" s="947"/>
      <c r="U54" s="947"/>
      <c r="V54" s="947"/>
      <c r="W54" s="947"/>
      <c r="X54" s="947"/>
      <c r="Y54" s="947"/>
      <c r="Z54" s="947"/>
      <c r="AA54" s="947"/>
      <c r="AB54" s="947"/>
      <c r="AC54" s="947"/>
      <c r="AD54" s="947"/>
      <c r="AE54" s="947"/>
      <c r="AF54" s="947"/>
      <c r="AG54" s="947"/>
      <c r="AH54" s="947"/>
      <c r="AI54" s="947"/>
      <c r="AJ54" s="947"/>
      <c r="AK54" s="947"/>
      <c r="AL54" s="947"/>
      <c r="AM54" s="947"/>
      <c r="AN54" s="947"/>
      <c r="AO54" s="947"/>
      <c r="AP54" s="947"/>
      <c r="AQ54" s="947"/>
      <c r="AR54" s="947"/>
      <c r="AS54" s="947"/>
      <c r="AT54" s="947"/>
      <c r="AU54" s="947"/>
      <c r="AV54" s="947"/>
      <c r="AW54" s="947"/>
      <c r="AX54" s="947"/>
      <c r="AY54" s="947"/>
      <c r="AZ54" s="947"/>
      <c r="BA54" s="947"/>
      <c r="BB54" s="947"/>
      <c r="BC54" s="947"/>
      <c r="BD54" s="947"/>
      <c r="BE54" s="947"/>
      <c r="BF54" s="947"/>
      <c r="BG54" s="947"/>
      <c r="BH54" s="947"/>
      <c r="BI54" s="947"/>
      <c r="BJ54" s="947"/>
      <c r="BK54" s="947"/>
      <c r="BL54" s="571"/>
      <c r="BM54" s="947"/>
    </row>
    <row r="56" spans="1:65" ht="30.75" customHeight="1">
      <c r="B56" s="947"/>
      <c r="C56" s="947"/>
      <c r="D56" s="947"/>
      <c r="E56" s="947"/>
      <c r="F56" s="947"/>
      <c r="G56" s="947"/>
      <c r="H56" s="947"/>
      <c r="I56" s="31">
        <f>-L11</f>
        <v>-607310</v>
      </c>
      <c r="L56" s="947"/>
      <c r="M56" s="947"/>
      <c r="N56" s="947"/>
      <c r="O56" s="947"/>
      <c r="P56" s="947"/>
      <c r="Q56" s="947"/>
      <c r="R56" s="947"/>
      <c r="S56" s="947"/>
      <c r="T56" s="947"/>
      <c r="U56" s="947"/>
      <c r="V56" s="947"/>
      <c r="W56" s="947"/>
      <c r="X56" s="947"/>
      <c r="Y56" s="947"/>
      <c r="Z56" s="947"/>
      <c r="AA56" s="947"/>
      <c r="AB56" s="947"/>
      <c r="AC56" s="947"/>
      <c r="AD56" s="947"/>
      <c r="AE56" s="947"/>
      <c r="AF56" s="947"/>
      <c r="AG56" s="947"/>
      <c r="AH56" s="947"/>
      <c r="AI56" s="947"/>
      <c r="AJ56" s="947"/>
      <c r="AK56" s="947"/>
      <c r="AL56" s="947"/>
      <c r="AM56" s="947"/>
      <c r="AN56" s="947"/>
      <c r="AO56" s="947"/>
      <c r="AP56" s="947"/>
      <c r="AQ56" s="947"/>
      <c r="AR56" s="947"/>
      <c r="AS56" s="947"/>
      <c r="AT56" s="947"/>
      <c r="AU56" s="947"/>
      <c r="AV56" s="947"/>
      <c r="AW56" s="947"/>
      <c r="AX56" s="947"/>
      <c r="AY56" s="947"/>
      <c r="AZ56" s="947"/>
      <c r="BA56" s="947"/>
      <c r="BB56" s="947"/>
      <c r="BC56" s="947"/>
      <c r="BD56" s="947"/>
      <c r="BE56" s="947"/>
      <c r="BF56" s="947"/>
      <c r="BG56" s="947"/>
      <c r="BH56" s="947"/>
      <c r="BI56" s="947"/>
      <c r="BJ56" s="947"/>
      <c r="BK56" s="947"/>
      <c r="BL56" s="947"/>
      <c r="BM56" s="947"/>
    </row>
    <row r="63" spans="1:65" ht="92.25" customHeight="1">
      <c r="B63" s="947"/>
      <c r="C63" s="947"/>
      <c r="D63" s="947"/>
      <c r="E63" s="947"/>
      <c r="F63" s="947"/>
      <c r="G63" s="947"/>
      <c r="H63" s="947"/>
      <c r="I63" s="947"/>
      <c r="L63" s="947"/>
      <c r="M63" s="947"/>
      <c r="N63" s="947"/>
      <c r="O63" s="947"/>
      <c r="P63" s="947"/>
      <c r="Q63" s="947"/>
      <c r="R63" s="947"/>
      <c r="S63" s="947"/>
      <c r="T63" s="947"/>
      <c r="U63" s="947"/>
      <c r="V63" s="947"/>
      <c r="W63" s="947"/>
      <c r="X63" s="947"/>
      <c r="Y63" s="947"/>
      <c r="Z63" s="947"/>
      <c r="AA63" s="947"/>
      <c r="AB63" s="947"/>
      <c r="AC63" s="947"/>
      <c r="AD63" s="947"/>
      <c r="AE63" s="947"/>
      <c r="AF63" s="947"/>
      <c r="AG63" s="947"/>
      <c r="AH63" s="947"/>
      <c r="AI63" s="947"/>
      <c r="AJ63" s="947"/>
      <c r="AK63" s="947"/>
      <c r="AL63" s="947"/>
      <c r="AM63" s="947"/>
      <c r="AN63" s="947"/>
      <c r="AO63" s="947"/>
      <c r="AP63" s="947"/>
      <c r="AQ63" s="947"/>
      <c r="AR63" s="947"/>
      <c r="AS63" s="947"/>
      <c r="AT63" s="947"/>
      <c r="AU63" s="947"/>
      <c r="AV63" s="947"/>
      <c r="AW63" s="947"/>
      <c r="AX63" s="947"/>
      <c r="AY63" s="947"/>
      <c r="AZ63" s="947"/>
      <c r="BA63" s="947"/>
      <c r="BB63" s="947"/>
      <c r="BC63" s="947"/>
      <c r="BD63" s="947"/>
      <c r="BE63" s="947"/>
      <c r="BF63" s="947"/>
      <c r="BG63" s="947"/>
      <c r="BH63" s="947"/>
      <c r="BI63" s="947"/>
      <c r="BJ63" s="947"/>
      <c r="BK63" s="947"/>
      <c r="BL63" s="947"/>
      <c r="BM63" s="947"/>
    </row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595"/>
      <c r="K164" s="595"/>
      <c r="L164" s="27"/>
      <c r="M164" s="27"/>
      <c r="N164" s="27"/>
      <c r="O164" s="947"/>
      <c r="P164" s="27"/>
      <c r="Q164" s="27"/>
      <c r="R164" s="27"/>
      <c r="S164" s="947"/>
      <c r="T164" s="27"/>
      <c r="U164" s="27"/>
      <c r="V164" s="27"/>
      <c r="W164" s="27"/>
      <c r="X164" s="27"/>
      <c r="Y164" s="27"/>
      <c r="Z164" s="27"/>
      <c r="AA164" s="947"/>
      <c r="AB164" s="27"/>
      <c r="AC164" s="947"/>
      <c r="AD164" s="27"/>
      <c r="AE164" s="947"/>
      <c r="AF164" s="27"/>
      <c r="AG164" s="947"/>
      <c r="AH164" s="27"/>
      <c r="AI164" s="947"/>
      <c r="AJ164" s="27"/>
      <c r="AK164" s="947"/>
      <c r="AL164" s="947"/>
      <c r="AM164" s="27"/>
      <c r="AN164" s="947"/>
      <c r="AO164" s="27"/>
      <c r="AP164" s="947"/>
      <c r="AQ164" s="27"/>
      <c r="AR164" s="947"/>
      <c r="AS164" s="27"/>
      <c r="AT164" s="947"/>
      <c r="AU164" s="27"/>
      <c r="AV164" s="947"/>
      <c r="AW164" s="27"/>
      <c r="AX164" s="947"/>
      <c r="AY164" s="27"/>
      <c r="AZ164" s="947"/>
      <c r="BA164" s="27"/>
      <c r="BB164" s="947"/>
      <c r="BC164" s="947"/>
      <c r="BD164" s="27"/>
      <c r="BE164" s="947"/>
      <c r="BF164" s="27"/>
      <c r="BG164" s="947"/>
      <c r="BH164" s="27"/>
      <c r="BI164" s="947"/>
      <c r="BJ164" s="27"/>
    </row>
    <row r="165" spans="6:62" ht="30.75" customHeight="1">
      <c r="F165" s="27"/>
      <c r="G165" s="27"/>
      <c r="H165" s="27"/>
      <c r="I165" s="27"/>
      <c r="J165" s="595"/>
      <c r="K165" s="595"/>
      <c r="L165" s="27"/>
      <c r="M165" s="27"/>
      <c r="N165" s="27"/>
      <c r="O165" s="947"/>
      <c r="P165" s="27"/>
      <c r="Q165" s="27"/>
      <c r="R165" s="27"/>
      <c r="S165" s="947"/>
      <c r="T165" s="27"/>
      <c r="U165" s="27"/>
      <c r="V165" s="27"/>
      <c r="W165" s="27"/>
      <c r="X165" s="27"/>
      <c r="Y165" s="27"/>
      <c r="Z165" s="27"/>
      <c r="AA165" s="947"/>
      <c r="AB165" s="27"/>
      <c r="AC165" s="947"/>
      <c r="AD165" s="27"/>
      <c r="AE165" s="947"/>
      <c r="AF165" s="27"/>
      <c r="AG165" s="947"/>
      <c r="AH165" s="27"/>
      <c r="AI165" s="947"/>
      <c r="AJ165" s="27"/>
      <c r="AK165" s="947"/>
      <c r="AL165" s="947"/>
      <c r="AM165" s="27"/>
      <c r="AN165" s="947"/>
      <c r="AO165" s="27"/>
      <c r="AP165" s="947"/>
      <c r="AQ165" s="27"/>
      <c r="AR165" s="947"/>
      <c r="AS165" s="27"/>
      <c r="AT165" s="947"/>
      <c r="AU165" s="27"/>
      <c r="AV165" s="947"/>
      <c r="AW165" s="27"/>
      <c r="AX165" s="947"/>
      <c r="AY165" s="27"/>
      <c r="AZ165" s="947"/>
      <c r="BA165" s="27"/>
      <c r="BB165" s="947"/>
      <c r="BC165" s="947"/>
      <c r="BD165" s="27"/>
      <c r="BE165" s="947"/>
      <c r="BF165" s="27"/>
      <c r="BG165" s="947"/>
      <c r="BH165" s="27"/>
      <c r="BI165" s="947"/>
      <c r="BJ165" s="27"/>
    </row>
    <row r="166" spans="6:62" ht="30.75" customHeight="1">
      <c r="F166" s="27"/>
      <c r="G166" s="27"/>
      <c r="H166" s="27"/>
      <c r="I166" s="27"/>
      <c r="J166" s="595"/>
      <c r="K166" s="595"/>
      <c r="L166" s="27"/>
      <c r="M166" s="27"/>
      <c r="N166" s="27"/>
      <c r="O166" s="947"/>
      <c r="P166" s="27"/>
      <c r="Q166" s="27"/>
      <c r="R166" s="27"/>
      <c r="S166" s="947"/>
      <c r="T166" s="27"/>
      <c r="U166" s="27"/>
      <c r="V166" s="27"/>
      <c r="W166" s="27"/>
      <c r="X166" s="27"/>
      <c r="Y166" s="27"/>
      <c r="Z166" s="27"/>
      <c r="AA166" s="947"/>
      <c r="AB166" s="27"/>
      <c r="AC166" s="947"/>
      <c r="AD166" s="27"/>
      <c r="AE166" s="947"/>
      <c r="AF166" s="27"/>
      <c r="AG166" s="947"/>
      <c r="AH166" s="27"/>
      <c r="AI166" s="947"/>
      <c r="AJ166" s="27"/>
      <c r="AK166" s="947"/>
      <c r="AL166" s="947"/>
      <c r="AM166" s="27"/>
      <c r="AN166" s="947"/>
      <c r="AO166" s="27"/>
      <c r="AP166" s="947"/>
      <c r="AQ166" s="27"/>
      <c r="AR166" s="947"/>
      <c r="AS166" s="27"/>
      <c r="AT166" s="947"/>
      <c r="AU166" s="27"/>
      <c r="AV166" s="947"/>
      <c r="AW166" s="27"/>
      <c r="AX166" s="947"/>
      <c r="AY166" s="27"/>
      <c r="AZ166" s="947"/>
      <c r="BA166" s="27"/>
      <c r="BB166" s="947"/>
      <c r="BC166" s="947"/>
      <c r="BD166" s="27"/>
      <c r="BE166" s="947"/>
      <c r="BF166" s="27"/>
      <c r="BG166" s="947"/>
      <c r="BH166" s="27"/>
      <c r="BI166" s="947"/>
      <c r="BJ166" s="27"/>
    </row>
    <row r="167" spans="6:62" ht="30.75" customHeight="1">
      <c r="F167" s="27"/>
      <c r="G167" s="27"/>
      <c r="H167" s="27"/>
      <c r="I167" s="27"/>
      <c r="J167" s="595"/>
      <c r="K167" s="595"/>
      <c r="L167" s="27"/>
      <c r="M167" s="27"/>
      <c r="N167" s="27"/>
      <c r="O167" s="947"/>
      <c r="P167" s="27"/>
      <c r="Q167" s="27"/>
      <c r="R167" s="27"/>
      <c r="S167" s="947"/>
      <c r="T167" s="27"/>
      <c r="U167" s="27"/>
      <c r="V167" s="27"/>
      <c r="W167" s="27"/>
      <c r="X167" s="27"/>
      <c r="Y167" s="27"/>
      <c r="Z167" s="27"/>
      <c r="AA167" s="947"/>
      <c r="AB167" s="27"/>
      <c r="AC167" s="947"/>
      <c r="AD167" s="27"/>
      <c r="AE167" s="947"/>
      <c r="AF167" s="27"/>
      <c r="AG167" s="947"/>
      <c r="AH167" s="27"/>
      <c r="AI167" s="947"/>
      <c r="AJ167" s="27"/>
      <c r="AK167" s="947"/>
      <c r="AL167" s="947"/>
      <c r="AM167" s="27"/>
      <c r="AN167" s="947"/>
      <c r="AO167" s="27"/>
      <c r="AP167" s="947"/>
      <c r="AQ167" s="27"/>
      <c r="AR167" s="947"/>
      <c r="AS167" s="27"/>
      <c r="AT167" s="947"/>
      <c r="AU167" s="27"/>
      <c r="AV167" s="947"/>
      <c r="AW167" s="27"/>
      <c r="AX167" s="947"/>
      <c r="AY167" s="27"/>
      <c r="AZ167" s="947"/>
      <c r="BA167" s="27"/>
      <c r="BB167" s="947"/>
      <c r="BC167" s="947"/>
      <c r="BD167" s="27"/>
      <c r="BE167" s="947"/>
      <c r="BF167" s="27"/>
      <c r="BG167" s="947"/>
      <c r="BH167" s="27"/>
      <c r="BI167" s="947"/>
      <c r="BJ167" s="27"/>
    </row>
    <row r="168" spans="6:62" ht="30.75" customHeight="1">
      <c r="F168" s="27"/>
      <c r="G168" s="27"/>
      <c r="H168" s="27"/>
      <c r="I168" s="27"/>
      <c r="J168" s="595"/>
      <c r="K168" s="595"/>
      <c r="L168" s="27"/>
      <c r="M168" s="27"/>
      <c r="N168" s="27"/>
      <c r="O168" s="947"/>
      <c r="P168" s="27"/>
      <c r="Q168" s="27"/>
      <c r="R168" s="27"/>
      <c r="S168" s="947"/>
      <c r="T168" s="27"/>
      <c r="U168" s="27"/>
      <c r="V168" s="27"/>
      <c r="W168" s="27"/>
      <c r="X168" s="27"/>
      <c r="Y168" s="27"/>
      <c r="Z168" s="27"/>
      <c r="AA168" s="947"/>
      <c r="AB168" s="27"/>
      <c r="AC168" s="947"/>
      <c r="AD168" s="27"/>
      <c r="AE168" s="947"/>
      <c r="AF168" s="27"/>
      <c r="AG168" s="947"/>
      <c r="AH168" s="27"/>
      <c r="AI168" s="947"/>
      <c r="AJ168" s="27"/>
      <c r="AK168" s="947"/>
      <c r="AL168" s="947"/>
      <c r="AM168" s="27"/>
      <c r="AN168" s="947"/>
      <c r="AO168" s="27"/>
      <c r="AP168" s="947"/>
      <c r="AQ168" s="27"/>
      <c r="AR168" s="947"/>
      <c r="AS168" s="27"/>
      <c r="AT168" s="947"/>
      <c r="AU168" s="27"/>
      <c r="AV168" s="947"/>
      <c r="AW168" s="27"/>
      <c r="AX168" s="947"/>
      <c r="AY168" s="27"/>
      <c r="AZ168" s="947"/>
      <c r="BA168" s="27"/>
      <c r="BB168" s="947"/>
      <c r="BC168" s="947"/>
      <c r="BD168" s="27"/>
      <c r="BE168" s="947"/>
      <c r="BF168" s="27"/>
      <c r="BG168" s="947"/>
      <c r="BH168" s="27"/>
      <c r="BI168" s="947"/>
      <c r="BJ168" s="27"/>
    </row>
    <row r="169" spans="6:62" ht="30.75" customHeight="1">
      <c r="F169" s="27"/>
      <c r="G169" s="27"/>
      <c r="H169" s="27"/>
      <c r="I169" s="27"/>
      <c r="J169" s="595"/>
      <c r="K169" s="595"/>
      <c r="L169" s="27"/>
      <c r="M169" s="27"/>
      <c r="N169" s="27"/>
      <c r="O169" s="947"/>
      <c r="P169" s="27"/>
      <c r="Q169" s="27"/>
      <c r="R169" s="27"/>
      <c r="S169" s="947"/>
      <c r="T169" s="27"/>
      <c r="U169" s="27"/>
      <c r="V169" s="27"/>
      <c r="W169" s="27"/>
      <c r="X169" s="27"/>
      <c r="Y169" s="27"/>
      <c r="Z169" s="27"/>
      <c r="AA169" s="947"/>
      <c r="AB169" s="27"/>
      <c r="AC169" s="947"/>
      <c r="AD169" s="27"/>
      <c r="AE169" s="947"/>
      <c r="AF169" s="27"/>
      <c r="AG169" s="947"/>
      <c r="AH169" s="27"/>
      <c r="AI169" s="947"/>
      <c r="AJ169" s="27"/>
      <c r="AK169" s="947"/>
      <c r="AL169" s="947"/>
      <c r="AM169" s="27"/>
      <c r="AN169" s="947"/>
      <c r="AO169" s="27"/>
      <c r="AP169" s="947"/>
      <c r="AQ169" s="27"/>
      <c r="AR169" s="947"/>
      <c r="AS169" s="27"/>
      <c r="AT169" s="947"/>
      <c r="AU169" s="27"/>
      <c r="AV169" s="947"/>
      <c r="AW169" s="27"/>
      <c r="AX169" s="947"/>
      <c r="AY169" s="27"/>
      <c r="AZ169" s="947"/>
      <c r="BA169" s="27"/>
      <c r="BB169" s="947"/>
      <c r="BC169" s="947"/>
      <c r="BD169" s="27"/>
      <c r="BE169" s="947"/>
      <c r="BF169" s="27"/>
      <c r="BG169" s="947"/>
      <c r="BH169" s="27"/>
      <c r="BI169" s="947"/>
      <c r="BJ169" s="27"/>
    </row>
    <row r="170" spans="6:62" ht="30.75" customHeight="1">
      <c r="F170" s="27"/>
      <c r="G170" s="27"/>
      <c r="H170" s="27"/>
      <c r="I170" s="27"/>
      <c r="J170" s="595"/>
      <c r="K170" s="595"/>
      <c r="L170" s="27"/>
      <c r="M170" s="27"/>
      <c r="N170" s="27"/>
      <c r="O170" s="947"/>
      <c r="P170" s="27"/>
      <c r="Q170" s="27"/>
      <c r="R170" s="27"/>
      <c r="S170" s="947"/>
      <c r="T170" s="27"/>
      <c r="U170" s="27"/>
      <c r="V170" s="27"/>
      <c r="W170" s="27"/>
      <c r="X170" s="27"/>
      <c r="Y170" s="27"/>
      <c r="Z170" s="27"/>
      <c r="AA170" s="947"/>
      <c r="AB170" s="27"/>
      <c r="AC170" s="947"/>
      <c r="AD170" s="27"/>
      <c r="AE170" s="947"/>
      <c r="AF170" s="27"/>
      <c r="AG170" s="947"/>
      <c r="AH170" s="27"/>
      <c r="AI170" s="947"/>
      <c r="AJ170" s="27"/>
      <c r="AK170" s="947"/>
      <c r="AL170" s="947"/>
      <c r="AM170" s="27"/>
      <c r="AN170" s="947"/>
      <c r="AO170" s="27"/>
      <c r="AP170" s="947"/>
      <c r="AQ170" s="27"/>
      <c r="AR170" s="947"/>
      <c r="AS170" s="27"/>
      <c r="AT170" s="947"/>
      <c r="AU170" s="27"/>
      <c r="AV170" s="947"/>
      <c r="AW170" s="27"/>
      <c r="AX170" s="947"/>
      <c r="AY170" s="27"/>
      <c r="AZ170" s="947"/>
      <c r="BA170" s="27"/>
      <c r="BB170" s="947"/>
      <c r="BC170" s="947"/>
      <c r="BD170" s="27"/>
      <c r="BE170" s="947"/>
      <c r="BF170" s="27"/>
      <c r="BG170" s="947"/>
      <c r="BH170" s="27"/>
      <c r="BI170" s="947"/>
      <c r="BJ170" s="27"/>
    </row>
    <row r="171" spans="6:62" ht="30.75" customHeight="1">
      <c r="F171" s="27"/>
      <c r="G171" s="27"/>
      <c r="H171" s="27"/>
      <c r="I171" s="27"/>
      <c r="J171" s="595"/>
      <c r="K171" s="595"/>
      <c r="L171" s="27"/>
      <c r="M171" s="27"/>
      <c r="N171" s="27"/>
      <c r="O171" s="947"/>
      <c r="P171" s="27"/>
      <c r="Q171" s="27"/>
      <c r="R171" s="27"/>
      <c r="S171" s="947"/>
      <c r="T171" s="27"/>
      <c r="U171" s="27"/>
      <c r="V171" s="27"/>
      <c r="W171" s="27"/>
      <c r="X171" s="27"/>
      <c r="Y171" s="27"/>
      <c r="Z171" s="27"/>
      <c r="AA171" s="947"/>
      <c r="AB171" s="27"/>
      <c r="AC171" s="947"/>
      <c r="AD171" s="27"/>
      <c r="AE171" s="947"/>
      <c r="AF171" s="27"/>
      <c r="AG171" s="947"/>
      <c r="AH171" s="27"/>
      <c r="AI171" s="947"/>
      <c r="AJ171" s="27"/>
      <c r="AK171" s="947"/>
      <c r="AL171" s="947"/>
      <c r="AM171" s="27"/>
      <c r="AN171" s="947"/>
      <c r="AO171" s="27"/>
      <c r="AP171" s="947"/>
      <c r="AQ171" s="27"/>
      <c r="AR171" s="947"/>
      <c r="AS171" s="27"/>
      <c r="AT171" s="947"/>
      <c r="AU171" s="27"/>
      <c r="AV171" s="947"/>
      <c r="AW171" s="27"/>
      <c r="AX171" s="947"/>
      <c r="AY171" s="27"/>
      <c r="AZ171" s="947"/>
      <c r="BA171" s="27"/>
      <c r="BB171" s="947"/>
      <c r="BC171" s="947"/>
      <c r="BD171" s="27"/>
      <c r="BE171" s="947"/>
      <c r="BF171" s="27"/>
      <c r="BG171" s="947"/>
      <c r="BH171" s="27"/>
      <c r="BI171" s="947"/>
      <c r="BJ171" s="27"/>
    </row>
    <row r="172" spans="6:62" ht="30.75" customHeight="1">
      <c r="F172" s="27"/>
      <c r="G172" s="27"/>
      <c r="H172" s="27"/>
      <c r="I172" s="27"/>
      <c r="J172" s="595"/>
      <c r="K172" s="595"/>
      <c r="L172" s="27"/>
      <c r="M172" s="27"/>
      <c r="N172" s="27"/>
      <c r="O172" s="947"/>
      <c r="P172" s="27"/>
      <c r="Q172" s="27"/>
      <c r="R172" s="27"/>
      <c r="S172" s="947"/>
      <c r="T172" s="27"/>
      <c r="U172" s="27"/>
      <c r="V172" s="27"/>
      <c r="W172" s="27"/>
      <c r="X172" s="27"/>
      <c r="Y172" s="27"/>
      <c r="Z172" s="27"/>
      <c r="AA172" s="947"/>
      <c r="AB172" s="27"/>
      <c r="AC172" s="947"/>
      <c r="AD172" s="27"/>
      <c r="AE172" s="947"/>
      <c r="AF172" s="27"/>
      <c r="AG172" s="947"/>
      <c r="AH172" s="27"/>
      <c r="AI172" s="947"/>
      <c r="AJ172" s="27"/>
      <c r="AK172" s="947"/>
      <c r="AL172" s="947"/>
      <c r="AM172" s="27"/>
      <c r="AN172" s="947"/>
      <c r="AO172" s="27"/>
      <c r="AP172" s="947"/>
      <c r="AQ172" s="27"/>
      <c r="AR172" s="947"/>
      <c r="AS172" s="27"/>
      <c r="AT172" s="947"/>
      <c r="AU172" s="27"/>
      <c r="AV172" s="947"/>
      <c r="AW172" s="27"/>
      <c r="AX172" s="947"/>
      <c r="AY172" s="27"/>
      <c r="AZ172" s="947"/>
      <c r="BA172" s="27"/>
      <c r="BB172" s="947"/>
      <c r="BC172" s="947"/>
      <c r="BD172" s="27"/>
      <c r="BE172" s="947"/>
      <c r="BF172" s="27"/>
      <c r="BG172" s="947"/>
      <c r="BH172" s="27"/>
      <c r="BI172" s="947"/>
      <c r="BJ172" s="27"/>
    </row>
    <row r="173" spans="6:62" ht="30.75" customHeight="1">
      <c r="F173" s="27"/>
      <c r="G173" s="27"/>
      <c r="H173" s="27"/>
      <c r="I173" s="27"/>
      <c r="J173" s="595"/>
      <c r="K173" s="595"/>
      <c r="L173" s="27"/>
      <c r="M173" s="27"/>
      <c r="N173" s="27"/>
      <c r="O173" s="947"/>
      <c r="P173" s="27"/>
      <c r="Q173" s="27"/>
      <c r="R173" s="27"/>
      <c r="S173" s="947"/>
      <c r="T173" s="27"/>
      <c r="U173" s="27"/>
      <c r="V173" s="27"/>
      <c r="W173" s="27"/>
      <c r="X173" s="27"/>
      <c r="Y173" s="27"/>
      <c r="Z173" s="27"/>
      <c r="AA173" s="947"/>
      <c r="AB173" s="27"/>
      <c r="AC173" s="947"/>
      <c r="AD173" s="27"/>
      <c r="AE173" s="947"/>
      <c r="AF173" s="27"/>
      <c r="AG173" s="947"/>
      <c r="AH173" s="27"/>
      <c r="AI173" s="947"/>
      <c r="AJ173" s="27"/>
      <c r="AK173" s="947"/>
      <c r="AL173" s="947"/>
      <c r="AM173" s="27"/>
      <c r="AN173" s="947"/>
      <c r="AO173" s="27"/>
      <c r="AP173" s="947"/>
      <c r="AQ173" s="27"/>
      <c r="AR173" s="947"/>
      <c r="AS173" s="27"/>
      <c r="AT173" s="947"/>
      <c r="AU173" s="27"/>
      <c r="AV173" s="947"/>
      <c r="AW173" s="27"/>
      <c r="AX173" s="947"/>
      <c r="AY173" s="27"/>
      <c r="AZ173" s="947"/>
      <c r="BA173" s="27"/>
      <c r="BB173" s="947"/>
      <c r="BC173" s="947"/>
      <c r="BD173" s="27"/>
      <c r="BE173" s="947"/>
      <c r="BF173" s="27"/>
      <c r="BG173" s="947"/>
      <c r="BH173" s="27"/>
      <c r="BI173" s="947"/>
      <c r="BJ173" s="27"/>
    </row>
    <row r="174" spans="6:62" ht="30.75" customHeight="1">
      <c r="F174" s="27"/>
      <c r="G174" s="27"/>
      <c r="H174" s="27"/>
      <c r="I174" s="27"/>
      <c r="J174" s="595"/>
      <c r="K174" s="595"/>
      <c r="L174" s="27"/>
      <c r="M174" s="27"/>
      <c r="N174" s="27"/>
      <c r="O174" s="947"/>
      <c r="P174" s="27"/>
      <c r="Q174" s="27"/>
      <c r="R174" s="27"/>
      <c r="S174" s="947"/>
      <c r="T174" s="27"/>
      <c r="U174" s="27"/>
      <c r="V174" s="27"/>
      <c r="W174" s="27"/>
      <c r="X174" s="27"/>
      <c r="Y174" s="27"/>
      <c r="Z174" s="27"/>
      <c r="AA174" s="947"/>
      <c r="AB174" s="27"/>
      <c r="AC174" s="947"/>
      <c r="AD174" s="27"/>
      <c r="AE174" s="947"/>
      <c r="AF174" s="27"/>
      <c r="AG174" s="947"/>
      <c r="AH174" s="27"/>
      <c r="AI174" s="947"/>
      <c r="AJ174" s="27"/>
      <c r="AK174" s="947"/>
      <c r="AL174" s="947"/>
      <c r="AM174" s="27"/>
      <c r="AN174" s="947"/>
      <c r="AO174" s="27"/>
      <c r="AP174" s="947"/>
      <c r="AQ174" s="27"/>
      <c r="AR174" s="947"/>
      <c r="AS174" s="27"/>
      <c r="AT174" s="947"/>
      <c r="AU174" s="27"/>
      <c r="AV174" s="947"/>
      <c r="AW174" s="27"/>
      <c r="AX174" s="947"/>
      <c r="AY174" s="27"/>
      <c r="AZ174" s="947"/>
      <c r="BA174" s="27"/>
      <c r="BB174" s="947"/>
      <c r="BC174" s="947"/>
      <c r="BD174" s="27"/>
      <c r="BE174" s="947"/>
      <c r="BF174" s="27"/>
      <c r="BG174" s="947"/>
      <c r="BH174" s="27"/>
      <c r="BI174" s="947"/>
      <c r="BJ174" s="27"/>
    </row>
  </sheetData>
  <sheetProtection formatCells="0" formatColumns="0" formatRows="0" insertColumns="0" insertRows="0" insertHyperlinks="0" deleteColumns="0" deleteRows="0" sort="0" autoFilter="0" pivotTables="0"/>
  <mergeCells count="15">
    <mergeCell ref="A1:A2"/>
    <mergeCell ref="M1:O2"/>
    <mergeCell ref="Q1:S2"/>
    <mergeCell ref="P3:Q3"/>
    <mergeCell ref="BL3:BL4"/>
    <mergeCell ref="R3:W3"/>
    <mergeCell ref="BQ3:BQ4"/>
    <mergeCell ref="L3:M3"/>
    <mergeCell ref="N3:O3"/>
    <mergeCell ref="A52:B52"/>
    <mergeCell ref="A3:A4"/>
    <mergeCell ref="B3:C3"/>
    <mergeCell ref="D3:E3"/>
    <mergeCell ref="F3:G3"/>
    <mergeCell ref="H3:H4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Z762"/>
  <sheetViews>
    <sheetView showGridLines="0" zoomScale="50" zoomScaleNormal="50" zoomScaleSheetLayoutView="40" workbookViewId="0">
      <pane xSplit="1" ySplit="5" topLeftCell="B16" activePane="bottomRight" state="frozen"/>
      <selection pane="bottomRight" activeCell="D29" sqref="D29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7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2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83" customFormat="1" ht="25.5" customHeight="1" thickBot="1">
      <c r="A1" s="990" t="str">
        <f>Elect!A1</f>
        <v>March</v>
      </c>
      <c r="B1" s="677"/>
      <c r="C1" s="678"/>
      <c r="D1" s="981"/>
      <c r="E1" s="981"/>
      <c r="F1" s="981"/>
      <c r="G1" s="981"/>
      <c r="H1" s="981"/>
      <c r="I1" s="981"/>
      <c r="J1" s="981"/>
      <c r="K1" s="981"/>
      <c r="L1" s="981"/>
      <c r="M1" s="981"/>
      <c r="N1" s="981"/>
      <c r="O1" s="679"/>
      <c r="P1" s="992"/>
      <c r="Q1" s="992"/>
      <c r="R1" s="992"/>
      <c r="S1" s="630"/>
      <c r="T1" s="680" t="s">
        <v>123</v>
      </c>
      <c r="U1" s="655"/>
      <c r="V1" s="653">
        <v>4</v>
      </c>
      <c r="W1" s="651" t="s">
        <v>124</v>
      </c>
      <c r="X1" s="681"/>
      <c r="Y1" s="682"/>
      <c r="Z1" s="655"/>
    </row>
    <row r="2" spans="1:26" s="630" customFormat="1" ht="39.75" customHeight="1" thickBot="1">
      <c r="A2" s="991"/>
      <c r="B2" s="684"/>
      <c r="C2" s="678"/>
      <c r="O2" s="679"/>
      <c r="P2" s="993"/>
      <c r="Q2" s="993"/>
      <c r="R2" s="993"/>
      <c r="T2" s="685"/>
      <c r="X2" s="686"/>
    </row>
    <row r="3" spans="1:26" s="602" customFormat="1" ht="42" customHeight="1" thickBot="1">
      <c r="A3" s="982" t="s">
        <v>1</v>
      </c>
      <c r="B3" s="687"/>
      <c r="C3" s="688"/>
      <c r="D3" s="688"/>
      <c r="E3" s="689" t="s">
        <v>125</v>
      </c>
      <c r="F3" s="688"/>
      <c r="G3" s="688"/>
      <c r="H3" s="690"/>
      <c r="I3" s="1012" t="s">
        <v>126</v>
      </c>
      <c r="J3" s="1013"/>
      <c r="K3" s="1013"/>
      <c r="L3" s="1013"/>
      <c r="M3" s="1014"/>
      <c r="N3" s="1004" t="s">
        <v>127</v>
      </c>
      <c r="O3" s="1005"/>
      <c r="P3" s="985" t="s">
        <v>128</v>
      </c>
      <c r="Q3" s="985"/>
      <c r="R3" s="985" t="s">
        <v>129</v>
      </c>
      <c r="S3" s="985"/>
      <c r="T3" s="1000" t="s">
        <v>130</v>
      </c>
      <c r="U3" s="996" t="s">
        <v>131</v>
      </c>
      <c r="V3" s="996" t="s">
        <v>132</v>
      </c>
      <c r="W3" s="996" t="s">
        <v>133</v>
      </c>
      <c r="X3" s="997" t="s">
        <v>134</v>
      </c>
      <c r="Y3" s="691" t="s">
        <v>67</v>
      </c>
      <c r="Z3" s="692" t="s">
        <v>67</v>
      </c>
    </row>
    <row r="4" spans="1:26" s="602" customFormat="1" ht="45" customHeight="1" thickBot="1">
      <c r="A4" s="983"/>
      <c r="B4" s="1006" t="s">
        <v>135</v>
      </c>
      <c r="C4" s="1007"/>
      <c r="D4" s="1008" t="s">
        <v>136</v>
      </c>
      <c r="E4" s="1009"/>
      <c r="F4" s="1008" t="s">
        <v>137</v>
      </c>
      <c r="G4" s="1009"/>
      <c r="H4" s="988" t="s">
        <v>138</v>
      </c>
      <c r="I4" s="1010" t="s">
        <v>139</v>
      </c>
      <c r="J4" s="1011"/>
      <c r="K4" s="1010" t="s">
        <v>140</v>
      </c>
      <c r="L4" s="1011"/>
      <c r="M4" s="951"/>
      <c r="N4" s="988" t="s">
        <v>141</v>
      </c>
      <c r="O4" s="988" t="s">
        <v>142</v>
      </c>
      <c r="P4" s="986" t="s">
        <v>143</v>
      </c>
      <c r="Q4" s="986" t="s">
        <v>144</v>
      </c>
      <c r="R4" s="986" t="s">
        <v>143</v>
      </c>
      <c r="S4" s="986" t="s">
        <v>144</v>
      </c>
      <c r="T4" s="1001"/>
      <c r="U4" s="986"/>
      <c r="V4" s="986"/>
      <c r="W4" s="986"/>
      <c r="X4" s="998"/>
      <c r="Y4" s="994" t="s">
        <v>108</v>
      </c>
      <c r="Z4" s="979" t="s">
        <v>109</v>
      </c>
    </row>
    <row r="5" spans="1:26" s="602" customFormat="1" ht="48.75" customHeight="1" thickBot="1">
      <c r="A5" s="984"/>
      <c r="B5" s="693" t="s">
        <v>145</v>
      </c>
      <c r="C5" s="950" t="s">
        <v>146</v>
      </c>
      <c r="D5" s="694" t="s">
        <v>145</v>
      </c>
      <c r="E5" s="950" t="s">
        <v>146</v>
      </c>
      <c r="F5" s="694" t="s">
        <v>145</v>
      </c>
      <c r="G5" s="950" t="s">
        <v>146</v>
      </c>
      <c r="H5" s="989"/>
      <c r="I5" s="905" t="s">
        <v>145</v>
      </c>
      <c r="J5" s="906"/>
      <c r="K5" s="905" t="s">
        <v>145</v>
      </c>
      <c r="L5" s="906"/>
      <c r="M5" s="904"/>
      <c r="N5" s="987"/>
      <c r="O5" s="987"/>
      <c r="P5" s="987"/>
      <c r="Q5" s="987"/>
      <c r="R5" s="987"/>
      <c r="S5" s="987"/>
      <c r="T5" s="1002"/>
      <c r="U5" s="987"/>
      <c r="V5" s="987"/>
      <c r="W5" s="987"/>
      <c r="X5" s="999"/>
      <c r="Y5" s="995"/>
      <c r="Z5" s="980"/>
    </row>
    <row r="6" spans="1:26" s="476" customFormat="1" ht="36.75" customHeight="1">
      <c r="A6" s="695"/>
      <c r="B6" s="113">
        <v>73208</v>
      </c>
      <c r="C6" s="742">
        <f t="shared" ref="C6:C15" si="0">IF(B6&gt;=B5,B6-B5,0)*10*0.58</f>
        <v>0</v>
      </c>
      <c r="D6" s="843">
        <v>145815</v>
      </c>
      <c r="E6" s="742">
        <f>IF(D6&gt;=D5,D6-D5,0)*10*0.58</f>
        <v>0</v>
      </c>
      <c r="F6" s="889">
        <v>14733</v>
      </c>
      <c r="G6" s="742">
        <f>IF(F6&gt;=F5,F6-F5,0)*0.58</f>
        <v>0</v>
      </c>
      <c r="H6" s="886"/>
      <c r="I6" s="889">
        <v>194</v>
      </c>
      <c r="J6" s="903"/>
      <c r="K6" s="889">
        <v>2443</v>
      </c>
      <c r="L6" s="903"/>
      <c r="M6" s="903"/>
      <c r="N6" s="112"/>
      <c r="O6" s="472"/>
      <c r="P6" s="489"/>
      <c r="Q6" s="472"/>
      <c r="R6" s="489"/>
      <c r="S6" s="472"/>
      <c r="T6" s="490"/>
      <c r="U6" s="473"/>
      <c r="V6" s="490"/>
      <c r="W6" s="473"/>
      <c r="X6" s="474"/>
      <c r="Y6" s="473"/>
      <c r="Z6" s="475"/>
    </row>
    <row r="7" spans="1:26" s="476" customFormat="1" ht="33.75" customHeight="1">
      <c r="A7" s="696">
        <v>1</v>
      </c>
      <c r="B7" s="113">
        <v>73239</v>
      </c>
      <c r="C7" s="742">
        <f t="shared" si="0"/>
        <v>179.79999999999998</v>
      </c>
      <c r="D7" s="843">
        <v>145816</v>
      </c>
      <c r="E7" s="742">
        <f>IF(D7&gt;=D6,D7-D6,0)*10*0.58</f>
        <v>5.8</v>
      </c>
      <c r="F7" s="889">
        <v>14761</v>
      </c>
      <c r="G7" s="742">
        <f t="shared" ref="G7:G14" si="1">IF(F7&gt;=F6,F7-F6,0)*0.58</f>
        <v>16.239999999999998</v>
      </c>
      <c r="H7" s="742">
        <f>C7+E7+G7</f>
        <v>201.84</v>
      </c>
      <c r="I7" s="889"/>
      <c r="J7" s="742"/>
      <c r="K7" s="889"/>
      <c r="L7" s="742"/>
      <c r="M7" s="742"/>
      <c r="N7" s="112"/>
      <c r="O7" s="586">
        <f>IF(N7&gt;=N6,N7-N6,0)</f>
        <v>0</v>
      </c>
      <c r="P7" s="112"/>
      <c r="Q7" s="472">
        <f>(H7-O7)*0.58</f>
        <v>117.0672</v>
      </c>
      <c r="R7" s="112"/>
      <c r="S7" s="472">
        <f>IF(R7-R6&gt;0,R7-R6,0)</f>
        <v>0</v>
      </c>
      <c r="T7" s="884">
        <f>Elect!BM6</f>
        <v>169</v>
      </c>
      <c r="U7" s="706">
        <f>H7/T7</f>
        <v>1.1943195266272189</v>
      </c>
      <c r="V7" s="884">
        <f>Elect!BO6</f>
        <v>0</v>
      </c>
      <c r="W7" s="706" t="e">
        <f>H7/V7</f>
        <v>#DIV/0!</v>
      </c>
      <c r="X7" s="709">
        <f>H7*V1</f>
        <v>807.36</v>
      </c>
      <c r="Y7" s="706">
        <f>IF(X7&gt;0,X7/T7,0)</f>
        <v>4.7772781065088754</v>
      </c>
      <c r="Z7" s="710">
        <v>0</v>
      </c>
    </row>
    <row r="8" spans="1:26" s="476" customFormat="1" ht="36.75" customHeight="1">
      <c r="A8" s="695">
        <v>2</v>
      </c>
      <c r="B8" s="113">
        <v>73272</v>
      </c>
      <c r="C8" s="742">
        <f t="shared" si="0"/>
        <v>191.39999999999998</v>
      </c>
      <c r="D8" s="843">
        <v>145817</v>
      </c>
      <c r="E8" s="742">
        <f t="shared" ref="E8:E37" si="2">IF(D8&gt;=D7,D8-D7,0)*10*0.58</f>
        <v>5.8</v>
      </c>
      <c r="F8" s="889">
        <v>14761</v>
      </c>
      <c r="G8" s="742">
        <f t="shared" si="1"/>
        <v>0</v>
      </c>
      <c r="H8" s="742">
        <f t="shared" ref="H8:H37" si="3">C8+E8+G8</f>
        <v>197.2</v>
      </c>
      <c r="I8" s="889"/>
      <c r="J8" s="742"/>
      <c r="K8" s="889"/>
      <c r="L8" s="742"/>
      <c r="M8" s="742"/>
      <c r="N8" s="112"/>
      <c r="O8" s="586">
        <f t="shared" ref="O8:O37" si="4">IF(N8&gt;=N7,N8-N7,0)</f>
        <v>0</v>
      </c>
      <c r="P8" s="112"/>
      <c r="Q8" s="472">
        <f t="shared" ref="Q8:Q37" si="5">(H8-O8)*0.58</f>
        <v>114.37599999999999</v>
      </c>
      <c r="R8" s="112"/>
      <c r="S8" s="472">
        <f t="shared" ref="S8:S37" si="6">IF(R8-R7&gt;0,R8-R7,0)</f>
        <v>0</v>
      </c>
      <c r="T8" s="884">
        <f>Elect!BM7</f>
        <v>160</v>
      </c>
      <c r="U8" s="706">
        <f t="shared" ref="U8:U37" si="7">H8/T8</f>
        <v>1.2324999999999999</v>
      </c>
      <c r="V8" s="884">
        <f>Elect!BO7</f>
        <v>0</v>
      </c>
      <c r="W8" s="706" t="e">
        <f t="shared" ref="W8:W37" si="8">H8/V8</f>
        <v>#DIV/0!</v>
      </c>
      <c r="X8" s="709">
        <f>H8*V1</f>
        <v>788.8</v>
      </c>
      <c r="Y8" s="706">
        <f>IF(X8&gt;0,X8/T8,0)</f>
        <v>4.93</v>
      </c>
      <c r="Z8" s="710" t="e">
        <f>IF(X8&gt;0,X8/V8,0)</f>
        <v>#DIV/0!</v>
      </c>
    </row>
    <row r="9" spans="1:26" s="476" customFormat="1" ht="36.75" customHeight="1">
      <c r="A9" s="696">
        <v>3</v>
      </c>
      <c r="B9" s="113">
        <v>73301</v>
      </c>
      <c r="C9" s="742">
        <f t="shared" si="0"/>
        <v>168.2</v>
      </c>
      <c r="D9" s="843">
        <v>145817</v>
      </c>
      <c r="E9" s="742">
        <f t="shared" si="2"/>
        <v>0</v>
      </c>
      <c r="F9" s="889">
        <v>14761</v>
      </c>
      <c r="G9" s="742">
        <f t="shared" si="1"/>
        <v>0</v>
      </c>
      <c r="H9" s="742">
        <f t="shared" si="3"/>
        <v>168.2</v>
      </c>
      <c r="I9" s="889"/>
      <c r="J9" s="742"/>
      <c r="K9" s="889"/>
      <c r="L9" s="742"/>
      <c r="M9" s="742"/>
      <c r="N9" s="112"/>
      <c r="O9" s="586">
        <f t="shared" si="4"/>
        <v>0</v>
      </c>
      <c r="P9" s="112"/>
      <c r="Q9" s="472">
        <f t="shared" si="5"/>
        <v>97.555999999999983</v>
      </c>
      <c r="R9" s="112"/>
      <c r="S9" s="472">
        <f t="shared" si="6"/>
        <v>0</v>
      </c>
      <c r="T9" s="884">
        <f>Elect!BM8</f>
        <v>162</v>
      </c>
      <c r="U9" s="706">
        <f t="shared" si="7"/>
        <v>1.0382716049382716</v>
      </c>
      <c r="V9" s="884">
        <f>Elect!BO8</f>
        <v>0</v>
      </c>
      <c r="W9" s="706" t="e">
        <f t="shared" si="8"/>
        <v>#DIV/0!</v>
      </c>
      <c r="X9" s="709">
        <f>H9*V1</f>
        <v>672.8</v>
      </c>
      <c r="Y9" s="706">
        <f t="shared" ref="Y9:Y37" si="9">IF(X9&gt;0,X9/T9,0)</f>
        <v>4.1530864197530866</v>
      </c>
      <c r="Z9" s="710" t="e">
        <f t="shared" ref="Z9:Z30" si="10">IF(X9&gt;0,X9/V9,0)</f>
        <v>#DIV/0!</v>
      </c>
    </row>
    <row r="10" spans="1:26" s="476" customFormat="1" ht="36.75" customHeight="1">
      <c r="A10" s="695">
        <v>4</v>
      </c>
      <c r="B10" s="113">
        <v>73333</v>
      </c>
      <c r="C10" s="742">
        <f t="shared" si="0"/>
        <v>185.6</v>
      </c>
      <c r="D10" s="843">
        <v>145817</v>
      </c>
      <c r="E10" s="742">
        <f t="shared" si="2"/>
        <v>0</v>
      </c>
      <c r="F10" s="889">
        <v>14762</v>
      </c>
      <c r="G10" s="742">
        <f t="shared" si="1"/>
        <v>0.57999999999999996</v>
      </c>
      <c r="H10" s="742">
        <f t="shared" si="3"/>
        <v>186.18</v>
      </c>
      <c r="I10" s="889"/>
      <c r="J10" s="742"/>
      <c r="K10" s="889"/>
      <c r="L10" s="742"/>
      <c r="M10" s="742"/>
      <c r="N10" s="112"/>
      <c r="O10" s="586">
        <f t="shared" si="4"/>
        <v>0</v>
      </c>
      <c r="P10" s="112"/>
      <c r="Q10" s="472">
        <f t="shared" si="5"/>
        <v>107.98439999999999</v>
      </c>
      <c r="R10" s="112"/>
      <c r="S10" s="472">
        <f t="shared" si="6"/>
        <v>0</v>
      </c>
      <c r="T10" s="884">
        <f>Elect!BM9</f>
        <v>174</v>
      </c>
      <c r="U10" s="706">
        <f t="shared" si="7"/>
        <v>1.07</v>
      </c>
      <c r="V10" s="884">
        <f>Elect!BO9</f>
        <v>0</v>
      </c>
      <c r="W10" s="706" t="e">
        <f t="shared" si="8"/>
        <v>#DIV/0!</v>
      </c>
      <c r="X10" s="709">
        <f>H10*V1</f>
        <v>744.72</v>
      </c>
      <c r="Y10" s="706">
        <f t="shared" si="9"/>
        <v>4.28</v>
      </c>
      <c r="Z10" s="710" t="e">
        <f t="shared" si="10"/>
        <v>#DIV/0!</v>
      </c>
    </row>
    <row r="11" spans="1:26" s="476" customFormat="1" ht="36.75" customHeight="1">
      <c r="A11" s="696">
        <v>5</v>
      </c>
      <c r="B11" s="113">
        <v>73356</v>
      </c>
      <c r="C11" s="742">
        <f t="shared" si="0"/>
        <v>133.39999999999998</v>
      </c>
      <c r="D11" s="843">
        <v>145817</v>
      </c>
      <c r="E11" s="742">
        <f>IF(D11&gt;=D10,D11-D10,0)*10*0.58</f>
        <v>0</v>
      </c>
      <c r="F11" s="889">
        <v>14762</v>
      </c>
      <c r="G11" s="742">
        <f t="shared" si="1"/>
        <v>0</v>
      </c>
      <c r="H11" s="742">
        <f>C11+E11+G11</f>
        <v>133.39999999999998</v>
      </c>
      <c r="I11" s="889"/>
      <c r="J11" s="742"/>
      <c r="K11" s="889"/>
      <c r="L11" s="742"/>
      <c r="M11" s="742"/>
      <c r="N11" s="112"/>
      <c r="O11" s="586">
        <f t="shared" si="4"/>
        <v>0</v>
      </c>
      <c r="P11" s="112"/>
      <c r="Q11" s="472">
        <f t="shared" si="5"/>
        <v>77.371999999999986</v>
      </c>
      <c r="R11" s="112"/>
      <c r="S11" s="472">
        <f t="shared" si="6"/>
        <v>0</v>
      </c>
      <c r="T11" s="884">
        <f>Elect!BM10</f>
        <v>169</v>
      </c>
      <c r="U11" s="706">
        <f t="shared" si="7"/>
        <v>0.78934911242603534</v>
      </c>
      <c r="V11" s="884">
        <f>Elect!BO10</f>
        <v>0</v>
      </c>
      <c r="W11" s="706" t="e">
        <f t="shared" si="8"/>
        <v>#DIV/0!</v>
      </c>
      <c r="X11" s="709">
        <f>H11*V1</f>
        <v>533.59999999999991</v>
      </c>
      <c r="Y11" s="706">
        <f t="shared" si="9"/>
        <v>3.1573964497041414</v>
      </c>
      <c r="Z11" s="710" t="e">
        <f t="shared" si="10"/>
        <v>#DIV/0!</v>
      </c>
    </row>
    <row r="12" spans="1:26" s="476" customFormat="1" ht="36.75" customHeight="1">
      <c r="A12" s="695">
        <v>6</v>
      </c>
      <c r="B12" s="113">
        <v>73397</v>
      </c>
      <c r="C12" s="742">
        <f t="shared" si="0"/>
        <v>237.79999999999998</v>
      </c>
      <c r="D12" s="843">
        <v>145818</v>
      </c>
      <c r="E12" s="742">
        <f>IF(D12&gt;=D11,D12-D11,0)*10*0.58</f>
        <v>5.8</v>
      </c>
      <c r="F12" s="889">
        <v>14763</v>
      </c>
      <c r="G12" s="742">
        <f t="shared" si="1"/>
        <v>0.57999999999999996</v>
      </c>
      <c r="H12" s="742">
        <f t="shared" si="3"/>
        <v>244.18</v>
      </c>
      <c r="I12" s="889"/>
      <c r="J12" s="742"/>
      <c r="K12" s="889"/>
      <c r="L12" s="742"/>
      <c r="M12" s="742"/>
      <c r="N12" s="112"/>
      <c r="O12" s="586">
        <f t="shared" si="4"/>
        <v>0</v>
      </c>
      <c r="P12" s="112"/>
      <c r="Q12" s="472">
        <f t="shared" si="5"/>
        <v>141.62439999999998</v>
      </c>
      <c r="R12" s="112"/>
      <c r="S12" s="472">
        <f t="shared" si="6"/>
        <v>0</v>
      </c>
      <c r="T12" s="884">
        <f>Elect!BM11</f>
        <v>120</v>
      </c>
      <c r="U12" s="706">
        <f t="shared" si="7"/>
        <v>2.0348333333333333</v>
      </c>
      <c r="V12" s="884">
        <f>Elect!BO11</f>
        <v>0</v>
      </c>
      <c r="W12" s="706" t="e">
        <f t="shared" si="8"/>
        <v>#DIV/0!</v>
      </c>
      <c r="X12" s="709">
        <f>H12*V1</f>
        <v>976.72</v>
      </c>
      <c r="Y12" s="706">
        <f t="shared" si="9"/>
        <v>8.1393333333333331</v>
      </c>
      <c r="Z12" s="710" t="e">
        <f t="shared" si="10"/>
        <v>#DIV/0!</v>
      </c>
    </row>
    <row r="13" spans="1:26" s="476" customFormat="1" ht="36.75" customHeight="1">
      <c r="A13" s="696">
        <v>7</v>
      </c>
      <c r="B13" s="113">
        <v>73410</v>
      </c>
      <c r="C13" s="742">
        <f t="shared" si="0"/>
        <v>75.399999999999991</v>
      </c>
      <c r="D13" s="843">
        <v>145819</v>
      </c>
      <c r="E13" s="742">
        <f>IF(D13&gt;=D12,D13-D12,0)*10*0.58</f>
        <v>5.8</v>
      </c>
      <c r="F13" s="889">
        <v>14916</v>
      </c>
      <c r="G13" s="742">
        <f t="shared" si="1"/>
        <v>88.74</v>
      </c>
      <c r="H13" s="742">
        <f>C13+E13+G13</f>
        <v>169.94</v>
      </c>
      <c r="I13" s="889"/>
      <c r="J13" s="742"/>
      <c r="K13" s="889"/>
      <c r="L13" s="742"/>
      <c r="M13" s="742"/>
      <c r="N13" s="112"/>
      <c r="O13" s="586">
        <f t="shared" si="4"/>
        <v>0</v>
      </c>
      <c r="P13" s="112"/>
      <c r="Q13" s="472">
        <f t="shared" si="5"/>
        <v>98.56519999999999</v>
      </c>
      <c r="R13" s="112"/>
      <c r="S13" s="472">
        <f t="shared" si="6"/>
        <v>0</v>
      </c>
      <c r="T13" s="884">
        <f>Elect!BM12</f>
        <v>9</v>
      </c>
      <c r="U13" s="706">
        <f t="shared" si="7"/>
        <v>18.882222222222222</v>
      </c>
      <c r="V13" s="884">
        <f>Elect!BO12</f>
        <v>0</v>
      </c>
      <c r="W13" s="706" t="e">
        <f t="shared" si="8"/>
        <v>#DIV/0!</v>
      </c>
      <c r="X13" s="709">
        <f>H13*V1</f>
        <v>679.76</v>
      </c>
      <c r="Y13" s="706">
        <f t="shared" si="9"/>
        <v>75.528888888888886</v>
      </c>
      <c r="Z13" s="710" t="e">
        <f t="shared" si="10"/>
        <v>#DIV/0!</v>
      </c>
    </row>
    <row r="14" spans="1:26" s="476" customFormat="1" ht="36.75" customHeight="1">
      <c r="A14" s="695">
        <v>8</v>
      </c>
      <c r="B14" s="113">
        <v>73447</v>
      </c>
      <c r="C14" s="742">
        <f t="shared" si="0"/>
        <v>214.6</v>
      </c>
      <c r="D14" s="843">
        <v>145819</v>
      </c>
      <c r="E14" s="742">
        <f>IF(D14&gt;=D13,D14-D13,0)*10*0.58</f>
        <v>0</v>
      </c>
      <c r="F14" s="889">
        <v>15046</v>
      </c>
      <c r="G14" s="742">
        <f t="shared" si="1"/>
        <v>75.399999999999991</v>
      </c>
      <c r="H14" s="742">
        <f t="shared" si="3"/>
        <v>290</v>
      </c>
      <c r="I14" s="889"/>
      <c r="J14" s="742"/>
      <c r="K14" s="889"/>
      <c r="L14" s="742"/>
      <c r="M14" s="742"/>
      <c r="N14" s="112"/>
      <c r="O14" s="586">
        <f t="shared" si="4"/>
        <v>0</v>
      </c>
      <c r="P14" s="112"/>
      <c r="Q14" s="472">
        <f t="shared" si="5"/>
        <v>168.2</v>
      </c>
      <c r="R14" s="112"/>
      <c r="S14" s="472">
        <f t="shared" si="6"/>
        <v>0</v>
      </c>
      <c r="T14" s="884">
        <f>Elect!BM13</f>
        <v>70</v>
      </c>
      <c r="U14" s="706">
        <f t="shared" si="7"/>
        <v>4.1428571428571432</v>
      </c>
      <c r="V14" s="884">
        <f>Elect!BO13</f>
        <v>0</v>
      </c>
      <c r="W14" s="706" t="e">
        <f t="shared" si="8"/>
        <v>#DIV/0!</v>
      </c>
      <c r="X14" s="709">
        <f>H14*V1</f>
        <v>1160</v>
      </c>
      <c r="Y14" s="706">
        <f t="shared" si="9"/>
        <v>16.571428571428573</v>
      </c>
      <c r="Z14" s="710" t="e">
        <f t="shared" si="10"/>
        <v>#DIV/0!</v>
      </c>
    </row>
    <row r="15" spans="1:26" s="476" customFormat="1" ht="36.75" customHeight="1">
      <c r="A15" s="696">
        <v>9</v>
      </c>
      <c r="B15" s="113">
        <v>73457</v>
      </c>
      <c r="C15" s="742">
        <f t="shared" si="0"/>
        <v>57.999999999999993</v>
      </c>
      <c r="D15" s="843">
        <v>145819</v>
      </c>
      <c r="E15" s="742">
        <f>IF(D15&gt;=D14,D15-D14,0)*10*0.58</f>
        <v>0</v>
      </c>
      <c r="F15" s="889">
        <v>15238</v>
      </c>
      <c r="G15" s="742">
        <f t="shared" ref="G15:G37" si="11">IF(F15&gt;=F14,F15-F14,0)*0.58</f>
        <v>111.35999999999999</v>
      </c>
      <c r="H15" s="742">
        <f t="shared" si="3"/>
        <v>169.35999999999999</v>
      </c>
      <c r="I15" s="889"/>
      <c r="J15" s="742"/>
      <c r="K15" s="889"/>
      <c r="L15" s="742"/>
      <c r="M15" s="742"/>
      <c r="N15" s="112"/>
      <c r="O15" s="586">
        <f t="shared" si="4"/>
        <v>0</v>
      </c>
      <c r="P15" s="112"/>
      <c r="Q15" s="472">
        <f t="shared" si="5"/>
        <v>98.228799999999978</v>
      </c>
      <c r="R15" s="112"/>
      <c r="S15" s="472">
        <f t="shared" si="6"/>
        <v>0</v>
      </c>
      <c r="T15" s="884">
        <f>Elect!BM14</f>
        <v>89</v>
      </c>
      <c r="U15" s="706">
        <f t="shared" si="7"/>
        <v>1.9029213483146066</v>
      </c>
      <c r="V15" s="884">
        <f>Elect!BO14</f>
        <v>0</v>
      </c>
      <c r="W15" s="706" t="e">
        <f t="shared" si="8"/>
        <v>#DIV/0!</v>
      </c>
      <c r="X15" s="709">
        <f>H15*V1</f>
        <v>677.43999999999994</v>
      </c>
      <c r="Y15" s="706">
        <f t="shared" si="9"/>
        <v>7.6116853932584263</v>
      </c>
      <c r="Z15" s="710" t="e">
        <f t="shared" si="10"/>
        <v>#DIV/0!</v>
      </c>
    </row>
    <row r="16" spans="1:26" s="476" customFormat="1" ht="36.75" customHeight="1">
      <c r="A16" s="695">
        <v>10</v>
      </c>
      <c r="B16" s="113">
        <v>73489</v>
      </c>
      <c r="C16" s="742">
        <f t="shared" ref="C16:C35" si="12">IF(B16&gt;=B15,B16-B15,0)*10*0.58</f>
        <v>185.6</v>
      </c>
      <c r="D16" s="843">
        <v>145819</v>
      </c>
      <c r="E16" s="742">
        <f t="shared" si="2"/>
        <v>0</v>
      </c>
      <c r="F16" s="889">
        <v>15388</v>
      </c>
      <c r="G16" s="742">
        <f t="shared" si="11"/>
        <v>87</v>
      </c>
      <c r="H16" s="742">
        <f t="shared" si="3"/>
        <v>272.60000000000002</v>
      </c>
      <c r="I16" s="889"/>
      <c r="J16" s="742"/>
      <c r="K16" s="889"/>
      <c r="L16" s="742"/>
      <c r="M16" s="742"/>
      <c r="N16" s="112"/>
      <c r="O16" s="586">
        <f t="shared" si="4"/>
        <v>0</v>
      </c>
      <c r="P16" s="112"/>
      <c r="Q16" s="472">
        <f t="shared" si="5"/>
        <v>158.108</v>
      </c>
      <c r="R16" s="112"/>
      <c r="S16" s="472">
        <f t="shared" si="6"/>
        <v>0</v>
      </c>
      <c r="T16" s="884">
        <f>Elect!BM15</f>
        <v>80</v>
      </c>
      <c r="U16" s="706">
        <f t="shared" si="7"/>
        <v>3.4075000000000002</v>
      </c>
      <c r="V16" s="884">
        <f>Elect!BO15</f>
        <v>0</v>
      </c>
      <c r="W16" s="706" t="e">
        <f t="shared" si="8"/>
        <v>#DIV/0!</v>
      </c>
      <c r="X16" s="709">
        <f>H16*V1</f>
        <v>1090.4000000000001</v>
      </c>
      <c r="Y16" s="706">
        <f t="shared" si="9"/>
        <v>13.63</v>
      </c>
      <c r="Z16" s="710" t="e">
        <f t="shared" si="10"/>
        <v>#DIV/0!</v>
      </c>
    </row>
    <row r="17" spans="1:26" s="476" customFormat="1" ht="36.75" customHeight="1">
      <c r="A17" s="696">
        <v>11</v>
      </c>
      <c r="B17" s="113">
        <v>73507</v>
      </c>
      <c r="C17" s="742">
        <f t="shared" si="12"/>
        <v>104.39999999999999</v>
      </c>
      <c r="D17" s="843">
        <v>145819</v>
      </c>
      <c r="E17" s="742">
        <f t="shared" si="2"/>
        <v>0</v>
      </c>
      <c r="F17" s="889">
        <v>15547</v>
      </c>
      <c r="G17" s="742">
        <f t="shared" si="11"/>
        <v>92.22</v>
      </c>
      <c r="H17" s="742">
        <f t="shared" si="3"/>
        <v>196.62</v>
      </c>
      <c r="I17" s="889"/>
      <c r="J17" s="742"/>
      <c r="K17" s="889"/>
      <c r="L17" s="742"/>
      <c r="M17" s="742"/>
      <c r="N17" s="112"/>
      <c r="O17" s="586">
        <f t="shared" si="4"/>
        <v>0</v>
      </c>
      <c r="P17" s="112"/>
      <c r="Q17" s="472">
        <f t="shared" si="5"/>
        <v>114.03959999999999</v>
      </c>
      <c r="R17" s="112"/>
      <c r="S17" s="472">
        <f t="shared" si="6"/>
        <v>0</v>
      </c>
      <c r="T17" s="884">
        <f>Elect!BM16</f>
        <v>71</v>
      </c>
      <c r="U17" s="706">
        <f t="shared" si="7"/>
        <v>2.7692957746478872</v>
      </c>
      <c r="V17" s="884">
        <f>Elect!BO16</f>
        <v>0</v>
      </c>
      <c r="W17" s="706" t="e">
        <f t="shared" si="8"/>
        <v>#DIV/0!</v>
      </c>
      <c r="X17" s="709">
        <f>H17*V1</f>
        <v>786.48</v>
      </c>
      <c r="Y17" s="706">
        <f t="shared" si="9"/>
        <v>11.077183098591549</v>
      </c>
      <c r="Z17" s="710" t="e">
        <f t="shared" si="10"/>
        <v>#DIV/0!</v>
      </c>
    </row>
    <row r="18" spans="1:26" s="476" customFormat="1" ht="36.75" customHeight="1">
      <c r="A18" s="695">
        <v>12</v>
      </c>
      <c r="B18" s="113">
        <v>73519</v>
      </c>
      <c r="C18" s="742">
        <f t="shared" si="12"/>
        <v>69.599999999999994</v>
      </c>
      <c r="D18" s="843">
        <v>145819</v>
      </c>
      <c r="E18" s="742">
        <f t="shared" si="2"/>
        <v>0</v>
      </c>
      <c r="F18" s="889">
        <v>15605</v>
      </c>
      <c r="G18" s="742">
        <f t="shared" si="11"/>
        <v>33.64</v>
      </c>
      <c r="H18" s="742">
        <f t="shared" si="3"/>
        <v>103.24</v>
      </c>
      <c r="I18" s="889"/>
      <c r="J18" s="742"/>
      <c r="K18" s="889"/>
      <c r="L18" s="742"/>
      <c r="M18" s="742"/>
      <c r="N18" s="112"/>
      <c r="O18" s="586">
        <f t="shared" si="4"/>
        <v>0</v>
      </c>
      <c r="P18" s="112"/>
      <c r="Q18" s="472">
        <f t="shared" si="5"/>
        <v>59.87919999999999</v>
      </c>
      <c r="R18" s="112"/>
      <c r="S18" s="472">
        <f t="shared" si="6"/>
        <v>0</v>
      </c>
      <c r="T18" s="884">
        <f>Elect!BM17</f>
        <v>89</v>
      </c>
      <c r="U18" s="706">
        <f t="shared" si="7"/>
        <v>1.1599999999999999</v>
      </c>
      <c r="V18" s="884">
        <f>Elect!BO17</f>
        <v>0</v>
      </c>
      <c r="W18" s="706" t="e">
        <f t="shared" si="8"/>
        <v>#DIV/0!</v>
      </c>
      <c r="X18" s="709">
        <f>H18*V1</f>
        <v>412.96</v>
      </c>
      <c r="Y18" s="706">
        <f t="shared" si="9"/>
        <v>4.6399999999999997</v>
      </c>
      <c r="Z18" s="710" t="e">
        <f t="shared" si="10"/>
        <v>#DIV/0!</v>
      </c>
    </row>
    <row r="19" spans="1:26" s="476" customFormat="1" ht="36.75" customHeight="1">
      <c r="A19" s="696">
        <v>13</v>
      </c>
      <c r="B19" s="113">
        <v>73532</v>
      </c>
      <c r="C19" s="742">
        <f t="shared" si="12"/>
        <v>75.399999999999991</v>
      </c>
      <c r="D19" s="843">
        <v>145819</v>
      </c>
      <c r="E19" s="742">
        <f t="shared" si="2"/>
        <v>0</v>
      </c>
      <c r="F19" s="889">
        <v>15725</v>
      </c>
      <c r="G19" s="742">
        <f t="shared" si="11"/>
        <v>69.599999999999994</v>
      </c>
      <c r="H19" s="742">
        <f t="shared" si="3"/>
        <v>145</v>
      </c>
      <c r="I19" s="889"/>
      <c r="J19" s="742"/>
      <c r="K19" s="889"/>
      <c r="L19" s="742"/>
      <c r="M19" s="742"/>
      <c r="N19" s="112"/>
      <c r="O19" s="586">
        <f t="shared" si="4"/>
        <v>0</v>
      </c>
      <c r="P19" s="112"/>
      <c r="Q19" s="472">
        <f t="shared" si="5"/>
        <v>84.1</v>
      </c>
      <c r="R19" s="112"/>
      <c r="S19" s="472">
        <f t="shared" si="6"/>
        <v>0</v>
      </c>
      <c r="T19" s="884">
        <f>Elect!BM18</f>
        <v>83</v>
      </c>
      <c r="U19" s="706">
        <f t="shared" si="7"/>
        <v>1.7469879518072289</v>
      </c>
      <c r="V19" s="884">
        <f>Elect!BO18</f>
        <v>0</v>
      </c>
      <c r="W19" s="706" t="e">
        <f t="shared" si="8"/>
        <v>#DIV/0!</v>
      </c>
      <c r="X19" s="709">
        <f>H19*V1</f>
        <v>580</v>
      </c>
      <c r="Y19" s="706">
        <f t="shared" si="9"/>
        <v>6.9879518072289155</v>
      </c>
      <c r="Z19" s="710" t="e">
        <f t="shared" si="10"/>
        <v>#DIV/0!</v>
      </c>
    </row>
    <row r="20" spans="1:26" s="476" customFormat="1" ht="36.75" customHeight="1">
      <c r="A20" s="695">
        <v>14</v>
      </c>
      <c r="B20" s="113">
        <v>73544</v>
      </c>
      <c r="C20" s="742">
        <f t="shared" si="12"/>
        <v>69.599999999999994</v>
      </c>
      <c r="D20" s="843">
        <v>145819</v>
      </c>
      <c r="E20" s="742">
        <f t="shared" si="2"/>
        <v>0</v>
      </c>
      <c r="F20" s="889">
        <v>15805</v>
      </c>
      <c r="G20" s="742">
        <f t="shared" si="11"/>
        <v>46.4</v>
      </c>
      <c r="H20" s="742">
        <f t="shared" si="3"/>
        <v>116</v>
      </c>
      <c r="I20" s="889"/>
      <c r="J20" s="742"/>
      <c r="K20" s="889"/>
      <c r="L20" s="742"/>
      <c r="M20" s="742"/>
      <c r="N20" s="112"/>
      <c r="O20" s="586">
        <f t="shared" si="4"/>
        <v>0</v>
      </c>
      <c r="P20" s="112"/>
      <c r="Q20" s="472">
        <f t="shared" si="5"/>
        <v>67.28</v>
      </c>
      <c r="R20" s="112"/>
      <c r="S20" s="472">
        <f t="shared" si="6"/>
        <v>0</v>
      </c>
      <c r="T20" s="884">
        <f>Elect!BM19</f>
        <v>82</v>
      </c>
      <c r="U20" s="706">
        <f t="shared" si="7"/>
        <v>1.4146341463414633</v>
      </c>
      <c r="V20" s="884">
        <f>Elect!BO19</f>
        <v>0</v>
      </c>
      <c r="W20" s="706" t="e">
        <f t="shared" si="8"/>
        <v>#DIV/0!</v>
      </c>
      <c r="X20" s="709">
        <f>H20*V1</f>
        <v>464</v>
      </c>
      <c r="Y20" s="706">
        <f t="shared" si="9"/>
        <v>5.6585365853658534</v>
      </c>
      <c r="Z20" s="710" t="e">
        <f t="shared" si="10"/>
        <v>#DIV/0!</v>
      </c>
    </row>
    <row r="21" spans="1:26" s="476" customFormat="1" ht="36.75" customHeight="1">
      <c r="A21" s="696">
        <v>15</v>
      </c>
      <c r="B21" s="113">
        <v>73561</v>
      </c>
      <c r="C21" s="742">
        <f t="shared" si="12"/>
        <v>98.6</v>
      </c>
      <c r="D21" s="843">
        <v>145819</v>
      </c>
      <c r="E21" s="742">
        <f t="shared" ref="E21:E27" si="13">IF(D21&gt;=D20,D21-D20,0)*10*0.58</f>
        <v>0</v>
      </c>
      <c r="F21" s="889">
        <v>15900</v>
      </c>
      <c r="G21" s="742">
        <f t="shared" si="11"/>
        <v>55.099999999999994</v>
      </c>
      <c r="H21" s="742">
        <f t="shared" si="3"/>
        <v>153.69999999999999</v>
      </c>
      <c r="I21" s="889"/>
      <c r="J21" s="742"/>
      <c r="K21" s="889"/>
      <c r="L21" s="742"/>
      <c r="M21" s="742"/>
      <c r="N21" s="112"/>
      <c r="O21" s="586">
        <f t="shared" si="4"/>
        <v>0</v>
      </c>
      <c r="P21" s="112"/>
      <c r="Q21" s="472">
        <f t="shared" si="5"/>
        <v>89.145999999999987</v>
      </c>
      <c r="R21" s="112"/>
      <c r="S21" s="472">
        <f t="shared" si="6"/>
        <v>0</v>
      </c>
      <c r="T21" s="884">
        <f>Elect!BM20</f>
        <v>20</v>
      </c>
      <c r="U21" s="706">
        <f t="shared" si="7"/>
        <v>7.6849999999999996</v>
      </c>
      <c r="V21" s="884">
        <f>Elect!BO20</f>
        <v>0</v>
      </c>
      <c r="W21" s="706" t="e">
        <f t="shared" si="8"/>
        <v>#DIV/0!</v>
      </c>
      <c r="X21" s="709">
        <f>H21*V1</f>
        <v>614.79999999999995</v>
      </c>
      <c r="Y21" s="706">
        <f t="shared" si="9"/>
        <v>30.74</v>
      </c>
      <c r="Z21" s="710" t="e">
        <f t="shared" si="10"/>
        <v>#DIV/0!</v>
      </c>
    </row>
    <row r="22" spans="1:26" s="476" customFormat="1" ht="36.75" customHeight="1">
      <c r="A22" s="695">
        <v>16</v>
      </c>
      <c r="B22" s="113">
        <v>73576</v>
      </c>
      <c r="C22" s="742">
        <f t="shared" si="12"/>
        <v>87</v>
      </c>
      <c r="D22" s="843">
        <v>145819</v>
      </c>
      <c r="E22" s="742">
        <f t="shared" si="13"/>
        <v>0</v>
      </c>
      <c r="F22" s="889">
        <v>15963</v>
      </c>
      <c r="G22" s="742">
        <f>IF(F22&gt;=F21,F22-F21,0)*0.58</f>
        <v>36.54</v>
      </c>
      <c r="H22" s="742">
        <f t="shared" si="3"/>
        <v>123.53999999999999</v>
      </c>
      <c r="I22" s="889"/>
      <c r="J22" s="742"/>
      <c r="K22" s="889"/>
      <c r="L22" s="742"/>
      <c r="M22" s="742"/>
      <c r="N22" s="112"/>
      <c r="O22" s="586">
        <f t="shared" si="4"/>
        <v>0</v>
      </c>
      <c r="P22" s="112"/>
      <c r="Q22" s="472">
        <f t="shared" si="5"/>
        <v>71.653199999999984</v>
      </c>
      <c r="R22" s="112"/>
      <c r="S22" s="472">
        <f t="shared" si="6"/>
        <v>0</v>
      </c>
      <c r="T22" s="884">
        <f>Elect!BM21</f>
        <v>12</v>
      </c>
      <c r="U22" s="706">
        <f t="shared" si="7"/>
        <v>10.295</v>
      </c>
      <c r="V22" s="884">
        <f>Elect!BO21</f>
        <v>0</v>
      </c>
      <c r="W22" s="706" t="e">
        <f t="shared" si="8"/>
        <v>#DIV/0!</v>
      </c>
      <c r="X22" s="709">
        <f>H22*V1</f>
        <v>494.15999999999997</v>
      </c>
      <c r="Y22" s="706">
        <f t="shared" si="9"/>
        <v>41.18</v>
      </c>
      <c r="Z22" s="710" t="e">
        <f t="shared" si="10"/>
        <v>#DIV/0!</v>
      </c>
    </row>
    <row r="23" spans="1:26" s="476" customFormat="1" ht="36.75" customHeight="1">
      <c r="A23" s="696">
        <v>17</v>
      </c>
      <c r="B23" s="113">
        <v>73589.3</v>
      </c>
      <c r="C23" s="742">
        <f t="shared" si="12"/>
        <v>77.140000000016869</v>
      </c>
      <c r="D23" s="843">
        <v>145819</v>
      </c>
      <c r="E23" s="742">
        <f t="shared" si="13"/>
        <v>0</v>
      </c>
      <c r="F23" s="889">
        <v>15966</v>
      </c>
      <c r="G23" s="742">
        <f>IF(F23&gt;=F22,F23-F22,0)*0.58</f>
        <v>1.7399999999999998</v>
      </c>
      <c r="H23" s="742">
        <f t="shared" si="3"/>
        <v>78.880000000016864</v>
      </c>
      <c r="I23" s="889"/>
      <c r="J23" s="742"/>
      <c r="K23" s="889"/>
      <c r="L23" s="742"/>
      <c r="M23" s="742"/>
      <c r="N23" s="112"/>
      <c r="O23" s="586">
        <f t="shared" si="4"/>
        <v>0</v>
      </c>
      <c r="P23" s="112"/>
      <c r="Q23" s="472">
        <f t="shared" si="5"/>
        <v>45.750400000009776</v>
      </c>
      <c r="R23" s="112"/>
      <c r="S23" s="472">
        <f t="shared" si="6"/>
        <v>0</v>
      </c>
      <c r="T23" s="884">
        <f>Elect!BM22</f>
        <v>38</v>
      </c>
      <c r="U23" s="706">
        <f t="shared" si="7"/>
        <v>2.0757894736846545</v>
      </c>
      <c r="V23" s="884">
        <f>Elect!BO22</f>
        <v>0</v>
      </c>
      <c r="W23" s="706" t="e">
        <f t="shared" si="8"/>
        <v>#DIV/0!</v>
      </c>
      <c r="X23" s="709">
        <f>H23*V1</f>
        <v>315.52000000006745</v>
      </c>
      <c r="Y23" s="706">
        <f t="shared" si="9"/>
        <v>8.303157894738618</v>
      </c>
      <c r="Z23" s="710" t="e">
        <f t="shared" si="10"/>
        <v>#DIV/0!</v>
      </c>
    </row>
    <row r="24" spans="1:26" s="476" customFormat="1" ht="36.75" customHeight="1">
      <c r="A24" s="695">
        <v>18</v>
      </c>
      <c r="B24" s="113">
        <v>73603</v>
      </c>
      <c r="C24" s="742">
        <f t="shared" si="12"/>
        <v>79.459999999983111</v>
      </c>
      <c r="D24" s="843">
        <v>145819</v>
      </c>
      <c r="E24" s="742">
        <f t="shared" si="13"/>
        <v>0</v>
      </c>
      <c r="F24" s="889">
        <v>15966</v>
      </c>
      <c r="G24" s="742">
        <f>IF(F24&gt;=F23,F24-F23,0)*0.58</f>
        <v>0</v>
      </c>
      <c r="H24" s="742">
        <f t="shared" si="3"/>
        <v>79.459999999983111</v>
      </c>
      <c r="I24" s="889"/>
      <c r="J24" s="742"/>
      <c r="K24" s="889"/>
      <c r="L24" s="742"/>
      <c r="M24" s="742"/>
      <c r="N24" s="112"/>
      <c r="O24" s="586">
        <f t="shared" si="4"/>
        <v>0</v>
      </c>
      <c r="P24" s="112"/>
      <c r="Q24" s="472">
        <f t="shared" si="5"/>
        <v>46.086799999990198</v>
      </c>
      <c r="R24" s="112"/>
      <c r="S24" s="472">
        <f t="shared" si="6"/>
        <v>0</v>
      </c>
      <c r="T24" s="884">
        <f>Elect!BM23</f>
        <v>25</v>
      </c>
      <c r="U24" s="706">
        <f t="shared" si="7"/>
        <v>3.1783999999993244</v>
      </c>
      <c r="V24" s="884">
        <f>Elect!BO23</f>
        <v>0</v>
      </c>
      <c r="W24" s="706" t="e">
        <f t="shared" si="8"/>
        <v>#DIV/0!</v>
      </c>
      <c r="X24" s="709">
        <f>H24*V1</f>
        <v>317.83999999993245</v>
      </c>
      <c r="Y24" s="706">
        <f t="shared" si="9"/>
        <v>12.713599999997298</v>
      </c>
      <c r="Z24" s="710" t="e">
        <f t="shared" si="10"/>
        <v>#DIV/0!</v>
      </c>
    </row>
    <row r="25" spans="1:26" s="476" customFormat="1" ht="36.75" customHeight="1">
      <c r="A25" s="696">
        <v>19</v>
      </c>
      <c r="B25" s="113">
        <v>73617</v>
      </c>
      <c r="C25" s="742">
        <f t="shared" si="12"/>
        <v>81.199999999999989</v>
      </c>
      <c r="D25" s="843">
        <v>145820</v>
      </c>
      <c r="E25" s="742">
        <f t="shared" si="13"/>
        <v>5.8</v>
      </c>
      <c r="F25" s="889">
        <v>15966</v>
      </c>
      <c r="G25" s="742">
        <f>IF(F25&gt;=F24,F25-F24,0)*0.58</f>
        <v>0</v>
      </c>
      <c r="H25" s="742">
        <f t="shared" si="3"/>
        <v>86.999999999999986</v>
      </c>
      <c r="I25" s="889"/>
      <c r="J25" s="742"/>
      <c r="K25" s="889"/>
      <c r="L25" s="742"/>
      <c r="M25" s="742"/>
      <c r="N25" s="112"/>
      <c r="O25" s="586">
        <f t="shared" si="4"/>
        <v>0</v>
      </c>
      <c r="P25" s="112"/>
      <c r="Q25" s="472">
        <f t="shared" si="5"/>
        <v>50.459999999999987</v>
      </c>
      <c r="R25" s="112"/>
      <c r="S25" s="472">
        <f t="shared" si="6"/>
        <v>0</v>
      </c>
      <c r="T25" s="884">
        <f>Elect!BM24</f>
        <v>18</v>
      </c>
      <c r="U25" s="706">
        <f t="shared" si="7"/>
        <v>4.8333333333333321</v>
      </c>
      <c r="V25" s="884">
        <f>Elect!BO24</f>
        <v>0</v>
      </c>
      <c r="W25" s="706" t="e">
        <f t="shared" si="8"/>
        <v>#DIV/0!</v>
      </c>
      <c r="X25" s="709">
        <f>H25*V1</f>
        <v>347.99999999999994</v>
      </c>
      <c r="Y25" s="706">
        <f t="shared" si="9"/>
        <v>19.333333333333329</v>
      </c>
      <c r="Z25" s="710" t="e">
        <f t="shared" si="10"/>
        <v>#DIV/0!</v>
      </c>
    </row>
    <row r="26" spans="1:26" s="476" customFormat="1" ht="36.75" customHeight="1">
      <c r="A26" s="695">
        <v>20</v>
      </c>
      <c r="B26" s="113">
        <v>73637</v>
      </c>
      <c r="C26" s="742">
        <f t="shared" si="12"/>
        <v>115.99999999999999</v>
      </c>
      <c r="D26" s="843">
        <v>145820</v>
      </c>
      <c r="E26" s="742">
        <f t="shared" si="13"/>
        <v>0</v>
      </c>
      <c r="F26" s="889">
        <v>15966</v>
      </c>
      <c r="G26" s="742">
        <f t="shared" si="11"/>
        <v>0</v>
      </c>
      <c r="H26" s="742">
        <f t="shared" si="3"/>
        <v>115.99999999999999</v>
      </c>
      <c r="I26" s="889"/>
      <c r="J26" s="742"/>
      <c r="K26" s="889"/>
      <c r="L26" s="742"/>
      <c r="M26" s="742"/>
      <c r="N26" s="112"/>
      <c r="O26" s="586">
        <f t="shared" si="4"/>
        <v>0</v>
      </c>
      <c r="P26" s="112"/>
      <c r="Q26" s="472">
        <f t="shared" si="5"/>
        <v>67.279999999999987</v>
      </c>
      <c r="R26" s="112"/>
      <c r="S26" s="472">
        <f t="shared" si="6"/>
        <v>0</v>
      </c>
      <c r="T26" s="884">
        <f>Elect!BM25</f>
        <v>3</v>
      </c>
      <c r="U26" s="706">
        <f t="shared" si="7"/>
        <v>38.666666666666664</v>
      </c>
      <c r="V26" s="884">
        <f>Elect!BO25</f>
        <v>0</v>
      </c>
      <c r="W26" s="706" t="e">
        <f t="shared" si="8"/>
        <v>#DIV/0!</v>
      </c>
      <c r="X26" s="709">
        <f>H26*V1</f>
        <v>463.99999999999994</v>
      </c>
      <c r="Y26" s="706">
        <f t="shared" si="9"/>
        <v>154.66666666666666</v>
      </c>
      <c r="Z26" s="710" t="e">
        <f t="shared" si="10"/>
        <v>#DIV/0!</v>
      </c>
    </row>
    <row r="27" spans="1:26" s="476" customFormat="1" ht="36.75" customHeight="1">
      <c r="A27" s="696">
        <v>21</v>
      </c>
      <c r="B27" s="113">
        <v>73656</v>
      </c>
      <c r="C27" s="742">
        <f t="shared" si="12"/>
        <v>110.19999999999999</v>
      </c>
      <c r="D27" s="843">
        <v>145822</v>
      </c>
      <c r="E27" s="742">
        <f t="shared" si="13"/>
        <v>11.6</v>
      </c>
      <c r="F27" s="889">
        <v>15966</v>
      </c>
      <c r="G27" s="742">
        <f t="shared" si="11"/>
        <v>0</v>
      </c>
      <c r="H27" s="742">
        <f t="shared" si="3"/>
        <v>121.79999999999998</v>
      </c>
      <c r="I27" s="889"/>
      <c r="J27" s="742"/>
      <c r="K27" s="889"/>
      <c r="L27" s="742"/>
      <c r="M27" s="742"/>
      <c r="N27" s="112"/>
      <c r="O27" s="586">
        <f t="shared" si="4"/>
        <v>0</v>
      </c>
      <c r="P27" s="112"/>
      <c r="Q27" s="472">
        <f t="shared" si="5"/>
        <v>70.643999999999991</v>
      </c>
      <c r="R27" s="112"/>
      <c r="S27" s="472">
        <f t="shared" si="6"/>
        <v>0</v>
      </c>
      <c r="T27" s="884">
        <f>Elect!BM26</f>
        <v>2</v>
      </c>
      <c r="U27" s="706">
        <f t="shared" si="7"/>
        <v>60.899999999999991</v>
      </c>
      <c r="V27" s="884">
        <f>Elect!BO26</f>
        <v>0</v>
      </c>
      <c r="W27" s="706" t="e">
        <f t="shared" si="8"/>
        <v>#DIV/0!</v>
      </c>
      <c r="X27" s="709">
        <f>H27*V1</f>
        <v>487.19999999999993</v>
      </c>
      <c r="Y27" s="706">
        <f t="shared" si="9"/>
        <v>243.59999999999997</v>
      </c>
      <c r="Z27" s="710" t="e">
        <f t="shared" si="10"/>
        <v>#DIV/0!</v>
      </c>
    </row>
    <row r="28" spans="1:26" s="476" customFormat="1" ht="36.75" customHeight="1">
      <c r="A28" s="695">
        <v>22</v>
      </c>
      <c r="B28" s="113">
        <v>73677</v>
      </c>
      <c r="C28" s="742">
        <f t="shared" si="12"/>
        <v>121.8</v>
      </c>
      <c r="D28" s="843">
        <v>145822</v>
      </c>
      <c r="E28" s="742">
        <f t="shared" si="2"/>
        <v>0</v>
      </c>
      <c r="F28" s="889">
        <v>15966</v>
      </c>
      <c r="G28" s="742">
        <f t="shared" si="11"/>
        <v>0</v>
      </c>
      <c r="H28" s="742">
        <f t="shared" si="3"/>
        <v>121.8</v>
      </c>
      <c r="I28" s="889"/>
      <c r="J28" s="742"/>
      <c r="K28" s="889"/>
      <c r="L28" s="742"/>
      <c r="M28" s="742"/>
      <c r="N28" s="112"/>
      <c r="O28" s="586">
        <f t="shared" si="4"/>
        <v>0</v>
      </c>
      <c r="P28" s="112"/>
      <c r="Q28" s="472">
        <f t="shared" si="5"/>
        <v>70.643999999999991</v>
      </c>
      <c r="R28" s="112"/>
      <c r="S28" s="472">
        <f t="shared" si="6"/>
        <v>0</v>
      </c>
      <c r="T28" s="884">
        <f>Elect!BM27</f>
        <v>2</v>
      </c>
      <c r="U28" s="706">
        <f t="shared" si="7"/>
        <v>60.9</v>
      </c>
      <c r="V28" s="884">
        <f>Elect!BO27</f>
        <v>0</v>
      </c>
      <c r="W28" s="706" t="e">
        <f t="shared" si="8"/>
        <v>#DIV/0!</v>
      </c>
      <c r="X28" s="709">
        <f>H28*V1</f>
        <v>487.2</v>
      </c>
      <c r="Y28" s="706">
        <f t="shared" si="9"/>
        <v>243.6</v>
      </c>
      <c r="Z28" s="710" t="e">
        <f t="shared" si="10"/>
        <v>#DIV/0!</v>
      </c>
    </row>
    <row r="29" spans="1:26" s="476" customFormat="1" ht="36.75" customHeight="1">
      <c r="A29" s="696">
        <v>23</v>
      </c>
      <c r="B29" s="113">
        <v>73696</v>
      </c>
      <c r="C29" s="742">
        <f t="shared" si="12"/>
        <v>110.19999999999999</v>
      </c>
      <c r="D29" s="843">
        <v>145822</v>
      </c>
      <c r="E29" s="742">
        <f t="shared" si="2"/>
        <v>0</v>
      </c>
      <c r="F29" s="889">
        <v>15966</v>
      </c>
      <c r="G29" s="742">
        <f t="shared" si="11"/>
        <v>0</v>
      </c>
      <c r="H29" s="742">
        <f t="shared" si="3"/>
        <v>110.19999999999999</v>
      </c>
      <c r="I29" s="889"/>
      <c r="J29" s="742"/>
      <c r="K29" s="889"/>
      <c r="L29" s="742"/>
      <c r="M29" s="742"/>
      <c r="N29" s="112"/>
      <c r="O29" s="586">
        <f t="shared" si="4"/>
        <v>0</v>
      </c>
      <c r="P29" s="112"/>
      <c r="Q29" s="472">
        <f t="shared" si="5"/>
        <v>63.91599999999999</v>
      </c>
      <c r="R29" s="497"/>
      <c r="S29" s="472">
        <f t="shared" si="6"/>
        <v>0</v>
      </c>
      <c r="T29" s="884">
        <f>Elect!BM28</f>
        <v>2</v>
      </c>
      <c r="U29" s="706">
        <f t="shared" si="7"/>
        <v>55.099999999999994</v>
      </c>
      <c r="V29" s="884">
        <f>Elect!BO28</f>
        <v>0</v>
      </c>
      <c r="W29" s="706" t="e">
        <f t="shared" si="8"/>
        <v>#DIV/0!</v>
      </c>
      <c r="X29" s="709">
        <f>H29*V1</f>
        <v>440.79999999999995</v>
      </c>
      <c r="Y29" s="706">
        <f t="shared" si="9"/>
        <v>220.39999999999998</v>
      </c>
      <c r="Z29" s="710" t="e">
        <f t="shared" si="10"/>
        <v>#DIV/0!</v>
      </c>
    </row>
    <row r="30" spans="1:26" s="476" customFormat="1" ht="36.75" customHeight="1">
      <c r="A30" s="695">
        <v>24</v>
      </c>
      <c r="B30" s="113">
        <v>73718</v>
      </c>
      <c r="C30" s="742">
        <f t="shared" si="12"/>
        <v>127.6</v>
      </c>
      <c r="D30" s="843">
        <v>145824</v>
      </c>
      <c r="E30" s="742">
        <f t="shared" si="2"/>
        <v>11.6</v>
      </c>
      <c r="F30" s="889">
        <v>15966</v>
      </c>
      <c r="G30" s="742">
        <f t="shared" si="11"/>
        <v>0</v>
      </c>
      <c r="H30" s="742">
        <f t="shared" si="3"/>
        <v>139.19999999999999</v>
      </c>
      <c r="I30" s="889"/>
      <c r="J30" s="742"/>
      <c r="K30" s="889"/>
      <c r="L30" s="742"/>
      <c r="M30" s="742"/>
      <c r="N30" s="112"/>
      <c r="O30" s="586">
        <f t="shared" si="4"/>
        <v>0</v>
      </c>
      <c r="P30" s="112"/>
      <c r="Q30" s="472">
        <f t="shared" si="5"/>
        <v>80.73599999999999</v>
      </c>
      <c r="R30" s="497"/>
      <c r="S30" s="472">
        <f t="shared" si="6"/>
        <v>0</v>
      </c>
      <c r="T30" s="884">
        <f>Elect!BM29</f>
        <v>2</v>
      </c>
      <c r="U30" s="706">
        <f t="shared" si="7"/>
        <v>69.599999999999994</v>
      </c>
      <c r="V30" s="884">
        <f>Elect!BO29</f>
        <v>0</v>
      </c>
      <c r="W30" s="706" t="e">
        <f t="shared" si="8"/>
        <v>#DIV/0!</v>
      </c>
      <c r="X30" s="709">
        <f>H30*V1</f>
        <v>556.79999999999995</v>
      </c>
      <c r="Y30" s="706">
        <f t="shared" si="9"/>
        <v>278.39999999999998</v>
      </c>
      <c r="Z30" s="710" t="e">
        <f t="shared" si="10"/>
        <v>#DIV/0!</v>
      </c>
    </row>
    <row r="31" spans="1:26" s="476" customFormat="1" ht="36.75" customHeight="1">
      <c r="A31" s="696">
        <v>25</v>
      </c>
      <c r="B31" s="113">
        <v>73742</v>
      </c>
      <c r="C31" s="742">
        <f t="shared" si="12"/>
        <v>139.19999999999999</v>
      </c>
      <c r="D31" s="843">
        <v>145825</v>
      </c>
      <c r="E31" s="742">
        <f t="shared" si="2"/>
        <v>5.8</v>
      </c>
      <c r="F31" s="889">
        <v>15966</v>
      </c>
      <c r="G31" s="742">
        <f t="shared" si="11"/>
        <v>0</v>
      </c>
      <c r="H31" s="742">
        <f t="shared" si="3"/>
        <v>145</v>
      </c>
      <c r="I31" s="889"/>
      <c r="J31" s="742"/>
      <c r="K31" s="889"/>
      <c r="L31" s="742"/>
      <c r="M31" s="742"/>
      <c r="N31" s="112"/>
      <c r="O31" s="586">
        <f t="shared" si="4"/>
        <v>0</v>
      </c>
      <c r="P31" s="112"/>
      <c r="Q31" s="472">
        <f t="shared" si="5"/>
        <v>84.1</v>
      </c>
      <c r="R31" s="497"/>
      <c r="S31" s="472">
        <f t="shared" si="6"/>
        <v>0</v>
      </c>
      <c r="T31" s="884">
        <f>Elect!BM30</f>
        <v>2</v>
      </c>
      <c r="U31" s="706">
        <f t="shared" si="7"/>
        <v>72.5</v>
      </c>
      <c r="V31" s="884">
        <f>Elect!BO30</f>
        <v>0</v>
      </c>
      <c r="W31" s="706" t="e">
        <f t="shared" si="8"/>
        <v>#DIV/0!</v>
      </c>
      <c r="X31" s="709">
        <f>H31*V1</f>
        <v>580</v>
      </c>
      <c r="Y31" s="706">
        <f t="shared" si="9"/>
        <v>290</v>
      </c>
      <c r="Z31" s="710" t="e">
        <f t="shared" ref="Z31:Z37" si="14">IF(X31&gt;0,X31/V31,0)</f>
        <v>#DIV/0!</v>
      </c>
    </row>
    <row r="32" spans="1:26" s="476" customFormat="1" ht="36.75" customHeight="1">
      <c r="A32" s="695">
        <v>26</v>
      </c>
      <c r="B32" s="113">
        <v>73768</v>
      </c>
      <c r="C32" s="742">
        <f t="shared" si="12"/>
        <v>150.79999999999998</v>
      </c>
      <c r="D32" s="843">
        <v>145826</v>
      </c>
      <c r="E32" s="742">
        <f t="shared" si="2"/>
        <v>5.8</v>
      </c>
      <c r="F32" s="889">
        <v>15966</v>
      </c>
      <c r="G32" s="742">
        <f>IF(F32&gt;=F31,F32-F31,0)*0.58</f>
        <v>0</v>
      </c>
      <c r="H32" s="742">
        <f t="shared" si="3"/>
        <v>156.6</v>
      </c>
      <c r="I32" s="889"/>
      <c r="J32" s="742"/>
      <c r="K32" s="889"/>
      <c r="L32" s="742"/>
      <c r="M32" s="742"/>
      <c r="N32" s="112"/>
      <c r="O32" s="586">
        <f t="shared" si="4"/>
        <v>0</v>
      </c>
      <c r="P32" s="112"/>
      <c r="Q32" s="472">
        <f t="shared" si="5"/>
        <v>90.827999999999989</v>
      </c>
      <c r="R32" s="497"/>
      <c r="S32" s="472">
        <f t="shared" si="6"/>
        <v>0</v>
      </c>
      <c r="T32" s="884">
        <f>Elect!BM31</f>
        <v>2</v>
      </c>
      <c r="U32" s="706">
        <f t="shared" si="7"/>
        <v>78.3</v>
      </c>
      <c r="V32" s="884">
        <f>Elect!BO31</f>
        <v>0</v>
      </c>
      <c r="W32" s="706" t="e">
        <f t="shared" si="8"/>
        <v>#DIV/0!</v>
      </c>
      <c r="X32" s="709">
        <f>H32*V1</f>
        <v>626.4</v>
      </c>
      <c r="Y32" s="706">
        <f t="shared" si="9"/>
        <v>313.2</v>
      </c>
      <c r="Z32" s="710" t="e">
        <f t="shared" si="14"/>
        <v>#DIV/0!</v>
      </c>
    </row>
    <row r="33" spans="1:26" s="3" customFormat="1" ht="36.75" customHeight="1">
      <c r="A33" s="697">
        <v>27</v>
      </c>
      <c r="B33" s="113">
        <v>73795</v>
      </c>
      <c r="C33" s="742">
        <f t="shared" si="12"/>
        <v>156.6</v>
      </c>
      <c r="D33" s="843">
        <v>145826</v>
      </c>
      <c r="E33" s="742">
        <f t="shared" si="2"/>
        <v>0</v>
      </c>
      <c r="F33" s="889">
        <v>15966</v>
      </c>
      <c r="G33" s="742">
        <f>IF(F33&gt;=F32,F33-F32,0)*0.58</f>
        <v>0</v>
      </c>
      <c r="H33" s="742">
        <f t="shared" si="3"/>
        <v>156.6</v>
      </c>
      <c r="I33" s="889"/>
      <c r="J33" s="742"/>
      <c r="K33" s="889"/>
      <c r="L33" s="742"/>
      <c r="M33" s="742"/>
      <c r="N33" s="112"/>
      <c r="O33" s="586">
        <f t="shared" si="4"/>
        <v>0</v>
      </c>
      <c r="P33" s="112"/>
      <c r="Q33" s="472">
        <f t="shared" si="5"/>
        <v>90.827999999999989</v>
      </c>
      <c r="R33" s="497"/>
      <c r="S33" s="472">
        <f t="shared" si="6"/>
        <v>0</v>
      </c>
      <c r="T33" s="884">
        <f>Elect!BM32</f>
        <v>2</v>
      </c>
      <c r="U33" s="706">
        <f t="shared" si="7"/>
        <v>78.3</v>
      </c>
      <c r="V33" s="884">
        <f>Elect!BO32</f>
        <v>0</v>
      </c>
      <c r="W33" s="706" t="e">
        <f t="shared" si="8"/>
        <v>#DIV/0!</v>
      </c>
      <c r="X33" s="709">
        <f>H33*V1</f>
        <v>626.4</v>
      </c>
      <c r="Y33" s="706">
        <f t="shared" si="9"/>
        <v>313.2</v>
      </c>
      <c r="Z33" s="710" t="e">
        <f t="shared" si="14"/>
        <v>#DIV/0!</v>
      </c>
    </row>
    <row r="34" spans="1:26" s="3" customFormat="1" ht="36.75" customHeight="1">
      <c r="A34" s="698">
        <v>28</v>
      </c>
      <c r="B34" s="113">
        <v>73820</v>
      </c>
      <c r="C34" s="742">
        <f t="shared" si="12"/>
        <v>145</v>
      </c>
      <c r="D34" s="843">
        <v>145827</v>
      </c>
      <c r="E34" s="742">
        <f t="shared" si="2"/>
        <v>5.8</v>
      </c>
      <c r="F34" s="889">
        <v>15966</v>
      </c>
      <c r="G34" s="742">
        <f>IF(F34&gt;=F33,F34-F33,0)*0.58</f>
        <v>0</v>
      </c>
      <c r="H34" s="742">
        <f t="shared" si="3"/>
        <v>150.80000000000001</v>
      </c>
      <c r="I34" s="889"/>
      <c r="J34" s="742"/>
      <c r="K34" s="889"/>
      <c r="L34" s="742"/>
      <c r="M34" s="742"/>
      <c r="N34" s="112"/>
      <c r="O34" s="586">
        <f t="shared" si="4"/>
        <v>0</v>
      </c>
      <c r="P34" s="112"/>
      <c r="Q34" s="472">
        <f t="shared" si="5"/>
        <v>87.463999999999999</v>
      </c>
      <c r="R34" s="497"/>
      <c r="S34" s="472">
        <f t="shared" si="6"/>
        <v>0</v>
      </c>
      <c r="T34" s="884">
        <f>Elect!BM33</f>
        <v>2</v>
      </c>
      <c r="U34" s="706">
        <f t="shared" si="7"/>
        <v>75.400000000000006</v>
      </c>
      <c r="V34" s="884">
        <f>Elect!BO33</f>
        <v>0</v>
      </c>
      <c r="W34" s="706" t="e">
        <f t="shared" si="8"/>
        <v>#DIV/0!</v>
      </c>
      <c r="X34" s="709">
        <f>H34*V1</f>
        <v>603.20000000000005</v>
      </c>
      <c r="Y34" s="706">
        <f t="shared" si="9"/>
        <v>301.60000000000002</v>
      </c>
      <c r="Z34" s="710" t="e">
        <f t="shared" si="14"/>
        <v>#DIV/0!</v>
      </c>
    </row>
    <row r="35" spans="1:26" s="3" customFormat="1" ht="36.75" customHeight="1">
      <c r="A35" s="695">
        <v>29</v>
      </c>
      <c r="B35" s="113">
        <v>73847</v>
      </c>
      <c r="C35" s="742">
        <f t="shared" si="12"/>
        <v>156.6</v>
      </c>
      <c r="D35" s="843">
        <v>145827</v>
      </c>
      <c r="E35" s="742">
        <f t="shared" si="2"/>
        <v>0</v>
      </c>
      <c r="F35" s="889">
        <v>15966</v>
      </c>
      <c r="G35" s="742">
        <f>IF(F35&gt;=F34,F35-F34,0)*0.58</f>
        <v>0</v>
      </c>
      <c r="H35" s="742">
        <f t="shared" si="3"/>
        <v>156.6</v>
      </c>
      <c r="I35" s="889"/>
      <c r="J35" s="742"/>
      <c r="K35" s="889"/>
      <c r="L35" s="742"/>
      <c r="M35" s="742"/>
      <c r="N35" s="112"/>
      <c r="O35" s="586">
        <f t="shared" si="4"/>
        <v>0</v>
      </c>
      <c r="P35" s="569"/>
      <c r="Q35" s="472">
        <f t="shared" si="5"/>
        <v>90.827999999999989</v>
      </c>
      <c r="R35" s="497"/>
      <c r="S35" s="472">
        <f t="shared" si="6"/>
        <v>0</v>
      </c>
      <c r="T35" s="884">
        <f>Elect!BM34</f>
        <v>2</v>
      </c>
      <c r="U35" s="706">
        <f t="shared" si="7"/>
        <v>78.3</v>
      </c>
      <c r="V35" s="884">
        <f>Elect!BO34</f>
        <v>0</v>
      </c>
      <c r="W35" s="706" t="e">
        <f t="shared" si="8"/>
        <v>#DIV/0!</v>
      </c>
      <c r="X35" s="709">
        <f>H35*V1</f>
        <v>626.4</v>
      </c>
      <c r="Y35" s="706">
        <f t="shared" si="9"/>
        <v>313.2</v>
      </c>
      <c r="Z35" s="710" t="e">
        <f t="shared" si="14"/>
        <v>#DIV/0!</v>
      </c>
    </row>
    <row r="36" spans="1:26" s="3" customFormat="1" ht="36.75" customHeight="1">
      <c r="A36" s="697">
        <v>30</v>
      </c>
      <c r="B36" s="113">
        <v>73869</v>
      </c>
      <c r="C36" s="742">
        <f t="shared" ref="C36:C37" si="15">IF(B36&gt;=B35,B36-B35,0)*10*0.58</f>
        <v>127.6</v>
      </c>
      <c r="D36" s="843">
        <v>145828</v>
      </c>
      <c r="E36" s="742">
        <f t="shared" si="2"/>
        <v>5.8</v>
      </c>
      <c r="F36" s="889">
        <v>15966</v>
      </c>
      <c r="G36" s="742">
        <f t="shared" si="11"/>
        <v>0</v>
      </c>
      <c r="H36" s="742">
        <f t="shared" si="3"/>
        <v>133.4</v>
      </c>
      <c r="I36" s="889"/>
      <c r="J36" s="742"/>
      <c r="K36" s="889"/>
      <c r="L36" s="742"/>
      <c r="M36" s="742"/>
      <c r="N36" s="112"/>
      <c r="O36" s="586">
        <f t="shared" si="4"/>
        <v>0</v>
      </c>
      <c r="P36" s="569"/>
      <c r="Q36" s="472">
        <f t="shared" si="5"/>
        <v>77.372</v>
      </c>
      <c r="R36" s="497"/>
      <c r="S36" s="472">
        <f t="shared" si="6"/>
        <v>0</v>
      </c>
      <c r="T36" s="884">
        <f>Elect!BM35</f>
        <v>2</v>
      </c>
      <c r="U36" s="706">
        <f t="shared" si="7"/>
        <v>66.7</v>
      </c>
      <c r="V36" s="884">
        <f>Elect!BO35</f>
        <v>0</v>
      </c>
      <c r="W36" s="706" t="e">
        <f t="shared" si="8"/>
        <v>#DIV/0!</v>
      </c>
      <c r="X36" s="709">
        <f>H36*V1</f>
        <v>533.6</v>
      </c>
      <c r="Y36" s="706">
        <f t="shared" si="9"/>
        <v>266.8</v>
      </c>
      <c r="Z36" s="710" t="e">
        <f t="shared" si="14"/>
        <v>#DIV/0!</v>
      </c>
    </row>
    <row r="37" spans="1:26" s="3" customFormat="1" ht="36.75" customHeight="1" thickBot="1">
      <c r="A37" s="695">
        <v>31</v>
      </c>
      <c r="B37" s="113">
        <v>73894</v>
      </c>
      <c r="C37" s="742">
        <f t="shared" si="15"/>
        <v>145</v>
      </c>
      <c r="D37" s="843">
        <v>145828</v>
      </c>
      <c r="E37" s="742">
        <f t="shared" si="2"/>
        <v>0</v>
      </c>
      <c r="F37" s="889">
        <v>15966</v>
      </c>
      <c r="G37" s="742">
        <f t="shared" si="11"/>
        <v>0</v>
      </c>
      <c r="H37" s="742">
        <f t="shared" si="3"/>
        <v>145</v>
      </c>
      <c r="I37" s="889">
        <v>194</v>
      </c>
      <c r="J37" s="902"/>
      <c r="K37" s="889">
        <v>2443</v>
      </c>
      <c r="L37" s="902"/>
      <c r="M37" s="902"/>
      <c r="N37" s="569"/>
      <c r="O37" s="586">
        <f t="shared" si="4"/>
        <v>0</v>
      </c>
      <c r="P37" s="569"/>
      <c r="Q37" s="472">
        <f t="shared" si="5"/>
        <v>84.1</v>
      </c>
      <c r="R37" s="901"/>
      <c r="S37" s="472">
        <f t="shared" si="6"/>
        <v>0</v>
      </c>
      <c r="T37" s="884">
        <f>Elect!BM36</f>
        <v>2</v>
      </c>
      <c r="U37" s="706">
        <f t="shared" si="7"/>
        <v>72.5</v>
      </c>
      <c r="V37" s="884">
        <f>Elect!BO36</f>
        <v>0</v>
      </c>
      <c r="W37" s="706" t="e">
        <f t="shared" si="8"/>
        <v>#DIV/0!</v>
      </c>
      <c r="X37" s="709">
        <f>H37*V7</f>
        <v>0</v>
      </c>
      <c r="Y37" s="706">
        <f t="shared" si="9"/>
        <v>0</v>
      </c>
      <c r="Z37" s="710">
        <f t="shared" si="14"/>
        <v>0</v>
      </c>
    </row>
    <row r="38" spans="1:26" s="602" customFormat="1" ht="36.75" customHeight="1" thickBot="1">
      <c r="A38" s="598" t="s">
        <v>111</v>
      </c>
      <c r="B38" s="113"/>
      <c r="C38" s="907">
        <f>SUM(C7:C37)</f>
        <v>3978.7999999999988</v>
      </c>
      <c r="D38" s="592"/>
      <c r="E38" s="907">
        <f>SUM(E7:E37)</f>
        <v>75.399999999999991</v>
      </c>
      <c r="F38" s="592"/>
      <c r="G38" s="907">
        <f>SUM(G7:G37)</f>
        <v>715.14</v>
      </c>
      <c r="H38" s="907">
        <f>SUM(H7:H37)</f>
        <v>4769.34</v>
      </c>
      <c r="I38" s="907">
        <f>I37-I6</f>
        <v>0</v>
      </c>
      <c r="J38" s="599"/>
      <c r="K38" s="907">
        <f>K37-K6</f>
        <v>0</v>
      </c>
      <c r="L38" s="599"/>
      <c r="M38" s="599"/>
      <c r="N38" s="592"/>
      <c r="O38" s="599">
        <f>SUM(O7:O36)</f>
        <v>0</v>
      </c>
      <c r="P38" s="592"/>
      <c r="Q38" s="599">
        <f>SUM(Q7:Q34)</f>
        <v>2513.9171999999999</v>
      </c>
      <c r="R38" s="592"/>
      <c r="S38" s="599">
        <f>SUM(S7:S34)</f>
        <v>0</v>
      </c>
      <c r="T38" s="600">
        <f>SUM(T7:T36)</f>
        <v>1663</v>
      </c>
      <c r="U38" s="707">
        <f>IF(H38&gt;0,H38/T38,0)</f>
        <v>2.8679134095009022</v>
      </c>
      <c r="V38" s="776">
        <f>SUM(V7:V36)</f>
        <v>0</v>
      </c>
      <c r="W38" s="707" t="e">
        <f>IF(H38&gt;0,H38/V38,0)</f>
        <v>#DIV/0!</v>
      </c>
      <c r="X38" s="711">
        <f>SUM(X7:X36)</f>
        <v>18497.36</v>
      </c>
      <c r="Y38" s="707">
        <f t="shared" ref="Y38:Y44" si="16">IF(X38&gt;0,X38/T38,0)</f>
        <v>11.122886349969935</v>
      </c>
      <c r="Z38" s="712" t="e">
        <f t="shared" ref="Z38:Z44" si="17">IF(X38&gt;0,X38/V38,0)</f>
        <v>#DIV/0!</v>
      </c>
    </row>
    <row r="39" spans="1:26" s="602" customFormat="1" ht="36.75" customHeight="1" thickBot="1">
      <c r="A39" s="603" t="s">
        <v>112</v>
      </c>
      <c r="B39" s="113"/>
      <c r="C39" s="605">
        <f>C38/B49</f>
        <v>128.34838709677416</v>
      </c>
      <c r="D39" s="593"/>
      <c r="E39" s="605">
        <f>E38/B49</f>
        <v>2.4322580645161289</v>
      </c>
      <c r="F39" s="593"/>
      <c r="G39" s="605">
        <f>G38/B49</f>
        <v>23.069032258064517</v>
      </c>
      <c r="H39" s="605">
        <f>H38/B49</f>
        <v>153.84967741935483</v>
      </c>
      <c r="I39" s="605"/>
      <c r="J39" s="605"/>
      <c r="K39" s="605"/>
      <c r="L39" s="605"/>
      <c r="M39" s="605"/>
      <c r="N39" s="593"/>
      <c r="O39" s="605">
        <f>O38/B49</f>
        <v>0</v>
      </c>
      <c r="P39" s="593"/>
      <c r="Q39" s="605">
        <f>Q38/B49</f>
        <v>81.09410322580645</v>
      </c>
      <c r="R39" s="593"/>
      <c r="S39" s="605" t="e">
        <f>S38/C49</f>
        <v>#DIV/0!</v>
      </c>
      <c r="T39" s="607">
        <f>T38/B49</f>
        <v>53.645161290322584</v>
      </c>
      <c r="U39" s="708">
        <f>IF(H39&gt;0,H39/T39,0)</f>
        <v>2.8679134095009018</v>
      </c>
      <c r="V39" s="724">
        <f>V38/B49</f>
        <v>0</v>
      </c>
      <c r="W39" s="707" t="e">
        <f>IF(H39&gt;0,H39/V39,0)</f>
        <v>#DIV/0!</v>
      </c>
      <c r="X39" s="713">
        <f>X38/B49</f>
        <v>596.68903225806457</v>
      </c>
      <c r="Y39" s="708">
        <f t="shared" si="16"/>
        <v>11.122886349969935</v>
      </c>
      <c r="Z39" s="714" t="e">
        <f t="shared" si="17"/>
        <v>#DIV/0!</v>
      </c>
    </row>
    <row r="40" spans="1:26" s="602" customFormat="1" ht="36.75" customHeight="1">
      <c r="A40" s="699" t="s">
        <v>147</v>
      </c>
      <c r="B40" s="715"/>
      <c r="C40" s="716"/>
      <c r="D40" s="716"/>
      <c r="E40" s="717"/>
      <c r="F40" s="716"/>
      <c r="G40" s="717"/>
      <c r="H40" s="717"/>
      <c r="I40" s="717"/>
      <c r="J40" s="717"/>
      <c r="K40" s="717"/>
      <c r="L40" s="717"/>
      <c r="M40" s="717"/>
      <c r="N40" s="592"/>
      <c r="O40" s="717"/>
      <c r="P40" s="592"/>
      <c r="Q40" s="717"/>
      <c r="R40" s="716"/>
      <c r="S40" s="716"/>
      <c r="T40" s="718">
        <f>YTD!Q2341</f>
        <v>0</v>
      </c>
      <c r="U40" s="719" t="e">
        <f>IF(#REF!&gt;0,#REF!/T40,0)</f>
        <v>#REF!</v>
      </c>
      <c r="V40" s="720">
        <f>YTD!Q2342</f>
        <v>0</v>
      </c>
      <c r="W40" s="707" t="e">
        <f>IF(#REF!&gt;0,#REF!/V40,0)</f>
        <v>#REF!</v>
      </c>
      <c r="X40" s="721">
        <f>YTD!Q2346</f>
        <v>0</v>
      </c>
      <c r="Y40" s="707">
        <f t="shared" si="16"/>
        <v>0</v>
      </c>
      <c r="Z40" s="712">
        <f t="shared" si="17"/>
        <v>0</v>
      </c>
    </row>
    <row r="41" spans="1:26" s="602" customFormat="1" ht="36.75" customHeight="1" thickBot="1">
      <c r="A41" s="700" t="s">
        <v>148</v>
      </c>
      <c r="B41" s="722"/>
      <c r="C41" s="723"/>
      <c r="D41" s="723"/>
      <c r="E41" s="593"/>
      <c r="F41" s="723"/>
      <c r="G41" s="593"/>
      <c r="H41" s="604"/>
      <c r="I41" s="604"/>
      <c r="J41" s="604"/>
      <c r="K41" s="604"/>
      <c r="L41" s="604"/>
      <c r="M41" s="604"/>
      <c r="N41" s="593"/>
      <c r="O41" s="604"/>
      <c r="P41" s="593"/>
      <c r="Q41" s="604"/>
      <c r="R41" s="723"/>
      <c r="S41" s="723"/>
      <c r="T41" s="607" t="e">
        <f>T42*C49</f>
        <v>#VALUE!</v>
      </c>
      <c r="U41" s="708" t="e">
        <f>IF(#REF!&gt;0,#REF!/T41,0)</f>
        <v>#REF!</v>
      </c>
      <c r="V41" s="724" t="e">
        <f>V42*C49</f>
        <v>#VALUE!</v>
      </c>
      <c r="W41" s="708" t="e">
        <f>IF(#REF!&gt;0,#REF!/V41,0)</f>
        <v>#REF!</v>
      </c>
      <c r="X41" s="725" t="e">
        <f>#REF!*5.62</f>
        <v>#REF!</v>
      </c>
      <c r="Y41" s="708" t="e">
        <f t="shared" si="16"/>
        <v>#REF!</v>
      </c>
      <c r="Z41" s="714" t="e">
        <f t="shared" si="17"/>
        <v>#REF!</v>
      </c>
    </row>
    <row r="42" spans="1:26" s="733" customFormat="1" ht="42.75" customHeight="1" thickBot="1">
      <c r="A42" s="701" t="s">
        <v>113</v>
      </c>
      <c r="B42" s="726"/>
      <c r="C42" s="726"/>
      <c r="D42" s="727"/>
      <c r="E42" s="726"/>
      <c r="F42" s="727"/>
      <c r="G42" s="726"/>
      <c r="H42" s="726"/>
      <c r="I42" s="726"/>
      <c r="J42" s="726"/>
      <c r="K42" s="726"/>
      <c r="L42" s="726"/>
      <c r="M42" s="726"/>
      <c r="N42" s="727"/>
      <c r="O42" s="726"/>
      <c r="P42" s="727"/>
      <c r="Q42" s="726"/>
      <c r="R42" s="728"/>
      <c r="S42" s="726"/>
      <c r="T42" s="729" t="e">
        <f>T40/$A$49</f>
        <v>#VALUE!</v>
      </c>
      <c r="U42" s="729"/>
      <c r="V42" s="729" t="e">
        <f>V40/$A$49</f>
        <v>#VALUE!</v>
      </c>
      <c r="W42" s="730"/>
      <c r="X42" s="731"/>
      <c r="Y42" s="726"/>
      <c r="Z42" s="732"/>
    </row>
    <row r="43" spans="1:26" s="630" customFormat="1" ht="36" customHeight="1">
      <c r="A43" s="702" t="s">
        <v>114</v>
      </c>
      <c r="B43" s="734"/>
      <c r="C43" s="734"/>
      <c r="D43" s="734"/>
      <c r="E43" s="734"/>
      <c r="F43" s="734"/>
      <c r="G43" s="734"/>
      <c r="H43" s="734"/>
      <c r="I43" s="734"/>
      <c r="J43" s="734"/>
      <c r="K43" s="734"/>
      <c r="L43" s="734"/>
      <c r="M43" s="734"/>
      <c r="N43" s="734"/>
      <c r="O43" s="734"/>
      <c r="P43" s="734"/>
      <c r="Q43" s="734"/>
      <c r="R43" s="734"/>
      <c r="S43" s="734"/>
      <c r="T43" s="735">
        <f>YTD!Q2358</f>
        <v>0</v>
      </c>
      <c r="U43" s="736"/>
      <c r="V43" s="737">
        <f>YTD!Q2359</f>
        <v>0</v>
      </c>
      <c r="W43" s="736"/>
      <c r="X43" s="738">
        <f>YTD!Q2363</f>
        <v>0</v>
      </c>
      <c r="Y43" s="739">
        <f t="shared" si="16"/>
        <v>0</v>
      </c>
      <c r="Z43" s="739">
        <f t="shared" si="17"/>
        <v>0</v>
      </c>
    </row>
    <row r="44" spans="1:26" s="630" customFormat="1" ht="36" customHeight="1">
      <c r="A44" s="703" t="s">
        <v>115</v>
      </c>
      <c r="B44" s="740"/>
      <c r="C44" s="741"/>
      <c r="D44" s="740"/>
      <c r="E44" s="740"/>
      <c r="F44" s="740"/>
      <c r="G44" s="740"/>
      <c r="H44" s="740"/>
      <c r="I44" s="740"/>
      <c r="J44" s="740"/>
      <c r="K44" s="740"/>
      <c r="L44" s="740"/>
      <c r="M44" s="740"/>
      <c r="N44" s="740"/>
      <c r="O44" s="740"/>
      <c r="P44" s="740"/>
      <c r="Q44" s="740"/>
      <c r="R44" s="740"/>
      <c r="S44" s="740"/>
      <c r="T44" s="742" t="e">
        <f>T43/A49*C49</f>
        <v>#VALUE!</v>
      </c>
      <c r="U44" s="743"/>
      <c r="V44" s="743" t="e">
        <f>V43/A49*C49</f>
        <v>#VALUE!</v>
      </c>
      <c r="W44" s="743"/>
      <c r="X44" s="744" t="e">
        <f>X43/A49*C49</f>
        <v>#VALUE!</v>
      </c>
      <c r="Y44" s="628" t="e">
        <f t="shared" si="16"/>
        <v>#VALUE!</v>
      </c>
      <c r="Z44" s="628" t="e">
        <f t="shared" si="17"/>
        <v>#VALUE!</v>
      </c>
    </row>
    <row r="45" spans="1:26" s="630" customFormat="1" ht="36" customHeight="1" thickBot="1">
      <c r="A45" s="704" t="s">
        <v>117</v>
      </c>
      <c r="B45" s="745"/>
      <c r="C45" s="746"/>
      <c r="D45" s="745"/>
      <c r="E45" s="745"/>
      <c r="F45" s="745"/>
      <c r="G45" s="745"/>
      <c r="H45" s="745"/>
      <c r="I45" s="745"/>
      <c r="J45" s="745"/>
      <c r="K45" s="745"/>
      <c r="L45" s="745"/>
      <c r="M45" s="745"/>
      <c r="N45" s="745"/>
      <c r="O45" s="745"/>
      <c r="P45" s="745"/>
      <c r="Q45" s="745"/>
      <c r="R45" s="745"/>
      <c r="S45" s="745"/>
      <c r="T45" s="747" t="e">
        <f>T43/A49</f>
        <v>#VALUE!</v>
      </c>
      <c r="U45" s="748"/>
      <c r="V45" s="748" t="e">
        <f>V44/A49*C49</f>
        <v>#VALUE!</v>
      </c>
      <c r="W45" s="748"/>
      <c r="X45" s="749" t="e">
        <f>X43/A49</f>
        <v>#VALUE!</v>
      </c>
      <c r="Y45" s="750"/>
      <c r="Z45" s="750"/>
    </row>
    <row r="46" spans="1:26" s="630" customFormat="1" ht="23.25" customHeight="1">
      <c r="A46" s="598" t="s">
        <v>149</v>
      </c>
      <c r="B46" s="592"/>
      <c r="C46" s="625"/>
      <c r="D46" s="592"/>
      <c r="E46" s="592"/>
      <c r="F46" s="592"/>
      <c r="G46" s="592"/>
      <c r="H46" s="592"/>
      <c r="I46" s="592"/>
      <c r="J46" s="592"/>
      <c r="K46" s="592"/>
      <c r="L46" s="592"/>
      <c r="M46" s="592"/>
      <c r="N46" s="592"/>
      <c r="O46" s="592"/>
      <c r="P46" s="592"/>
      <c r="Q46" s="592"/>
      <c r="R46" s="592"/>
      <c r="S46" s="592"/>
      <c r="T46" s="751"/>
      <c r="U46" s="752">
        <f>Consp!BH33</f>
        <v>1.151467863064469</v>
      </c>
      <c r="V46" s="753"/>
      <c r="W46" s="752">
        <f>Consp!BI33</f>
        <v>0.57929342492639846</v>
      </c>
      <c r="X46" s="754">
        <f>Consp!BJ33</f>
        <v>140121.30040437225</v>
      </c>
      <c r="Y46" s="752">
        <f>Consp!BK33</f>
        <v>6.8331854288682461</v>
      </c>
      <c r="Z46" s="755">
        <f>Consp!BL33</f>
        <v>3.4377159078599666</v>
      </c>
    </row>
    <row r="47" spans="1:26" s="630" customFormat="1" ht="23.25" customHeight="1" thickBot="1">
      <c r="A47" s="603" t="s">
        <v>150</v>
      </c>
      <c r="B47" s="593"/>
      <c r="C47" s="631"/>
      <c r="D47" s="593"/>
      <c r="E47" s="593"/>
      <c r="F47" s="593"/>
      <c r="G47" s="593"/>
      <c r="H47" s="593"/>
      <c r="I47" s="593"/>
      <c r="J47" s="593"/>
      <c r="K47" s="593"/>
      <c r="L47" s="593"/>
      <c r="M47" s="593"/>
      <c r="N47" s="593"/>
      <c r="O47" s="593"/>
      <c r="P47" s="593"/>
      <c r="Q47" s="593"/>
      <c r="R47" s="593"/>
      <c r="S47" s="593"/>
      <c r="T47" s="756"/>
      <c r="U47" s="757">
        <f>Consp!BH34</f>
        <v>1.1761372019916823</v>
      </c>
      <c r="V47" s="758"/>
      <c r="W47" s="757">
        <f>Consp!BI34</f>
        <v>0.60007376616126884</v>
      </c>
      <c r="X47" s="759">
        <f>Consp!BJ34</f>
        <v>5004.3321572990089</v>
      </c>
      <c r="Y47" s="757">
        <f>Consp!BK34</f>
        <v>6.8331854288682452</v>
      </c>
      <c r="Z47" s="760">
        <f>Consp!BL34</f>
        <v>3.4377159078599666</v>
      </c>
    </row>
    <row r="48" spans="1:26" s="588" customFormat="1" ht="36.75" thickBot="1">
      <c r="A48" s="636" t="s">
        <v>120</v>
      </c>
      <c r="B48" s="594">
        <f>B34</f>
        <v>73820</v>
      </c>
      <c r="C48" s="594"/>
      <c r="D48" s="594">
        <f>D34</f>
        <v>145827</v>
      </c>
      <c r="E48" s="594"/>
      <c r="F48" s="594">
        <f>F34</f>
        <v>15966</v>
      </c>
      <c r="G48" s="594"/>
      <c r="H48" s="637"/>
      <c r="I48" s="637"/>
      <c r="J48" s="637"/>
      <c r="K48" s="637"/>
      <c r="L48" s="637"/>
      <c r="M48" s="637"/>
      <c r="N48" s="637"/>
      <c r="O48" s="637"/>
      <c r="P48" s="637"/>
      <c r="Q48" s="637"/>
      <c r="R48" s="761"/>
      <c r="S48" s="637"/>
      <c r="T48" s="762"/>
      <c r="U48" s="637"/>
      <c r="V48" s="637"/>
      <c r="W48" s="637"/>
      <c r="X48" s="763"/>
      <c r="Y48" s="637"/>
      <c r="Z48" s="637"/>
    </row>
    <row r="49" spans="1:24" s="630" customFormat="1" ht="23.25" customHeight="1">
      <c r="A49" s="596" t="s">
        <v>121</v>
      </c>
      <c r="B49" s="764">
        <v>31</v>
      </c>
      <c r="C49" s="764"/>
      <c r="D49" s="765"/>
      <c r="E49" s="765"/>
      <c r="F49" s="765"/>
      <c r="G49" s="765"/>
      <c r="H49" s="602"/>
      <c r="I49" s="602"/>
      <c r="J49" s="602"/>
      <c r="K49" s="602"/>
      <c r="L49" s="602"/>
      <c r="M49" s="602"/>
      <c r="N49" s="602"/>
      <c r="O49" s="602"/>
      <c r="P49" s="602"/>
      <c r="Q49" s="602"/>
      <c r="R49" s="596"/>
      <c r="S49" s="602"/>
      <c r="T49" s="766"/>
      <c r="U49" s="602"/>
      <c r="V49" s="602"/>
      <c r="W49" s="602"/>
      <c r="X49" s="767"/>
    </row>
    <row r="50" spans="1:24" s="772" customFormat="1" ht="23.25" customHeight="1">
      <c r="A50" s="705"/>
      <c r="B50" s="768"/>
      <c r="C50" s="769"/>
      <c r="D50" s="770"/>
      <c r="E50" s="770"/>
      <c r="F50" s="770"/>
      <c r="G50" s="770"/>
      <c r="H50" s="771"/>
      <c r="I50" s="771"/>
      <c r="J50" s="771"/>
      <c r="K50" s="771"/>
      <c r="L50" s="771"/>
      <c r="M50" s="771"/>
      <c r="N50" s="771"/>
      <c r="O50" s="771"/>
      <c r="P50" s="769"/>
      <c r="T50" s="773"/>
      <c r="X50" s="774"/>
    </row>
    <row r="51" spans="1:24" s="630" customFormat="1" ht="23.25" customHeight="1">
      <c r="S51" s="775"/>
      <c r="T51" s="685"/>
      <c r="X51" s="686"/>
    </row>
    <row r="52" spans="1:24" s="630" customFormat="1" ht="60.75" customHeight="1">
      <c r="T52" s="685"/>
      <c r="X52" s="686"/>
    </row>
    <row r="53" spans="1:24" ht="60.75" customHeight="1">
      <c r="A53" s="2"/>
    </row>
    <row r="54" spans="1:24" ht="60.75" customHeight="1">
      <c r="A54" s="2"/>
      <c r="C54" s="843">
        <v>82183</v>
      </c>
    </row>
    <row r="55" spans="1:24" ht="60.75" customHeight="1">
      <c r="A55" s="2"/>
      <c r="C55" s="843">
        <v>82221</v>
      </c>
    </row>
    <row r="56" spans="1:24" ht="60.75" customHeight="1">
      <c r="A56" s="2"/>
      <c r="C56" s="843">
        <v>82259</v>
      </c>
      <c r="D56" s="113"/>
      <c r="O56" s="843">
        <v>45480</v>
      </c>
    </row>
    <row r="57" spans="1:24" ht="60.75" customHeight="1">
      <c r="A57" s="2"/>
      <c r="C57" s="843">
        <v>82297</v>
      </c>
      <c r="D57" s="842"/>
      <c r="O57" s="843">
        <v>45514</v>
      </c>
    </row>
    <row r="58" spans="1:24" ht="60.75" customHeight="1">
      <c r="A58" s="2"/>
      <c r="C58" s="843">
        <v>82329</v>
      </c>
      <c r="D58" s="113"/>
      <c r="O58" s="843">
        <v>45539</v>
      </c>
    </row>
    <row r="59" spans="1:24" ht="60.75" customHeight="1">
      <c r="A59" s="2"/>
      <c r="C59" s="843">
        <v>82385</v>
      </c>
      <c r="D59" s="113"/>
      <c r="O59" s="844"/>
    </row>
    <row r="60" spans="1:24" ht="60.75" customHeight="1">
      <c r="A60" s="2"/>
      <c r="C60" s="843">
        <v>82405</v>
      </c>
      <c r="D60" s="113"/>
      <c r="O60" s="843">
        <v>45607</v>
      </c>
    </row>
    <row r="61" spans="1:24" ht="60.75" customHeight="1">
      <c r="A61" s="2"/>
      <c r="C61" s="113">
        <v>82430</v>
      </c>
      <c r="D61" s="842"/>
      <c r="O61" s="843">
        <v>45637</v>
      </c>
    </row>
    <row r="62" spans="1:24" ht="60.75" customHeight="1">
      <c r="A62" s="2"/>
      <c r="C62" s="843">
        <v>82500</v>
      </c>
      <c r="D62" s="113"/>
      <c r="O62" s="843">
        <v>45668</v>
      </c>
    </row>
    <row r="63" spans="1:24" ht="60.75" customHeight="1">
      <c r="A63" s="2"/>
      <c r="C63" s="843">
        <v>82590</v>
      </c>
      <c r="D63" s="113"/>
      <c r="O63" s="843">
        <v>45694</v>
      </c>
    </row>
    <row r="64" spans="1:24" ht="60.75" customHeight="1">
      <c r="A64" s="2"/>
      <c r="C64" s="843">
        <v>82607.333333333299</v>
      </c>
      <c r="D64" s="113"/>
      <c r="O64" s="843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1003" t="s">
        <v>125</v>
      </c>
      <c r="B150" s="1003"/>
      <c r="C150" s="1003"/>
      <c r="D150" s="1003"/>
      <c r="E150" s="1003"/>
      <c r="F150" s="1003"/>
      <c r="G150" s="1003"/>
      <c r="H150" s="1003"/>
      <c r="I150" s="1003"/>
      <c r="J150" s="1003"/>
      <c r="K150" s="1003"/>
      <c r="L150" s="1003"/>
      <c r="M150" s="1003"/>
      <c r="N150" s="1003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N444"/>
  <sheetViews>
    <sheetView zoomScale="55" zoomScaleNormal="55" zoomScaleSheetLayoutView="55" workbookViewId="0">
      <pane xSplit="1" ySplit="5" topLeftCell="B18" activePane="bottomRight" state="frozen"/>
      <selection pane="bottomRight" activeCell="G33" sqref="G33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15" t="str">
        <f>Elect!A1</f>
        <v>March</v>
      </c>
      <c r="E1" s="972" t="s">
        <v>42</v>
      </c>
      <c r="H1" s="651" t="s">
        <v>151</v>
      </c>
      <c r="I1" s="813"/>
      <c r="J1" s="653">
        <v>1.61</v>
      </c>
      <c r="K1" s="26"/>
      <c r="L1" s="582"/>
      <c r="M1" s="583"/>
    </row>
    <row r="2" spans="1:13" ht="23.25" customHeight="1">
      <c r="A2" s="1015"/>
      <c r="C2" s="29"/>
      <c r="E2" s="972"/>
      <c r="G2" s="29"/>
      <c r="H2" s="29"/>
      <c r="I2" s="29"/>
      <c r="K2" s="574"/>
      <c r="L2" s="573"/>
      <c r="M2" s="471"/>
    </row>
    <row r="3" spans="1:13" ht="21" customHeight="1" thickBot="1">
      <c r="A3" s="1016"/>
      <c r="B3" s="29"/>
      <c r="C3" s="29"/>
      <c r="D3" s="29"/>
      <c r="E3" s="973"/>
      <c r="F3" s="29"/>
      <c r="G3" s="29"/>
      <c r="H3" s="29"/>
      <c r="I3" s="29"/>
    </row>
    <row r="4" spans="1:13" ht="53.25" customHeight="1">
      <c r="A4" s="777" t="s">
        <v>152</v>
      </c>
      <c r="B4" s="1017" t="s">
        <v>153</v>
      </c>
      <c r="C4" s="1018"/>
      <c r="D4" s="1017" t="s">
        <v>154</v>
      </c>
      <c r="E4" s="1018"/>
      <c r="F4" s="1017" t="s">
        <v>155</v>
      </c>
      <c r="G4" s="1018"/>
      <c r="H4" s="585" t="s">
        <v>156</v>
      </c>
      <c r="I4" s="585" t="s">
        <v>157</v>
      </c>
      <c r="J4" s="584" t="s">
        <v>158</v>
      </c>
      <c r="K4" s="913" t="s">
        <v>159</v>
      </c>
      <c r="L4" s="23"/>
      <c r="M4" s="23"/>
    </row>
    <row r="5" spans="1:13" ht="26.25" customHeight="1" thickBot="1">
      <c r="A5" s="778"/>
      <c r="B5" s="141" t="s">
        <v>160</v>
      </c>
      <c r="C5" s="142" t="s">
        <v>161</v>
      </c>
      <c r="D5" s="141" t="s">
        <v>160</v>
      </c>
      <c r="E5" s="142" t="s">
        <v>161</v>
      </c>
      <c r="F5" s="141" t="s">
        <v>160</v>
      </c>
      <c r="G5" s="142" t="s">
        <v>161</v>
      </c>
      <c r="H5" s="25" t="s">
        <v>162</v>
      </c>
      <c r="I5" s="25" t="s">
        <v>162</v>
      </c>
      <c r="J5" s="25" t="s">
        <v>162</v>
      </c>
      <c r="K5" s="142" t="s">
        <v>161</v>
      </c>
      <c r="L5" s="23"/>
      <c r="M5" s="23"/>
    </row>
    <row r="6" spans="1:13" s="463" customFormat="1" ht="41.25" customHeight="1">
      <c r="A6" s="779"/>
      <c r="B6" s="113">
        <v>7808046</v>
      </c>
      <c r="C6" s="742">
        <f t="shared" ref="C6:C14" si="0">IF(B6&gt;=B5,B6-B5,0)*1.06</f>
        <v>0</v>
      </c>
      <c r="D6" s="843">
        <v>219724</v>
      </c>
      <c r="E6" s="742">
        <f>IF(D6&gt;=D5,D6-D5,0)*0.7</f>
        <v>0</v>
      </c>
      <c r="F6" s="843">
        <v>554207</v>
      </c>
      <c r="G6" s="742">
        <f t="shared" ref="G6:G14" si="1">IF(F6&gt;=F5,F6-F5,0)</f>
        <v>0</v>
      </c>
      <c r="H6" s="462"/>
      <c r="I6" s="462"/>
      <c r="J6" s="462"/>
      <c r="K6" s="914">
        <f>C6+E6</f>
        <v>0</v>
      </c>
    </row>
    <row r="7" spans="1:13" s="463" customFormat="1" ht="41.25" customHeight="1">
      <c r="A7" s="779">
        <v>1</v>
      </c>
      <c r="B7" s="113">
        <v>7809423</v>
      </c>
      <c r="C7" s="742">
        <f t="shared" si="0"/>
        <v>1459.6200000000001</v>
      </c>
      <c r="D7" s="843">
        <v>220041</v>
      </c>
      <c r="E7" s="742">
        <f t="shared" ref="E7:E37" si="2">IF(D7&gt;=D6,D7-D6,0)*0.7</f>
        <v>221.89999999999998</v>
      </c>
      <c r="F7" s="843">
        <v>554345</v>
      </c>
      <c r="G7" s="742">
        <f t="shared" si="1"/>
        <v>138</v>
      </c>
      <c r="H7" s="742">
        <f>(E7*0.55)*1.61</f>
        <v>196.49245000000002</v>
      </c>
      <c r="I7" s="742">
        <f>C7*J1</f>
        <v>2349.9882000000002</v>
      </c>
      <c r="J7" s="742">
        <f>G7*J1</f>
        <v>222.18</v>
      </c>
      <c r="K7" s="914">
        <f t="shared" ref="K7:K37" si="3">C7+E7</f>
        <v>1681.52</v>
      </c>
    </row>
    <row r="8" spans="1:13" s="463" customFormat="1" ht="41.25" customHeight="1">
      <c r="A8" s="779">
        <v>2</v>
      </c>
      <c r="B8" s="113">
        <v>7810939</v>
      </c>
      <c r="C8" s="742">
        <f t="shared" si="0"/>
        <v>1606.96</v>
      </c>
      <c r="D8" s="843">
        <v>220575</v>
      </c>
      <c r="E8" s="742">
        <f t="shared" si="2"/>
        <v>373.79999999999995</v>
      </c>
      <c r="F8" s="843">
        <v>554409</v>
      </c>
      <c r="G8" s="742">
        <f t="shared" si="1"/>
        <v>64</v>
      </c>
      <c r="H8" s="742">
        <f t="shared" ref="H8:H37" si="4">(E8*0.55)*1.61</f>
        <v>330.99990000000003</v>
      </c>
      <c r="I8" s="742">
        <f>C8*J1</f>
        <v>2587.2056000000002</v>
      </c>
      <c r="J8" s="742">
        <f>G8*J1</f>
        <v>103.04</v>
      </c>
      <c r="K8" s="914">
        <f t="shared" si="3"/>
        <v>1980.76</v>
      </c>
    </row>
    <row r="9" spans="1:13" s="463" customFormat="1" ht="41.25" customHeight="1">
      <c r="A9" s="779">
        <v>3</v>
      </c>
      <c r="B9" s="113">
        <v>7812120</v>
      </c>
      <c r="C9" s="742">
        <f t="shared" si="0"/>
        <v>1251.8600000000001</v>
      </c>
      <c r="D9" s="843">
        <v>221012</v>
      </c>
      <c r="E9" s="742">
        <f t="shared" si="2"/>
        <v>305.89999999999998</v>
      </c>
      <c r="F9" s="843">
        <v>554420</v>
      </c>
      <c r="G9" s="742">
        <f t="shared" si="1"/>
        <v>11</v>
      </c>
      <c r="H9" s="742">
        <f>(E9*0.55)*1.61</f>
        <v>270.87445000000002</v>
      </c>
      <c r="I9" s="742">
        <f>C9*J1</f>
        <v>2015.4946000000002</v>
      </c>
      <c r="J9" s="742">
        <f>G9*J1</f>
        <v>17.71</v>
      </c>
      <c r="K9" s="914">
        <f>C9+E9</f>
        <v>1557.7600000000002</v>
      </c>
    </row>
    <row r="10" spans="1:13" s="463" customFormat="1" ht="41.25" customHeight="1">
      <c r="A10" s="779">
        <v>4</v>
      </c>
      <c r="B10" s="113">
        <v>7813854</v>
      </c>
      <c r="C10" s="742">
        <f t="shared" si="0"/>
        <v>1838.0400000000002</v>
      </c>
      <c r="D10" s="843">
        <v>221330</v>
      </c>
      <c r="E10" s="742">
        <f t="shared" si="2"/>
        <v>222.6</v>
      </c>
      <c r="F10" s="843">
        <v>554538</v>
      </c>
      <c r="G10" s="742">
        <f t="shared" si="1"/>
        <v>118</v>
      </c>
      <c r="H10" s="742">
        <f>(E10*0.55)*1.61</f>
        <v>197.11230000000003</v>
      </c>
      <c r="I10" s="742">
        <f>C10*J1</f>
        <v>2959.2444000000005</v>
      </c>
      <c r="J10" s="742">
        <f>G10*J1</f>
        <v>189.98000000000002</v>
      </c>
      <c r="K10" s="914">
        <f t="shared" si="3"/>
        <v>2060.6400000000003</v>
      </c>
    </row>
    <row r="11" spans="1:13" s="463" customFormat="1" ht="41.25" customHeight="1">
      <c r="A11" s="779">
        <v>5</v>
      </c>
      <c r="B11" s="113">
        <v>7815702</v>
      </c>
      <c r="C11" s="742">
        <f t="shared" si="0"/>
        <v>1958.88</v>
      </c>
      <c r="D11" s="843">
        <v>221872</v>
      </c>
      <c r="E11" s="742">
        <f t="shared" si="2"/>
        <v>379.4</v>
      </c>
      <c r="F11" s="843">
        <v>554656</v>
      </c>
      <c r="G11" s="742">
        <f t="shared" si="1"/>
        <v>118</v>
      </c>
      <c r="H11" s="742">
        <f t="shared" si="4"/>
        <v>335.95870000000002</v>
      </c>
      <c r="I11" s="742">
        <f>C11*J1</f>
        <v>3153.7968000000005</v>
      </c>
      <c r="J11" s="742">
        <f>G11*J1</f>
        <v>189.98000000000002</v>
      </c>
      <c r="K11" s="914">
        <f t="shared" si="3"/>
        <v>2338.2800000000002</v>
      </c>
    </row>
    <row r="12" spans="1:13" s="463" customFormat="1" ht="41.25" customHeight="1">
      <c r="A12" s="779">
        <v>6</v>
      </c>
      <c r="B12" s="113">
        <v>7817444</v>
      </c>
      <c r="C12" s="742">
        <f t="shared" si="0"/>
        <v>1846.52</v>
      </c>
      <c r="D12" s="843">
        <v>222476</v>
      </c>
      <c r="E12" s="742">
        <f t="shared" si="2"/>
        <v>422.79999999999995</v>
      </c>
      <c r="F12" s="843">
        <v>554771</v>
      </c>
      <c r="G12" s="742">
        <f t="shared" si="1"/>
        <v>115</v>
      </c>
      <c r="H12" s="742">
        <f t="shared" si="4"/>
        <v>374.38940000000002</v>
      </c>
      <c r="I12" s="742">
        <f>C12*J1</f>
        <v>2972.8972000000003</v>
      </c>
      <c r="J12" s="742">
        <f>G12*J1</f>
        <v>185.15</v>
      </c>
      <c r="K12" s="914">
        <f t="shared" si="3"/>
        <v>2269.3199999999997</v>
      </c>
    </row>
    <row r="13" spans="1:13" s="463" customFormat="1" ht="41.25" customHeight="1">
      <c r="A13" s="779">
        <v>7</v>
      </c>
      <c r="B13" s="113">
        <v>7818463</v>
      </c>
      <c r="C13" s="742">
        <f t="shared" si="0"/>
        <v>1080.1400000000001</v>
      </c>
      <c r="D13" s="843">
        <v>222901</v>
      </c>
      <c r="E13" s="742">
        <f t="shared" si="2"/>
        <v>297.5</v>
      </c>
      <c r="F13" s="843">
        <v>554898</v>
      </c>
      <c r="G13" s="742">
        <f t="shared" si="1"/>
        <v>127</v>
      </c>
      <c r="H13" s="742">
        <f t="shared" si="4"/>
        <v>263.43625000000003</v>
      </c>
      <c r="I13" s="742">
        <f>C13*J1</f>
        <v>1739.0254000000002</v>
      </c>
      <c r="J13" s="742">
        <f>G13*J1</f>
        <v>204.47</v>
      </c>
      <c r="K13" s="914">
        <f t="shared" si="3"/>
        <v>1377.64</v>
      </c>
    </row>
    <row r="14" spans="1:13" s="463" customFormat="1" ht="41.25" customHeight="1">
      <c r="A14" s="779">
        <v>8</v>
      </c>
      <c r="B14" s="113">
        <v>7819162</v>
      </c>
      <c r="C14" s="742">
        <f t="shared" si="0"/>
        <v>740.94</v>
      </c>
      <c r="D14" s="843">
        <v>223310</v>
      </c>
      <c r="E14" s="742">
        <f t="shared" si="2"/>
        <v>286.29999999999995</v>
      </c>
      <c r="F14" s="843">
        <v>554949</v>
      </c>
      <c r="G14" s="742">
        <f t="shared" si="1"/>
        <v>51</v>
      </c>
      <c r="H14" s="742">
        <f t="shared" si="4"/>
        <v>253.51864999999998</v>
      </c>
      <c r="I14" s="742">
        <f>C14*J1</f>
        <v>1192.9134000000001</v>
      </c>
      <c r="J14" s="742">
        <f>G14*J1</f>
        <v>82.11</v>
      </c>
      <c r="K14" s="914">
        <f t="shared" si="3"/>
        <v>1027.24</v>
      </c>
    </row>
    <row r="15" spans="1:13" s="463" customFormat="1" ht="41.25" customHeight="1">
      <c r="A15" s="779">
        <v>9</v>
      </c>
      <c r="B15" s="113">
        <v>7820140</v>
      </c>
      <c r="C15" s="742">
        <f t="shared" ref="C15:C32" si="5">IF(B15&gt;=B14,B15-B14,0)*1.06</f>
        <v>1036.68</v>
      </c>
      <c r="D15" s="843">
        <v>223759</v>
      </c>
      <c r="E15" s="742">
        <f t="shared" si="2"/>
        <v>314.29999999999995</v>
      </c>
      <c r="F15" s="843">
        <v>555007</v>
      </c>
      <c r="G15" s="742">
        <f t="shared" ref="G15:G37" si="6">IF(F15&gt;=F14,F15-F14,0)</f>
        <v>58</v>
      </c>
      <c r="H15" s="742">
        <f t="shared" si="4"/>
        <v>278.31264999999996</v>
      </c>
      <c r="I15" s="742">
        <f>C15*J1</f>
        <v>1669.0548000000001</v>
      </c>
      <c r="J15" s="742">
        <f>G15*J1</f>
        <v>93.38000000000001</v>
      </c>
      <c r="K15" s="914">
        <f t="shared" si="3"/>
        <v>1350.98</v>
      </c>
    </row>
    <row r="16" spans="1:13" s="463" customFormat="1" ht="41.25" customHeight="1">
      <c r="A16" s="779">
        <v>10</v>
      </c>
      <c r="B16" s="113">
        <v>7821277</v>
      </c>
      <c r="C16" s="742">
        <f t="shared" si="5"/>
        <v>1205.22</v>
      </c>
      <c r="D16" s="843">
        <v>224225</v>
      </c>
      <c r="E16" s="742">
        <f t="shared" si="2"/>
        <v>326.2</v>
      </c>
      <c r="F16" s="843">
        <v>555121</v>
      </c>
      <c r="G16" s="742">
        <f>IF(F16&gt;=F15,F16-F15,0)</f>
        <v>114</v>
      </c>
      <c r="H16" s="742">
        <f t="shared" si="4"/>
        <v>288.8501</v>
      </c>
      <c r="I16" s="742">
        <f>C16*J1</f>
        <v>1940.4042000000002</v>
      </c>
      <c r="J16" s="742">
        <f>G16*J1</f>
        <v>183.54000000000002</v>
      </c>
      <c r="K16" s="914">
        <f t="shared" si="3"/>
        <v>1531.42</v>
      </c>
    </row>
    <row r="17" spans="1:11" s="463" customFormat="1" ht="41.25" customHeight="1">
      <c r="A17" s="779">
        <v>11</v>
      </c>
      <c r="B17" s="113">
        <v>7822269</v>
      </c>
      <c r="C17" s="742">
        <f t="shared" si="5"/>
        <v>1051.52</v>
      </c>
      <c r="D17" s="843">
        <v>224527</v>
      </c>
      <c r="E17" s="742">
        <f t="shared" si="2"/>
        <v>211.39999999999998</v>
      </c>
      <c r="F17" s="843">
        <v>555194</v>
      </c>
      <c r="G17" s="742">
        <f t="shared" si="6"/>
        <v>73</v>
      </c>
      <c r="H17" s="742">
        <f t="shared" si="4"/>
        <v>187.19470000000001</v>
      </c>
      <c r="I17" s="742">
        <f>C17*J1</f>
        <v>1692.9472000000001</v>
      </c>
      <c r="J17" s="742">
        <f>G17*J1</f>
        <v>117.53</v>
      </c>
      <c r="K17" s="914">
        <f t="shared" si="3"/>
        <v>1262.92</v>
      </c>
    </row>
    <row r="18" spans="1:11" s="463" customFormat="1" ht="41.25" customHeight="1">
      <c r="A18" s="779">
        <v>12</v>
      </c>
      <c r="B18" s="113">
        <v>7823207</v>
      </c>
      <c r="C18" s="742">
        <f t="shared" si="5"/>
        <v>994.28000000000009</v>
      </c>
      <c r="D18" s="843">
        <v>225091</v>
      </c>
      <c r="E18" s="742">
        <f t="shared" si="2"/>
        <v>394.79999999999995</v>
      </c>
      <c r="F18" s="843">
        <v>555297</v>
      </c>
      <c r="G18" s="742">
        <f t="shared" si="6"/>
        <v>103</v>
      </c>
      <c r="H18" s="742">
        <f t="shared" si="4"/>
        <v>349.59539999999998</v>
      </c>
      <c r="I18" s="742">
        <f>C18*J1</f>
        <v>1600.7908000000002</v>
      </c>
      <c r="J18" s="742">
        <f>G18*J1</f>
        <v>165.83</v>
      </c>
      <c r="K18" s="914">
        <f t="shared" si="3"/>
        <v>1389.08</v>
      </c>
    </row>
    <row r="19" spans="1:11" s="463" customFormat="1" ht="41.25" customHeight="1">
      <c r="A19" s="779">
        <v>13</v>
      </c>
      <c r="B19" s="113">
        <v>7824171</v>
      </c>
      <c r="C19" s="742">
        <f t="shared" si="5"/>
        <v>1021.84</v>
      </c>
      <c r="D19" s="843">
        <v>225524</v>
      </c>
      <c r="E19" s="742">
        <f t="shared" si="2"/>
        <v>303.09999999999997</v>
      </c>
      <c r="F19" s="843">
        <v>555387</v>
      </c>
      <c r="G19" s="742">
        <f t="shared" si="6"/>
        <v>90</v>
      </c>
      <c r="H19" s="742">
        <f t="shared" si="4"/>
        <v>268.39504999999997</v>
      </c>
      <c r="I19" s="742">
        <f>C19*J1</f>
        <v>1645.1624000000002</v>
      </c>
      <c r="J19" s="742">
        <f>G19*J1</f>
        <v>144.9</v>
      </c>
      <c r="K19" s="914">
        <f t="shared" si="3"/>
        <v>1324.94</v>
      </c>
    </row>
    <row r="20" spans="1:11" s="463" customFormat="1" ht="41.25" customHeight="1">
      <c r="A20" s="779">
        <v>14</v>
      </c>
      <c r="B20" s="113">
        <v>7825295</v>
      </c>
      <c r="C20" s="742">
        <f t="shared" si="5"/>
        <v>1191.44</v>
      </c>
      <c r="D20" s="843">
        <v>225907</v>
      </c>
      <c r="E20" s="742">
        <f t="shared" si="2"/>
        <v>268.09999999999997</v>
      </c>
      <c r="F20" s="843">
        <v>555470</v>
      </c>
      <c r="G20" s="742">
        <f t="shared" si="6"/>
        <v>83</v>
      </c>
      <c r="H20" s="742">
        <f t="shared" si="4"/>
        <v>237.40254999999999</v>
      </c>
      <c r="I20" s="742">
        <f>C20*J1</f>
        <v>1918.2184000000002</v>
      </c>
      <c r="J20" s="742">
        <f>G20*J1</f>
        <v>133.63</v>
      </c>
      <c r="K20" s="914">
        <f t="shared" si="3"/>
        <v>1459.54</v>
      </c>
    </row>
    <row r="21" spans="1:11" s="463" customFormat="1" ht="41.25" customHeight="1">
      <c r="A21" s="779">
        <v>15</v>
      </c>
      <c r="B21" s="113">
        <v>7826347</v>
      </c>
      <c r="C21" s="742">
        <f t="shared" si="5"/>
        <v>1115.1200000000001</v>
      </c>
      <c r="D21" s="843">
        <v>226145</v>
      </c>
      <c r="E21" s="742">
        <f t="shared" si="2"/>
        <v>166.6</v>
      </c>
      <c r="F21" s="843">
        <v>555568</v>
      </c>
      <c r="G21" s="742">
        <f t="shared" ref="G21:G27" si="7">IF(F21&gt;=F20,F21-F20,0)</f>
        <v>98</v>
      </c>
      <c r="H21" s="742">
        <f t="shared" si="4"/>
        <v>147.52430000000001</v>
      </c>
      <c r="I21" s="742">
        <f>C21*J1</f>
        <v>1795.3432000000003</v>
      </c>
      <c r="J21" s="742">
        <f>G21*J1</f>
        <v>157.78</v>
      </c>
      <c r="K21" s="914">
        <f t="shared" si="3"/>
        <v>1281.72</v>
      </c>
    </row>
    <row r="22" spans="1:11" s="463" customFormat="1" ht="41.25" customHeight="1">
      <c r="A22" s="779">
        <v>16</v>
      </c>
      <c r="B22" s="845">
        <v>7827203</v>
      </c>
      <c r="C22" s="742">
        <f t="shared" si="5"/>
        <v>907.36</v>
      </c>
      <c r="D22" s="843">
        <v>226522</v>
      </c>
      <c r="E22" s="742">
        <f t="shared" si="2"/>
        <v>263.89999999999998</v>
      </c>
      <c r="F22" s="843">
        <v>555651</v>
      </c>
      <c r="G22" s="742">
        <f t="shared" si="7"/>
        <v>83</v>
      </c>
      <c r="H22" s="742">
        <f t="shared" si="4"/>
        <v>233.68345000000002</v>
      </c>
      <c r="I22" s="742">
        <f>C22*J1</f>
        <v>1460.8496</v>
      </c>
      <c r="J22" s="742">
        <f>G22*J1</f>
        <v>133.63</v>
      </c>
      <c r="K22" s="914">
        <f t="shared" si="3"/>
        <v>1171.26</v>
      </c>
    </row>
    <row r="23" spans="1:11" s="463" customFormat="1" ht="41.25" customHeight="1">
      <c r="A23" s="779">
        <v>17</v>
      </c>
      <c r="B23" s="113">
        <v>7828109</v>
      </c>
      <c r="C23" s="742">
        <f t="shared" si="5"/>
        <v>960.36</v>
      </c>
      <c r="D23" s="843">
        <v>226882</v>
      </c>
      <c r="E23" s="742">
        <f t="shared" si="2"/>
        <v>251.99999999999997</v>
      </c>
      <c r="F23" s="843">
        <v>555741</v>
      </c>
      <c r="G23" s="742">
        <f t="shared" si="7"/>
        <v>90</v>
      </c>
      <c r="H23" s="742">
        <f t="shared" si="4"/>
        <v>223.14600000000002</v>
      </c>
      <c r="I23" s="742">
        <f>C23*J1</f>
        <v>1546.1796000000002</v>
      </c>
      <c r="J23" s="742">
        <f>G23*J1</f>
        <v>144.9</v>
      </c>
      <c r="K23" s="914">
        <f t="shared" si="3"/>
        <v>1212.3599999999999</v>
      </c>
    </row>
    <row r="24" spans="1:11" s="463" customFormat="1" ht="41.25" customHeight="1">
      <c r="A24" s="779">
        <v>18</v>
      </c>
      <c r="B24" s="845">
        <v>7829005</v>
      </c>
      <c r="C24" s="742">
        <f t="shared" si="5"/>
        <v>949.76</v>
      </c>
      <c r="D24" s="843">
        <v>227231</v>
      </c>
      <c r="E24" s="742">
        <f t="shared" si="2"/>
        <v>244.29999999999998</v>
      </c>
      <c r="F24" s="843">
        <v>555830</v>
      </c>
      <c r="G24" s="742">
        <f t="shared" si="7"/>
        <v>89</v>
      </c>
      <c r="H24" s="742">
        <f t="shared" si="4"/>
        <v>216.32765000000003</v>
      </c>
      <c r="I24" s="742">
        <f>C24*J1</f>
        <v>1529.1136000000001</v>
      </c>
      <c r="J24" s="742">
        <f>G24*J1</f>
        <v>143.29000000000002</v>
      </c>
      <c r="K24" s="914">
        <f t="shared" si="3"/>
        <v>1194.06</v>
      </c>
    </row>
    <row r="25" spans="1:11" s="463" customFormat="1" ht="41.25" customHeight="1">
      <c r="A25" s="779">
        <v>19</v>
      </c>
      <c r="B25" s="113">
        <v>7829511</v>
      </c>
      <c r="C25" s="742">
        <f t="shared" si="5"/>
        <v>536.36</v>
      </c>
      <c r="D25" s="843">
        <v>227509</v>
      </c>
      <c r="E25" s="742">
        <f t="shared" si="2"/>
        <v>194.6</v>
      </c>
      <c r="F25" s="843">
        <v>555917</v>
      </c>
      <c r="G25" s="742">
        <f t="shared" si="7"/>
        <v>87</v>
      </c>
      <c r="H25" s="742">
        <f t="shared" si="4"/>
        <v>172.31830000000002</v>
      </c>
      <c r="I25" s="742">
        <f>C25*J1</f>
        <v>863.53960000000006</v>
      </c>
      <c r="J25" s="742">
        <f>G25*J1</f>
        <v>140.07000000000002</v>
      </c>
      <c r="K25" s="914">
        <f t="shared" si="3"/>
        <v>730.96</v>
      </c>
    </row>
    <row r="26" spans="1:11" s="463" customFormat="1" ht="41.25" customHeight="1">
      <c r="A26" s="779">
        <v>20</v>
      </c>
      <c r="B26" s="113">
        <v>7830077</v>
      </c>
      <c r="C26" s="742">
        <f t="shared" si="5"/>
        <v>599.96</v>
      </c>
      <c r="D26" s="843">
        <v>227907</v>
      </c>
      <c r="E26" s="742">
        <f t="shared" si="2"/>
        <v>278.59999999999997</v>
      </c>
      <c r="F26" s="843">
        <v>556008</v>
      </c>
      <c r="G26" s="742">
        <f t="shared" si="7"/>
        <v>91</v>
      </c>
      <c r="H26" s="742">
        <f t="shared" si="4"/>
        <v>246.7003</v>
      </c>
      <c r="I26" s="742">
        <f>C26*J1</f>
        <v>965.93560000000014</v>
      </c>
      <c r="J26" s="742">
        <f>G26*J1</f>
        <v>146.51000000000002</v>
      </c>
      <c r="K26" s="914">
        <f t="shared" si="3"/>
        <v>878.56</v>
      </c>
    </row>
    <row r="27" spans="1:11" s="463" customFormat="1" ht="41.25" customHeight="1">
      <c r="A27" s="779">
        <v>21</v>
      </c>
      <c r="B27" s="113">
        <v>7830578</v>
      </c>
      <c r="C27" s="742">
        <f t="shared" si="5"/>
        <v>531.06000000000006</v>
      </c>
      <c r="D27" s="843">
        <v>228275</v>
      </c>
      <c r="E27" s="742">
        <f t="shared" si="2"/>
        <v>257.59999999999997</v>
      </c>
      <c r="F27" s="843">
        <v>556090</v>
      </c>
      <c r="G27" s="742">
        <f t="shared" si="7"/>
        <v>82</v>
      </c>
      <c r="H27" s="742">
        <f t="shared" si="4"/>
        <v>228.10480000000001</v>
      </c>
      <c r="I27" s="742">
        <f>C27*J1</f>
        <v>855.00660000000016</v>
      </c>
      <c r="J27" s="742">
        <f>G27*J1</f>
        <v>132.02000000000001</v>
      </c>
      <c r="K27" s="914">
        <f t="shared" si="3"/>
        <v>788.66000000000008</v>
      </c>
    </row>
    <row r="28" spans="1:11" s="463" customFormat="1" ht="41.25" customHeight="1">
      <c r="A28" s="779">
        <v>22</v>
      </c>
      <c r="B28" s="113">
        <v>7831059</v>
      </c>
      <c r="C28" s="742">
        <f>IF(B28&gt;=B27,B28-B27,0)*1.06</f>
        <v>509.86</v>
      </c>
      <c r="D28" s="843">
        <v>228624</v>
      </c>
      <c r="E28" s="742">
        <f t="shared" si="2"/>
        <v>244.29999999999998</v>
      </c>
      <c r="F28" s="843">
        <v>556161</v>
      </c>
      <c r="G28" s="742">
        <f t="shared" si="6"/>
        <v>71</v>
      </c>
      <c r="H28" s="742">
        <f>(E28*0.55)*1.61</f>
        <v>216.32765000000003</v>
      </c>
      <c r="I28" s="742">
        <f>C28*J1</f>
        <v>820.8746000000001</v>
      </c>
      <c r="J28" s="742">
        <f>G28*J1</f>
        <v>114.31</v>
      </c>
      <c r="K28" s="914">
        <f t="shared" si="3"/>
        <v>754.16</v>
      </c>
    </row>
    <row r="29" spans="1:11" s="463" customFormat="1" ht="41.25" customHeight="1">
      <c r="A29" s="779">
        <v>23</v>
      </c>
      <c r="B29" s="845">
        <v>7831298</v>
      </c>
      <c r="C29" s="742">
        <f>IF(B29&gt;=B28,B29-B28,0)*1.06</f>
        <v>253.34</v>
      </c>
      <c r="D29" s="843">
        <v>228872</v>
      </c>
      <c r="E29" s="742">
        <f t="shared" si="2"/>
        <v>173.6</v>
      </c>
      <c r="F29" s="843">
        <v>556161</v>
      </c>
      <c r="G29" s="742">
        <f t="shared" si="6"/>
        <v>0</v>
      </c>
      <c r="H29" s="742">
        <f>(E29*0.55)*1.61</f>
        <v>153.72280000000001</v>
      </c>
      <c r="I29" s="742">
        <f>C29*J1</f>
        <v>407.87740000000002</v>
      </c>
      <c r="J29" s="742">
        <f>G29*J1</f>
        <v>0</v>
      </c>
      <c r="K29" s="914">
        <f t="shared" si="3"/>
        <v>426.94</v>
      </c>
    </row>
    <row r="30" spans="1:11" s="463" customFormat="1" ht="41.25" customHeight="1">
      <c r="A30" s="779">
        <v>24</v>
      </c>
      <c r="B30" s="113">
        <v>7831499</v>
      </c>
      <c r="C30" s="742">
        <f>IF(B30&gt;=B29,B30-B29,0)*1.06</f>
        <v>213.06</v>
      </c>
      <c r="D30" s="843">
        <v>229020</v>
      </c>
      <c r="E30" s="742">
        <f t="shared" si="2"/>
        <v>103.6</v>
      </c>
      <c r="F30" s="843">
        <v>556161</v>
      </c>
      <c r="G30" s="742">
        <f t="shared" si="6"/>
        <v>0</v>
      </c>
      <c r="H30" s="742">
        <f>(E30*0.55)*1.61</f>
        <v>91.737800000000007</v>
      </c>
      <c r="I30" s="742">
        <f>C30*J1</f>
        <v>343.02660000000003</v>
      </c>
      <c r="J30" s="742">
        <f>G30*J1</f>
        <v>0</v>
      </c>
      <c r="K30" s="914">
        <f t="shared" si="3"/>
        <v>316.65999999999997</v>
      </c>
    </row>
    <row r="31" spans="1:11" s="463" customFormat="1" ht="41.25" customHeight="1">
      <c r="A31" s="779">
        <v>25</v>
      </c>
      <c r="B31" s="845">
        <v>7831690</v>
      </c>
      <c r="C31" s="742">
        <f t="shared" si="5"/>
        <v>202.46</v>
      </c>
      <c r="D31" s="843">
        <v>229269</v>
      </c>
      <c r="E31" s="742">
        <f t="shared" si="2"/>
        <v>174.29999999999998</v>
      </c>
      <c r="F31" s="843">
        <v>556161</v>
      </c>
      <c r="G31" s="742">
        <f t="shared" si="6"/>
        <v>0</v>
      </c>
      <c r="H31" s="742">
        <f t="shared" si="4"/>
        <v>154.34264999999999</v>
      </c>
      <c r="I31" s="742">
        <f>C31*J1</f>
        <v>325.96060000000006</v>
      </c>
      <c r="J31" s="742">
        <f>G31*J1</f>
        <v>0</v>
      </c>
      <c r="K31" s="914">
        <f t="shared" si="3"/>
        <v>376.76</v>
      </c>
    </row>
    <row r="32" spans="1:11" s="463" customFormat="1" ht="41.25" customHeight="1">
      <c r="A32" s="779">
        <v>26</v>
      </c>
      <c r="B32" s="113">
        <v>7831891</v>
      </c>
      <c r="C32" s="742">
        <f t="shared" si="5"/>
        <v>213.06</v>
      </c>
      <c r="D32" s="843">
        <v>229617</v>
      </c>
      <c r="E32" s="742">
        <f t="shared" si="2"/>
        <v>243.6</v>
      </c>
      <c r="F32" s="843">
        <v>556161</v>
      </c>
      <c r="G32" s="742">
        <f t="shared" si="6"/>
        <v>0</v>
      </c>
      <c r="H32" s="742">
        <f t="shared" si="4"/>
        <v>215.70780000000005</v>
      </c>
      <c r="I32" s="742">
        <f>C32*J1</f>
        <v>343.02660000000003</v>
      </c>
      <c r="J32" s="742">
        <f>G32*J1</f>
        <v>0</v>
      </c>
      <c r="K32" s="914">
        <f t="shared" si="3"/>
        <v>456.65999999999997</v>
      </c>
    </row>
    <row r="33" spans="1:14" s="209" customFormat="1" ht="41.25" customHeight="1">
      <c r="A33" s="780">
        <v>27</v>
      </c>
      <c r="B33" s="845">
        <v>7832022</v>
      </c>
      <c r="C33" s="742">
        <f>IF(B33&gt;=B32,B33-B32,0)*1.06</f>
        <v>138.86000000000001</v>
      </c>
      <c r="D33" s="843">
        <v>230105</v>
      </c>
      <c r="E33" s="742">
        <f t="shared" si="2"/>
        <v>341.59999999999997</v>
      </c>
      <c r="F33" s="843">
        <v>556161</v>
      </c>
      <c r="G33" s="742">
        <f t="shared" si="6"/>
        <v>0</v>
      </c>
      <c r="H33" s="742">
        <f t="shared" si="4"/>
        <v>302.48680000000002</v>
      </c>
      <c r="I33" s="742">
        <f>C33*J1</f>
        <v>223.56460000000004</v>
      </c>
      <c r="J33" s="742">
        <f>G33*J1</f>
        <v>0</v>
      </c>
      <c r="K33" s="914">
        <f t="shared" si="3"/>
        <v>480.46</v>
      </c>
    </row>
    <row r="34" spans="1:14" s="209" customFormat="1" ht="41.25" customHeight="1">
      <c r="A34" s="780">
        <v>28</v>
      </c>
      <c r="B34" s="113">
        <v>7832212</v>
      </c>
      <c r="C34" s="742">
        <f>IF(B34&gt;=B33,B34-B33,0)*1.06</f>
        <v>201.4</v>
      </c>
      <c r="D34" s="843">
        <v>230422</v>
      </c>
      <c r="E34" s="742">
        <f t="shared" si="2"/>
        <v>221.89999999999998</v>
      </c>
      <c r="F34" s="843">
        <v>556161</v>
      </c>
      <c r="G34" s="742">
        <f t="shared" si="6"/>
        <v>0</v>
      </c>
      <c r="H34" s="742">
        <f t="shared" si="4"/>
        <v>196.49245000000002</v>
      </c>
      <c r="I34" s="742">
        <f>C34*J1</f>
        <v>324.25400000000002</v>
      </c>
      <c r="J34" s="742">
        <f>G34*J1</f>
        <v>0</v>
      </c>
      <c r="K34" s="914">
        <f t="shared" si="3"/>
        <v>423.29999999999995</v>
      </c>
    </row>
    <row r="35" spans="1:14" s="209" customFormat="1" ht="41.25" customHeight="1">
      <c r="A35" s="779">
        <v>29</v>
      </c>
      <c r="B35" s="845">
        <v>7832378</v>
      </c>
      <c r="C35" s="742">
        <f>IF(B35&gt;=B34,B35-B34,0)*1.06</f>
        <v>175.96</v>
      </c>
      <c r="D35" s="843">
        <v>230770</v>
      </c>
      <c r="E35" s="742">
        <f t="shared" si="2"/>
        <v>243.6</v>
      </c>
      <c r="F35" s="843">
        <v>556161</v>
      </c>
      <c r="G35" s="742">
        <f t="shared" si="6"/>
        <v>0</v>
      </c>
      <c r="H35" s="742">
        <f t="shared" si="4"/>
        <v>215.70780000000005</v>
      </c>
      <c r="I35" s="742">
        <f>C35*J1</f>
        <v>283.29560000000004</v>
      </c>
      <c r="J35" s="742">
        <f>G35*J1</f>
        <v>0</v>
      </c>
      <c r="K35" s="914">
        <f t="shared" si="3"/>
        <v>419.56</v>
      </c>
    </row>
    <row r="36" spans="1:14" s="209" customFormat="1" ht="41.25" customHeight="1">
      <c r="A36" s="780">
        <v>30</v>
      </c>
      <c r="B36" s="113">
        <v>7832547</v>
      </c>
      <c r="C36" s="742">
        <f>IF(B36&gt;=B35,B36-B35,0)*1.06</f>
        <v>179.14000000000001</v>
      </c>
      <c r="D36" s="843">
        <v>231137</v>
      </c>
      <c r="E36" s="742">
        <f t="shared" si="2"/>
        <v>256.89999999999998</v>
      </c>
      <c r="F36" s="843">
        <v>556161</v>
      </c>
      <c r="G36" s="742">
        <f t="shared" si="6"/>
        <v>0</v>
      </c>
      <c r="H36" s="742">
        <f t="shared" si="4"/>
        <v>227.48495</v>
      </c>
      <c r="I36" s="742">
        <f>C36*J1</f>
        <v>288.41540000000003</v>
      </c>
      <c r="J36" s="742">
        <f>G36*J1</f>
        <v>0</v>
      </c>
      <c r="K36" s="914">
        <f t="shared" si="3"/>
        <v>436.03999999999996</v>
      </c>
    </row>
    <row r="37" spans="1:14" s="209" customFormat="1" ht="41.25" customHeight="1" thickBot="1">
      <c r="A37" s="780">
        <v>31</v>
      </c>
      <c r="B37" s="845">
        <v>7832714</v>
      </c>
      <c r="C37" s="742">
        <f>IF(B37&gt;=B36,B37-B36,0)*1.06</f>
        <v>177.02</v>
      </c>
      <c r="D37" s="843">
        <v>231501</v>
      </c>
      <c r="E37" s="742">
        <f t="shared" si="2"/>
        <v>254.79999999999998</v>
      </c>
      <c r="F37" s="843">
        <v>556161</v>
      </c>
      <c r="G37" s="742">
        <f t="shared" si="6"/>
        <v>0</v>
      </c>
      <c r="H37" s="742">
        <f t="shared" si="4"/>
        <v>225.62540000000004</v>
      </c>
      <c r="I37" s="742">
        <f>C37*J1</f>
        <v>285.00220000000002</v>
      </c>
      <c r="J37" s="742">
        <f>G37*J1</f>
        <v>0</v>
      </c>
      <c r="K37" s="914">
        <f t="shared" si="3"/>
        <v>431.82</v>
      </c>
    </row>
    <row r="38" spans="1:14" s="588" customFormat="1" ht="41.25" customHeight="1">
      <c r="A38" s="781" t="s">
        <v>111</v>
      </c>
      <c r="B38" s="846"/>
      <c r="C38" s="847">
        <f>SUM(C7:C37)</f>
        <v>26148.080000000002</v>
      </c>
      <c r="D38" s="846"/>
      <c r="E38" s="847">
        <f>SUM(E7:E37)</f>
        <v>8243.9000000000015</v>
      </c>
      <c r="F38" s="846"/>
      <c r="G38" s="847">
        <f>SUM(G7:G37)</f>
        <v>1954</v>
      </c>
      <c r="H38" s="848">
        <f>SUM(H6:H37)</f>
        <v>7299.9734499999995</v>
      </c>
      <c r="I38" s="848">
        <f>SUM(I6:I37)</f>
        <v>42098.408799999997</v>
      </c>
      <c r="J38" s="848">
        <f>SUM(J6:J37)</f>
        <v>3145.9400000000005</v>
      </c>
      <c r="K38" s="915">
        <f>SUM(K6:K37)</f>
        <v>34391.979999999996</v>
      </c>
    </row>
    <row r="39" spans="1:14" s="588" customFormat="1" ht="41.25" customHeight="1" thickBot="1">
      <c r="A39" s="782" t="s">
        <v>163</v>
      </c>
      <c r="B39" s="849"/>
      <c r="C39" s="850">
        <f>C38/A51</f>
        <v>871.60266666666678</v>
      </c>
      <c r="D39" s="849"/>
      <c r="E39" s="850">
        <f>E38/A51</f>
        <v>274.79666666666674</v>
      </c>
      <c r="F39" s="849"/>
      <c r="G39" s="850">
        <f>G38/A51</f>
        <v>65.13333333333334</v>
      </c>
      <c r="H39" s="850"/>
      <c r="I39" s="850"/>
      <c r="J39" s="850" t="e">
        <f>J38/#REF!</f>
        <v>#REF!</v>
      </c>
    </row>
    <row r="40" spans="1:14" s="588" customFormat="1" ht="42" customHeight="1">
      <c r="A40" s="781" t="s">
        <v>164</v>
      </c>
      <c r="B40" s="793"/>
      <c r="C40" s="795"/>
      <c r="D40" s="793"/>
      <c r="E40" s="795"/>
      <c r="F40" s="793"/>
      <c r="G40" s="795"/>
      <c r="H40" s="796"/>
      <c r="I40" s="796"/>
      <c r="J40" s="797"/>
    </row>
    <row r="41" spans="1:14" s="588" customFormat="1" ht="42" customHeight="1" thickBot="1">
      <c r="A41" s="782" t="s">
        <v>148</v>
      </c>
      <c r="B41" s="794"/>
      <c r="C41" s="790"/>
      <c r="D41" s="794"/>
      <c r="E41" s="790"/>
      <c r="F41" s="794"/>
      <c r="G41" s="790"/>
      <c r="H41" s="790"/>
      <c r="I41" s="790"/>
      <c r="J41" s="792"/>
    </row>
    <row r="42" spans="1:14" s="588" customFormat="1" ht="30.75" customHeight="1" thickBot="1">
      <c r="A42" s="783" t="s">
        <v>113</v>
      </c>
      <c r="B42" s="798"/>
      <c r="C42" s="799"/>
      <c r="D42" s="798"/>
      <c r="E42" s="799"/>
      <c r="F42" s="798"/>
      <c r="G42" s="799"/>
      <c r="H42" s="799"/>
      <c r="I42" s="799"/>
      <c r="J42" s="800" t="e">
        <f>#REF!/$A$51</f>
        <v>#REF!</v>
      </c>
      <c r="N42" s="801"/>
    </row>
    <row r="43" spans="1:14" s="588" customFormat="1" ht="28.5" customHeight="1">
      <c r="A43" s="784" t="s">
        <v>114</v>
      </c>
      <c r="B43" s="802"/>
      <c r="C43" s="803"/>
      <c r="D43" s="802"/>
      <c r="E43" s="803"/>
      <c r="F43" s="802"/>
      <c r="G43" s="803"/>
      <c r="H43" s="803"/>
      <c r="I43" s="803"/>
      <c r="J43" s="804"/>
    </row>
    <row r="44" spans="1:14" s="588" customFormat="1" ht="28.5" customHeight="1">
      <c r="A44" s="785" t="s">
        <v>115</v>
      </c>
      <c r="B44" s="805"/>
      <c r="C44" s="806"/>
      <c r="D44" s="805"/>
      <c r="E44" s="806"/>
      <c r="F44" s="805"/>
      <c r="G44" s="806"/>
      <c r="H44" s="806"/>
      <c r="I44" s="806"/>
      <c r="J44" s="807"/>
    </row>
    <row r="45" spans="1:14" s="588" customFormat="1" ht="28.5" customHeight="1" thickBot="1">
      <c r="A45" s="786" t="s">
        <v>117</v>
      </c>
      <c r="B45" s="808"/>
      <c r="C45" s="809"/>
      <c r="D45" s="808"/>
      <c r="E45" s="809"/>
      <c r="F45" s="808"/>
      <c r="G45" s="809"/>
      <c r="H45" s="809"/>
      <c r="I45" s="809"/>
      <c r="J45" s="810"/>
    </row>
    <row r="46" spans="1:14" s="588" customFormat="1" ht="28.5" customHeight="1">
      <c r="A46" s="787" t="s">
        <v>165</v>
      </c>
      <c r="B46" s="793"/>
      <c r="C46" s="795"/>
      <c r="D46" s="793"/>
      <c r="E46" s="795"/>
      <c r="F46" s="793"/>
      <c r="G46" s="795"/>
      <c r="H46" s="795"/>
      <c r="I46" s="795"/>
      <c r="J46" s="791"/>
    </row>
    <row r="47" spans="1:14" s="588" customFormat="1" ht="28.5" customHeight="1" thickBot="1">
      <c r="A47" s="788" t="s">
        <v>166</v>
      </c>
      <c r="B47" s="794"/>
      <c r="C47" s="790"/>
      <c r="D47" s="794"/>
      <c r="E47" s="790"/>
      <c r="F47" s="794"/>
      <c r="G47" s="790"/>
      <c r="H47" s="790"/>
      <c r="I47" s="790"/>
      <c r="J47" s="792"/>
    </row>
    <row r="48" spans="1:14" s="588" customFormat="1" ht="36.75" thickBot="1">
      <c r="A48" s="636" t="s">
        <v>120</v>
      </c>
      <c r="B48" s="637"/>
      <c r="C48" s="594">
        <f>IF(C34&gt;0,C34,0)</f>
        <v>201.4</v>
      </c>
      <c r="D48" s="637"/>
      <c r="E48" s="594">
        <f>IF(E34&gt;0,E34,0)</f>
        <v>221.89999999999998</v>
      </c>
      <c r="F48" s="637"/>
      <c r="G48" s="594">
        <f>IF(G34&gt;0,G34,0)</f>
        <v>0</v>
      </c>
      <c r="H48" s="594"/>
      <c r="I48" s="594"/>
      <c r="J48" s="594"/>
      <c r="M48" s="614"/>
    </row>
    <row r="49" spans="1:13" s="588" customFormat="1" ht="28.5" customHeight="1">
      <c r="A49" s="789"/>
      <c r="B49" s="811"/>
      <c r="C49" s="811"/>
      <c r="D49" s="811"/>
      <c r="E49" s="811"/>
      <c r="F49" s="811"/>
      <c r="G49" s="811"/>
      <c r="H49" s="811"/>
      <c r="I49" s="811"/>
      <c r="J49" s="812"/>
    </row>
    <row r="50" spans="1:13" s="209" customFormat="1" ht="28.5" customHeight="1">
      <c r="A50" s="212" t="s">
        <v>167</v>
      </c>
      <c r="B50" s="210"/>
      <c r="C50" s="213"/>
      <c r="D50" s="210"/>
      <c r="E50" s="213"/>
      <c r="F50" s="210"/>
      <c r="G50" s="213"/>
      <c r="H50" s="213"/>
      <c r="I50" s="213"/>
      <c r="J50" s="214"/>
    </row>
    <row r="51" spans="1:13" s="209" customFormat="1" ht="28.5" customHeight="1">
      <c r="A51" s="211">
        <f>Elect!J46</f>
        <v>30</v>
      </c>
      <c r="B51" s="213"/>
      <c r="C51" s="213"/>
      <c r="D51" s="213"/>
      <c r="E51" s="213"/>
      <c r="F51" s="213"/>
      <c r="G51" s="213"/>
      <c r="H51" s="213"/>
      <c r="I51" s="213"/>
      <c r="J51" s="214"/>
    </row>
    <row r="52" spans="1:13" s="209" customFormat="1" ht="28.5" customHeight="1">
      <c r="B52" s="213"/>
      <c r="C52" s="213"/>
      <c r="D52" s="213"/>
      <c r="E52" s="213"/>
      <c r="F52" s="213"/>
      <c r="G52" s="213"/>
      <c r="H52" s="213"/>
      <c r="I52" s="213"/>
      <c r="J52" s="214"/>
    </row>
    <row r="53" spans="1:13" s="209" customFormat="1" ht="36" customHeight="1">
      <c r="B53" s="119"/>
      <c r="C53" s="213"/>
      <c r="D53" s="119"/>
      <c r="E53" s="213"/>
      <c r="F53" s="119"/>
      <c r="G53" s="213"/>
      <c r="H53" s="213"/>
      <c r="I53" s="213"/>
      <c r="J53" s="214"/>
    </row>
    <row r="54" spans="1:13" s="209" customFormat="1" ht="28.5" customHeight="1">
      <c r="B54" s="213"/>
      <c r="C54" s="213"/>
      <c r="D54" s="213"/>
      <c r="E54" s="213"/>
      <c r="F54" s="213"/>
      <c r="G54" s="213"/>
      <c r="H54" s="213"/>
      <c r="I54" s="213"/>
      <c r="J54" s="214"/>
      <c r="K54" s="215"/>
      <c r="L54" s="215"/>
      <c r="M54" s="215"/>
    </row>
    <row r="55" spans="1:13" s="209" customFormat="1" ht="28.5" customHeight="1">
      <c r="B55" s="213"/>
      <c r="C55" s="213"/>
      <c r="D55" s="213"/>
      <c r="E55" s="213"/>
      <c r="F55" s="213"/>
      <c r="G55" s="213"/>
      <c r="H55" s="213"/>
      <c r="I55" s="213"/>
      <c r="J55" s="214"/>
      <c r="K55" s="213"/>
      <c r="L55" s="214"/>
      <c r="M55" s="216"/>
    </row>
    <row r="56" spans="1:13" s="209" customFormat="1" ht="28.5" customHeight="1">
      <c r="B56" s="213"/>
      <c r="C56" s="213"/>
      <c r="D56" s="213"/>
      <c r="E56" s="213"/>
      <c r="F56" s="213"/>
      <c r="G56" s="213"/>
      <c r="H56" s="213"/>
      <c r="I56" s="213"/>
      <c r="J56" s="214"/>
      <c r="K56" s="213"/>
      <c r="L56" s="214"/>
      <c r="M56" s="216"/>
    </row>
    <row r="57" spans="1:13" s="209" customFormat="1" ht="28.5" customHeight="1">
      <c r="B57" s="213"/>
      <c r="C57" s="213"/>
      <c r="D57" s="213"/>
      <c r="E57" s="213"/>
      <c r="F57" s="213"/>
      <c r="G57" s="213"/>
      <c r="H57" s="213"/>
      <c r="I57" s="213"/>
      <c r="J57" s="214"/>
      <c r="K57" s="213"/>
      <c r="L57" s="214"/>
      <c r="M57" s="216"/>
    </row>
    <row r="58" spans="1:13" s="209" customFormat="1" ht="28.5" customHeight="1">
      <c r="B58" s="213"/>
      <c r="C58" s="213"/>
      <c r="D58" s="213"/>
      <c r="E58" s="213"/>
      <c r="F58" s="213"/>
      <c r="G58" s="213"/>
      <c r="H58" s="213"/>
      <c r="I58" s="213"/>
      <c r="J58" s="214"/>
      <c r="K58" s="213"/>
      <c r="L58" s="214"/>
      <c r="M58" s="216"/>
    </row>
    <row r="59" spans="1:13" s="209" customFormat="1" ht="28.5" customHeight="1">
      <c r="B59" s="213"/>
      <c r="C59" s="213"/>
      <c r="D59" s="213"/>
      <c r="E59" s="213"/>
      <c r="F59" s="213"/>
      <c r="G59" s="213"/>
      <c r="H59" s="213"/>
      <c r="I59" s="213"/>
      <c r="J59" s="214"/>
      <c r="K59" s="213"/>
      <c r="L59" s="214"/>
      <c r="M59" s="216"/>
    </row>
    <row r="60" spans="1:13" s="209" customFormat="1" ht="28.5" customHeight="1">
      <c r="B60" s="213"/>
      <c r="C60" s="213"/>
      <c r="D60" s="213"/>
      <c r="E60" s="213"/>
      <c r="F60" s="213"/>
      <c r="G60" s="213"/>
      <c r="H60" s="213"/>
      <c r="I60" s="213"/>
      <c r="J60" s="214"/>
      <c r="K60" s="213"/>
      <c r="L60" s="214"/>
      <c r="M60" s="216"/>
    </row>
    <row r="61" spans="1:13" s="209" customFormat="1" ht="28.5" customHeight="1">
      <c r="B61" s="213"/>
      <c r="C61" s="213"/>
      <c r="D61" s="213"/>
      <c r="E61" s="213"/>
      <c r="F61" s="213"/>
      <c r="G61" s="213"/>
      <c r="H61" s="213"/>
      <c r="I61" s="213"/>
      <c r="J61" s="214"/>
      <c r="K61" s="213"/>
      <c r="L61" s="214"/>
      <c r="M61" s="216"/>
    </row>
    <row r="62" spans="1:13" s="209" customFormat="1" ht="28.5" customHeight="1">
      <c r="B62" s="213"/>
      <c r="C62" s="213"/>
      <c r="D62" s="213"/>
      <c r="E62" s="213"/>
      <c r="F62" s="213"/>
      <c r="G62" s="213"/>
      <c r="H62" s="213"/>
      <c r="I62" s="213"/>
      <c r="J62" s="214"/>
      <c r="K62" s="213"/>
      <c r="L62" s="214"/>
      <c r="M62" s="216"/>
    </row>
    <row r="63" spans="1:13" s="209" customFormat="1" ht="28.5" customHeight="1">
      <c r="B63" s="213"/>
      <c r="C63" s="213"/>
      <c r="D63" s="213"/>
      <c r="E63" s="213"/>
      <c r="F63" s="213"/>
      <c r="G63" s="213"/>
      <c r="H63" s="213"/>
      <c r="I63" s="213"/>
      <c r="J63" s="214"/>
      <c r="K63" s="213"/>
      <c r="L63" s="214"/>
      <c r="M63" s="216"/>
    </row>
    <row r="64" spans="1:13" s="209" customFormat="1" ht="28.5" customHeight="1">
      <c r="B64" s="213"/>
      <c r="C64" s="213"/>
      <c r="D64" s="213"/>
      <c r="E64" s="213"/>
      <c r="F64" s="213"/>
      <c r="G64" s="213"/>
      <c r="H64" s="213"/>
      <c r="I64" s="213"/>
      <c r="J64" s="214"/>
      <c r="K64" s="213"/>
      <c r="L64" s="214"/>
      <c r="M64" s="216"/>
    </row>
    <row r="65" spans="2:13" s="209" customFormat="1" ht="28.5" customHeight="1">
      <c r="B65" s="213"/>
      <c r="C65" s="213"/>
      <c r="D65" s="213"/>
      <c r="E65" s="213"/>
      <c r="F65" s="213"/>
      <c r="G65" s="213"/>
      <c r="H65" s="213"/>
      <c r="I65" s="213"/>
      <c r="J65" s="214"/>
      <c r="K65" s="213"/>
      <c r="L65" s="214"/>
      <c r="M65" s="216"/>
    </row>
    <row r="66" spans="2:13" s="209" customFormat="1" ht="28.5" customHeight="1">
      <c r="B66" s="213"/>
      <c r="C66" s="213"/>
      <c r="D66" s="213"/>
      <c r="E66" s="213"/>
      <c r="F66" s="213"/>
      <c r="G66" s="213"/>
      <c r="H66" s="213"/>
      <c r="I66" s="213"/>
      <c r="J66" s="214"/>
      <c r="K66" s="213"/>
      <c r="L66" s="214"/>
      <c r="M66" s="216"/>
    </row>
    <row r="67" spans="2:13" s="209" customFormat="1" ht="28.5" customHeight="1">
      <c r="B67" s="213"/>
      <c r="C67" s="213"/>
      <c r="D67" s="213"/>
      <c r="E67" s="213"/>
      <c r="F67" s="213"/>
      <c r="G67" s="213"/>
      <c r="H67" s="213"/>
      <c r="I67" s="213"/>
      <c r="J67" s="214"/>
      <c r="K67" s="213"/>
      <c r="L67" s="214"/>
      <c r="M67" s="216"/>
    </row>
    <row r="68" spans="2:13" s="209" customFormat="1" ht="28.5" customHeight="1">
      <c r="B68" s="213"/>
      <c r="C68" s="213"/>
      <c r="D68" s="213"/>
      <c r="E68" s="213"/>
      <c r="F68" s="213"/>
      <c r="G68" s="213"/>
      <c r="H68" s="213"/>
      <c r="I68" s="213"/>
      <c r="J68" s="214"/>
      <c r="K68" s="213"/>
      <c r="L68" s="214"/>
      <c r="M68" s="216"/>
    </row>
    <row r="69" spans="2:13" s="209" customFormat="1" ht="28.5" customHeight="1">
      <c r="B69" s="213"/>
      <c r="C69" s="213"/>
      <c r="D69" s="213"/>
      <c r="E69" s="213"/>
      <c r="F69" s="213"/>
      <c r="G69" s="213"/>
      <c r="H69" s="213"/>
      <c r="I69" s="213"/>
      <c r="J69" s="214"/>
      <c r="K69" s="213"/>
      <c r="L69" s="214"/>
      <c r="M69" s="216"/>
    </row>
    <row r="70" spans="2:13" s="209" customFormat="1" ht="28.5" customHeight="1">
      <c r="B70" s="213"/>
      <c r="C70" s="213"/>
      <c r="D70" s="213"/>
      <c r="E70" s="213"/>
      <c r="F70" s="213"/>
      <c r="G70" s="213"/>
      <c r="H70" s="213"/>
      <c r="I70" s="213"/>
      <c r="J70" s="214"/>
      <c r="K70" s="213"/>
      <c r="L70" s="214"/>
      <c r="M70" s="216"/>
    </row>
    <row r="71" spans="2:13" s="209" customFormat="1" ht="28.5" customHeight="1">
      <c r="B71" s="213"/>
      <c r="C71" s="213"/>
      <c r="D71" s="213"/>
      <c r="E71" s="213"/>
      <c r="F71" s="213"/>
      <c r="G71" s="213"/>
      <c r="H71" s="213"/>
      <c r="I71" s="213"/>
      <c r="J71" s="214"/>
      <c r="K71" s="213"/>
      <c r="L71" s="214"/>
      <c r="M71" s="216"/>
    </row>
    <row r="72" spans="2:13" s="209" customFormat="1" ht="28.5" customHeight="1">
      <c r="B72" s="213"/>
      <c r="C72" s="213"/>
      <c r="D72" s="213"/>
      <c r="E72" s="213"/>
      <c r="F72" s="213"/>
      <c r="G72" s="213"/>
      <c r="H72" s="213"/>
      <c r="I72" s="213"/>
      <c r="J72" s="214"/>
      <c r="K72" s="213"/>
      <c r="L72" s="214"/>
      <c r="M72" s="216"/>
    </row>
    <row r="73" spans="2:13" s="209" customFormat="1" ht="28.5" customHeight="1">
      <c r="B73" s="213"/>
      <c r="C73" s="213"/>
      <c r="D73" s="213"/>
      <c r="E73" s="213"/>
      <c r="F73" s="213"/>
      <c r="G73" s="213"/>
      <c r="H73" s="213"/>
      <c r="I73" s="213"/>
      <c r="J73" s="214"/>
      <c r="K73" s="213"/>
      <c r="L73" s="214"/>
      <c r="M73" s="216"/>
    </row>
    <row r="74" spans="2:13" s="209" customFormat="1" ht="28.5" customHeight="1">
      <c r="B74" s="213"/>
      <c r="C74" s="213"/>
      <c r="D74" s="213"/>
      <c r="E74" s="213"/>
      <c r="F74" s="213"/>
      <c r="G74" s="213"/>
      <c r="H74" s="213"/>
      <c r="I74" s="213"/>
      <c r="J74" s="214"/>
      <c r="K74" s="213"/>
      <c r="L74" s="214"/>
      <c r="M74" s="216"/>
    </row>
    <row r="75" spans="2:13" s="209" customFormat="1" ht="28.5" customHeight="1">
      <c r="B75" s="213"/>
      <c r="C75" s="213"/>
      <c r="D75" s="213"/>
      <c r="E75" s="213"/>
      <c r="F75" s="213"/>
      <c r="G75" s="213"/>
      <c r="H75" s="213"/>
      <c r="I75" s="213"/>
      <c r="J75" s="214"/>
      <c r="K75" s="213"/>
      <c r="L75" s="214"/>
      <c r="M75" s="216"/>
    </row>
    <row r="76" spans="2:13" s="209" customFormat="1" ht="28.5" customHeight="1">
      <c r="B76" s="213"/>
      <c r="C76" s="213"/>
      <c r="D76" s="213"/>
      <c r="E76" s="213"/>
      <c r="F76" s="213"/>
      <c r="G76" s="213"/>
      <c r="H76" s="213"/>
      <c r="I76" s="213"/>
      <c r="J76" s="214"/>
      <c r="K76" s="213"/>
      <c r="L76" s="214"/>
      <c r="M76" s="216"/>
    </row>
    <row r="77" spans="2:13" s="209" customFormat="1" ht="28.5" customHeight="1">
      <c r="B77" s="213"/>
      <c r="C77" s="213"/>
      <c r="D77" s="213"/>
      <c r="E77" s="213"/>
      <c r="F77" s="213"/>
      <c r="G77" s="213"/>
      <c r="H77" s="213"/>
      <c r="I77" s="213"/>
      <c r="J77" s="214"/>
      <c r="K77" s="213"/>
      <c r="L77" s="214"/>
      <c r="M77" s="216"/>
    </row>
    <row r="78" spans="2:13" s="209" customFormat="1" ht="28.5" customHeight="1">
      <c r="B78" s="213"/>
      <c r="C78" s="213"/>
      <c r="D78" s="213"/>
      <c r="E78" s="213"/>
      <c r="F78" s="213"/>
      <c r="G78" s="213"/>
      <c r="H78" s="213"/>
      <c r="I78" s="213"/>
      <c r="J78" s="214"/>
      <c r="K78" s="213"/>
      <c r="L78" s="214"/>
      <c r="M78" s="216"/>
    </row>
    <row r="79" spans="2:13" s="209" customFormat="1" ht="28.5" customHeight="1">
      <c r="B79" s="213"/>
      <c r="C79" s="213"/>
      <c r="D79" s="213"/>
      <c r="E79" s="213"/>
      <c r="F79" s="213"/>
      <c r="G79" s="213"/>
      <c r="H79" s="213"/>
      <c r="I79" s="213"/>
      <c r="J79" s="214"/>
      <c r="K79" s="213"/>
      <c r="L79" s="214"/>
      <c r="M79" s="216"/>
    </row>
    <row r="80" spans="2:13" s="209" customFormat="1" ht="28.5" customHeight="1">
      <c r="B80" s="213"/>
      <c r="C80" s="213"/>
      <c r="D80" s="213"/>
      <c r="E80" s="213"/>
      <c r="F80" s="213"/>
      <c r="G80" s="213"/>
      <c r="H80" s="213"/>
      <c r="I80" s="213"/>
      <c r="J80" s="214"/>
      <c r="K80" s="213"/>
      <c r="L80" s="214"/>
      <c r="M80" s="216"/>
    </row>
    <row r="81" spans="2:13" s="209" customFormat="1" ht="28.5" customHeight="1">
      <c r="B81" s="213"/>
      <c r="C81" s="213"/>
      <c r="D81" s="213"/>
      <c r="E81" s="213"/>
      <c r="F81" s="213"/>
      <c r="G81" s="213"/>
      <c r="H81" s="213"/>
      <c r="I81" s="213"/>
      <c r="J81" s="214"/>
      <c r="K81" s="213"/>
      <c r="L81" s="214"/>
      <c r="M81" s="216"/>
    </row>
    <row r="82" spans="2:13" s="209" customFormat="1" ht="28.5" customHeight="1">
      <c r="B82" s="213"/>
      <c r="C82" s="213"/>
      <c r="D82" s="213"/>
      <c r="E82" s="213"/>
      <c r="F82" s="213"/>
      <c r="G82" s="213"/>
      <c r="H82" s="213"/>
      <c r="I82" s="213"/>
      <c r="J82" s="214"/>
      <c r="K82" s="213"/>
      <c r="L82" s="214"/>
      <c r="M82" s="216"/>
    </row>
    <row r="83" spans="2:13" s="209" customFormat="1" ht="28.5" customHeight="1">
      <c r="B83" s="213"/>
      <c r="C83" s="213"/>
      <c r="D83" s="213"/>
      <c r="E83" s="213"/>
      <c r="F83" s="213"/>
      <c r="G83" s="213"/>
      <c r="H83" s="213"/>
      <c r="I83" s="213"/>
      <c r="J83" s="214"/>
      <c r="K83" s="213"/>
      <c r="L83" s="214"/>
      <c r="M83" s="216"/>
    </row>
    <row r="84" spans="2:13" s="209" customFormat="1" ht="28.5" customHeight="1">
      <c r="B84" s="213"/>
      <c r="C84" s="213"/>
      <c r="D84" s="213"/>
      <c r="E84" s="213"/>
      <c r="F84" s="213"/>
      <c r="G84" s="213"/>
      <c r="H84" s="213"/>
      <c r="I84" s="213"/>
      <c r="J84" s="214"/>
      <c r="K84" s="213"/>
      <c r="L84" s="214"/>
      <c r="M84" s="216"/>
    </row>
    <row r="85" spans="2:13" s="209" customFormat="1" ht="28.5" customHeight="1">
      <c r="B85" s="213"/>
      <c r="C85" s="213"/>
      <c r="D85" s="213"/>
      <c r="E85" s="213"/>
      <c r="F85" s="213"/>
      <c r="G85" s="213"/>
      <c r="H85" s="213"/>
      <c r="I85" s="213"/>
      <c r="J85" s="214"/>
      <c r="K85" s="213"/>
      <c r="L85" s="214"/>
      <c r="M85" s="216"/>
    </row>
    <row r="86" spans="2:13" s="209" customFormat="1" ht="28.5" customHeight="1">
      <c r="B86" s="213"/>
      <c r="C86" s="213"/>
      <c r="D86" s="213"/>
      <c r="E86" s="213"/>
      <c r="F86" s="213"/>
      <c r="G86" s="213"/>
      <c r="H86" s="213"/>
      <c r="I86" s="213"/>
      <c r="J86" s="214"/>
      <c r="K86" s="213"/>
      <c r="L86" s="214"/>
      <c r="M86" s="216"/>
    </row>
    <row r="87" spans="2:13" s="209" customFormat="1" ht="28.5" customHeight="1">
      <c r="B87" s="213"/>
      <c r="C87" s="213"/>
      <c r="D87" s="213"/>
      <c r="E87" s="213"/>
      <c r="F87" s="213"/>
      <c r="G87" s="213"/>
      <c r="H87" s="213"/>
      <c r="I87" s="213"/>
      <c r="J87" s="214"/>
      <c r="K87" s="213"/>
      <c r="L87" s="214"/>
      <c r="M87" s="216"/>
    </row>
    <row r="88" spans="2:13" s="209" customFormat="1" ht="28.5" customHeight="1">
      <c r="B88" s="213"/>
      <c r="C88" s="213"/>
      <c r="D88" s="213"/>
      <c r="E88" s="213"/>
      <c r="F88" s="213"/>
      <c r="G88" s="213"/>
      <c r="H88" s="213"/>
      <c r="I88" s="213"/>
      <c r="J88" s="214"/>
      <c r="K88" s="213"/>
      <c r="L88" s="214"/>
      <c r="M88" s="216"/>
    </row>
    <row r="89" spans="2:13" s="209" customFormat="1" ht="28.5" customHeight="1">
      <c r="B89" s="213"/>
      <c r="C89" s="213"/>
      <c r="D89" s="213"/>
      <c r="E89" s="213"/>
      <c r="F89" s="213"/>
      <c r="G89" s="213"/>
      <c r="H89" s="213"/>
      <c r="I89" s="213"/>
      <c r="J89" s="214"/>
      <c r="K89" s="213"/>
      <c r="L89" s="214"/>
      <c r="M89" s="216"/>
    </row>
    <row r="90" spans="2:13" s="209" customFormat="1" ht="28.5" customHeight="1">
      <c r="B90" s="213"/>
      <c r="C90" s="213"/>
      <c r="D90" s="213"/>
      <c r="E90" s="213"/>
      <c r="F90" s="213"/>
      <c r="G90" s="213"/>
      <c r="H90" s="213"/>
      <c r="I90" s="213"/>
      <c r="J90" s="214"/>
      <c r="K90" s="213"/>
      <c r="L90" s="214"/>
      <c r="M90" s="216"/>
    </row>
    <row r="91" spans="2:13" s="209" customFormat="1" ht="28.5" customHeight="1">
      <c r="B91" s="213"/>
      <c r="C91" s="213"/>
      <c r="D91" s="213"/>
      <c r="E91" s="213"/>
      <c r="F91" s="213"/>
      <c r="G91" s="213"/>
      <c r="H91" s="213"/>
      <c r="I91" s="213"/>
      <c r="J91" s="214"/>
      <c r="K91" s="213"/>
      <c r="L91" s="214"/>
      <c r="M91" s="216"/>
    </row>
    <row r="92" spans="2:13" s="209" customFormat="1" ht="28.5" customHeight="1">
      <c r="B92" s="213"/>
      <c r="C92" s="213"/>
      <c r="D92" s="213"/>
      <c r="E92" s="213"/>
      <c r="F92" s="213"/>
      <c r="G92" s="213"/>
      <c r="H92" s="213"/>
      <c r="I92" s="213"/>
      <c r="J92" s="214"/>
      <c r="K92" s="213"/>
      <c r="L92" s="214"/>
      <c r="M92" s="216"/>
    </row>
    <row r="93" spans="2:13" s="209" customFormat="1" ht="28.5" customHeight="1">
      <c r="B93" s="213"/>
      <c r="C93" s="213"/>
      <c r="D93" s="213"/>
      <c r="E93" s="213"/>
      <c r="F93" s="213"/>
      <c r="G93" s="213"/>
      <c r="H93" s="213"/>
      <c r="I93" s="213"/>
      <c r="J93" s="214"/>
      <c r="K93" s="213"/>
      <c r="L93" s="214"/>
      <c r="M93" s="216"/>
    </row>
    <row r="94" spans="2:13" s="209" customFormat="1" ht="28.5" customHeight="1">
      <c r="B94" s="213"/>
      <c r="C94" s="213"/>
      <c r="D94" s="213"/>
      <c r="E94" s="213"/>
      <c r="F94" s="213"/>
      <c r="G94" s="213"/>
      <c r="H94" s="213"/>
      <c r="I94" s="213"/>
      <c r="J94" s="214"/>
      <c r="K94" s="213"/>
      <c r="L94" s="214"/>
      <c r="M94" s="216"/>
    </row>
    <row r="95" spans="2:13" s="209" customFormat="1" ht="28.5" customHeight="1">
      <c r="B95" s="213"/>
      <c r="C95" s="213"/>
      <c r="D95" s="213"/>
      <c r="E95" s="213"/>
      <c r="F95" s="213"/>
      <c r="G95" s="213"/>
      <c r="H95" s="213"/>
      <c r="I95" s="213"/>
      <c r="J95" s="214"/>
      <c r="K95" s="213"/>
      <c r="L95" s="214"/>
      <c r="M95" s="216"/>
    </row>
    <row r="96" spans="2:13" s="209" customFormat="1" ht="28.5" customHeight="1">
      <c r="B96" s="213"/>
      <c r="C96" s="213"/>
      <c r="D96" s="213"/>
      <c r="E96" s="213"/>
      <c r="F96" s="213"/>
      <c r="G96" s="213"/>
      <c r="H96" s="213"/>
      <c r="I96" s="213"/>
      <c r="J96" s="214"/>
      <c r="K96" s="213"/>
      <c r="L96" s="214"/>
      <c r="M96" s="216"/>
    </row>
    <row r="97" spans="2:13" s="209" customFormat="1" ht="28.5" customHeight="1">
      <c r="B97" s="213"/>
      <c r="C97" s="213"/>
      <c r="D97" s="213"/>
      <c r="E97" s="213"/>
      <c r="F97" s="213"/>
      <c r="G97" s="213"/>
      <c r="H97" s="213"/>
      <c r="I97" s="213"/>
      <c r="J97" s="214"/>
      <c r="K97" s="213"/>
      <c r="L97" s="214"/>
      <c r="M97" s="216"/>
    </row>
    <row r="98" spans="2:13" s="209" customFormat="1" ht="28.5" customHeight="1">
      <c r="B98" s="213"/>
      <c r="C98" s="213"/>
      <c r="D98" s="213"/>
      <c r="E98" s="213"/>
      <c r="F98" s="213"/>
      <c r="G98" s="213"/>
      <c r="H98" s="213"/>
      <c r="I98" s="213"/>
      <c r="J98" s="214"/>
      <c r="K98" s="213"/>
      <c r="L98" s="214"/>
      <c r="M98" s="2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1" customWidth="1"/>
    <col min="9" max="9" width="26.5703125" style="171" customWidth="1"/>
    <col min="10" max="10" width="22" style="171" customWidth="1"/>
    <col min="11" max="11" width="27.140625" style="171" customWidth="1"/>
    <col min="12" max="12" width="22" style="171" customWidth="1"/>
    <col min="13" max="13" width="26" style="171" customWidth="1"/>
    <col min="14" max="14" width="30" style="171" customWidth="1"/>
    <col min="15" max="15" width="22" style="171" customWidth="1"/>
    <col min="16" max="16" width="29.42578125" style="171" customWidth="1"/>
    <col min="17" max="17" width="22" style="170" customWidth="1"/>
    <col min="18" max="18" width="27.140625" style="171" customWidth="1"/>
    <col min="19" max="19" width="22" style="171" customWidth="1"/>
    <col min="20" max="20" width="25.42578125" style="171" customWidth="1"/>
    <col min="21" max="21" width="22" style="171" customWidth="1"/>
    <col min="22" max="22" width="24.85546875" style="171" customWidth="1"/>
    <col min="23" max="23" width="22" style="171" customWidth="1"/>
    <col min="24" max="24" width="25.42578125" style="171" customWidth="1"/>
    <col min="25" max="25" width="22" style="171" customWidth="1"/>
    <col min="26" max="26" width="25.42578125" style="171" customWidth="1"/>
    <col min="27" max="27" width="22" style="171" customWidth="1"/>
    <col min="28" max="28" width="28.140625" style="171" customWidth="1"/>
    <col min="29" max="29" width="22" style="171" customWidth="1"/>
    <col min="30" max="31" width="26.5703125" style="171" customWidth="1"/>
    <col min="32" max="32" width="27.140625" style="171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1" customWidth="1"/>
    <col min="47" max="47" width="27.140625" style="171" customWidth="1"/>
    <col min="48" max="49" width="15.140625" style="171" hidden="1" customWidth="1"/>
    <col min="50" max="50" width="22.5703125" style="171" customWidth="1"/>
    <col min="51" max="51" width="20.28515625" style="171" customWidth="1"/>
    <col min="52" max="52" width="28.28515625" style="171" customWidth="1"/>
    <col min="53" max="53" width="18.5703125" style="171" customWidth="1"/>
    <col min="54" max="54" width="19.140625" style="171" customWidth="1"/>
    <col min="55" max="55" width="25.5703125" style="171" customWidth="1"/>
    <col min="56" max="57" width="26" style="171" customWidth="1"/>
    <col min="58" max="58" width="28.28515625" style="171" customWidth="1"/>
    <col min="59" max="59" width="26" style="171" customWidth="1"/>
    <col min="60" max="60" width="21" style="171" customWidth="1"/>
    <col min="61" max="61" width="20.42578125" style="171" customWidth="1"/>
    <col min="62" max="62" width="22.7109375" style="171" customWidth="1"/>
    <col min="63" max="64" width="20.42578125" style="171" customWidth="1"/>
    <col min="65" max="65" width="25" style="171" customWidth="1"/>
    <col min="66" max="66" width="27.85546875" style="171" customWidth="1"/>
    <col min="67" max="67" width="25.42578125" style="171" customWidth="1"/>
    <col min="68" max="68" width="26.7109375" style="171" customWidth="1"/>
    <col min="69" max="69" width="27.85546875" style="171" customWidth="1"/>
    <col min="70" max="16384" width="15.140625" style="143"/>
  </cols>
  <sheetData>
    <row r="1" spans="1:69" ht="60" customHeight="1" thickBot="1">
      <c r="A1" s="1046" t="str">
        <f>Elect!A1</f>
        <v>March</v>
      </c>
      <c r="B1" s="172"/>
      <c r="C1" s="172"/>
      <c r="H1" s="143"/>
      <c r="I1" s="144"/>
      <c r="J1" s="145"/>
      <c r="K1" s="145"/>
      <c r="L1" s="1048" t="s">
        <v>168</v>
      </c>
      <c r="M1" s="1048"/>
      <c r="N1" s="1048"/>
      <c r="P1" s="1049" t="str">
        <f>Elect!A1</f>
        <v>March</v>
      </c>
      <c r="Q1" s="1049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47"/>
      <c r="B2" s="1033" t="s">
        <v>169</v>
      </c>
      <c r="C2" s="1034"/>
      <c r="D2" s="1034"/>
      <c r="E2" s="1034"/>
      <c r="F2" s="1034"/>
      <c r="G2" s="1050"/>
      <c r="H2" s="1033" t="s">
        <v>125</v>
      </c>
      <c r="I2" s="1034"/>
      <c r="J2" s="1034"/>
      <c r="K2" s="1034"/>
      <c r="L2" s="1034"/>
      <c r="M2" s="1034"/>
      <c r="N2" s="1034"/>
      <c r="O2" s="1034"/>
      <c r="P2" s="1050"/>
      <c r="Q2" s="151"/>
      <c r="R2" s="952"/>
      <c r="S2" s="152"/>
      <c r="T2" s="153"/>
      <c r="U2" s="154" t="s">
        <v>170</v>
      </c>
      <c r="V2" s="153"/>
      <c r="W2" s="153"/>
      <c r="X2" s="153"/>
      <c r="Y2" s="153"/>
      <c r="Z2" s="955"/>
      <c r="AA2" s="954"/>
      <c r="AB2" s="155"/>
      <c r="AC2" s="173" t="s">
        <v>171</v>
      </c>
      <c r="AD2" s="953"/>
      <c r="AE2" s="956"/>
      <c r="AF2" s="156"/>
      <c r="AG2" s="1021" t="s">
        <v>42</v>
      </c>
      <c r="AH2" s="1022"/>
      <c r="AI2" s="1022"/>
      <c r="AJ2" s="383" t="s">
        <v>172</v>
      </c>
      <c r="AK2" s="1027" t="s">
        <v>173</v>
      </c>
      <c r="AL2" s="1029" t="s">
        <v>174</v>
      </c>
      <c r="AM2" s="1029" t="s">
        <v>175</v>
      </c>
      <c r="AN2" s="1019" t="s">
        <v>176</v>
      </c>
      <c r="AO2" s="1037" t="s">
        <v>177</v>
      </c>
      <c r="AP2" s="1038" t="s">
        <v>178</v>
      </c>
      <c r="AQ2" s="1040" t="s">
        <v>179</v>
      </c>
      <c r="AR2" s="1042" t="s">
        <v>180</v>
      </c>
      <c r="AS2" s="1044" t="s">
        <v>178</v>
      </c>
      <c r="AT2" s="1035" t="s">
        <v>181</v>
      </c>
      <c r="AU2" s="1036"/>
      <c r="AV2" s="1033" t="s">
        <v>182</v>
      </c>
      <c r="AW2" s="1034"/>
      <c r="AX2" s="176"/>
      <c r="AY2" s="177"/>
      <c r="AZ2" s="178" t="s">
        <v>183</v>
      </c>
      <c r="BA2" s="178"/>
      <c r="BB2" s="179"/>
      <c r="BC2" s="159"/>
      <c r="BD2" s="157"/>
      <c r="BE2" s="952" t="s">
        <v>184</v>
      </c>
      <c r="BF2" s="952"/>
      <c r="BG2" s="158"/>
      <c r="BH2" s="178"/>
      <c r="BI2" s="178"/>
      <c r="BJ2" s="178" t="s">
        <v>185</v>
      </c>
      <c r="BK2" s="178"/>
      <c r="BL2" s="179"/>
      <c r="BM2" s="952"/>
      <c r="BN2" s="952"/>
      <c r="BO2" s="952" t="s">
        <v>186</v>
      </c>
      <c r="BP2" s="952"/>
      <c r="BQ2" s="158"/>
    </row>
    <row r="3" spans="1:69" ht="174.75" customHeight="1" thickBot="1">
      <c r="A3" s="160" t="s">
        <v>53</v>
      </c>
      <c r="B3" s="1051" t="s">
        <v>187</v>
      </c>
      <c r="C3" s="1052"/>
      <c r="D3" s="1053" t="s">
        <v>55</v>
      </c>
      <c r="E3" s="1054"/>
      <c r="F3" s="1055" t="s">
        <v>56</v>
      </c>
      <c r="G3" s="1056"/>
      <c r="H3" s="1055" t="s">
        <v>188</v>
      </c>
      <c r="I3" s="1056"/>
      <c r="J3" s="1057" t="s">
        <v>189</v>
      </c>
      <c r="K3" s="1058"/>
      <c r="L3" s="1059" t="s">
        <v>190</v>
      </c>
      <c r="M3" s="1060"/>
      <c r="N3" s="156" t="s">
        <v>191</v>
      </c>
      <c r="O3" s="1023" t="s">
        <v>138</v>
      </c>
      <c r="P3" s="1024"/>
      <c r="Q3" s="1023" t="s">
        <v>192</v>
      </c>
      <c r="R3" s="1024"/>
      <c r="S3" s="1025" t="s">
        <v>193</v>
      </c>
      <c r="T3" s="1026"/>
      <c r="U3" s="1025" t="s">
        <v>194</v>
      </c>
      <c r="V3" s="1026"/>
      <c r="W3" s="1031" t="s">
        <v>195</v>
      </c>
      <c r="X3" s="1032"/>
      <c r="Y3" s="1025" t="s">
        <v>196</v>
      </c>
      <c r="Z3" s="1026"/>
      <c r="AA3" s="1031" t="s">
        <v>197</v>
      </c>
      <c r="AB3" s="1032"/>
      <c r="AC3" s="1025" t="s">
        <v>198</v>
      </c>
      <c r="AD3" s="1026"/>
      <c r="AE3" s="161" t="s">
        <v>199</v>
      </c>
      <c r="AF3" s="415" t="s">
        <v>200</v>
      </c>
      <c r="AG3" s="185" t="s">
        <v>201</v>
      </c>
      <c r="AH3" s="162" t="s">
        <v>202</v>
      </c>
      <c r="AI3" s="163" t="s">
        <v>144</v>
      </c>
      <c r="AJ3" s="384">
        <v>0</v>
      </c>
      <c r="AK3" s="1028"/>
      <c r="AL3" s="1030"/>
      <c r="AM3" s="1030"/>
      <c r="AN3" s="1020"/>
      <c r="AO3" s="1093"/>
      <c r="AP3" s="1039"/>
      <c r="AQ3" s="1041"/>
      <c r="AR3" s="1043"/>
      <c r="AS3" s="1045"/>
      <c r="AT3" s="165" t="s">
        <v>203</v>
      </c>
      <c r="AU3" s="165" t="s">
        <v>204</v>
      </c>
      <c r="AV3" s="164" t="s">
        <v>130</v>
      </c>
      <c r="AW3" s="166" t="s">
        <v>132</v>
      </c>
      <c r="AX3" s="180" t="s">
        <v>131</v>
      </c>
      <c r="AY3" s="181" t="s">
        <v>133</v>
      </c>
      <c r="AZ3" s="385" t="s">
        <v>134</v>
      </c>
      <c r="BA3" s="182" t="s">
        <v>205</v>
      </c>
      <c r="BB3" s="183" t="s">
        <v>206</v>
      </c>
      <c r="BC3" s="416" t="s">
        <v>131</v>
      </c>
      <c r="BD3" s="417" t="s">
        <v>133</v>
      </c>
      <c r="BE3" s="386" t="s">
        <v>134</v>
      </c>
      <c r="BF3" s="168" t="s">
        <v>205</v>
      </c>
      <c r="BG3" s="169" t="s">
        <v>206</v>
      </c>
      <c r="BH3" s="181" t="s">
        <v>131</v>
      </c>
      <c r="BI3" s="181" t="s">
        <v>133</v>
      </c>
      <c r="BJ3" s="385" t="s">
        <v>134</v>
      </c>
      <c r="BK3" s="182" t="s">
        <v>205</v>
      </c>
      <c r="BL3" s="183" t="s">
        <v>206</v>
      </c>
      <c r="BM3" s="167" t="s">
        <v>131</v>
      </c>
      <c r="BN3" s="167" t="s">
        <v>133</v>
      </c>
      <c r="BO3" s="386" t="s">
        <v>134</v>
      </c>
      <c r="BP3" s="168" t="s">
        <v>205</v>
      </c>
      <c r="BQ3" s="169" t="s">
        <v>206</v>
      </c>
    </row>
    <row r="4" spans="1:69" s="418" customFormat="1" ht="51.75" customHeight="1">
      <c r="A4" s="419"/>
      <c r="B4" s="420">
        <v>2013</v>
      </c>
      <c r="C4" s="419">
        <v>2014</v>
      </c>
      <c r="D4" s="420">
        <v>2013</v>
      </c>
      <c r="E4" s="419">
        <v>2014</v>
      </c>
      <c r="F4" s="420">
        <v>2013</v>
      </c>
      <c r="G4" s="419">
        <v>2014</v>
      </c>
      <c r="H4" s="420">
        <v>2013</v>
      </c>
      <c r="I4" s="419">
        <v>2014</v>
      </c>
      <c r="J4" s="420">
        <v>2009</v>
      </c>
      <c r="K4" s="421">
        <v>2010</v>
      </c>
      <c r="L4" s="420">
        <v>2009</v>
      </c>
      <c r="M4" s="419">
        <v>2010</v>
      </c>
      <c r="N4" s="422"/>
      <c r="O4" s="420">
        <v>2009</v>
      </c>
      <c r="P4" s="419">
        <v>2010</v>
      </c>
      <c r="Q4" s="420">
        <v>2009</v>
      </c>
      <c r="R4" s="419">
        <v>2010</v>
      </c>
      <c r="S4" s="420">
        <v>2009</v>
      </c>
      <c r="T4" s="419">
        <v>2010</v>
      </c>
      <c r="U4" s="420">
        <v>2009</v>
      </c>
      <c r="V4" s="419">
        <v>2010</v>
      </c>
      <c r="W4" s="420">
        <v>2009</v>
      </c>
      <c r="X4" s="419">
        <v>2010</v>
      </c>
      <c r="Y4" s="420">
        <v>2009</v>
      </c>
      <c r="Z4" s="419">
        <v>2010</v>
      </c>
      <c r="AA4" s="420">
        <v>2009</v>
      </c>
      <c r="AB4" s="419">
        <v>2010</v>
      </c>
      <c r="AC4" s="420">
        <v>2009</v>
      </c>
      <c r="AD4" s="419">
        <v>2010</v>
      </c>
      <c r="AE4" s="423"/>
      <c r="AF4" s="424"/>
      <c r="AG4" s="425"/>
      <c r="AH4" s="426"/>
      <c r="AI4" s="426"/>
      <c r="AJ4" s="427"/>
      <c r="AK4" s="428"/>
      <c r="AL4" s="429"/>
      <c r="AM4" s="429"/>
      <c r="AN4" s="430"/>
      <c r="AO4" s="430"/>
      <c r="AP4" s="431"/>
      <c r="AQ4" s="432"/>
      <c r="AR4" s="430"/>
      <c r="AS4" s="433"/>
      <c r="AT4" s="434"/>
      <c r="AU4" s="434"/>
      <c r="AV4" s="435"/>
      <c r="AW4" s="436"/>
      <c r="AX4" s="437"/>
      <c r="AY4" s="438"/>
      <c r="AZ4" s="439"/>
      <c r="BA4" s="440"/>
      <c r="BB4" s="441"/>
      <c r="BC4" s="442"/>
      <c r="BD4" s="443"/>
      <c r="BE4" s="443"/>
      <c r="BF4" s="443"/>
      <c r="BG4" s="444"/>
      <c r="BH4" s="445"/>
      <c r="BI4" s="445"/>
      <c r="BJ4" s="446"/>
      <c r="BK4" s="447"/>
      <c r="BL4" s="448"/>
      <c r="BM4" s="443"/>
      <c r="BN4" s="443"/>
      <c r="BO4" s="449"/>
      <c r="BP4" s="450"/>
      <c r="BQ4" s="451"/>
    </row>
    <row r="5" spans="1:69" s="479" customFormat="1" ht="72" customHeight="1">
      <c r="A5" s="478">
        <v>1</v>
      </c>
      <c r="B5" s="498">
        <v>33600</v>
      </c>
      <c r="C5" s="499">
        <f>Elect!J6</f>
        <v>6715</v>
      </c>
      <c r="D5" s="500">
        <v>0</v>
      </c>
      <c r="E5" s="499">
        <f>Elect!M6</f>
        <v>2076</v>
      </c>
      <c r="F5" s="500">
        <v>20</v>
      </c>
      <c r="G5" s="499">
        <f>Elect!O6</f>
        <v>1990</v>
      </c>
      <c r="H5" s="500">
        <v>800</v>
      </c>
      <c r="I5" s="499">
        <f>Water!C7</f>
        <v>179.79999999999998</v>
      </c>
      <c r="J5" s="500">
        <v>0</v>
      </c>
      <c r="K5" s="499">
        <f>Water!E7</f>
        <v>5.8</v>
      </c>
      <c r="L5" s="500">
        <v>0</v>
      </c>
      <c r="M5" s="499" t="e">
        <f>Water!#REF!</f>
        <v>#REF!</v>
      </c>
      <c r="N5" s="501" t="e">
        <f>Water!#REF!</f>
        <v>#REF!</v>
      </c>
      <c r="O5" s="500">
        <v>1005</v>
      </c>
      <c r="P5" s="499">
        <f>Water!H7</f>
        <v>201.84</v>
      </c>
      <c r="Q5" s="500">
        <v>114</v>
      </c>
      <c r="R5" s="499">
        <f>Water!O7</f>
        <v>0</v>
      </c>
      <c r="S5" s="500">
        <v>13</v>
      </c>
      <c r="T5" s="510" t="e">
        <f>Water!#REF!</f>
        <v>#REF!</v>
      </c>
      <c r="U5" s="500">
        <v>147</v>
      </c>
      <c r="V5" s="510" t="e">
        <f>Water!#REF!</f>
        <v>#REF!</v>
      </c>
      <c r="W5" s="500">
        <v>755</v>
      </c>
      <c r="X5" s="510">
        <f>Water!Q7</f>
        <v>117.0672</v>
      </c>
      <c r="Y5" s="500">
        <v>0</v>
      </c>
      <c r="Z5" s="499" t="e">
        <f>Water!#REF!</f>
        <v>#REF!</v>
      </c>
      <c r="AA5" s="500">
        <v>0</v>
      </c>
      <c r="AB5" s="499">
        <v>0</v>
      </c>
      <c r="AC5" s="500">
        <v>690</v>
      </c>
      <c r="AD5" s="499" t="e">
        <f>Water!#REF!</f>
        <v>#REF!</v>
      </c>
      <c r="AE5" s="502" t="e">
        <f>Water!#REF!</f>
        <v>#REF!</v>
      </c>
      <c r="AF5" s="499" t="e">
        <f>Water!#REF!</f>
        <v>#REF!</v>
      </c>
      <c r="AG5" s="506" t="e">
        <f>Gas!#REF!</f>
        <v>#REF!</v>
      </c>
      <c r="AH5" s="503">
        <f>Gas!C7</f>
        <v>1459.6200000000001</v>
      </c>
      <c r="AI5" s="504" t="e">
        <f>Gas!#REF!</f>
        <v>#REF!</v>
      </c>
      <c r="AJ5" s="505">
        <f>Gas!J7</f>
        <v>222.18</v>
      </c>
      <c r="AK5" s="505" t="e">
        <f>Gas!#REF!</f>
        <v>#REF!</v>
      </c>
      <c r="AL5" s="506" t="e">
        <f>Gas!#REF!</f>
        <v>#REF!</v>
      </c>
      <c r="AM5" s="503" t="e">
        <f>Gas!#REF!</f>
        <v>#REF!</v>
      </c>
      <c r="AN5" s="503" t="e">
        <f>Gas!#REF!</f>
        <v>#REF!</v>
      </c>
      <c r="AO5" s="503" t="e">
        <f>Gas!#REF!</f>
        <v>#REF!</v>
      </c>
      <c r="AP5" s="503" t="e">
        <f>Gas!#REF!</f>
        <v>#REF!</v>
      </c>
      <c r="AQ5" s="503" t="e">
        <f>Gas!#REF!</f>
        <v>#REF!</v>
      </c>
      <c r="AR5" s="503" t="e">
        <f>Gas!#REF!</f>
        <v>#REF!</v>
      </c>
      <c r="AS5" s="504" t="e">
        <f>Gas!#REF!</f>
        <v>#REF!</v>
      </c>
      <c r="AT5" s="499">
        <f>Elect!BK6</f>
        <v>191</v>
      </c>
      <c r="AU5" s="499">
        <f>Elect!BI6</f>
        <v>113</v>
      </c>
      <c r="AV5" s="499" t="e">
        <f>Elect!#REF!</f>
        <v>#REF!</v>
      </c>
      <c r="AW5" s="499">
        <f>Elect!BK6</f>
        <v>191</v>
      </c>
      <c r="AX5" s="500">
        <v>48.695652173913047</v>
      </c>
      <c r="AY5" s="509">
        <v>24.705882352941178</v>
      </c>
      <c r="AZ5" s="509">
        <v>8835.4834285714278</v>
      </c>
      <c r="BA5" s="509">
        <v>12.805048447204967</v>
      </c>
      <c r="BB5" s="510">
        <v>6.4966789915966379</v>
      </c>
      <c r="BC5" s="502" t="e">
        <f>Elect!#REF!</f>
        <v>#REF!</v>
      </c>
      <c r="BD5" s="511" t="e">
        <f>Elect!#REF!</f>
        <v>#REF!</v>
      </c>
      <c r="BE5" s="511" t="e">
        <f>Elect!#REF!</f>
        <v>#REF!</v>
      </c>
      <c r="BF5" s="511" t="e">
        <f>Elect!#REF!</f>
        <v>#REF!</v>
      </c>
      <c r="BG5" s="499" t="e">
        <f>Elect!#REF!</f>
        <v>#REF!</v>
      </c>
      <c r="BH5" s="512">
        <v>1.1420289855072463</v>
      </c>
      <c r="BI5" s="513">
        <v>0.5794117647058824</v>
      </c>
      <c r="BJ5" s="509">
        <v>4569.1157692009047</v>
      </c>
      <c r="BK5" s="513">
        <v>6.6219069118853691</v>
      </c>
      <c r="BL5" s="514">
        <v>3.3596439479418416</v>
      </c>
      <c r="BM5" s="515">
        <f>Water!U7</f>
        <v>1.1943195266272189</v>
      </c>
      <c r="BN5" s="516" t="e">
        <f>Water!W7</f>
        <v>#DIV/0!</v>
      </c>
      <c r="BO5" s="511">
        <f>Water!X7</f>
        <v>807.36</v>
      </c>
      <c r="BP5" s="516">
        <f>Water!Y7</f>
        <v>4.7772781065088754</v>
      </c>
      <c r="BQ5" s="517">
        <f>Water!Z7</f>
        <v>0</v>
      </c>
    </row>
    <row r="6" spans="1:69" s="479" customFormat="1" ht="72" customHeight="1">
      <c r="A6" s="478">
        <v>2</v>
      </c>
      <c r="B6" s="498">
        <v>31200</v>
      </c>
      <c r="C6" s="499">
        <f>Elect!J7</f>
        <v>6172</v>
      </c>
      <c r="D6" s="500">
        <v>0</v>
      </c>
      <c r="E6" s="499">
        <f>Elect!M7</f>
        <v>2561</v>
      </c>
      <c r="F6" s="500">
        <v>20</v>
      </c>
      <c r="G6" s="499">
        <f>Elect!O7</f>
        <v>1993</v>
      </c>
      <c r="H6" s="500">
        <v>936</v>
      </c>
      <c r="I6" s="499">
        <f>Water!C8</f>
        <v>191.39999999999998</v>
      </c>
      <c r="J6" s="500">
        <v>0</v>
      </c>
      <c r="K6" s="499">
        <f>Water!E8</f>
        <v>5.8</v>
      </c>
      <c r="L6" s="500">
        <v>0</v>
      </c>
      <c r="M6" s="499" t="e">
        <f>Water!#REF!</f>
        <v>#REF!</v>
      </c>
      <c r="N6" s="501" t="e">
        <f>Water!#REF!</f>
        <v>#REF!</v>
      </c>
      <c r="O6" s="500">
        <v>1006</v>
      </c>
      <c r="P6" s="499">
        <f>Water!H8</f>
        <v>197.2</v>
      </c>
      <c r="Q6" s="500">
        <v>113</v>
      </c>
      <c r="R6" s="499">
        <f>Water!O8</f>
        <v>0</v>
      </c>
      <c r="S6" s="500">
        <v>17</v>
      </c>
      <c r="T6" s="510" t="e">
        <f>Water!#REF!</f>
        <v>#REF!</v>
      </c>
      <c r="U6" s="500">
        <v>140</v>
      </c>
      <c r="V6" s="499" t="e">
        <f>Water!#REF!</f>
        <v>#REF!</v>
      </c>
      <c r="W6" s="500">
        <v>792</v>
      </c>
      <c r="X6" s="510">
        <f>Water!Q8</f>
        <v>114.37599999999999</v>
      </c>
      <c r="Y6" s="500">
        <v>0</v>
      </c>
      <c r="Z6" s="499" t="e">
        <f>Water!#REF!</f>
        <v>#REF!</v>
      </c>
      <c r="AA6" s="500">
        <v>0</v>
      </c>
      <c r="AB6" s="499">
        <v>0</v>
      </c>
      <c r="AC6" s="500">
        <v>370</v>
      </c>
      <c r="AD6" s="499" t="e">
        <f>Water!#REF!</f>
        <v>#REF!</v>
      </c>
      <c r="AE6" s="502" t="e">
        <f>Water!#REF!</f>
        <v>#REF!</v>
      </c>
      <c r="AF6" s="499" t="e">
        <f>Water!#REF!</f>
        <v>#REF!</v>
      </c>
      <c r="AG6" s="506">
        <f>Gas!B7</f>
        <v>7809423</v>
      </c>
      <c r="AH6" s="503">
        <f>Gas!C8</f>
        <v>1606.96</v>
      </c>
      <c r="AI6" s="504" t="e">
        <f>Gas!#REF!</f>
        <v>#REF!</v>
      </c>
      <c r="AJ6" s="505">
        <f>Gas!J8</f>
        <v>103.04</v>
      </c>
      <c r="AK6" s="505" t="e">
        <f>Gas!#REF!</f>
        <v>#REF!</v>
      </c>
      <c r="AL6" s="506" t="e">
        <f>Gas!#REF!</f>
        <v>#REF!</v>
      </c>
      <c r="AM6" s="503" t="e">
        <f>Gas!#REF!</f>
        <v>#REF!</v>
      </c>
      <c r="AN6" s="503" t="e">
        <f>Gas!#REF!</f>
        <v>#REF!</v>
      </c>
      <c r="AO6" s="503" t="e">
        <f>Gas!#REF!</f>
        <v>#REF!</v>
      </c>
      <c r="AP6" s="503" t="e">
        <f>Gas!#REF!</f>
        <v>#REF!</v>
      </c>
      <c r="AQ6" s="503" t="e">
        <f>Gas!#REF!</f>
        <v>#REF!</v>
      </c>
      <c r="AR6" s="503" t="e">
        <f>Gas!#REF!</f>
        <v>#REF!</v>
      </c>
      <c r="AS6" s="504" t="e">
        <f>Gas!#REF!</f>
        <v>#REF!</v>
      </c>
      <c r="AT6" s="499">
        <f>Elect!BK7</f>
        <v>196</v>
      </c>
      <c r="AU6" s="499">
        <f>Elect!BI7</f>
        <v>133</v>
      </c>
      <c r="AV6" s="507"/>
      <c r="AW6" s="508"/>
      <c r="AX6" s="500">
        <v>47.416413373860181</v>
      </c>
      <c r="AY6" s="509">
        <v>23.981552651806304</v>
      </c>
      <c r="AZ6" s="509">
        <v>8299.2754285714291</v>
      </c>
      <c r="BA6" s="509">
        <v>12.612880590534086</v>
      </c>
      <c r="BB6" s="510">
        <v>6.379150982760514</v>
      </c>
      <c r="BC6" s="502">
        <f>Elect!BJ7</f>
        <v>388537</v>
      </c>
      <c r="BD6" s="511" t="e">
        <f>Elect!#REF!</f>
        <v>#REF!</v>
      </c>
      <c r="BE6" s="511" t="e">
        <f>Elect!#REF!</f>
        <v>#REF!</v>
      </c>
      <c r="BF6" s="511" t="e">
        <f>Elect!#REF!</f>
        <v>#REF!</v>
      </c>
      <c r="BG6" s="499" t="e">
        <f>Elect!#REF!</f>
        <v>#REF!</v>
      </c>
      <c r="BH6" s="512">
        <v>1.2021276595744681</v>
      </c>
      <c r="BI6" s="513">
        <v>0.60799385088393543</v>
      </c>
      <c r="BJ6" s="509">
        <v>5345.8654499650584</v>
      </c>
      <c r="BK6" s="513">
        <v>8.1244155774544957</v>
      </c>
      <c r="BL6" s="514">
        <v>4.1090433896733733</v>
      </c>
      <c r="BM6" s="515">
        <f>Water!U8</f>
        <v>1.2324999999999999</v>
      </c>
      <c r="BN6" s="516" t="e">
        <f>Water!W8</f>
        <v>#DIV/0!</v>
      </c>
      <c r="BO6" s="511">
        <f>Water!X8</f>
        <v>788.8</v>
      </c>
      <c r="BP6" s="516">
        <f>Water!Y8</f>
        <v>4.93</v>
      </c>
      <c r="BQ6" s="517" t="e">
        <f>Water!Z8</f>
        <v>#DIV/0!</v>
      </c>
    </row>
    <row r="7" spans="1:69" s="479" customFormat="1" ht="72" customHeight="1">
      <c r="A7" s="478">
        <v>3</v>
      </c>
      <c r="B7" s="498">
        <v>31200</v>
      </c>
      <c r="C7" s="499">
        <f>Elect!J8</f>
        <v>6534</v>
      </c>
      <c r="D7" s="500">
        <v>0</v>
      </c>
      <c r="E7" s="499">
        <f>Elect!M8</f>
        <v>2237.6666666669771</v>
      </c>
      <c r="F7" s="500">
        <v>20</v>
      </c>
      <c r="G7" s="499">
        <f>Elect!O8</f>
        <v>1991</v>
      </c>
      <c r="H7" s="500">
        <v>685</v>
      </c>
      <c r="I7" s="499">
        <f>Water!C9</f>
        <v>168.2</v>
      </c>
      <c r="J7" s="500">
        <v>0</v>
      </c>
      <c r="K7" s="499">
        <f>Water!E9</f>
        <v>0</v>
      </c>
      <c r="L7" s="500">
        <v>0</v>
      </c>
      <c r="M7" s="499" t="e">
        <f>Water!#REF!</f>
        <v>#REF!</v>
      </c>
      <c r="N7" s="501" t="e">
        <f>Water!#REF!</f>
        <v>#REF!</v>
      </c>
      <c r="O7" s="500">
        <v>902</v>
      </c>
      <c r="P7" s="499">
        <f>Water!H9</f>
        <v>168.2</v>
      </c>
      <c r="Q7" s="500">
        <v>126</v>
      </c>
      <c r="R7" s="499">
        <f>Water!O9</f>
        <v>0</v>
      </c>
      <c r="S7" s="500">
        <v>26</v>
      </c>
      <c r="T7" s="510" t="e">
        <f>Water!#REF!</f>
        <v>#REF!</v>
      </c>
      <c r="U7" s="500">
        <v>134</v>
      </c>
      <c r="V7" s="499" t="e">
        <f>Water!#REF!</f>
        <v>#REF!</v>
      </c>
      <c r="W7" s="500">
        <v>766</v>
      </c>
      <c r="X7" s="510">
        <f>Water!Q9</f>
        <v>97.555999999999983</v>
      </c>
      <c r="Y7" s="500">
        <v>0</v>
      </c>
      <c r="Z7" s="499" t="e">
        <f>Water!#REF!</f>
        <v>#REF!</v>
      </c>
      <c r="AA7" s="500">
        <v>0</v>
      </c>
      <c r="AB7" s="499">
        <v>0</v>
      </c>
      <c r="AC7" s="500">
        <v>740</v>
      </c>
      <c r="AD7" s="499" t="e">
        <f>Water!#REF!</f>
        <v>#REF!</v>
      </c>
      <c r="AE7" s="502" t="e">
        <f>Water!#REF!</f>
        <v>#REF!</v>
      </c>
      <c r="AF7" s="499" t="e">
        <f>Water!#REF!</f>
        <v>#REF!</v>
      </c>
      <c r="AG7" s="506">
        <f>Gas!B9</f>
        <v>7812120</v>
      </c>
      <c r="AH7" s="503">
        <f>Gas!C9</f>
        <v>1251.8600000000001</v>
      </c>
      <c r="AI7" s="504" t="e">
        <f>Gas!#REF!</f>
        <v>#REF!</v>
      </c>
      <c r="AJ7" s="505">
        <f>Gas!J9</f>
        <v>17.71</v>
      </c>
      <c r="AK7" s="505" t="e">
        <f>Gas!#REF!</f>
        <v>#REF!</v>
      </c>
      <c r="AL7" s="506" t="e">
        <f>Gas!#REF!</f>
        <v>#REF!</v>
      </c>
      <c r="AM7" s="503" t="e">
        <f>Gas!#REF!</f>
        <v>#REF!</v>
      </c>
      <c r="AN7" s="503" t="e">
        <f>Gas!#REF!</f>
        <v>#REF!</v>
      </c>
      <c r="AO7" s="503" t="e">
        <f>Gas!#REF!</f>
        <v>#REF!</v>
      </c>
      <c r="AP7" s="503" t="e">
        <f>Gas!#REF!</f>
        <v>#REF!</v>
      </c>
      <c r="AQ7" s="503" t="e">
        <f>Gas!#REF!</f>
        <v>#REF!</v>
      </c>
      <c r="AR7" s="503" t="e">
        <f>Gas!#REF!</f>
        <v>#REF!</v>
      </c>
      <c r="AS7" s="504" t="e">
        <f>Gas!#REF!</f>
        <v>#REF!</v>
      </c>
      <c r="AT7" s="499">
        <f>Elect!BK8</f>
        <v>192.66666666697711</v>
      </c>
      <c r="AU7" s="499">
        <f>Elect!BI8</f>
        <v>119.66666666697711</v>
      </c>
      <c r="AV7" s="507"/>
      <c r="AW7" s="508"/>
      <c r="AX7" s="500">
        <v>47.926267281105993</v>
      </c>
      <c r="AY7" s="509">
        <v>24.22360248447205</v>
      </c>
      <c r="AZ7" s="509">
        <v>8299.2754285714291</v>
      </c>
      <c r="BA7" s="509">
        <v>12.748502962475314</v>
      </c>
      <c r="BB7" s="510">
        <v>6.4435368234250223</v>
      </c>
      <c r="BC7" s="502">
        <f>Elect!BJ8</f>
        <v>388729.66666666698</v>
      </c>
      <c r="BD7" s="511" t="e">
        <f>Elect!#REF!</f>
        <v>#REF!</v>
      </c>
      <c r="BE7" s="511" t="e">
        <f>Elect!#REF!</f>
        <v>#REF!</v>
      </c>
      <c r="BF7" s="511" t="e">
        <f>Elect!#REF!</f>
        <v>#REF!</v>
      </c>
      <c r="BG7" s="499" t="e">
        <f>Elect!#REF!</f>
        <v>#REF!</v>
      </c>
      <c r="BH7" s="512">
        <v>1.0875576036866359</v>
      </c>
      <c r="BI7" s="513">
        <v>0.5496894409937888</v>
      </c>
      <c r="BJ7" s="509">
        <v>3912.3053773782749</v>
      </c>
      <c r="BK7" s="513">
        <v>6.0096856795365206</v>
      </c>
      <c r="BL7" s="514">
        <v>3.0375041749831326</v>
      </c>
      <c r="BM7" s="515">
        <f>Water!U9</f>
        <v>1.0382716049382716</v>
      </c>
      <c r="BN7" s="516" t="e">
        <f>Water!W9</f>
        <v>#DIV/0!</v>
      </c>
      <c r="BO7" s="511">
        <f>Water!X9</f>
        <v>672.8</v>
      </c>
      <c r="BP7" s="516">
        <f>Water!Y9</f>
        <v>4.1530864197530866</v>
      </c>
      <c r="BQ7" s="517" t="e">
        <f>Water!Z9</f>
        <v>#DIV/0!</v>
      </c>
    </row>
    <row r="8" spans="1:69" s="479" customFormat="1" ht="72" customHeight="1">
      <c r="A8" s="478">
        <v>4</v>
      </c>
      <c r="B8" s="498">
        <v>33600</v>
      </c>
      <c r="C8" s="499">
        <f>Elect!J9</f>
        <v>7854</v>
      </c>
      <c r="D8" s="500">
        <v>0</v>
      </c>
      <c r="E8" s="499">
        <f>Elect!M9</f>
        <v>2349.3333333330229</v>
      </c>
      <c r="F8" s="500">
        <v>20</v>
      </c>
      <c r="G8" s="499">
        <f>Elect!O9</f>
        <v>2003</v>
      </c>
      <c r="H8" s="500">
        <v>786</v>
      </c>
      <c r="I8" s="499">
        <f>Water!C10</f>
        <v>185.6</v>
      </c>
      <c r="J8" s="500">
        <v>0</v>
      </c>
      <c r="K8" s="499">
        <f>Water!E10</f>
        <v>0</v>
      </c>
      <c r="L8" s="500">
        <v>0</v>
      </c>
      <c r="M8" s="499" t="e">
        <f>Water!#REF!</f>
        <v>#REF!</v>
      </c>
      <c r="N8" s="501" t="e">
        <f>Water!#REF!</f>
        <v>#REF!</v>
      </c>
      <c r="O8" s="500">
        <v>930</v>
      </c>
      <c r="P8" s="499">
        <f>Water!H10</f>
        <v>186.18</v>
      </c>
      <c r="Q8" s="500">
        <v>153</v>
      </c>
      <c r="R8" s="499">
        <f>Water!O10</f>
        <v>0</v>
      </c>
      <c r="S8" s="500">
        <v>46</v>
      </c>
      <c r="T8" s="510" t="e">
        <f>Water!#REF!</f>
        <v>#REF!</v>
      </c>
      <c r="U8" s="500">
        <v>150</v>
      </c>
      <c r="V8" s="499" t="e">
        <f>Water!#REF!</f>
        <v>#REF!</v>
      </c>
      <c r="W8" s="500">
        <v>766</v>
      </c>
      <c r="X8" s="510">
        <f>Water!Q10</f>
        <v>107.98439999999999</v>
      </c>
      <c r="Y8" s="500">
        <v>0</v>
      </c>
      <c r="Z8" s="499" t="e">
        <f>Water!#REF!</f>
        <v>#REF!</v>
      </c>
      <c r="AA8" s="500">
        <v>0</v>
      </c>
      <c r="AB8" s="499">
        <v>0</v>
      </c>
      <c r="AC8" s="500">
        <v>820</v>
      </c>
      <c r="AD8" s="499" t="e">
        <f>Water!#REF!</f>
        <v>#REF!</v>
      </c>
      <c r="AE8" s="502" t="e">
        <f>Water!#REF!</f>
        <v>#REF!</v>
      </c>
      <c r="AF8" s="499" t="e">
        <f>Water!#REF!</f>
        <v>#REF!</v>
      </c>
      <c r="AG8" s="506">
        <f>Gas!B10</f>
        <v>7813854</v>
      </c>
      <c r="AH8" s="503">
        <f>Gas!C10</f>
        <v>1838.0400000000002</v>
      </c>
      <c r="AI8" s="504" t="e">
        <f>Gas!#REF!</f>
        <v>#REF!</v>
      </c>
      <c r="AJ8" s="505">
        <f>Gas!J10</f>
        <v>189.98000000000002</v>
      </c>
      <c r="AK8" s="505" t="e">
        <f>Gas!#REF!</f>
        <v>#REF!</v>
      </c>
      <c r="AL8" s="506" t="e">
        <f>Gas!#REF!</f>
        <v>#REF!</v>
      </c>
      <c r="AM8" s="503" t="e">
        <f>Gas!#REF!</f>
        <v>#REF!</v>
      </c>
      <c r="AN8" s="503" t="e">
        <f>Gas!#REF!</f>
        <v>#REF!</v>
      </c>
      <c r="AO8" s="503" t="e">
        <f>Gas!#REF!</f>
        <v>#REF!</v>
      </c>
      <c r="AP8" s="503" t="e">
        <f>Gas!#REF!</f>
        <v>#REF!</v>
      </c>
      <c r="AQ8" s="503" t="e">
        <f>Gas!#REF!</f>
        <v>#REF!</v>
      </c>
      <c r="AR8" s="503" t="e">
        <f>Gas!#REF!</f>
        <v>#REF!</v>
      </c>
      <c r="AS8" s="504" t="e">
        <f>Gas!#REF!</f>
        <v>#REF!</v>
      </c>
      <c r="AT8" s="499">
        <f>Elect!BK9</f>
        <v>197.33333333302289</v>
      </c>
      <c r="AU8" s="499">
        <f>Elect!BI9</f>
        <v>147.33333333302289</v>
      </c>
      <c r="AV8" s="507"/>
      <c r="AW8" s="508"/>
      <c r="AX8" s="500">
        <v>51.063829787234042</v>
      </c>
      <c r="AY8" s="509">
        <v>25.866050808314089</v>
      </c>
      <c r="AZ8" s="509">
        <v>8835.4834285714278</v>
      </c>
      <c r="BA8" s="509">
        <v>13.427786365610073</v>
      </c>
      <c r="BB8" s="510">
        <v>6.8017578356977886</v>
      </c>
      <c r="BC8" s="502">
        <f>Elect!BJ9</f>
        <v>388927</v>
      </c>
      <c r="BD8" s="511" t="e">
        <f>Elect!#REF!</f>
        <v>#REF!</v>
      </c>
      <c r="BE8" s="511" t="e">
        <f>Elect!#REF!</f>
        <v>#REF!</v>
      </c>
      <c r="BF8" s="511" t="e">
        <f>Elect!#REF!</f>
        <v>#REF!</v>
      </c>
      <c r="BG8" s="499" t="e">
        <f>Elect!#REF!</f>
        <v>#REF!</v>
      </c>
      <c r="BH8" s="512">
        <v>1.2218844984802431</v>
      </c>
      <c r="BI8" s="513">
        <v>0.61893764434180143</v>
      </c>
      <c r="BJ8" s="509">
        <v>4489.1562432398887</v>
      </c>
      <c r="BK8" s="513">
        <v>6.8224259015803783</v>
      </c>
      <c r="BL8" s="514">
        <v>3.4558554605387903</v>
      </c>
      <c r="BM8" s="515">
        <f>Water!U10</f>
        <v>1.07</v>
      </c>
      <c r="BN8" s="516" t="e">
        <f>Water!W10</f>
        <v>#DIV/0!</v>
      </c>
      <c r="BO8" s="511">
        <f>Water!X10</f>
        <v>744.72</v>
      </c>
      <c r="BP8" s="516">
        <f>Water!Y10</f>
        <v>4.28</v>
      </c>
      <c r="BQ8" s="517" t="e">
        <f>Water!Z10</f>
        <v>#DIV/0!</v>
      </c>
    </row>
    <row r="9" spans="1:69" s="479" customFormat="1" ht="72" customHeight="1">
      <c r="A9" s="478">
        <v>5</v>
      </c>
      <c r="B9" s="498">
        <v>31200</v>
      </c>
      <c r="C9" s="499">
        <f>Elect!J10</f>
        <v>4821</v>
      </c>
      <c r="D9" s="500">
        <v>0</v>
      </c>
      <c r="E9" s="499">
        <f>Elect!M10</f>
        <v>2274.8888888889924</v>
      </c>
      <c r="F9" s="500">
        <v>20</v>
      </c>
      <c r="G9" s="499">
        <f>Elect!O10</f>
        <v>1612</v>
      </c>
      <c r="H9" s="500">
        <v>789</v>
      </c>
      <c r="I9" s="499">
        <f>Water!C11</f>
        <v>133.39999999999998</v>
      </c>
      <c r="J9" s="500">
        <v>0</v>
      </c>
      <c r="K9" s="499">
        <f>Water!E11</f>
        <v>0</v>
      </c>
      <c r="L9" s="500">
        <v>0</v>
      </c>
      <c r="M9" s="499" t="e">
        <f>Water!#REF!</f>
        <v>#REF!</v>
      </c>
      <c r="N9" s="501" t="e">
        <f>Water!#REF!</f>
        <v>#REF!</v>
      </c>
      <c r="O9" s="500">
        <v>1003</v>
      </c>
      <c r="P9" s="499">
        <f>Water!H11</f>
        <v>133.39999999999998</v>
      </c>
      <c r="Q9" s="500">
        <v>102</v>
      </c>
      <c r="R9" s="499">
        <f>Water!O11</f>
        <v>0</v>
      </c>
      <c r="S9" s="500">
        <v>8</v>
      </c>
      <c r="T9" s="510" t="e">
        <f>Water!#REF!</f>
        <v>#REF!</v>
      </c>
      <c r="U9" s="500">
        <v>130</v>
      </c>
      <c r="V9" s="499" t="e">
        <f>Water!#REF!</f>
        <v>#REF!</v>
      </c>
      <c r="W9" s="500">
        <v>735</v>
      </c>
      <c r="X9" s="510">
        <f>Water!Q11</f>
        <v>77.371999999999986</v>
      </c>
      <c r="Y9" s="500">
        <v>0</v>
      </c>
      <c r="Z9" s="499" t="e">
        <f>Water!#REF!</f>
        <v>#REF!</v>
      </c>
      <c r="AA9" s="500">
        <v>0</v>
      </c>
      <c r="AB9" s="499">
        <v>0</v>
      </c>
      <c r="AC9" s="500">
        <v>640</v>
      </c>
      <c r="AD9" s="499" t="e">
        <f>Water!#REF!</f>
        <v>#REF!</v>
      </c>
      <c r="AE9" s="502" t="e">
        <f>Water!#REF!</f>
        <v>#REF!</v>
      </c>
      <c r="AF9" s="499" t="e">
        <f>Water!#REF!</f>
        <v>#REF!</v>
      </c>
      <c r="AG9" s="506">
        <f>Gas!B11</f>
        <v>7815702</v>
      </c>
      <c r="AH9" s="503">
        <f>Gas!C11</f>
        <v>1958.88</v>
      </c>
      <c r="AI9" s="504" t="e">
        <f>Gas!#REF!</f>
        <v>#REF!</v>
      </c>
      <c r="AJ9" s="505">
        <f>Gas!J11</f>
        <v>189.98000000000002</v>
      </c>
      <c r="AK9" s="505" t="e">
        <f>Gas!#REF!</f>
        <v>#REF!</v>
      </c>
      <c r="AL9" s="506" t="e">
        <f>Gas!#REF!</f>
        <v>#REF!</v>
      </c>
      <c r="AM9" s="503" t="e">
        <f>Gas!#REF!</f>
        <v>#REF!</v>
      </c>
      <c r="AN9" s="503" t="e">
        <f>Gas!#REF!</f>
        <v>#REF!</v>
      </c>
      <c r="AO9" s="503" t="e">
        <f>Gas!#REF!</f>
        <v>#REF!</v>
      </c>
      <c r="AP9" s="503" t="e">
        <f>Gas!#REF!</f>
        <v>#REF!</v>
      </c>
      <c r="AQ9" s="503" t="e">
        <f>Gas!#REF!</f>
        <v>#REF!</v>
      </c>
      <c r="AR9" s="503" t="e">
        <f>Gas!#REF!</f>
        <v>#REF!</v>
      </c>
      <c r="AS9" s="504" t="e">
        <f>Gas!#REF!</f>
        <v>#REF!</v>
      </c>
      <c r="AT9" s="499">
        <f>Elect!BK10</f>
        <v>141</v>
      </c>
      <c r="AU9" s="499">
        <f>Elect!BI10</f>
        <v>97</v>
      </c>
      <c r="AV9" s="507"/>
      <c r="AW9" s="508"/>
      <c r="AX9" s="500">
        <v>49.840255591054316</v>
      </c>
      <c r="AY9" s="509">
        <v>25.181598062953995</v>
      </c>
      <c r="AZ9" s="509">
        <v>8299.2754285714291</v>
      </c>
      <c r="BA9" s="509">
        <v>13.257628480146053</v>
      </c>
      <c r="BB9" s="510">
        <v>6.6983659633344868</v>
      </c>
      <c r="BC9" s="502">
        <f>Elect!BJ10</f>
        <v>389068</v>
      </c>
      <c r="BD9" s="511" t="e">
        <f>Elect!#REF!</f>
        <v>#REF!</v>
      </c>
      <c r="BE9" s="511" t="e">
        <f>Elect!#REF!</f>
        <v>#REF!</v>
      </c>
      <c r="BF9" s="511" t="e">
        <f>Elect!#REF!</f>
        <v>#REF!</v>
      </c>
      <c r="BG9" s="499" t="e">
        <f>Elect!#REF!</f>
        <v>#REF!</v>
      </c>
      <c r="BH9" s="512">
        <v>1.1980830670926517</v>
      </c>
      <c r="BI9" s="513">
        <v>0.60532687651331718</v>
      </c>
      <c r="BJ9" s="509">
        <v>4506.2904273743925</v>
      </c>
      <c r="BK9" s="513">
        <v>7.1985470085852912</v>
      </c>
      <c r="BL9" s="514">
        <v>3.6370382787525362</v>
      </c>
      <c r="BM9" s="515">
        <f>Water!U11</f>
        <v>0.78934911242603534</v>
      </c>
      <c r="BN9" s="516" t="e">
        <f>Water!W11</f>
        <v>#DIV/0!</v>
      </c>
      <c r="BO9" s="511">
        <f>Water!X11</f>
        <v>533.59999999999991</v>
      </c>
      <c r="BP9" s="516">
        <f>Water!Y11</f>
        <v>3.1573964497041414</v>
      </c>
      <c r="BQ9" s="517" t="e">
        <f>Water!Z11</f>
        <v>#DIV/0!</v>
      </c>
    </row>
    <row r="10" spans="1:69" s="479" customFormat="1" ht="72" customHeight="1">
      <c r="A10" s="478">
        <v>6</v>
      </c>
      <c r="B10" s="498">
        <v>33600</v>
      </c>
      <c r="C10" s="499">
        <f>Elect!J11</f>
        <v>6554</v>
      </c>
      <c r="D10" s="500">
        <v>0</v>
      </c>
      <c r="E10" s="499">
        <f>Elect!M11</f>
        <v>2752.1111111110076</v>
      </c>
      <c r="F10" s="500">
        <v>20</v>
      </c>
      <c r="G10" s="499">
        <f>Elect!O11</f>
        <v>1939</v>
      </c>
      <c r="H10" s="500">
        <v>805</v>
      </c>
      <c r="I10" s="499">
        <f>Water!C12</f>
        <v>237.79999999999998</v>
      </c>
      <c r="J10" s="500">
        <v>0</v>
      </c>
      <c r="K10" s="499">
        <f>Water!E12</f>
        <v>5.8</v>
      </c>
      <c r="L10" s="500">
        <v>0</v>
      </c>
      <c r="M10" s="499" t="e">
        <f>Water!#REF!</f>
        <v>#REF!</v>
      </c>
      <c r="N10" s="501" t="e">
        <f>Water!#REF!</f>
        <v>#REF!</v>
      </c>
      <c r="O10" s="500">
        <v>1004</v>
      </c>
      <c r="P10" s="499">
        <f>Water!H12</f>
        <v>244.18</v>
      </c>
      <c r="Q10" s="500">
        <v>115</v>
      </c>
      <c r="R10" s="499">
        <f>Water!O12</f>
        <v>0</v>
      </c>
      <c r="S10" s="500">
        <v>21</v>
      </c>
      <c r="T10" s="510" t="e">
        <f>Water!#REF!</f>
        <v>#REF!</v>
      </c>
      <c r="U10" s="500">
        <v>141</v>
      </c>
      <c r="V10" s="499" t="e">
        <f>Water!#REF!</f>
        <v>#REF!</v>
      </c>
      <c r="W10" s="500">
        <v>725</v>
      </c>
      <c r="X10" s="510">
        <f>Water!Q12</f>
        <v>141.62439999999998</v>
      </c>
      <c r="Y10" s="500">
        <v>0</v>
      </c>
      <c r="Z10" s="499" t="e">
        <f>Water!#REF!</f>
        <v>#REF!</v>
      </c>
      <c r="AA10" s="500">
        <v>0</v>
      </c>
      <c r="AB10" s="499">
        <v>0</v>
      </c>
      <c r="AC10" s="500">
        <v>510</v>
      </c>
      <c r="AD10" s="499" t="e">
        <f>Water!#REF!</f>
        <v>#REF!</v>
      </c>
      <c r="AE10" s="502" t="e">
        <f>Water!#REF!</f>
        <v>#REF!</v>
      </c>
      <c r="AF10" s="499" t="e">
        <f>Water!#REF!</f>
        <v>#REF!</v>
      </c>
      <c r="AG10" s="506">
        <f>Gas!B12</f>
        <v>7817444</v>
      </c>
      <c r="AH10" s="503">
        <f>Gas!C12</f>
        <v>1846.52</v>
      </c>
      <c r="AI10" s="504" t="e">
        <f>Gas!#REF!</f>
        <v>#REF!</v>
      </c>
      <c r="AJ10" s="505">
        <f>Gas!J12</f>
        <v>185.15</v>
      </c>
      <c r="AK10" s="505" t="e">
        <f>Gas!#REF!</f>
        <v>#REF!</v>
      </c>
      <c r="AL10" s="506" t="e">
        <f>Gas!#REF!</f>
        <v>#REF!</v>
      </c>
      <c r="AM10" s="503" t="e">
        <f>Gas!#REF!</f>
        <v>#REF!</v>
      </c>
      <c r="AN10" s="503" t="e">
        <f>Gas!#REF!</f>
        <v>#REF!</v>
      </c>
      <c r="AO10" s="503" t="e">
        <f>Gas!#REF!</f>
        <v>#REF!</v>
      </c>
      <c r="AP10" s="503" t="e">
        <f>Gas!#REF!</f>
        <v>#REF!</v>
      </c>
      <c r="AQ10" s="503" t="e">
        <f>Gas!#REF!</f>
        <v>#REF!</v>
      </c>
      <c r="AR10" s="503" t="e">
        <f>Gas!#REF!</f>
        <v>#REF!</v>
      </c>
      <c r="AS10" s="504" t="e">
        <f>Gas!#REF!</f>
        <v>#REF!</v>
      </c>
      <c r="AT10" s="499">
        <f>Elect!BK11</f>
        <v>195</v>
      </c>
      <c r="AU10" s="499">
        <f>Elect!BI11</f>
        <v>132</v>
      </c>
      <c r="AV10" s="507"/>
      <c r="AW10" s="508"/>
      <c r="AX10" s="500">
        <v>47.457627118644069</v>
      </c>
      <c r="AY10" s="509">
        <v>23.51294611616515</v>
      </c>
      <c r="AZ10" s="509">
        <v>8835.4834285714278</v>
      </c>
      <c r="BA10" s="509">
        <v>12.47949636803874</v>
      </c>
      <c r="BB10" s="510">
        <v>6.1829835049485151</v>
      </c>
      <c r="BC10" s="502">
        <f>Elect!BJ11</f>
        <v>389263</v>
      </c>
      <c r="BD10" s="511" t="e">
        <f>Elect!#REF!</f>
        <v>#REF!</v>
      </c>
      <c r="BE10" s="511" t="e">
        <f>Elect!#REF!</f>
        <v>#REF!</v>
      </c>
      <c r="BF10" s="511" t="e">
        <f>Elect!#REF!</f>
        <v>#REF!</v>
      </c>
      <c r="BG10" s="499" t="e">
        <f>Elect!#REF!</f>
        <v>#REF!</v>
      </c>
      <c r="BH10" s="512">
        <v>1.1567796610169492</v>
      </c>
      <c r="BI10" s="513">
        <v>0.57312806158152552</v>
      </c>
      <c r="BJ10" s="509">
        <v>4597.672742758411</v>
      </c>
      <c r="BK10" s="513">
        <v>6.4938880547435183</v>
      </c>
      <c r="BL10" s="514">
        <v>3.2174056982214214</v>
      </c>
      <c r="BM10" s="515">
        <f>Water!U12</f>
        <v>2.0348333333333333</v>
      </c>
      <c r="BN10" s="516" t="e">
        <f>Water!W12</f>
        <v>#DIV/0!</v>
      </c>
      <c r="BO10" s="511">
        <f>Water!X12</f>
        <v>976.72</v>
      </c>
      <c r="BP10" s="516">
        <f>Water!Y12</f>
        <v>8.1393333333333331</v>
      </c>
      <c r="BQ10" s="517" t="e">
        <f>Water!Z12</f>
        <v>#DIV/0!</v>
      </c>
    </row>
    <row r="11" spans="1:69" s="479" customFormat="1" ht="72" customHeight="1">
      <c r="A11" s="478">
        <v>7</v>
      </c>
      <c r="B11" s="498">
        <v>31200</v>
      </c>
      <c r="C11" s="499">
        <f>Elect!J12</f>
        <v>6414</v>
      </c>
      <c r="D11" s="500">
        <v>0</v>
      </c>
      <c r="E11" s="499">
        <f>Elect!M12</f>
        <v>2201.7777777779847</v>
      </c>
      <c r="F11" s="500">
        <v>20</v>
      </c>
      <c r="G11" s="499">
        <f>Elect!O12</f>
        <v>1847</v>
      </c>
      <c r="H11" s="500">
        <v>871</v>
      </c>
      <c r="I11" s="499">
        <f>Water!C13</f>
        <v>75.399999999999991</v>
      </c>
      <c r="J11" s="500">
        <v>0</v>
      </c>
      <c r="K11" s="499">
        <f>Water!E13</f>
        <v>5.8</v>
      </c>
      <c r="L11" s="500">
        <v>0</v>
      </c>
      <c r="M11" s="499" t="e">
        <f>Water!#REF!</f>
        <v>#REF!</v>
      </c>
      <c r="N11" s="501" t="e">
        <f>Water!#REF!</f>
        <v>#REF!</v>
      </c>
      <c r="O11" s="500">
        <v>837</v>
      </c>
      <c r="P11" s="499">
        <f>Water!H13</f>
        <v>169.94</v>
      </c>
      <c r="Q11" s="500">
        <v>113</v>
      </c>
      <c r="R11" s="499">
        <f>Water!O13</f>
        <v>0</v>
      </c>
      <c r="S11" s="500">
        <v>1</v>
      </c>
      <c r="T11" s="510" t="e">
        <f>Water!#REF!</f>
        <v>#REF!</v>
      </c>
      <c r="U11" s="500">
        <v>151</v>
      </c>
      <c r="V11" s="499" t="e">
        <f>Water!#REF!</f>
        <v>#REF!</v>
      </c>
      <c r="W11" s="500">
        <v>732</v>
      </c>
      <c r="X11" s="510">
        <f>Water!Q13</f>
        <v>98.56519999999999</v>
      </c>
      <c r="Y11" s="500">
        <v>0</v>
      </c>
      <c r="Z11" s="499" t="e">
        <f>Water!#REF!</f>
        <v>#REF!</v>
      </c>
      <c r="AA11" s="500">
        <v>0</v>
      </c>
      <c r="AB11" s="499">
        <v>0</v>
      </c>
      <c r="AC11" s="500">
        <v>1010</v>
      </c>
      <c r="AD11" s="499" t="e">
        <f>Water!#REF!</f>
        <v>#REF!</v>
      </c>
      <c r="AE11" s="502" t="e">
        <f>Water!#REF!</f>
        <v>#REF!</v>
      </c>
      <c r="AF11" s="499" t="e">
        <f>Water!#REF!</f>
        <v>#REF!</v>
      </c>
      <c r="AG11" s="506">
        <f>Gas!B13</f>
        <v>7818463</v>
      </c>
      <c r="AH11" s="503">
        <f>Gas!C13</f>
        <v>1080.1400000000001</v>
      </c>
      <c r="AI11" s="504" t="e">
        <f>Gas!#REF!</f>
        <v>#REF!</v>
      </c>
      <c r="AJ11" s="505">
        <f>Gas!J13</f>
        <v>204.47</v>
      </c>
      <c r="AK11" s="505" t="e">
        <f>Gas!#REF!</f>
        <v>#REF!</v>
      </c>
      <c r="AL11" s="506" t="e">
        <f>Gas!#REF!</f>
        <v>#REF!</v>
      </c>
      <c r="AM11" s="503" t="e">
        <f>Gas!#REF!</f>
        <v>#REF!</v>
      </c>
      <c r="AN11" s="503" t="e">
        <f>Gas!#REF!</f>
        <v>#REF!</v>
      </c>
      <c r="AO11" s="503" t="e">
        <f>Gas!#REF!</f>
        <v>#REF!</v>
      </c>
      <c r="AP11" s="503" t="e">
        <f>Gas!#REF!</f>
        <v>#REF!</v>
      </c>
      <c r="AQ11" s="503" t="e">
        <f>Gas!#REF!</f>
        <v>#REF!</v>
      </c>
      <c r="AR11" s="503" t="e">
        <f>Gas!#REF!</f>
        <v>#REF!</v>
      </c>
      <c r="AS11" s="504" t="e">
        <f>Gas!#REF!</f>
        <v>#REF!</v>
      </c>
      <c r="AT11" s="499">
        <f>Elect!BK12</f>
        <v>192</v>
      </c>
      <c r="AU11" s="499">
        <f>Elect!BI12</f>
        <v>126</v>
      </c>
      <c r="AV11" s="507"/>
      <c r="AW11" s="508"/>
      <c r="AX11" s="500">
        <v>43.454038997214482</v>
      </c>
      <c r="AY11" s="509">
        <v>21.517241379310345</v>
      </c>
      <c r="AZ11" s="509">
        <v>8299.2754285714291</v>
      </c>
      <c r="BA11" s="509">
        <v>11.558879426979706</v>
      </c>
      <c r="BB11" s="510">
        <v>5.7236382266009853</v>
      </c>
      <c r="BC11" s="502">
        <f>Elect!BJ12</f>
        <v>389455</v>
      </c>
      <c r="BD11" s="511" t="e">
        <f>Elect!#REF!</f>
        <v>#REF!</v>
      </c>
      <c r="BE11" s="511" t="e">
        <f>Elect!#REF!</f>
        <v>#REF!</v>
      </c>
      <c r="BF11" s="511" t="e">
        <f>Elect!#REF!</f>
        <v>#REF!</v>
      </c>
      <c r="BG11" s="499" t="e">
        <f>Elect!#REF!</f>
        <v>#REF!</v>
      </c>
      <c r="BH11" s="512">
        <v>1.1713091922005572</v>
      </c>
      <c r="BI11" s="513">
        <v>0.57999999999999996</v>
      </c>
      <c r="BJ11" s="509">
        <v>4974.6247937174849</v>
      </c>
      <c r="BK11" s="513">
        <v>6.9284467879073608</v>
      </c>
      <c r="BL11" s="514">
        <v>3.4307757198051618</v>
      </c>
      <c r="BM11" s="515">
        <f>Water!U13</f>
        <v>18.882222222222222</v>
      </c>
      <c r="BN11" s="516" t="e">
        <f>Water!W13</f>
        <v>#DIV/0!</v>
      </c>
      <c r="BO11" s="511">
        <f>Water!X13</f>
        <v>679.76</v>
      </c>
      <c r="BP11" s="516">
        <f>Water!Y13</f>
        <v>75.528888888888886</v>
      </c>
      <c r="BQ11" s="517" t="e">
        <f>Water!Z13</f>
        <v>#DIV/0!</v>
      </c>
    </row>
    <row r="12" spans="1:69" s="479" customFormat="1" ht="72" customHeight="1">
      <c r="A12" s="478">
        <v>8</v>
      </c>
      <c r="B12" s="498">
        <v>33600</v>
      </c>
      <c r="C12" s="499">
        <f>Elect!J13</f>
        <v>6815</v>
      </c>
      <c r="D12" s="500">
        <v>0</v>
      </c>
      <c r="E12" s="499">
        <f>Elect!M13</f>
        <v>2385.2222222220153</v>
      </c>
      <c r="F12" s="500">
        <v>20</v>
      </c>
      <c r="G12" s="499">
        <f>Elect!O13</f>
        <v>1870</v>
      </c>
      <c r="H12" s="500">
        <v>963</v>
      </c>
      <c r="I12" s="499">
        <f>Water!C14</f>
        <v>214.6</v>
      </c>
      <c r="J12" s="500">
        <v>0</v>
      </c>
      <c r="K12" s="499">
        <f>Water!E14</f>
        <v>0</v>
      </c>
      <c r="L12" s="500">
        <v>0</v>
      </c>
      <c r="M12" s="499" t="e">
        <f>Water!#REF!</f>
        <v>#REF!</v>
      </c>
      <c r="N12" s="501" t="e">
        <f>Water!#REF!</f>
        <v>#REF!</v>
      </c>
      <c r="O12" s="500">
        <v>1000</v>
      </c>
      <c r="P12" s="499">
        <f>Water!H14</f>
        <v>290</v>
      </c>
      <c r="Q12" s="500">
        <v>128</v>
      </c>
      <c r="R12" s="499">
        <f>Water!O14</f>
        <v>0</v>
      </c>
      <c r="S12" s="500">
        <v>24</v>
      </c>
      <c r="T12" s="510" t="e">
        <f>Water!#REF!</f>
        <v>#REF!</v>
      </c>
      <c r="U12" s="500">
        <v>148</v>
      </c>
      <c r="V12" s="499" t="e">
        <f>Water!#REF!</f>
        <v>#REF!</v>
      </c>
      <c r="W12" s="500">
        <v>719</v>
      </c>
      <c r="X12" s="510">
        <f>Water!Q14</f>
        <v>168.2</v>
      </c>
      <c r="Y12" s="500">
        <v>0</v>
      </c>
      <c r="Z12" s="499" t="e">
        <f>Water!#REF!</f>
        <v>#REF!</v>
      </c>
      <c r="AA12" s="500">
        <v>0</v>
      </c>
      <c r="AB12" s="499">
        <v>0</v>
      </c>
      <c r="AC12" s="500">
        <v>630</v>
      </c>
      <c r="AD12" s="499" t="e">
        <f>Water!#REF!</f>
        <v>#REF!</v>
      </c>
      <c r="AE12" s="502" t="e">
        <f>Water!#REF!</f>
        <v>#REF!</v>
      </c>
      <c r="AF12" s="499" t="e">
        <f>Water!#REF!</f>
        <v>#REF!</v>
      </c>
      <c r="AG12" s="506">
        <f>Gas!B14</f>
        <v>7819162</v>
      </c>
      <c r="AH12" s="503">
        <f>Gas!C14</f>
        <v>740.94</v>
      </c>
      <c r="AI12" s="504" t="e">
        <f>Gas!#REF!</f>
        <v>#REF!</v>
      </c>
      <c r="AJ12" s="505">
        <f>Gas!J14</f>
        <v>82.11</v>
      </c>
      <c r="AK12" s="505" t="e">
        <f>Gas!#REF!</f>
        <v>#REF!</v>
      </c>
      <c r="AL12" s="506" t="e">
        <f>Gas!#REF!</f>
        <v>#REF!</v>
      </c>
      <c r="AM12" s="503" t="e">
        <f>Gas!#REF!</f>
        <v>#REF!</v>
      </c>
      <c r="AN12" s="503" t="e">
        <f>Gas!#REF!</f>
        <v>#REF!</v>
      </c>
      <c r="AO12" s="503" t="e">
        <f>Gas!#REF!</f>
        <v>#REF!</v>
      </c>
      <c r="AP12" s="503" t="e">
        <f>Gas!#REF!</f>
        <v>#REF!</v>
      </c>
      <c r="AQ12" s="503" t="e">
        <f>Gas!#REF!</f>
        <v>#REF!</v>
      </c>
      <c r="AR12" s="503" t="e">
        <f>Gas!#REF!</f>
        <v>#REF!</v>
      </c>
      <c r="AS12" s="504" t="e">
        <f>Gas!#REF!</f>
        <v>#REF!</v>
      </c>
      <c r="AT12" s="499">
        <f>Elect!BK13</f>
        <v>198</v>
      </c>
      <c r="AU12" s="499">
        <f>Elect!BI13</f>
        <v>127</v>
      </c>
      <c r="AV12" s="507"/>
      <c r="AW12" s="508"/>
      <c r="AX12" s="500">
        <v>48.837209302325583</v>
      </c>
      <c r="AY12" s="509">
        <v>24.086021505376344</v>
      </c>
      <c r="AZ12" s="509">
        <v>8835.4834285714278</v>
      </c>
      <c r="BA12" s="509">
        <v>12.842272425249169</v>
      </c>
      <c r="BB12" s="510">
        <v>6.333679877112135</v>
      </c>
      <c r="BC12" s="502">
        <f>Elect!BJ13</f>
        <v>389653</v>
      </c>
      <c r="BD12" s="511" t="e">
        <f>Elect!#REF!</f>
        <v>#REF!</v>
      </c>
      <c r="BE12" s="511" t="e">
        <f>Elect!#REF!</f>
        <v>#REF!</v>
      </c>
      <c r="BF12" s="511" t="e">
        <f>Elect!#REF!</f>
        <v>#REF!</v>
      </c>
      <c r="BG12" s="499" t="e">
        <f>Elect!#REF!</f>
        <v>#REF!</v>
      </c>
      <c r="BH12" s="512">
        <v>1.2194767441860466</v>
      </c>
      <c r="BI12" s="513">
        <v>0.60143369175627237</v>
      </c>
      <c r="BJ12" s="509">
        <v>5500.073107175589</v>
      </c>
      <c r="BK12" s="513">
        <v>7.9942923069412632</v>
      </c>
      <c r="BL12" s="514">
        <v>3.9427047363265872</v>
      </c>
      <c r="BM12" s="515">
        <f>Water!U14</f>
        <v>4.1428571428571432</v>
      </c>
      <c r="BN12" s="516" t="e">
        <f>Water!W14</f>
        <v>#DIV/0!</v>
      </c>
      <c r="BO12" s="511">
        <f>Water!X14</f>
        <v>1160</v>
      </c>
      <c r="BP12" s="516">
        <f>Water!Y14</f>
        <v>16.571428571428573</v>
      </c>
      <c r="BQ12" s="517" t="e">
        <f>Water!Z14</f>
        <v>#DIV/0!</v>
      </c>
    </row>
    <row r="13" spans="1:69" s="479" customFormat="1" ht="72" customHeight="1">
      <c r="A13" s="478">
        <v>9</v>
      </c>
      <c r="B13" s="498">
        <v>33600</v>
      </c>
      <c r="C13" s="499">
        <f>Elect!J14</f>
        <v>5761</v>
      </c>
      <c r="D13" s="500">
        <v>0</v>
      </c>
      <c r="E13" s="499">
        <f>Elect!M14</f>
        <v>2385.2222222220153</v>
      </c>
      <c r="F13" s="500">
        <v>20</v>
      </c>
      <c r="G13" s="499">
        <f>Elect!O14</f>
        <v>1700</v>
      </c>
      <c r="H13" s="500">
        <v>790</v>
      </c>
      <c r="I13" s="499">
        <f>Water!C15</f>
        <v>57.999999999999993</v>
      </c>
      <c r="J13" s="500">
        <v>0</v>
      </c>
      <c r="K13" s="499">
        <f>Water!E15</f>
        <v>0</v>
      </c>
      <c r="L13" s="500">
        <v>0</v>
      </c>
      <c r="M13" s="499" t="e">
        <f>Water!#REF!</f>
        <v>#REF!</v>
      </c>
      <c r="N13" s="501" t="e">
        <f>Water!#REF!</f>
        <v>#REF!</v>
      </c>
      <c r="O13" s="500">
        <v>841</v>
      </c>
      <c r="P13" s="499">
        <f>Water!H15</f>
        <v>169.35999999999999</v>
      </c>
      <c r="Q13" s="500">
        <v>127</v>
      </c>
      <c r="R13" s="499">
        <f>Water!O15</f>
        <v>0</v>
      </c>
      <c r="S13" s="500">
        <v>21</v>
      </c>
      <c r="T13" s="510" t="e">
        <f>Water!#REF!</f>
        <v>#REF!</v>
      </c>
      <c r="U13" s="500">
        <v>139</v>
      </c>
      <c r="V13" s="499" t="e">
        <f>Water!#REF!</f>
        <v>#REF!</v>
      </c>
      <c r="W13" s="500">
        <v>701</v>
      </c>
      <c r="X13" s="510">
        <f>Water!Q15</f>
        <v>98.228799999999978</v>
      </c>
      <c r="Y13" s="500">
        <v>0</v>
      </c>
      <c r="Z13" s="499" t="e">
        <f>Water!#REF!</f>
        <v>#REF!</v>
      </c>
      <c r="AA13" s="500">
        <v>0</v>
      </c>
      <c r="AB13" s="499">
        <v>0</v>
      </c>
      <c r="AC13" s="500">
        <v>440</v>
      </c>
      <c r="AD13" s="499" t="e">
        <f>Water!#REF!</f>
        <v>#REF!</v>
      </c>
      <c r="AE13" s="502" t="e">
        <f>Water!#REF!</f>
        <v>#REF!</v>
      </c>
      <c r="AF13" s="499" t="e">
        <f>Water!#REF!</f>
        <v>#REF!</v>
      </c>
      <c r="AG13" s="506">
        <f>Gas!B15</f>
        <v>7820140</v>
      </c>
      <c r="AH13" s="503">
        <f>Gas!C15</f>
        <v>1036.68</v>
      </c>
      <c r="AI13" s="504" t="e">
        <f>Gas!#REF!</f>
        <v>#REF!</v>
      </c>
      <c r="AJ13" s="505">
        <f>Gas!J15</f>
        <v>93.38000000000001</v>
      </c>
      <c r="AK13" s="505" t="e">
        <f>Gas!#REF!</f>
        <v>#REF!</v>
      </c>
      <c r="AL13" s="506" t="e">
        <f>Gas!#REF!</f>
        <v>#REF!</v>
      </c>
      <c r="AM13" s="503" t="e">
        <f>Gas!#REF!</f>
        <v>#REF!</v>
      </c>
      <c r="AN13" s="503" t="e">
        <f>Gas!#REF!</f>
        <v>#REF!</v>
      </c>
      <c r="AO13" s="503" t="e">
        <f>Gas!#REF!</f>
        <v>#REF!</v>
      </c>
      <c r="AP13" s="503" t="e">
        <f>Gas!#REF!</f>
        <v>#REF!</v>
      </c>
      <c r="AQ13" s="503" t="e">
        <f>Gas!#REF!</f>
        <v>#REF!</v>
      </c>
      <c r="AR13" s="503" t="e">
        <f>Gas!#REF!</f>
        <v>#REF!</v>
      </c>
      <c r="AS13" s="504" t="e">
        <f>Gas!#REF!</f>
        <v>#REF!</v>
      </c>
      <c r="AT13" s="499">
        <f>Elect!BK14</f>
        <v>196</v>
      </c>
      <c r="AU13" s="499">
        <f>Elect!BI14</f>
        <v>114</v>
      </c>
      <c r="AV13" s="507"/>
      <c r="AW13" s="508"/>
      <c r="AX13" s="500">
        <v>49.194729136163986</v>
      </c>
      <c r="AY13" s="509">
        <v>24.103299856527975</v>
      </c>
      <c r="AZ13" s="509">
        <v>8835.4834285714278</v>
      </c>
      <c r="BA13" s="509">
        <v>12.93628613260824</v>
      </c>
      <c r="BB13" s="510">
        <v>6.3382234064357448</v>
      </c>
      <c r="BC13" s="502">
        <f>Elect!BJ14</f>
        <v>389849</v>
      </c>
      <c r="BD13" s="511" t="e">
        <f>Elect!#REF!</f>
        <v>#REF!</v>
      </c>
      <c r="BE13" s="511" t="e">
        <f>Elect!#REF!</f>
        <v>#REF!</v>
      </c>
      <c r="BF13" s="511" t="e">
        <f>Elect!#REF!</f>
        <v>#REF!</v>
      </c>
      <c r="BG13" s="499" t="e">
        <f>Elect!#REF!</f>
        <v>#REF!</v>
      </c>
      <c r="BH13" s="512">
        <v>1.1903367496339678</v>
      </c>
      <c r="BI13" s="513">
        <v>0.58321377331420376</v>
      </c>
      <c r="BJ13" s="509">
        <v>4512.0018220858938</v>
      </c>
      <c r="BK13" s="513">
        <v>6.6061520089105326</v>
      </c>
      <c r="BL13" s="514">
        <v>3.2367301449683601</v>
      </c>
      <c r="BM13" s="515">
        <f>Water!U15</f>
        <v>1.9029213483146066</v>
      </c>
      <c r="BN13" s="516" t="e">
        <f>Water!W15</f>
        <v>#DIV/0!</v>
      </c>
      <c r="BO13" s="511">
        <f>Water!X15</f>
        <v>677.43999999999994</v>
      </c>
      <c r="BP13" s="516">
        <f>Water!Y15</f>
        <v>7.6116853932584263</v>
      </c>
      <c r="BQ13" s="517" t="e">
        <f>Water!Z15</f>
        <v>#DIV/0!</v>
      </c>
    </row>
    <row r="14" spans="1:69" s="479" customFormat="1" ht="72" customHeight="1">
      <c r="A14" s="478">
        <v>10</v>
      </c>
      <c r="B14" s="498">
        <v>31200</v>
      </c>
      <c r="C14" s="499">
        <f>Elect!J15</f>
        <v>5120</v>
      </c>
      <c r="D14" s="500">
        <v>0</v>
      </c>
      <c r="E14" s="499">
        <f>Elect!M15</f>
        <v>992.77777777798474</v>
      </c>
      <c r="F14" s="500">
        <v>20</v>
      </c>
      <c r="G14" s="499">
        <f>Elect!O15</f>
        <v>1641</v>
      </c>
      <c r="H14" s="500">
        <v>792</v>
      </c>
      <c r="I14" s="499">
        <f>Water!C16</f>
        <v>185.6</v>
      </c>
      <c r="J14" s="500">
        <v>0</v>
      </c>
      <c r="K14" s="499">
        <f>Water!E16</f>
        <v>0</v>
      </c>
      <c r="L14" s="500">
        <v>0</v>
      </c>
      <c r="M14" s="499" t="e">
        <f>Water!#REF!</f>
        <v>#REF!</v>
      </c>
      <c r="N14" s="501" t="e">
        <f>Water!#REF!</f>
        <v>#REF!</v>
      </c>
      <c r="O14" s="500">
        <v>972</v>
      </c>
      <c r="P14" s="499">
        <f>Water!H16</f>
        <v>272.60000000000002</v>
      </c>
      <c r="Q14" s="500">
        <v>126</v>
      </c>
      <c r="R14" s="499">
        <f>Water!O16</f>
        <v>0</v>
      </c>
      <c r="S14" s="500">
        <v>18</v>
      </c>
      <c r="T14" s="510" t="e">
        <f>Water!#REF!</f>
        <v>#REF!</v>
      </c>
      <c r="U14" s="500">
        <v>145</v>
      </c>
      <c r="V14" s="499" t="e">
        <f>Water!#REF!</f>
        <v>#REF!</v>
      </c>
      <c r="W14" s="500">
        <v>756</v>
      </c>
      <c r="X14" s="510">
        <f>Water!Q16</f>
        <v>158.108</v>
      </c>
      <c r="Y14" s="500">
        <v>0</v>
      </c>
      <c r="Z14" s="499" t="e">
        <f>Water!#REF!</f>
        <v>#REF!</v>
      </c>
      <c r="AA14" s="500">
        <v>0</v>
      </c>
      <c r="AB14" s="499">
        <v>0</v>
      </c>
      <c r="AC14" s="500">
        <v>580</v>
      </c>
      <c r="AD14" s="499" t="e">
        <f>Water!#REF!</f>
        <v>#REF!</v>
      </c>
      <c r="AE14" s="502" t="e">
        <f>Water!#REF!</f>
        <v>#REF!</v>
      </c>
      <c r="AF14" s="499" t="e">
        <f>Water!#REF!</f>
        <v>#REF!</v>
      </c>
      <c r="AG14" s="506">
        <f>Gas!B16</f>
        <v>7821277</v>
      </c>
      <c r="AH14" s="503">
        <f>Gas!C16</f>
        <v>1205.22</v>
      </c>
      <c r="AI14" s="504" t="e">
        <f>Gas!#REF!</f>
        <v>#REF!</v>
      </c>
      <c r="AJ14" s="505">
        <f>Gas!J16</f>
        <v>183.54000000000002</v>
      </c>
      <c r="AK14" s="505" t="e">
        <f>Gas!#REF!</f>
        <v>#REF!</v>
      </c>
      <c r="AL14" s="506" t="e">
        <f>Gas!#REF!</f>
        <v>#REF!</v>
      </c>
      <c r="AM14" s="503" t="e">
        <f>Gas!#REF!</f>
        <v>#REF!</v>
      </c>
      <c r="AN14" s="503" t="e">
        <f>Gas!#REF!</f>
        <v>#REF!</v>
      </c>
      <c r="AO14" s="503" t="e">
        <f>Gas!#REF!</f>
        <v>#REF!</v>
      </c>
      <c r="AP14" s="503" t="e">
        <f>Gas!#REF!</f>
        <v>#REF!</v>
      </c>
      <c r="AQ14" s="503" t="e">
        <f>Gas!#REF!</f>
        <v>#REF!</v>
      </c>
      <c r="AR14" s="503" t="e">
        <f>Gas!#REF!</f>
        <v>#REF!</v>
      </c>
      <c r="AS14" s="504" t="e">
        <f>Gas!#REF!</f>
        <v>#REF!</v>
      </c>
      <c r="AT14" s="499">
        <f>Elect!BK15</f>
        <v>198</v>
      </c>
      <c r="AU14" s="499">
        <f>Elect!BI15</f>
        <v>121</v>
      </c>
      <c r="AV14" s="507"/>
      <c r="AW14" s="508"/>
      <c r="AX14" s="500">
        <v>49.523809523809526</v>
      </c>
      <c r="AY14" s="509">
        <v>24.78157267672756</v>
      </c>
      <c r="AZ14" s="509">
        <v>8299.2754285714291</v>
      </c>
      <c r="BA14" s="509">
        <v>13.173453061224491</v>
      </c>
      <c r="BB14" s="510">
        <v>6.5919582435039148</v>
      </c>
      <c r="BC14" s="502">
        <f>Elect!BJ15</f>
        <v>390047</v>
      </c>
      <c r="BD14" s="511" t="e">
        <f>Elect!#REF!</f>
        <v>#REF!</v>
      </c>
      <c r="BE14" s="511" t="e">
        <f>Elect!#REF!</f>
        <v>#REF!</v>
      </c>
      <c r="BF14" s="511" t="e">
        <f>Elect!#REF!</f>
        <v>#REF!</v>
      </c>
      <c r="BG14" s="499" t="e">
        <f>Elect!#REF!</f>
        <v>#REF!</v>
      </c>
      <c r="BH14" s="512">
        <v>1.2730158730158729</v>
      </c>
      <c r="BI14" s="513">
        <v>0.63701350277998414</v>
      </c>
      <c r="BJ14" s="509">
        <v>4469.9646115088963</v>
      </c>
      <c r="BK14" s="513">
        <v>7.095181923029994</v>
      </c>
      <c r="BL14" s="514">
        <v>3.5504087462342304</v>
      </c>
      <c r="BM14" s="515">
        <f>Water!U16</f>
        <v>3.4075000000000002</v>
      </c>
      <c r="BN14" s="516" t="e">
        <f>Water!W16</f>
        <v>#DIV/0!</v>
      </c>
      <c r="BO14" s="511">
        <f>Water!X16</f>
        <v>1090.4000000000001</v>
      </c>
      <c r="BP14" s="516">
        <f>Water!Y16</f>
        <v>13.63</v>
      </c>
      <c r="BQ14" s="517" t="e">
        <f>Water!Z16</f>
        <v>#DIV/0!</v>
      </c>
    </row>
    <row r="15" spans="1:69" s="479" customFormat="1" ht="72" customHeight="1">
      <c r="A15" s="478">
        <v>11</v>
      </c>
      <c r="B15" s="498">
        <v>33600</v>
      </c>
      <c r="C15" s="499">
        <f>Elect!J16</f>
        <v>5042</v>
      </c>
      <c r="D15" s="500">
        <v>0</v>
      </c>
      <c r="E15" s="499">
        <f>Elect!M16</f>
        <v>1614</v>
      </c>
      <c r="F15" s="500">
        <v>20</v>
      </c>
      <c r="G15" s="499">
        <f>Elect!O16</f>
        <v>1564</v>
      </c>
      <c r="H15" s="500">
        <v>817</v>
      </c>
      <c r="I15" s="499">
        <f>Water!C17</f>
        <v>104.39999999999999</v>
      </c>
      <c r="J15" s="500">
        <v>0</v>
      </c>
      <c r="K15" s="499">
        <f>Water!E17</f>
        <v>0</v>
      </c>
      <c r="L15" s="500">
        <v>0</v>
      </c>
      <c r="M15" s="499" t="e">
        <f>Water!#REF!</f>
        <v>#REF!</v>
      </c>
      <c r="N15" s="501" t="e">
        <f>Water!#REF!</f>
        <v>#REF!</v>
      </c>
      <c r="O15" s="500">
        <v>875</v>
      </c>
      <c r="P15" s="499">
        <f>Water!H17</f>
        <v>196.62</v>
      </c>
      <c r="Q15" s="500">
        <v>122</v>
      </c>
      <c r="R15" s="499">
        <f>Water!O17</f>
        <v>0</v>
      </c>
      <c r="S15" s="500">
        <v>20</v>
      </c>
      <c r="T15" s="510" t="e">
        <f>Water!#REF!</f>
        <v>#REF!</v>
      </c>
      <c r="U15" s="500">
        <v>156</v>
      </c>
      <c r="V15" s="499" t="e">
        <f>Water!#REF!</f>
        <v>#REF!</v>
      </c>
      <c r="W15" s="500">
        <v>712</v>
      </c>
      <c r="X15" s="510">
        <f>Water!Q17</f>
        <v>114.03959999999999</v>
      </c>
      <c r="Y15" s="500">
        <v>0</v>
      </c>
      <c r="Z15" s="499" t="e">
        <f>Water!#REF!</f>
        <v>#REF!</v>
      </c>
      <c r="AA15" s="500">
        <v>0</v>
      </c>
      <c r="AB15" s="499">
        <v>0</v>
      </c>
      <c r="AC15" s="500">
        <v>850</v>
      </c>
      <c r="AD15" s="499" t="e">
        <f>Water!#REF!</f>
        <v>#REF!</v>
      </c>
      <c r="AE15" s="502" t="e">
        <f>Water!#REF!</f>
        <v>#REF!</v>
      </c>
      <c r="AF15" s="499" t="e">
        <f>Water!#REF!</f>
        <v>#REF!</v>
      </c>
      <c r="AG15" s="506" t="e">
        <f>Gas!#REF!</f>
        <v>#REF!</v>
      </c>
      <c r="AH15" s="503">
        <f>Gas!C17</f>
        <v>1051.52</v>
      </c>
      <c r="AI15" s="504" t="e">
        <f>Gas!#REF!</f>
        <v>#REF!</v>
      </c>
      <c r="AJ15" s="505">
        <f>Gas!J17</f>
        <v>117.53</v>
      </c>
      <c r="AK15" s="505" t="e">
        <f>Gas!#REF!</f>
        <v>#REF!</v>
      </c>
      <c r="AL15" s="506" t="e">
        <f>Gas!#REF!</f>
        <v>#REF!</v>
      </c>
      <c r="AM15" s="503" t="e">
        <f>Gas!#REF!</f>
        <v>#REF!</v>
      </c>
      <c r="AN15" s="503" t="e">
        <f>Gas!#REF!</f>
        <v>#REF!</v>
      </c>
      <c r="AO15" s="503" t="e">
        <f>Gas!#REF!</f>
        <v>#REF!</v>
      </c>
      <c r="AP15" s="503" t="e">
        <f>Gas!#REF!</f>
        <v>#REF!</v>
      </c>
      <c r="AQ15" s="503" t="e">
        <f>Gas!#REF!</f>
        <v>#REF!</v>
      </c>
      <c r="AR15" s="503" t="e">
        <f>Gas!#REF!</f>
        <v>#REF!</v>
      </c>
      <c r="AS15" s="504" t="e">
        <f>Gas!#REF!</f>
        <v>#REF!</v>
      </c>
      <c r="AT15" s="499">
        <f>Elect!BK16</f>
        <v>209</v>
      </c>
      <c r="AU15" s="499">
        <f>Elect!BI16</f>
        <v>130</v>
      </c>
      <c r="AV15" s="507"/>
      <c r="AW15" s="508"/>
      <c r="AX15" s="500">
        <v>53.333333333333336</v>
      </c>
      <c r="AY15" s="509">
        <v>26.751592356687897</v>
      </c>
      <c r="AZ15" s="509">
        <v>8835.4834285714278</v>
      </c>
      <c r="BA15" s="509">
        <v>14.024576870748298</v>
      </c>
      <c r="BB15" s="510">
        <v>7.0346205641492263</v>
      </c>
      <c r="BC15" s="502">
        <f>Elect!BJ16</f>
        <v>390256</v>
      </c>
      <c r="BD15" s="511" t="e">
        <f>Elect!#REF!</f>
        <v>#REF!</v>
      </c>
      <c r="BE15" s="511" t="e">
        <f>Elect!#REF!</f>
        <v>#REF!</v>
      </c>
      <c r="BF15" s="511" t="e">
        <f>Elect!#REF!</f>
        <v>#REF!</v>
      </c>
      <c r="BG15" s="499" t="e">
        <f>Elect!#REF!</f>
        <v>#REF!</v>
      </c>
      <c r="BH15" s="512">
        <v>1.3460317460317461</v>
      </c>
      <c r="BI15" s="513">
        <v>0.67515923566878977</v>
      </c>
      <c r="BJ15" s="509">
        <v>4666.2094792964244</v>
      </c>
      <c r="BK15" s="513">
        <v>7.4066817131689273</v>
      </c>
      <c r="BL15" s="514">
        <v>3.715134935745561</v>
      </c>
      <c r="BM15" s="515">
        <f>Water!U17</f>
        <v>2.7692957746478872</v>
      </c>
      <c r="BN15" s="516" t="e">
        <f>Water!W17</f>
        <v>#DIV/0!</v>
      </c>
      <c r="BO15" s="511">
        <f>Water!X17</f>
        <v>786.48</v>
      </c>
      <c r="BP15" s="516">
        <f>Water!Y17</f>
        <v>11.077183098591549</v>
      </c>
      <c r="BQ15" s="517" t="e">
        <f>Water!Z17</f>
        <v>#DIV/0!</v>
      </c>
    </row>
    <row r="16" spans="1:69" s="479" customFormat="1" ht="72" customHeight="1">
      <c r="A16" s="478">
        <v>12</v>
      </c>
      <c r="B16" s="498">
        <v>33600</v>
      </c>
      <c r="C16" s="499">
        <f>Elect!J17</f>
        <v>4121</v>
      </c>
      <c r="D16" s="500">
        <v>0</v>
      </c>
      <c r="E16" s="499">
        <f>Elect!M17</f>
        <v>613</v>
      </c>
      <c r="F16" s="500">
        <v>20</v>
      </c>
      <c r="G16" s="499">
        <f>Elect!O17</f>
        <v>1148</v>
      </c>
      <c r="H16" s="500">
        <v>907</v>
      </c>
      <c r="I16" s="499">
        <f>Water!C18</f>
        <v>69.599999999999994</v>
      </c>
      <c r="J16" s="500">
        <v>0</v>
      </c>
      <c r="K16" s="499">
        <f>Water!E18</f>
        <v>0</v>
      </c>
      <c r="L16" s="500">
        <v>0</v>
      </c>
      <c r="M16" s="499" t="e">
        <f>Water!#REF!</f>
        <v>#REF!</v>
      </c>
      <c r="N16" s="501" t="e">
        <f>Water!#REF!</f>
        <v>#REF!</v>
      </c>
      <c r="O16" s="500">
        <v>965</v>
      </c>
      <c r="P16" s="499">
        <f>Water!H18</f>
        <v>103.24</v>
      </c>
      <c r="Q16" s="500">
        <v>125</v>
      </c>
      <c r="R16" s="499">
        <f>Water!O18</f>
        <v>0</v>
      </c>
      <c r="S16" s="500">
        <v>4</v>
      </c>
      <c r="T16" s="510" t="e">
        <f>Water!#REF!</f>
        <v>#REF!</v>
      </c>
      <c r="U16" s="500">
        <v>167</v>
      </c>
      <c r="V16" s="499" t="e">
        <f>Water!#REF!</f>
        <v>#REF!</v>
      </c>
      <c r="W16" s="500">
        <v>705</v>
      </c>
      <c r="X16" s="510">
        <f>Water!Q18</f>
        <v>59.87919999999999</v>
      </c>
      <c r="Y16" s="500">
        <v>0</v>
      </c>
      <c r="Z16" s="499" t="e">
        <f>Water!#REF!</f>
        <v>#REF!</v>
      </c>
      <c r="AA16" s="500">
        <v>0</v>
      </c>
      <c r="AB16" s="499">
        <v>0</v>
      </c>
      <c r="AC16" s="500">
        <v>880</v>
      </c>
      <c r="AD16" s="499" t="e">
        <f>Water!#REF!</f>
        <v>#REF!</v>
      </c>
      <c r="AE16" s="502" t="e">
        <f>Water!#REF!</f>
        <v>#REF!</v>
      </c>
      <c r="AF16" s="499" t="e">
        <f>Water!#REF!</f>
        <v>#REF!</v>
      </c>
      <c r="AG16" s="506">
        <f>Gas!B18</f>
        <v>7823207</v>
      </c>
      <c r="AH16" s="503">
        <f>Gas!C18</f>
        <v>994.28000000000009</v>
      </c>
      <c r="AI16" s="504" t="e">
        <f>Gas!#REF!</f>
        <v>#REF!</v>
      </c>
      <c r="AJ16" s="505">
        <f>Gas!J18</f>
        <v>165.83</v>
      </c>
      <c r="AK16" s="505" t="e">
        <f>Gas!#REF!</f>
        <v>#REF!</v>
      </c>
      <c r="AL16" s="506" t="e">
        <f>Gas!#REF!</f>
        <v>#REF!</v>
      </c>
      <c r="AM16" s="503" t="e">
        <f>Gas!#REF!</f>
        <v>#REF!</v>
      </c>
      <c r="AN16" s="503" t="e">
        <f>Gas!#REF!</f>
        <v>#REF!</v>
      </c>
      <c r="AO16" s="503" t="e">
        <f>Gas!#REF!</f>
        <v>#REF!</v>
      </c>
      <c r="AP16" s="503" t="e">
        <f>Gas!#REF!</f>
        <v>#REF!</v>
      </c>
      <c r="AQ16" s="503" t="e">
        <f>Gas!#REF!</f>
        <v>#REF!</v>
      </c>
      <c r="AR16" s="503" t="e">
        <f>Gas!#REF!</f>
        <v>#REF!</v>
      </c>
      <c r="AS16" s="504" t="e">
        <f>Gas!#REF!</f>
        <v>#REF!</v>
      </c>
      <c r="AT16" s="499">
        <f>Elect!BK17</f>
        <v>182</v>
      </c>
      <c r="AU16" s="499">
        <f>Elect!BI17</f>
        <v>88</v>
      </c>
      <c r="AV16" s="507"/>
      <c r="AW16" s="508"/>
      <c r="AX16" s="500">
        <v>50.450450450450454</v>
      </c>
      <c r="AY16" s="509">
        <v>25.339366515837103</v>
      </c>
      <c r="AZ16" s="509">
        <v>8835.4834285714278</v>
      </c>
      <c r="BA16" s="509">
        <v>13.266491634491633</v>
      </c>
      <c r="BB16" s="510">
        <v>6.6632605042016797</v>
      </c>
      <c r="BC16" s="502">
        <f>Elect!BJ17</f>
        <v>390438</v>
      </c>
      <c r="BD16" s="511" t="e">
        <f>Elect!#REF!</f>
        <v>#REF!</v>
      </c>
      <c r="BE16" s="511" t="e">
        <f>Elect!#REF!</f>
        <v>#REF!</v>
      </c>
      <c r="BF16" s="511" t="e">
        <f>Elect!#REF!</f>
        <v>#REF!</v>
      </c>
      <c r="BG16" s="499" t="e">
        <f>Elect!#REF!</f>
        <v>#REF!</v>
      </c>
      <c r="BH16" s="512">
        <v>1.2162162162162162</v>
      </c>
      <c r="BI16" s="513">
        <v>0.61085972850678738</v>
      </c>
      <c r="BJ16" s="509">
        <v>5180.2350033315261</v>
      </c>
      <c r="BK16" s="513">
        <v>7.7781306356329223</v>
      </c>
      <c r="BL16" s="514">
        <v>3.9066628984400649</v>
      </c>
      <c r="BM16" s="515">
        <f>Water!U18</f>
        <v>1.1599999999999999</v>
      </c>
      <c r="BN16" s="516" t="e">
        <f>Water!W18</f>
        <v>#DIV/0!</v>
      </c>
      <c r="BO16" s="511">
        <f>Water!X18</f>
        <v>412.96</v>
      </c>
      <c r="BP16" s="516">
        <f>Water!Y18</f>
        <v>4.6399999999999997</v>
      </c>
      <c r="BQ16" s="517" t="e">
        <f>Water!Z18</f>
        <v>#DIV/0!</v>
      </c>
    </row>
    <row r="17" spans="1:69" s="479" customFormat="1" ht="72" customHeight="1">
      <c r="A17" s="478">
        <v>13</v>
      </c>
      <c r="B17" s="498">
        <v>31200</v>
      </c>
      <c r="C17" s="499">
        <f>Elect!J18</f>
        <v>5116</v>
      </c>
      <c r="D17" s="500">
        <v>0</v>
      </c>
      <c r="E17" s="499">
        <f>Elect!M18</f>
        <v>1984</v>
      </c>
      <c r="F17" s="500">
        <v>20</v>
      </c>
      <c r="G17" s="499">
        <f>Elect!O18</f>
        <v>1389</v>
      </c>
      <c r="H17" s="500">
        <v>812</v>
      </c>
      <c r="I17" s="499">
        <f>Water!C19</f>
        <v>75.399999999999991</v>
      </c>
      <c r="J17" s="500">
        <v>0</v>
      </c>
      <c r="K17" s="499">
        <f>Water!E19</f>
        <v>0</v>
      </c>
      <c r="L17" s="500">
        <v>0</v>
      </c>
      <c r="M17" s="499" t="e">
        <f>Water!#REF!</f>
        <v>#REF!</v>
      </c>
      <c r="N17" s="501" t="e">
        <f>Water!#REF!</f>
        <v>#REF!</v>
      </c>
      <c r="O17" s="500">
        <v>822</v>
      </c>
      <c r="P17" s="499">
        <f>Water!H19</f>
        <v>145</v>
      </c>
      <c r="Q17" s="500">
        <v>123</v>
      </c>
      <c r="R17" s="499">
        <f>Water!O19</f>
        <v>0</v>
      </c>
      <c r="S17" s="500">
        <v>7</v>
      </c>
      <c r="T17" s="510" t="e">
        <f>Water!#REF!</f>
        <v>#REF!</v>
      </c>
      <c r="U17" s="500">
        <v>163</v>
      </c>
      <c r="V17" s="499" t="e">
        <f>Water!#REF!</f>
        <v>#REF!</v>
      </c>
      <c r="W17" s="500">
        <v>692</v>
      </c>
      <c r="X17" s="510">
        <f>Water!Q19</f>
        <v>84.1</v>
      </c>
      <c r="Y17" s="500">
        <v>0</v>
      </c>
      <c r="Z17" s="499" t="e">
        <f>Water!#REF!</f>
        <v>#REF!</v>
      </c>
      <c r="AA17" s="500">
        <v>0</v>
      </c>
      <c r="AB17" s="499">
        <v>0</v>
      </c>
      <c r="AC17" s="500">
        <v>460</v>
      </c>
      <c r="AD17" s="499" t="e">
        <f>Water!#REF!</f>
        <v>#REF!</v>
      </c>
      <c r="AE17" s="502" t="e">
        <f>Water!#REF!</f>
        <v>#REF!</v>
      </c>
      <c r="AF17" s="499" t="e">
        <f>Water!#REF!</f>
        <v>#REF!</v>
      </c>
      <c r="AG17" s="506">
        <f>Gas!B19</f>
        <v>7824171</v>
      </c>
      <c r="AH17" s="503">
        <f>Gas!C19</f>
        <v>1021.84</v>
      </c>
      <c r="AI17" s="504" t="e">
        <f>Gas!#REF!</f>
        <v>#REF!</v>
      </c>
      <c r="AJ17" s="505">
        <f>Gas!J19</f>
        <v>144.9</v>
      </c>
      <c r="AK17" s="505" t="e">
        <f>Gas!#REF!</f>
        <v>#REF!</v>
      </c>
      <c r="AL17" s="506" t="e">
        <f>Gas!#REF!</f>
        <v>#REF!</v>
      </c>
      <c r="AM17" s="503" t="e">
        <f>Gas!#REF!</f>
        <v>#REF!</v>
      </c>
      <c r="AN17" s="503" t="e">
        <f>Gas!#REF!</f>
        <v>#REF!</v>
      </c>
      <c r="AO17" s="503" t="e">
        <f>Gas!#REF!</f>
        <v>#REF!</v>
      </c>
      <c r="AP17" s="503" t="e">
        <f>Gas!#REF!</f>
        <v>#REF!</v>
      </c>
      <c r="AQ17" s="503" t="e">
        <f>Gas!#REF!</f>
        <v>#REF!</v>
      </c>
      <c r="AR17" s="503" t="e">
        <f>Gas!#REF!</f>
        <v>#REF!</v>
      </c>
      <c r="AS17" s="504" t="e">
        <f>Gas!#REF!</f>
        <v>#REF!</v>
      </c>
      <c r="AT17" s="499">
        <f>Elect!BK18</f>
        <v>200</v>
      </c>
      <c r="AU17" s="499">
        <f>Elect!BI18</f>
        <v>126</v>
      </c>
      <c r="AV17" s="507"/>
      <c r="AW17" s="508"/>
      <c r="AX17" s="500">
        <v>46.567164179104481</v>
      </c>
      <c r="AY17" s="509">
        <v>23.214285714285715</v>
      </c>
      <c r="AZ17" s="509">
        <v>8299.2754285714291</v>
      </c>
      <c r="BA17" s="509">
        <v>12.386978251599148</v>
      </c>
      <c r="BB17" s="510">
        <v>6.1750561224489804</v>
      </c>
      <c r="BC17" s="502">
        <f>Elect!BJ18</f>
        <v>390638</v>
      </c>
      <c r="BD17" s="511" t="e">
        <f>Elect!#REF!</f>
        <v>#REF!</v>
      </c>
      <c r="BE17" s="511" t="e">
        <f>Elect!#REF!</f>
        <v>#REF!</v>
      </c>
      <c r="BF17" s="511" t="e">
        <f>Elect!#REF!</f>
        <v>#REF!</v>
      </c>
      <c r="BG17" s="499" t="e">
        <f>Elect!#REF!</f>
        <v>#REF!</v>
      </c>
      <c r="BH17" s="512">
        <v>1.0850746268656717</v>
      </c>
      <c r="BI17" s="513">
        <v>0.54092261904761907</v>
      </c>
      <c r="BJ17" s="509">
        <v>4637.652505738919</v>
      </c>
      <c r="BK17" s="513">
        <v>6.9218694115506256</v>
      </c>
      <c r="BL17" s="514">
        <v>3.4506343048652672</v>
      </c>
      <c r="BM17" s="515">
        <f>Water!U19</f>
        <v>1.7469879518072289</v>
      </c>
      <c r="BN17" s="516" t="e">
        <f>Water!W19</f>
        <v>#DIV/0!</v>
      </c>
      <c r="BO17" s="511">
        <f>Water!X19</f>
        <v>580</v>
      </c>
      <c r="BP17" s="516">
        <f>Water!Y19</f>
        <v>6.9879518072289155</v>
      </c>
      <c r="BQ17" s="517" t="e">
        <f>Water!Z19</f>
        <v>#DIV/0!</v>
      </c>
    </row>
    <row r="18" spans="1:69" s="479" customFormat="1" ht="72" customHeight="1">
      <c r="A18" s="478">
        <v>14</v>
      </c>
      <c r="B18" s="498">
        <v>33600</v>
      </c>
      <c r="C18" s="499">
        <f>Elect!J19</f>
        <v>4819</v>
      </c>
      <c r="D18" s="500">
        <v>0</v>
      </c>
      <c r="E18" s="499">
        <f>Elect!M19</f>
        <v>1770</v>
      </c>
      <c r="F18" s="500">
        <v>30</v>
      </c>
      <c r="G18" s="499">
        <f>Elect!O19</f>
        <v>1324</v>
      </c>
      <c r="H18" s="500">
        <v>810</v>
      </c>
      <c r="I18" s="499">
        <f>Water!C20</f>
        <v>69.599999999999994</v>
      </c>
      <c r="J18" s="500">
        <v>0</v>
      </c>
      <c r="K18" s="499">
        <f>Water!E20</f>
        <v>0</v>
      </c>
      <c r="L18" s="500">
        <v>0</v>
      </c>
      <c r="M18" s="499" t="e">
        <f>Water!#REF!</f>
        <v>#REF!</v>
      </c>
      <c r="N18" s="501" t="e">
        <f>Water!#REF!</f>
        <v>#REF!</v>
      </c>
      <c r="O18" s="500">
        <v>943</v>
      </c>
      <c r="P18" s="499">
        <f>Water!H20</f>
        <v>116</v>
      </c>
      <c r="Q18" s="500">
        <v>118</v>
      </c>
      <c r="R18" s="499">
        <f>Water!O20</f>
        <v>0</v>
      </c>
      <c r="S18" s="500">
        <v>18</v>
      </c>
      <c r="T18" s="510" t="e">
        <f>Water!#REF!</f>
        <v>#REF!</v>
      </c>
      <c r="U18" s="500">
        <v>152</v>
      </c>
      <c r="V18" s="499" t="e">
        <f>Water!#REF!</f>
        <v>#REF!</v>
      </c>
      <c r="W18" s="500">
        <v>708</v>
      </c>
      <c r="X18" s="510">
        <f>Water!Q20</f>
        <v>67.28</v>
      </c>
      <c r="Y18" s="500">
        <v>0</v>
      </c>
      <c r="Z18" s="499" t="e">
        <f>Water!#REF!</f>
        <v>#REF!</v>
      </c>
      <c r="AA18" s="500">
        <v>0</v>
      </c>
      <c r="AB18" s="499">
        <v>0</v>
      </c>
      <c r="AC18" s="500">
        <v>490</v>
      </c>
      <c r="AD18" s="499" t="e">
        <f>Water!#REF!</f>
        <v>#REF!</v>
      </c>
      <c r="AE18" s="502" t="e">
        <f>Water!#REF!</f>
        <v>#REF!</v>
      </c>
      <c r="AF18" s="499" t="e">
        <f>Water!#REF!</f>
        <v>#REF!</v>
      </c>
      <c r="AG18" s="506">
        <f>Gas!B20</f>
        <v>7825295</v>
      </c>
      <c r="AH18" s="503">
        <f>Gas!C20</f>
        <v>1191.44</v>
      </c>
      <c r="AI18" s="504" t="e">
        <f>Gas!#REF!</f>
        <v>#REF!</v>
      </c>
      <c r="AJ18" s="505">
        <f>Gas!J20</f>
        <v>133.63</v>
      </c>
      <c r="AK18" s="505" t="e">
        <f>Gas!#REF!</f>
        <v>#REF!</v>
      </c>
      <c r="AL18" s="506" t="e">
        <f>Gas!#REF!</f>
        <v>#REF!</v>
      </c>
      <c r="AM18" s="503" t="e">
        <f>Gas!#REF!</f>
        <v>#REF!</v>
      </c>
      <c r="AN18" s="503" t="e">
        <f>Gas!#REF!</f>
        <v>#REF!</v>
      </c>
      <c r="AO18" s="503" t="e">
        <f>Gas!#REF!</f>
        <v>#REF!</v>
      </c>
      <c r="AP18" s="503" t="e">
        <f>Gas!#REF!</f>
        <v>#REF!</v>
      </c>
      <c r="AQ18" s="503" t="e">
        <f>Gas!#REF!</f>
        <v>#REF!</v>
      </c>
      <c r="AR18" s="503" t="e">
        <f>Gas!#REF!</f>
        <v>#REF!</v>
      </c>
      <c r="AS18" s="504" t="e">
        <f>Gas!#REF!</f>
        <v>#REF!</v>
      </c>
      <c r="AT18" s="499">
        <f>Elect!BK19</f>
        <v>194</v>
      </c>
      <c r="AU18" s="499">
        <f>Elect!BI19</f>
        <v>128</v>
      </c>
      <c r="AV18" s="507"/>
      <c r="AW18" s="508"/>
      <c r="AX18" s="500">
        <v>47.795163584637265</v>
      </c>
      <c r="AY18" s="509">
        <v>24.207492795389047</v>
      </c>
      <c r="AZ18" s="509">
        <v>8835.4834285714278</v>
      </c>
      <c r="BA18" s="509">
        <v>12.568255232676284</v>
      </c>
      <c r="BB18" s="510">
        <v>6.3656220666941126</v>
      </c>
      <c r="BC18" s="502">
        <f>Elect!BJ6</f>
        <v>388341</v>
      </c>
      <c r="BD18" s="511" t="e">
        <f>Elect!#REF!</f>
        <v>#REF!</v>
      </c>
      <c r="BE18" s="511" t="e">
        <f>Elect!#REF!</f>
        <v>#REF!</v>
      </c>
      <c r="BF18" s="511" t="e">
        <f>Elect!#REF!</f>
        <v>#REF!</v>
      </c>
      <c r="BG18" s="499" t="e">
        <f>Elect!#REF!</f>
        <v>#REF!</v>
      </c>
      <c r="BH18" s="512">
        <v>1.1024182076813656</v>
      </c>
      <c r="BI18" s="513">
        <v>0.55835734870317</v>
      </c>
      <c r="BJ18" s="509">
        <v>4626.2297163159164</v>
      </c>
      <c r="BK18" s="513">
        <v>6.5806966092687293</v>
      </c>
      <c r="BL18" s="514">
        <v>3.3330185276051272</v>
      </c>
      <c r="BM18" s="515">
        <f>Water!U20</f>
        <v>1.4146341463414633</v>
      </c>
      <c r="BN18" s="516" t="e">
        <f>Water!W20</f>
        <v>#DIV/0!</v>
      </c>
      <c r="BO18" s="511">
        <f>Water!X20</f>
        <v>464</v>
      </c>
      <c r="BP18" s="516">
        <f>Water!Y20</f>
        <v>5.6585365853658534</v>
      </c>
      <c r="BQ18" s="517" t="e">
        <f>Water!Z20</f>
        <v>#DIV/0!</v>
      </c>
    </row>
    <row r="19" spans="1:69" s="479" customFormat="1" ht="72" customHeight="1">
      <c r="A19" s="478">
        <v>15</v>
      </c>
      <c r="B19" s="498">
        <v>31200</v>
      </c>
      <c r="C19" s="499">
        <f>Elect!J20</f>
        <v>5520</v>
      </c>
      <c r="D19" s="500">
        <v>0</v>
      </c>
      <c r="E19" s="499">
        <f>Elect!M20</f>
        <v>1871</v>
      </c>
      <c r="F19" s="500">
        <v>20</v>
      </c>
      <c r="G19" s="499">
        <f>Elect!O20</f>
        <v>1564</v>
      </c>
      <c r="H19" s="500">
        <v>841</v>
      </c>
      <c r="I19" s="499">
        <f>Water!C21</f>
        <v>98.6</v>
      </c>
      <c r="J19" s="500">
        <v>0</v>
      </c>
      <c r="K19" s="499">
        <f>Water!E21</f>
        <v>0</v>
      </c>
      <c r="L19" s="500">
        <v>0</v>
      </c>
      <c r="M19" s="499" t="e">
        <f>Water!#REF!</f>
        <v>#REF!</v>
      </c>
      <c r="N19" s="501" t="e">
        <f>Water!#REF!</f>
        <v>#REF!</v>
      </c>
      <c r="O19" s="500">
        <v>947</v>
      </c>
      <c r="P19" s="499">
        <f>Water!H21</f>
        <v>153.69999999999999</v>
      </c>
      <c r="Q19" s="500">
        <v>131</v>
      </c>
      <c r="R19" s="499">
        <f>Water!O21</f>
        <v>0</v>
      </c>
      <c r="S19" s="500">
        <v>23</v>
      </c>
      <c r="T19" s="510" t="e">
        <f>Water!#REF!</f>
        <v>#REF!</v>
      </c>
      <c r="U19" s="500">
        <v>166</v>
      </c>
      <c r="V19" s="499" t="e">
        <f>Water!#REF!</f>
        <v>#REF!</v>
      </c>
      <c r="W19" s="500">
        <v>787</v>
      </c>
      <c r="X19" s="510">
        <f>Water!Q21</f>
        <v>89.145999999999987</v>
      </c>
      <c r="Y19" s="500">
        <v>0</v>
      </c>
      <c r="Z19" s="499" t="e">
        <f>Water!#REF!</f>
        <v>#REF!</v>
      </c>
      <c r="AA19" s="500">
        <v>0</v>
      </c>
      <c r="AB19" s="499">
        <v>0</v>
      </c>
      <c r="AC19" s="500">
        <v>730</v>
      </c>
      <c r="AD19" s="499" t="e">
        <f>Water!#REF!</f>
        <v>#REF!</v>
      </c>
      <c r="AE19" s="502" t="e">
        <f>Water!#REF!</f>
        <v>#REF!</v>
      </c>
      <c r="AF19" s="499" t="e">
        <f>Water!#REF!</f>
        <v>#REF!</v>
      </c>
      <c r="AG19" s="506">
        <f>Gas!B21</f>
        <v>7826347</v>
      </c>
      <c r="AH19" s="503">
        <f>Gas!C21</f>
        <v>1115.1200000000001</v>
      </c>
      <c r="AI19" s="504" t="e">
        <f>Gas!#REF!</f>
        <v>#REF!</v>
      </c>
      <c r="AJ19" s="505">
        <f>Gas!J21</f>
        <v>157.78</v>
      </c>
      <c r="AK19" s="505" t="e">
        <f>Gas!#REF!</f>
        <v>#REF!</v>
      </c>
      <c r="AL19" s="506" t="e">
        <f>Gas!#REF!</f>
        <v>#REF!</v>
      </c>
      <c r="AM19" s="503" t="e">
        <f>Gas!#REF!</f>
        <v>#REF!</v>
      </c>
      <c r="AN19" s="503" t="e">
        <f>Gas!#REF!</f>
        <v>#REF!</v>
      </c>
      <c r="AO19" s="503" t="e">
        <f>Gas!#REF!</f>
        <v>#REF!</v>
      </c>
      <c r="AP19" s="503" t="e">
        <f>Gas!#REF!</f>
        <v>#REF!</v>
      </c>
      <c r="AQ19" s="503" t="e">
        <f>Gas!#REF!</f>
        <v>#REF!</v>
      </c>
      <c r="AR19" s="503" t="e">
        <f>Gas!#REF!</f>
        <v>#REF!</v>
      </c>
      <c r="AS19" s="504" t="e">
        <f>Gas!#REF!</f>
        <v>#REF!</v>
      </c>
      <c r="AT19" s="499">
        <f>Elect!BK20</f>
        <v>210</v>
      </c>
      <c r="AU19" s="499">
        <f>Elect!BI20</f>
        <v>118</v>
      </c>
      <c r="AV19" s="507"/>
      <c r="AW19" s="508"/>
      <c r="AX19" s="500">
        <v>41.6</v>
      </c>
      <c r="AY19" s="509">
        <v>20.995962314939433</v>
      </c>
      <c r="AZ19" s="509">
        <v>8299.2754285714291</v>
      </c>
      <c r="BA19" s="509">
        <v>11.065700571428572</v>
      </c>
      <c r="BB19" s="510">
        <v>5.5849767352432229</v>
      </c>
      <c r="BC19" s="502">
        <f>Elect!BJ20</f>
        <v>391042</v>
      </c>
      <c r="BD19" s="511" t="e">
        <f>Elect!#REF!</f>
        <v>#REF!</v>
      </c>
      <c r="BE19" s="511" t="e">
        <f>Elect!#REF!</f>
        <v>#REF!</v>
      </c>
      <c r="BF19" s="511" t="e">
        <f>Elect!#REF!</f>
        <v>#REF!</v>
      </c>
      <c r="BG19" s="499" t="e">
        <f>Elect!#REF!</f>
        <v>#REF!</v>
      </c>
      <c r="BH19" s="512">
        <v>1.1506666666666667</v>
      </c>
      <c r="BI19" s="513">
        <v>0.58114478114478119</v>
      </c>
      <c r="BJ19" s="509">
        <v>4803.2829523724513</v>
      </c>
      <c r="BK19" s="513">
        <v>6.4043772698299355</v>
      </c>
      <c r="BL19" s="514">
        <v>3.2345339746615833</v>
      </c>
      <c r="BM19" s="515">
        <f>Water!U21</f>
        <v>7.6849999999999996</v>
      </c>
      <c r="BN19" s="516" t="e">
        <f>Water!W21</f>
        <v>#DIV/0!</v>
      </c>
      <c r="BO19" s="511">
        <f>Water!X21</f>
        <v>614.79999999999995</v>
      </c>
      <c r="BP19" s="516">
        <f>Water!Y21</f>
        <v>30.74</v>
      </c>
      <c r="BQ19" s="517" t="e">
        <f>Water!Z21</f>
        <v>#DIV/0!</v>
      </c>
    </row>
    <row r="20" spans="1:69" s="479" customFormat="1" ht="72" customHeight="1">
      <c r="A20" s="478">
        <v>16</v>
      </c>
      <c r="B20" s="498">
        <v>36000</v>
      </c>
      <c r="C20" s="499">
        <f>Elect!J21</f>
        <v>4306</v>
      </c>
      <c r="D20" s="500">
        <v>0</v>
      </c>
      <c r="E20" s="499">
        <f>Elect!M21</f>
        <v>1480</v>
      </c>
      <c r="F20" s="500">
        <v>20</v>
      </c>
      <c r="G20" s="499">
        <f>Elect!O21</f>
        <v>1366</v>
      </c>
      <c r="H20" s="500">
        <v>932</v>
      </c>
      <c r="I20" s="499">
        <f>Water!C22</f>
        <v>87</v>
      </c>
      <c r="J20" s="500">
        <v>0</v>
      </c>
      <c r="K20" s="499">
        <f>Water!E22</f>
        <v>0</v>
      </c>
      <c r="L20" s="500">
        <v>0</v>
      </c>
      <c r="M20" s="499" t="e">
        <f>Water!#REF!</f>
        <v>#REF!</v>
      </c>
      <c r="N20" s="501" t="e">
        <f>Water!#REF!</f>
        <v>#REF!</v>
      </c>
      <c r="O20" s="500">
        <v>998</v>
      </c>
      <c r="P20" s="499">
        <f>Water!H22</f>
        <v>123.53999999999999</v>
      </c>
      <c r="Q20" s="500">
        <v>136</v>
      </c>
      <c r="R20" s="499">
        <f>Water!O22</f>
        <v>0</v>
      </c>
      <c r="S20" s="500">
        <v>22</v>
      </c>
      <c r="T20" s="510" t="e">
        <f>Water!#REF!</f>
        <v>#REF!</v>
      </c>
      <c r="U20" s="500">
        <v>162</v>
      </c>
      <c r="V20" s="499" t="e">
        <f>Water!#REF!</f>
        <v>#REF!</v>
      </c>
      <c r="W20" s="500">
        <v>703</v>
      </c>
      <c r="X20" s="510">
        <f>Water!Q22</f>
        <v>71.653199999999984</v>
      </c>
      <c r="Y20" s="500">
        <v>0</v>
      </c>
      <c r="Z20" s="499" t="e">
        <f>Water!#REF!</f>
        <v>#REF!</v>
      </c>
      <c r="AA20" s="500">
        <v>0</v>
      </c>
      <c r="AB20" s="499">
        <v>0</v>
      </c>
      <c r="AC20" s="500">
        <v>600</v>
      </c>
      <c r="AD20" s="499" t="e">
        <f>Water!#REF!</f>
        <v>#REF!</v>
      </c>
      <c r="AE20" s="502" t="e">
        <f>Water!#REF!</f>
        <v>#REF!</v>
      </c>
      <c r="AF20" s="499" t="e">
        <f>Water!#REF!</f>
        <v>#REF!</v>
      </c>
      <c r="AG20" s="506">
        <f>Gas!B22</f>
        <v>7827203</v>
      </c>
      <c r="AH20" s="503">
        <f>Gas!C22</f>
        <v>907.36</v>
      </c>
      <c r="AI20" s="504" t="e">
        <f>Gas!#REF!</f>
        <v>#REF!</v>
      </c>
      <c r="AJ20" s="505">
        <f>Gas!J22</f>
        <v>133.63</v>
      </c>
      <c r="AK20" s="505" t="e">
        <f>Gas!#REF!</f>
        <v>#REF!</v>
      </c>
      <c r="AL20" s="506" t="e">
        <f>Gas!#REF!</f>
        <v>#REF!</v>
      </c>
      <c r="AM20" s="503" t="e">
        <f>Gas!#REF!</f>
        <v>#REF!</v>
      </c>
      <c r="AN20" s="503" t="e">
        <f>Gas!#REF!</f>
        <v>#REF!</v>
      </c>
      <c r="AO20" s="503" t="e">
        <f>Gas!#REF!</f>
        <v>#REF!</v>
      </c>
      <c r="AP20" s="503" t="e">
        <f>Gas!#REF!</f>
        <v>#REF!</v>
      </c>
      <c r="AQ20" s="503" t="e">
        <f>Gas!#REF!</f>
        <v>#REF!</v>
      </c>
      <c r="AR20" s="503" t="e">
        <f>Gas!#REF!</f>
        <v>#REF!</v>
      </c>
      <c r="AS20" s="504" t="e">
        <f>Gas!#REF!</f>
        <v>#REF!</v>
      </c>
      <c r="AT20" s="499">
        <f>Elect!BK21</f>
        <v>177</v>
      </c>
      <c r="AU20" s="499">
        <f>Elect!BI21</f>
        <v>110</v>
      </c>
      <c r="AV20" s="507"/>
      <c r="AW20" s="508"/>
      <c r="AX20" s="500">
        <v>48</v>
      </c>
      <c r="AY20" s="509">
        <v>24.226110363391655</v>
      </c>
      <c r="AZ20" s="509">
        <v>9371.6914285714283</v>
      </c>
      <c r="BA20" s="509">
        <v>12.495588571428572</v>
      </c>
      <c r="BB20" s="510">
        <v>6.3066564122284179</v>
      </c>
      <c r="BC20" s="502">
        <f>Elect!BJ21</f>
        <v>391219</v>
      </c>
      <c r="BD20" s="511" t="e">
        <f>Elect!#REF!</f>
        <v>#REF!</v>
      </c>
      <c r="BE20" s="511" t="e">
        <f>Elect!#REF!</f>
        <v>#REF!</v>
      </c>
      <c r="BF20" s="511" t="e">
        <f>Elect!#REF!</f>
        <v>#REF!</v>
      </c>
      <c r="BG20" s="499" t="e">
        <f>Elect!#REF!</f>
        <v>#REF!</v>
      </c>
      <c r="BH20" s="512">
        <v>1.1626666666666667</v>
      </c>
      <c r="BI20" s="513">
        <v>0.58720538720538717</v>
      </c>
      <c r="BJ20" s="509">
        <v>5323.0198711190542</v>
      </c>
      <c r="BK20" s="513">
        <v>7.0973598281587389</v>
      </c>
      <c r="BL20" s="514">
        <v>3.584525165736737</v>
      </c>
      <c r="BM20" s="515">
        <f>Water!U22</f>
        <v>10.295</v>
      </c>
      <c r="BN20" s="516" t="e">
        <f>Water!W22</f>
        <v>#DIV/0!</v>
      </c>
      <c r="BO20" s="511">
        <f>Water!X22</f>
        <v>494.15999999999997</v>
      </c>
      <c r="BP20" s="516">
        <f>Water!Y22</f>
        <v>41.18</v>
      </c>
      <c r="BQ20" s="517" t="e">
        <f>Water!Z22</f>
        <v>#DIV/0!</v>
      </c>
    </row>
    <row r="21" spans="1:69" s="479" customFormat="1" ht="72" customHeight="1">
      <c r="A21" s="478">
        <v>17</v>
      </c>
      <c r="B21" s="498">
        <v>33600</v>
      </c>
      <c r="C21" s="499">
        <f>Elect!J22</f>
        <v>6294</v>
      </c>
      <c r="D21" s="500">
        <v>0</v>
      </c>
      <c r="E21" s="499">
        <f>Elect!M22</f>
        <v>2237</v>
      </c>
      <c r="F21" s="500">
        <v>20</v>
      </c>
      <c r="G21" s="499">
        <f>Elect!O22</f>
        <v>1734</v>
      </c>
      <c r="H21" s="500">
        <v>972</v>
      </c>
      <c r="I21" s="499">
        <f>Water!C23</f>
        <v>77.140000000016869</v>
      </c>
      <c r="J21" s="500">
        <v>0</v>
      </c>
      <c r="K21" s="499">
        <f>Water!E23</f>
        <v>0</v>
      </c>
      <c r="L21" s="500">
        <v>0</v>
      </c>
      <c r="M21" s="499" t="e">
        <f>Water!#REF!</f>
        <v>#REF!</v>
      </c>
      <c r="N21" s="501" t="e">
        <f>Water!#REF!</f>
        <v>#REF!</v>
      </c>
      <c r="O21" s="500">
        <v>998</v>
      </c>
      <c r="P21" s="499">
        <f>Water!H23</f>
        <v>78.880000000016864</v>
      </c>
      <c r="Q21" s="500">
        <v>136</v>
      </c>
      <c r="R21" s="499">
        <f>Water!O23</f>
        <v>0</v>
      </c>
      <c r="S21" s="500">
        <v>38</v>
      </c>
      <c r="T21" s="510" t="e">
        <f>Water!#REF!</f>
        <v>#REF!</v>
      </c>
      <c r="U21" s="500">
        <v>137</v>
      </c>
      <c r="V21" s="499" t="e">
        <f>Water!#REF!</f>
        <v>#REF!</v>
      </c>
      <c r="W21" s="500">
        <v>740</v>
      </c>
      <c r="X21" s="510">
        <f>Water!Q23</f>
        <v>45.750400000009776</v>
      </c>
      <c r="Y21" s="500">
        <v>0</v>
      </c>
      <c r="Z21" s="499" t="e">
        <f>Water!#REF!</f>
        <v>#REF!</v>
      </c>
      <c r="AA21" s="500">
        <v>0</v>
      </c>
      <c r="AB21" s="499">
        <v>0</v>
      </c>
      <c r="AC21" s="500">
        <v>690</v>
      </c>
      <c r="AD21" s="499" t="e">
        <f>Water!#REF!</f>
        <v>#REF!</v>
      </c>
      <c r="AE21" s="502" t="e">
        <f>Water!#REF!</f>
        <v>#REF!</v>
      </c>
      <c r="AF21" s="499" t="e">
        <f>Water!#REF!</f>
        <v>#REF!</v>
      </c>
      <c r="AG21" s="506">
        <f>Gas!B23</f>
        <v>7828109</v>
      </c>
      <c r="AH21" s="503">
        <f>Gas!C23</f>
        <v>960.36</v>
      </c>
      <c r="AI21" s="504" t="e">
        <f>Gas!#REF!</f>
        <v>#REF!</v>
      </c>
      <c r="AJ21" s="505">
        <f>Gas!J23</f>
        <v>144.9</v>
      </c>
      <c r="AK21" s="505" t="e">
        <f>Gas!#REF!</f>
        <v>#REF!</v>
      </c>
      <c r="AL21" s="506" t="e">
        <f>Gas!#REF!</f>
        <v>#REF!</v>
      </c>
      <c r="AM21" s="503" t="e">
        <f>Gas!#REF!</f>
        <v>#REF!</v>
      </c>
      <c r="AN21" s="503" t="e">
        <f>Gas!#REF!</f>
        <v>#REF!</v>
      </c>
      <c r="AO21" s="503" t="e">
        <f>Gas!#REF!</f>
        <v>#REF!</v>
      </c>
      <c r="AP21" s="503" t="e">
        <f>Gas!#REF!</f>
        <v>#REF!</v>
      </c>
      <c r="AQ21" s="503" t="e">
        <f>Gas!#REF!</f>
        <v>#REF!</v>
      </c>
      <c r="AR21" s="503" t="e">
        <f>Gas!#REF!</f>
        <v>#REF!</v>
      </c>
      <c r="AS21" s="504" t="e">
        <f>Gas!#REF!</f>
        <v>#REF!</v>
      </c>
      <c r="AT21" s="499">
        <f>Elect!BK22</f>
        <v>219</v>
      </c>
      <c r="AU21" s="499">
        <f>Elect!BI22</f>
        <v>124</v>
      </c>
      <c r="AV21" s="507"/>
      <c r="AW21" s="508"/>
      <c r="AX21" s="500">
        <v>44.385733157199475</v>
      </c>
      <c r="AY21" s="509">
        <v>22.207534699272969</v>
      </c>
      <c r="AZ21" s="509">
        <v>8835.4834285714278</v>
      </c>
      <c r="BA21" s="509">
        <v>11.67170862426873</v>
      </c>
      <c r="BB21" s="510">
        <v>5.8397114531205734</v>
      </c>
      <c r="BC21" s="502">
        <f>Elect!BJ22</f>
        <v>391438</v>
      </c>
      <c r="BD21" s="511" t="e">
        <f>Elect!#REF!</f>
        <v>#REF!</v>
      </c>
      <c r="BE21" s="511" t="e">
        <f>Elect!#REF!</f>
        <v>#REF!</v>
      </c>
      <c r="BF21" s="511" t="e">
        <f>Elect!#REF!</f>
        <v>#REF!</v>
      </c>
      <c r="BG21" s="499" t="e">
        <f>Elect!#REF!</f>
        <v>#REF!</v>
      </c>
      <c r="BH21" s="512">
        <v>1.1770145310435931</v>
      </c>
      <c r="BI21" s="513">
        <v>0.5888962326503635</v>
      </c>
      <c r="BJ21" s="509">
        <v>5551.4756595790996</v>
      </c>
      <c r="BK21" s="513">
        <v>7.3335213468680314</v>
      </c>
      <c r="BL21" s="514">
        <v>3.6691841768533373</v>
      </c>
      <c r="BM21" s="515">
        <f>Water!U23</f>
        <v>2.0757894736846545</v>
      </c>
      <c r="BN21" s="516" t="e">
        <f>Water!W23</f>
        <v>#DIV/0!</v>
      </c>
      <c r="BO21" s="511">
        <f>Water!X23</f>
        <v>315.52000000006745</v>
      </c>
      <c r="BP21" s="516">
        <f>Water!Y23</f>
        <v>8.303157894738618</v>
      </c>
      <c r="BQ21" s="517" t="e">
        <f>Water!Z23</f>
        <v>#DIV/0!</v>
      </c>
    </row>
    <row r="22" spans="1:69" s="479" customFormat="1" ht="72" customHeight="1">
      <c r="A22" s="478">
        <v>18</v>
      </c>
      <c r="B22" s="498">
        <v>33600</v>
      </c>
      <c r="C22" s="499">
        <f>Elect!J23</f>
        <v>3292</v>
      </c>
      <c r="D22" s="500">
        <v>0</v>
      </c>
      <c r="E22" s="499">
        <f>Elect!M23</f>
        <v>1289</v>
      </c>
      <c r="F22" s="500">
        <v>20</v>
      </c>
      <c r="G22" s="499">
        <f>Elect!O23</f>
        <v>1734</v>
      </c>
      <c r="H22" s="500">
        <v>864</v>
      </c>
      <c r="I22" s="499">
        <f>Water!C24</f>
        <v>79.459999999983111</v>
      </c>
      <c r="J22" s="500">
        <v>0</v>
      </c>
      <c r="K22" s="499">
        <f>Water!E24</f>
        <v>0</v>
      </c>
      <c r="L22" s="500">
        <v>0</v>
      </c>
      <c r="M22" s="499" t="e">
        <f>Water!#REF!</f>
        <v>#REF!</v>
      </c>
      <c r="N22" s="501" t="e">
        <f>Water!#REF!</f>
        <v>#REF!</v>
      </c>
      <c r="O22" s="500">
        <v>1002</v>
      </c>
      <c r="P22" s="499">
        <f>Water!H24</f>
        <v>79.459999999983111</v>
      </c>
      <c r="Q22" s="500">
        <v>118</v>
      </c>
      <c r="R22" s="499">
        <f>Water!O24</f>
        <v>0</v>
      </c>
      <c r="S22" s="500">
        <v>21</v>
      </c>
      <c r="T22" s="510" t="e">
        <f>Water!#REF!</f>
        <v>#REF!</v>
      </c>
      <c r="U22" s="500">
        <v>133</v>
      </c>
      <c r="V22" s="499" t="e">
        <f>Water!#REF!</f>
        <v>#REF!</v>
      </c>
      <c r="W22" s="500">
        <v>769</v>
      </c>
      <c r="X22" s="510">
        <f>Water!Q24</f>
        <v>46.086799999990198</v>
      </c>
      <c r="Y22" s="500">
        <v>0</v>
      </c>
      <c r="Z22" s="499" t="e">
        <f>Water!#REF!</f>
        <v>#REF!</v>
      </c>
      <c r="AA22" s="500">
        <v>0</v>
      </c>
      <c r="AB22" s="499">
        <v>0</v>
      </c>
      <c r="AC22" s="500">
        <v>930</v>
      </c>
      <c r="AD22" s="499" t="e">
        <f>Water!#REF!</f>
        <v>#REF!</v>
      </c>
      <c r="AE22" s="502" t="e">
        <f>Water!#REF!</f>
        <v>#REF!</v>
      </c>
      <c r="AF22" s="499" t="e">
        <f>Water!#REF!</f>
        <v>#REF!</v>
      </c>
      <c r="AG22" s="506">
        <f>Gas!B24</f>
        <v>7829005</v>
      </c>
      <c r="AH22" s="503">
        <f>Gas!C24</f>
        <v>949.76</v>
      </c>
      <c r="AI22" s="504" t="e">
        <f>Gas!#REF!</f>
        <v>#REF!</v>
      </c>
      <c r="AJ22" s="505">
        <f>Gas!J24</f>
        <v>143.29000000000002</v>
      </c>
      <c r="AK22" s="505" t="e">
        <f>Gas!#REF!</f>
        <v>#REF!</v>
      </c>
      <c r="AL22" s="506" t="e">
        <f>Gas!#REF!</f>
        <v>#REF!</v>
      </c>
      <c r="AM22" s="503" t="e">
        <f>Gas!#REF!</f>
        <v>#REF!</v>
      </c>
      <c r="AN22" s="503" t="e">
        <f>Gas!#REF!</f>
        <v>#REF!</v>
      </c>
      <c r="AO22" s="503" t="e">
        <f>Gas!#REF!</f>
        <v>#REF!</v>
      </c>
      <c r="AP22" s="503" t="e">
        <f>Gas!#REF!</f>
        <v>#REF!</v>
      </c>
      <c r="AQ22" s="503" t="e">
        <f>Gas!#REF!</f>
        <v>#REF!</v>
      </c>
      <c r="AR22" s="503" t="e">
        <f>Gas!#REF!</f>
        <v>#REF!</v>
      </c>
      <c r="AS22" s="504" t="e">
        <f>Gas!#REF!</f>
        <v>#REF!</v>
      </c>
      <c r="AT22" s="499">
        <f>Elect!BK23</f>
        <v>194</v>
      </c>
      <c r="AU22" s="499">
        <f>Elect!BI23</f>
        <v>124</v>
      </c>
      <c r="AV22" s="507"/>
      <c r="AW22" s="508"/>
      <c r="AX22" s="500">
        <v>44.680851063829785</v>
      </c>
      <c r="AY22" s="509">
        <v>22.459893048128343</v>
      </c>
      <c r="AZ22" s="509">
        <v>8835.4834285714278</v>
      </c>
      <c r="BA22" s="509">
        <v>11.749313069908814</v>
      </c>
      <c r="BB22" s="510">
        <v>5.9060718105423984</v>
      </c>
      <c r="BC22" s="502">
        <f>Elect!BJ23</f>
        <v>391632</v>
      </c>
      <c r="BD22" s="511" t="e">
        <f>Elect!#REF!</f>
        <v>#REF!</v>
      </c>
      <c r="BE22" s="511" t="e">
        <f>Elect!#REF!</f>
        <v>#REF!</v>
      </c>
      <c r="BF22" s="511" t="e">
        <f>Elect!#REF!</f>
        <v>#REF!</v>
      </c>
      <c r="BG22" s="499" t="e">
        <f>Elect!#REF!</f>
        <v>#REF!</v>
      </c>
      <c r="BH22" s="512">
        <v>1.1236702127659575</v>
      </c>
      <c r="BI22" s="513">
        <v>0.56483957219251335</v>
      </c>
      <c r="BJ22" s="509">
        <v>4934.6450307369778</v>
      </c>
      <c r="BK22" s="513">
        <v>6.5620279664055552</v>
      </c>
      <c r="BL22" s="514">
        <v>3.2985595125247178</v>
      </c>
      <c r="BM22" s="515">
        <f>Water!U24</f>
        <v>3.1783999999993244</v>
      </c>
      <c r="BN22" s="516" t="e">
        <f>Water!W24</f>
        <v>#DIV/0!</v>
      </c>
      <c r="BO22" s="511">
        <f>Water!X24</f>
        <v>317.83999999993245</v>
      </c>
      <c r="BP22" s="516">
        <f>Water!Y24</f>
        <v>12.713599999997298</v>
      </c>
      <c r="BQ22" s="517" t="e">
        <f>Water!Z24</f>
        <v>#DIV/0!</v>
      </c>
    </row>
    <row r="23" spans="1:69" s="479" customFormat="1" ht="72" customHeight="1">
      <c r="A23" s="478">
        <v>19</v>
      </c>
      <c r="B23" s="498">
        <v>33600</v>
      </c>
      <c r="C23" s="499">
        <f>Elect!J24</f>
        <v>3889</v>
      </c>
      <c r="D23" s="500">
        <v>0</v>
      </c>
      <c r="E23" s="499">
        <f>Elect!M24</f>
        <v>1669</v>
      </c>
      <c r="F23" s="500">
        <v>30</v>
      </c>
      <c r="G23" s="499">
        <f>Elect!O24</f>
        <v>658</v>
      </c>
      <c r="H23" s="500">
        <v>894</v>
      </c>
      <c r="I23" s="499">
        <f>Water!C25</f>
        <v>81.199999999999989</v>
      </c>
      <c r="J23" s="500">
        <v>0</v>
      </c>
      <c r="K23" s="499">
        <f>Water!E25</f>
        <v>5.8</v>
      </c>
      <c r="L23" s="500">
        <v>0</v>
      </c>
      <c r="M23" s="499" t="e">
        <f>Water!#REF!</f>
        <v>#REF!</v>
      </c>
      <c r="N23" s="501" t="e">
        <f>Water!#REF!</f>
        <v>#REF!</v>
      </c>
      <c r="O23" s="500">
        <v>944</v>
      </c>
      <c r="P23" s="499">
        <f>Water!H25</f>
        <v>86.999999999999986</v>
      </c>
      <c r="Q23" s="500">
        <v>110</v>
      </c>
      <c r="R23" s="499">
        <f>Water!O25</f>
        <v>0</v>
      </c>
      <c r="S23" s="500">
        <v>14</v>
      </c>
      <c r="T23" s="510" t="e">
        <f>Water!#REF!</f>
        <v>#REF!</v>
      </c>
      <c r="U23" s="500">
        <v>155</v>
      </c>
      <c r="V23" s="499" t="e">
        <f>Water!#REF!</f>
        <v>#REF!</v>
      </c>
      <c r="W23" s="500">
        <v>721</v>
      </c>
      <c r="X23" s="510">
        <f>Water!Q25</f>
        <v>50.459999999999987</v>
      </c>
      <c r="Y23" s="500">
        <v>0</v>
      </c>
      <c r="Z23" s="499" t="e">
        <f>Water!#REF!</f>
        <v>#REF!</v>
      </c>
      <c r="AA23" s="500">
        <v>0</v>
      </c>
      <c r="AB23" s="499">
        <v>0</v>
      </c>
      <c r="AC23" s="500">
        <v>660</v>
      </c>
      <c r="AD23" s="499" t="e">
        <f>Water!#REF!</f>
        <v>#REF!</v>
      </c>
      <c r="AE23" s="502" t="e">
        <f>Water!#REF!</f>
        <v>#REF!</v>
      </c>
      <c r="AF23" s="499" t="e">
        <f>Water!#REF!</f>
        <v>#REF!</v>
      </c>
      <c r="AG23" s="506">
        <f>Gas!B25</f>
        <v>7829511</v>
      </c>
      <c r="AH23" s="503">
        <f>Gas!C25</f>
        <v>536.36</v>
      </c>
      <c r="AI23" s="504" t="e">
        <f>Gas!#REF!</f>
        <v>#REF!</v>
      </c>
      <c r="AJ23" s="505">
        <f>Gas!J25</f>
        <v>140.07000000000002</v>
      </c>
      <c r="AK23" s="505" t="e">
        <f>Gas!#REF!</f>
        <v>#REF!</v>
      </c>
      <c r="AL23" s="506" t="e">
        <f>Gas!#REF!</f>
        <v>#REF!</v>
      </c>
      <c r="AM23" s="503" t="e">
        <f>Gas!#REF!</f>
        <v>#REF!</v>
      </c>
      <c r="AN23" s="503" t="e">
        <f>Gas!#REF!</f>
        <v>#REF!</v>
      </c>
      <c r="AO23" s="503" t="e">
        <f>Gas!#REF!</f>
        <v>#REF!</v>
      </c>
      <c r="AP23" s="503" t="e">
        <f>Gas!#REF!</f>
        <v>#REF!</v>
      </c>
      <c r="AQ23" s="503" t="e">
        <f>Gas!#REF!</f>
        <v>#REF!</v>
      </c>
      <c r="AR23" s="503" t="e">
        <f>Gas!#REF!</f>
        <v>#REF!</v>
      </c>
      <c r="AS23" s="504" t="e">
        <f>Gas!#REF!</f>
        <v>#REF!</v>
      </c>
      <c r="AT23" s="499">
        <f>Elect!BK24</f>
        <v>199</v>
      </c>
      <c r="AU23" s="499">
        <f>Elect!BI24</f>
        <v>121</v>
      </c>
      <c r="AV23" s="507"/>
      <c r="AW23" s="508"/>
      <c r="AX23" s="500">
        <v>44.8</v>
      </c>
      <c r="AY23" s="509">
        <v>22.444889779559119</v>
      </c>
      <c r="AZ23" s="509">
        <v>8835.4834285714278</v>
      </c>
      <c r="BA23" s="509">
        <v>11.780644571428571</v>
      </c>
      <c r="BB23" s="510">
        <v>5.9021265387918689</v>
      </c>
      <c r="BC23" s="502">
        <f>Elect!BJ24</f>
        <v>391831</v>
      </c>
      <c r="BD23" s="511" t="e">
        <f>Elect!#REF!</f>
        <v>#REF!</v>
      </c>
      <c r="BE23" s="511" t="e">
        <f>Elect!#REF!</f>
        <v>#REF!</v>
      </c>
      <c r="BF23" s="511" t="e">
        <f>Elect!#REF!</f>
        <v>#REF!</v>
      </c>
      <c r="BG23" s="499" t="e">
        <f>Elect!#REF!</f>
        <v>#REF!</v>
      </c>
      <c r="BH23" s="512">
        <v>1.1346666666666667</v>
      </c>
      <c r="BI23" s="513">
        <v>0.5684702738810955</v>
      </c>
      <c r="BJ23" s="509">
        <v>5105.9868720820114</v>
      </c>
      <c r="BK23" s="513">
        <v>6.8079824961093482</v>
      </c>
      <c r="BL23" s="514">
        <v>3.4108128738022789</v>
      </c>
      <c r="BM23" s="515">
        <f>Water!U25</f>
        <v>4.8333333333333321</v>
      </c>
      <c r="BN23" s="516" t="e">
        <f>Water!W25</f>
        <v>#DIV/0!</v>
      </c>
      <c r="BO23" s="511">
        <f>Water!X25</f>
        <v>347.99999999999994</v>
      </c>
      <c r="BP23" s="516">
        <f>Water!Y25</f>
        <v>19.333333333333329</v>
      </c>
      <c r="BQ23" s="517" t="e">
        <f>Water!Z25</f>
        <v>#DIV/0!</v>
      </c>
    </row>
    <row r="24" spans="1:69" ht="72" customHeight="1">
      <c r="A24" s="404">
        <v>20</v>
      </c>
      <c r="B24" s="498">
        <v>33600</v>
      </c>
      <c r="C24" s="499">
        <f>Elect!J25</f>
        <v>3720</v>
      </c>
      <c r="D24" s="500">
        <v>0</v>
      </c>
      <c r="E24" s="499">
        <f>Elect!M25</f>
        <v>1207</v>
      </c>
      <c r="F24" s="500">
        <v>20</v>
      </c>
      <c r="G24" s="499">
        <f>Elect!O25</f>
        <v>998</v>
      </c>
      <c r="H24" s="500">
        <v>944</v>
      </c>
      <c r="I24" s="499">
        <f>Water!C26</f>
        <v>115.99999999999999</v>
      </c>
      <c r="J24" s="500">
        <v>0</v>
      </c>
      <c r="K24" s="499">
        <f>Water!E26</f>
        <v>0</v>
      </c>
      <c r="L24" s="500">
        <v>0</v>
      </c>
      <c r="M24" s="499" t="e">
        <f>Water!#REF!</f>
        <v>#REF!</v>
      </c>
      <c r="N24" s="501" t="e">
        <f>Water!#REF!</f>
        <v>#REF!</v>
      </c>
      <c r="O24" s="500">
        <v>1000</v>
      </c>
      <c r="P24" s="499">
        <f>Water!H26</f>
        <v>115.99999999999999</v>
      </c>
      <c r="Q24" s="500">
        <v>138</v>
      </c>
      <c r="R24" s="499">
        <f>Water!O26</f>
        <v>0</v>
      </c>
      <c r="S24" s="500">
        <v>15</v>
      </c>
      <c r="T24" s="510" t="e">
        <f>Water!#REF!</f>
        <v>#REF!</v>
      </c>
      <c r="U24" s="500">
        <v>165</v>
      </c>
      <c r="V24" s="499" t="e">
        <f>Water!#REF!</f>
        <v>#REF!</v>
      </c>
      <c r="W24" s="500">
        <v>778</v>
      </c>
      <c r="X24" s="510">
        <f>Water!Q26</f>
        <v>67.279999999999987</v>
      </c>
      <c r="Y24" s="500">
        <v>0</v>
      </c>
      <c r="Z24" s="499" t="e">
        <f>Water!#REF!</f>
        <v>#REF!</v>
      </c>
      <c r="AA24" s="500">
        <v>0</v>
      </c>
      <c r="AB24" s="499">
        <v>0</v>
      </c>
      <c r="AC24" s="500">
        <v>560</v>
      </c>
      <c r="AD24" s="518" t="e">
        <f>Water!#REF!</f>
        <v>#REF!</v>
      </c>
      <c r="AE24" s="519" t="e">
        <f>Water!#REF!</f>
        <v>#REF!</v>
      </c>
      <c r="AF24" s="499" t="e">
        <f>Water!#REF!</f>
        <v>#REF!</v>
      </c>
      <c r="AG24" s="506">
        <f>Gas!B26</f>
        <v>7830077</v>
      </c>
      <c r="AH24" s="503">
        <f>Gas!C26</f>
        <v>599.96</v>
      </c>
      <c r="AI24" s="504" t="e">
        <f>Gas!#REF!</f>
        <v>#REF!</v>
      </c>
      <c r="AJ24" s="505">
        <f>Gas!J26</f>
        <v>146.51000000000002</v>
      </c>
      <c r="AK24" s="520" t="e">
        <f>Gas!#REF!</f>
        <v>#REF!</v>
      </c>
      <c r="AL24" s="506" t="e">
        <f>Gas!#REF!</f>
        <v>#REF!</v>
      </c>
      <c r="AM24" s="503" t="e">
        <f>Gas!#REF!</f>
        <v>#REF!</v>
      </c>
      <c r="AN24" s="503" t="e">
        <f>Gas!#REF!</f>
        <v>#REF!</v>
      </c>
      <c r="AO24" s="503" t="e">
        <f>Gas!#REF!</f>
        <v>#REF!</v>
      </c>
      <c r="AP24" s="503" t="e">
        <f>Gas!#REF!</f>
        <v>#REF!</v>
      </c>
      <c r="AQ24" s="503" t="e">
        <f>Gas!#REF!</f>
        <v>#REF!</v>
      </c>
      <c r="AR24" s="503" t="e">
        <f>Gas!#REF!</f>
        <v>#REF!</v>
      </c>
      <c r="AS24" s="504" t="e">
        <f>Gas!#REF!</f>
        <v>#REF!</v>
      </c>
      <c r="AT24" s="499">
        <f>Elect!BK25</f>
        <v>209</v>
      </c>
      <c r="AU24" s="499">
        <f>Elect!BI25</f>
        <v>110</v>
      </c>
      <c r="AV24" s="507"/>
      <c r="AW24" s="521"/>
      <c r="AX24" s="500">
        <v>42.857142857142854</v>
      </c>
      <c r="AY24" s="509">
        <v>21.649484536082475</v>
      </c>
      <c r="AZ24" s="509">
        <v>8835.4834285714278</v>
      </c>
      <c r="BA24" s="509">
        <v>11.269749271137025</v>
      </c>
      <c r="BB24" s="510">
        <v>5.6929661266568479</v>
      </c>
      <c r="BC24" s="502">
        <f>Elect!BJ25</f>
        <v>392040</v>
      </c>
      <c r="BD24" s="511" t="e">
        <f>Elect!#REF!</f>
        <v>#REF!</v>
      </c>
      <c r="BE24" s="511" t="e">
        <f>Elect!#REF!</f>
        <v>#REF!</v>
      </c>
      <c r="BF24" s="511" t="e">
        <f>Elect!#REF!</f>
        <v>#REF!</v>
      </c>
      <c r="BG24" s="499" t="e">
        <f>Elect!#REF!</f>
        <v>#REF!</v>
      </c>
      <c r="BH24" s="512">
        <v>1.1683673469387754</v>
      </c>
      <c r="BI24" s="513">
        <v>0.59020618556701032</v>
      </c>
      <c r="BJ24" s="509">
        <v>5391.5566076570676</v>
      </c>
      <c r="BK24" s="513">
        <v>6.8769854689503411</v>
      </c>
      <c r="BL24" s="514">
        <v>3.4739411131811004</v>
      </c>
      <c r="BM24" s="515">
        <f>Water!U26</f>
        <v>38.666666666666664</v>
      </c>
      <c r="BN24" s="516" t="e">
        <f>Water!W26</f>
        <v>#DIV/0!</v>
      </c>
      <c r="BO24" s="511">
        <f>Water!X26</f>
        <v>463.99999999999994</v>
      </c>
      <c r="BP24" s="516">
        <f>Water!Y26</f>
        <v>154.66666666666666</v>
      </c>
      <c r="BQ24" s="517" t="e">
        <f>Water!Z26</f>
        <v>#DIV/0!</v>
      </c>
    </row>
    <row r="25" spans="1:69" ht="72" customHeight="1">
      <c r="A25" s="404">
        <v>21</v>
      </c>
      <c r="B25" s="498">
        <v>36000</v>
      </c>
      <c r="C25" s="499">
        <f>Elect!J26</f>
        <v>4409</v>
      </c>
      <c r="D25" s="500">
        <v>0</v>
      </c>
      <c r="E25" s="499">
        <f>Elect!M26</f>
        <v>945</v>
      </c>
      <c r="F25" s="500">
        <v>20</v>
      </c>
      <c r="G25" s="499">
        <f>Elect!O26</f>
        <v>1032</v>
      </c>
      <c r="H25" s="500">
        <v>916</v>
      </c>
      <c r="I25" s="499">
        <f>Water!C27</f>
        <v>110.19999999999999</v>
      </c>
      <c r="J25" s="500">
        <v>0</v>
      </c>
      <c r="K25" s="499">
        <f>Water!E27</f>
        <v>11.6</v>
      </c>
      <c r="L25" s="500">
        <v>0</v>
      </c>
      <c r="M25" s="499" t="e">
        <f>Water!#REF!</f>
        <v>#REF!</v>
      </c>
      <c r="N25" s="501" t="e">
        <f>Water!#REF!</f>
        <v>#REF!</v>
      </c>
      <c r="O25" s="500">
        <v>998</v>
      </c>
      <c r="P25" s="499">
        <f>Water!H27</f>
        <v>121.79999999999998</v>
      </c>
      <c r="Q25" s="500">
        <v>186</v>
      </c>
      <c r="R25" s="499">
        <f>Water!O27</f>
        <v>0</v>
      </c>
      <c r="S25" s="500">
        <v>43</v>
      </c>
      <c r="T25" s="510" t="e">
        <f>Water!#REF!</f>
        <v>#REF!</v>
      </c>
      <c r="U25" s="500">
        <v>176</v>
      </c>
      <c r="V25" s="499" t="e">
        <f>Water!#REF!</f>
        <v>#REF!</v>
      </c>
      <c r="W25" s="500">
        <v>773</v>
      </c>
      <c r="X25" s="510">
        <f>Water!Q27</f>
        <v>70.643999999999991</v>
      </c>
      <c r="Y25" s="500">
        <v>0</v>
      </c>
      <c r="Z25" s="499" t="e">
        <f>Water!#REF!</f>
        <v>#REF!</v>
      </c>
      <c r="AA25" s="500">
        <v>0</v>
      </c>
      <c r="AB25" s="499">
        <v>0</v>
      </c>
      <c r="AC25" s="500">
        <v>950</v>
      </c>
      <c r="AD25" s="518" t="e">
        <f>Water!#REF!</f>
        <v>#REF!</v>
      </c>
      <c r="AE25" s="519" t="e">
        <f>Water!#REF!</f>
        <v>#REF!</v>
      </c>
      <c r="AF25" s="499" t="e">
        <f>Water!#REF!</f>
        <v>#REF!</v>
      </c>
      <c r="AG25" s="506">
        <f>Gas!B27</f>
        <v>7830578</v>
      </c>
      <c r="AH25" s="503">
        <f>Gas!C27</f>
        <v>531.06000000000006</v>
      </c>
      <c r="AI25" s="504" t="e">
        <f>Gas!#REF!</f>
        <v>#REF!</v>
      </c>
      <c r="AJ25" s="505">
        <f>Gas!J27</f>
        <v>132.02000000000001</v>
      </c>
      <c r="AK25" s="520" t="e">
        <f>Gas!#REF!</f>
        <v>#REF!</v>
      </c>
      <c r="AL25" s="506" t="e">
        <f>Gas!#REF!</f>
        <v>#REF!</v>
      </c>
      <c r="AM25" s="503" t="e">
        <f>Gas!#REF!</f>
        <v>#REF!</v>
      </c>
      <c r="AN25" s="503" t="e">
        <f>Gas!#REF!</f>
        <v>#REF!</v>
      </c>
      <c r="AO25" s="503" t="e">
        <f>Gas!#REF!</f>
        <v>#REF!</v>
      </c>
      <c r="AP25" s="503" t="e">
        <f>Gas!#REF!</f>
        <v>#REF!</v>
      </c>
      <c r="AQ25" s="503" t="e">
        <f>Gas!#REF!</f>
        <v>#REF!</v>
      </c>
      <c r="AR25" s="503" t="e">
        <f>Gas!#REF!</f>
        <v>#REF!</v>
      </c>
      <c r="AS25" s="504" t="e">
        <f>Gas!#REF!</f>
        <v>#REF!</v>
      </c>
      <c r="AT25" s="499">
        <f>Elect!BK26</f>
        <v>161</v>
      </c>
      <c r="AU25" s="499">
        <f>Elect!BI26</f>
        <v>90</v>
      </c>
      <c r="AV25" s="507"/>
      <c r="AW25" s="521"/>
      <c r="AX25" s="500">
        <v>43.956043956043956</v>
      </c>
      <c r="AY25" s="509">
        <v>22.222222222222221</v>
      </c>
      <c r="AZ25" s="509">
        <v>9371.6914285714283</v>
      </c>
      <c r="BA25" s="509">
        <v>11.44284667713239</v>
      </c>
      <c r="BB25" s="510">
        <v>5.7849947089947085</v>
      </c>
      <c r="BC25" s="502">
        <f>Elect!BJ26</f>
        <v>392201</v>
      </c>
      <c r="BD25" s="511" t="e">
        <f>Elect!#REF!</f>
        <v>#REF!</v>
      </c>
      <c r="BE25" s="511" t="e">
        <f>Elect!#REF!</f>
        <v>#REF!</v>
      </c>
      <c r="BF25" s="511" t="e">
        <f>Elect!#REF!</f>
        <v>#REF!</v>
      </c>
      <c r="BG25" s="499" t="e">
        <f>Elect!#REF!</f>
        <v>#REF!</v>
      </c>
      <c r="BH25" s="512">
        <v>1.0586080586080586</v>
      </c>
      <c r="BI25" s="513">
        <v>0.53518518518518521</v>
      </c>
      <c r="BJ25" s="509">
        <v>5231.6375557350366</v>
      </c>
      <c r="BK25" s="513">
        <v>6.3878358433883227</v>
      </c>
      <c r="BL25" s="514">
        <v>3.2294058986018745</v>
      </c>
      <c r="BM25" s="515">
        <f>Water!U27</f>
        <v>60.899999999999991</v>
      </c>
      <c r="BN25" s="516" t="e">
        <f>Water!W27</f>
        <v>#DIV/0!</v>
      </c>
      <c r="BO25" s="511">
        <f>Water!X27</f>
        <v>487.19999999999993</v>
      </c>
      <c r="BP25" s="516">
        <f>Water!Y27</f>
        <v>243.59999999999997</v>
      </c>
      <c r="BQ25" s="517" t="e">
        <f>Water!Z27</f>
        <v>#DIV/0!</v>
      </c>
    </row>
    <row r="26" spans="1:69" s="479" customFormat="1" ht="72" customHeight="1">
      <c r="A26" s="478">
        <v>22</v>
      </c>
      <c r="B26" s="498">
        <v>33600</v>
      </c>
      <c r="C26" s="499">
        <f>Elect!J27</f>
        <v>2372</v>
      </c>
      <c r="D26" s="500">
        <v>0</v>
      </c>
      <c r="E26" s="499">
        <f>Elect!M27</f>
        <v>805</v>
      </c>
      <c r="F26" s="500">
        <v>20</v>
      </c>
      <c r="G26" s="499">
        <f>Elect!O27</f>
        <v>655</v>
      </c>
      <c r="H26" s="500">
        <v>931</v>
      </c>
      <c r="I26" s="499">
        <f>Water!C28</f>
        <v>121.8</v>
      </c>
      <c r="J26" s="500">
        <v>0</v>
      </c>
      <c r="K26" s="499">
        <f>Water!E28</f>
        <v>0</v>
      </c>
      <c r="L26" s="500">
        <v>0</v>
      </c>
      <c r="M26" s="499" t="e">
        <f>Water!#REF!</f>
        <v>#REF!</v>
      </c>
      <c r="N26" s="501" t="e">
        <f>Water!#REF!</f>
        <v>#REF!</v>
      </c>
      <c r="O26" s="500">
        <v>969</v>
      </c>
      <c r="P26" s="499">
        <f>Water!H28</f>
        <v>121.8</v>
      </c>
      <c r="Q26" s="500">
        <v>151</v>
      </c>
      <c r="R26" s="499">
        <f>Water!O28</f>
        <v>0</v>
      </c>
      <c r="S26" s="500">
        <v>29</v>
      </c>
      <c r="T26" s="510" t="e">
        <f>Water!#REF!</f>
        <v>#REF!</v>
      </c>
      <c r="U26" s="500">
        <v>157</v>
      </c>
      <c r="V26" s="499" t="e">
        <f>Water!#REF!</f>
        <v>#REF!</v>
      </c>
      <c r="W26" s="500">
        <v>697</v>
      </c>
      <c r="X26" s="510">
        <f>Water!Q28</f>
        <v>70.643999999999991</v>
      </c>
      <c r="Y26" s="500">
        <v>0</v>
      </c>
      <c r="Z26" s="499" t="e">
        <f>Water!#REF!</f>
        <v>#REF!</v>
      </c>
      <c r="AA26" s="500">
        <v>0</v>
      </c>
      <c r="AB26" s="499">
        <v>0</v>
      </c>
      <c r="AC26" s="500">
        <v>700</v>
      </c>
      <c r="AD26" s="499" t="e">
        <f>Water!#REF!</f>
        <v>#REF!</v>
      </c>
      <c r="AE26" s="502" t="e">
        <f>Water!#REF!</f>
        <v>#REF!</v>
      </c>
      <c r="AF26" s="499" t="e">
        <f>Water!#REF!</f>
        <v>#REF!</v>
      </c>
      <c r="AG26" s="506">
        <f>Gas!B28</f>
        <v>7831059</v>
      </c>
      <c r="AH26" s="503">
        <f>Gas!C28</f>
        <v>509.86</v>
      </c>
      <c r="AI26" s="504" t="e">
        <f>Gas!#REF!</f>
        <v>#REF!</v>
      </c>
      <c r="AJ26" s="505">
        <f>Gas!J28</f>
        <v>114.31</v>
      </c>
      <c r="AK26" s="505" t="e">
        <f>Gas!#REF!</f>
        <v>#REF!</v>
      </c>
      <c r="AL26" s="506" t="e">
        <f>Gas!#REF!</f>
        <v>#REF!</v>
      </c>
      <c r="AM26" s="503" t="e">
        <f>Gas!#REF!</f>
        <v>#REF!</v>
      </c>
      <c r="AN26" s="503" t="e">
        <f>Gas!#REF!</f>
        <v>#REF!</v>
      </c>
      <c r="AO26" s="503" t="e">
        <f>Gas!#REF!</f>
        <v>#REF!</v>
      </c>
      <c r="AP26" s="503" t="e">
        <f>Gas!#REF!</f>
        <v>#REF!</v>
      </c>
      <c r="AQ26" s="503" t="e">
        <f>Gas!#REF!</f>
        <v>#REF!</v>
      </c>
      <c r="AR26" s="503" t="e">
        <f>Gas!#REF!</f>
        <v>#REF!</v>
      </c>
      <c r="AS26" s="504" t="e">
        <f>Gas!#REF!</f>
        <v>#REF!</v>
      </c>
      <c r="AT26" s="499">
        <f>Elect!BK27</f>
        <v>198</v>
      </c>
      <c r="AU26" s="499">
        <f>Elect!BI27</f>
        <v>101</v>
      </c>
      <c r="AV26" s="507"/>
      <c r="AW26" s="508"/>
      <c r="AX26" s="500">
        <v>39.952437574316292</v>
      </c>
      <c r="AY26" s="509">
        <v>20.253164556962027</v>
      </c>
      <c r="AZ26" s="509">
        <v>8835.4834285714278</v>
      </c>
      <c r="BA26" s="509">
        <v>10.505925598776965</v>
      </c>
      <c r="BB26" s="510">
        <v>5.3257886850942908</v>
      </c>
      <c r="BC26" s="502">
        <f>Elect!BJ27</f>
        <v>392399</v>
      </c>
      <c r="BD26" s="511" t="e">
        <f>Elect!#REF!</f>
        <v>#REF!</v>
      </c>
      <c r="BE26" s="511" t="e">
        <f>Elect!#REF!</f>
        <v>#REF!</v>
      </c>
      <c r="BF26" s="511" t="e">
        <f>Elect!#REF!</f>
        <v>#REF!</v>
      </c>
      <c r="BG26" s="499" t="e">
        <f>Elect!#REF!</f>
        <v>#REF!</v>
      </c>
      <c r="BH26" s="512">
        <v>1.0903686087990487</v>
      </c>
      <c r="BI26" s="513">
        <v>0.5527426160337553</v>
      </c>
      <c r="BJ26" s="509">
        <v>5317.3084764075529</v>
      </c>
      <c r="BK26" s="513">
        <v>6.32260223116237</v>
      </c>
      <c r="BL26" s="514">
        <v>3.2051286777622381</v>
      </c>
      <c r="BM26" s="515">
        <f>Water!U28</f>
        <v>60.9</v>
      </c>
      <c r="BN26" s="516" t="e">
        <f>Water!W28</f>
        <v>#DIV/0!</v>
      </c>
      <c r="BO26" s="511">
        <f>Water!X28</f>
        <v>487.2</v>
      </c>
      <c r="BP26" s="516">
        <f>Water!Y28</f>
        <v>243.6</v>
      </c>
      <c r="BQ26" s="517" t="e">
        <f>Water!Z28</f>
        <v>#DIV/0!</v>
      </c>
    </row>
    <row r="27" spans="1:69" ht="72" customHeight="1">
      <c r="A27" s="404">
        <v>23</v>
      </c>
      <c r="B27" s="498">
        <v>36000</v>
      </c>
      <c r="C27" s="499">
        <f>Elect!J28</f>
        <v>1673</v>
      </c>
      <c r="D27" s="500">
        <v>0</v>
      </c>
      <c r="E27" s="499">
        <f>Elect!M28</f>
        <v>828</v>
      </c>
      <c r="F27" s="500">
        <v>30</v>
      </c>
      <c r="G27" s="499">
        <f>Elect!O28</f>
        <v>763</v>
      </c>
      <c r="H27" s="500">
        <v>1009</v>
      </c>
      <c r="I27" s="499">
        <f>Water!C29</f>
        <v>110.19999999999999</v>
      </c>
      <c r="J27" s="500">
        <v>0</v>
      </c>
      <c r="K27" s="499">
        <f>Water!E29</f>
        <v>0</v>
      </c>
      <c r="L27" s="500">
        <v>0</v>
      </c>
      <c r="M27" s="499" t="e">
        <f>Water!#REF!</f>
        <v>#REF!</v>
      </c>
      <c r="N27" s="501" t="e">
        <f>Water!#REF!</f>
        <v>#REF!</v>
      </c>
      <c r="O27" s="500">
        <v>902</v>
      </c>
      <c r="P27" s="499">
        <f>Water!H29</f>
        <v>110.19999999999999</v>
      </c>
      <c r="Q27" s="500">
        <v>131</v>
      </c>
      <c r="R27" s="499">
        <f>Water!O29</f>
        <v>0</v>
      </c>
      <c r="S27" s="500">
        <v>6</v>
      </c>
      <c r="T27" s="510" t="e">
        <f>Water!#REF!</f>
        <v>#REF!</v>
      </c>
      <c r="U27" s="500">
        <v>167</v>
      </c>
      <c r="V27" s="499" t="e">
        <f>Water!#REF!</f>
        <v>#REF!</v>
      </c>
      <c r="W27" s="500">
        <v>748</v>
      </c>
      <c r="X27" s="510">
        <f>Water!Q29</f>
        <v>63.91599999999999</v>
      </c>
      <c r="Y27" s="500">
        <v>0</v>
      </c>
      <c r="Z27" s="499" t="e">
        <f>Water!#REF!</f>
        <v>#REF!</v>
      </c>
      <c r="AA27" s="500">
        <v>0</v>
      </c>
      <c r="AB27" s="499">
        <v>0</v>
      </c>
      <c r="AC27" s="500">
        <v>690</v>
      </c>
      <c r="AD27" s="518" t="e">
        <f>Water!#REF!</f>
        <v>#REF!</v>
      </c>
      <c r="AE27" s="519" t="e">
        <f>Water!#REF!</f>
        <v>#REF!</v>
      </c>
      <c r="AF27" s="499" t="e">
        <f>Water!#REF!</f>
        <v>#REF!</v>
      </c>
      <c r="AG27" s="506">
        <f>Gas!B29</f>
        <v>7831298</v>
      </c>
      <c r="AH27" s="503">
        <f>Gas!C29</f>
        <v>253.34</v>
      </c>
      <c r="AI27" s="504" t="e">
        <f>Gas!#REF!</f>
        <v>#REF!</v>
      </c>
      <c r="AJ27" s="505">
        <f>Gas!J29</f>
        <v>0</v>
      </c>
      <c r="AK27" s="520" t="e">
        <f>Gas!#REF!</f>
        <v>#REF!</v>
      </c>
      <c r="AL27" s="506" t="e">
        <f>Gas!#REF!</f>
        <v>#REF!</v>
      </c>
      <c r="AM27" s="503" t="e">
        <f>Gas!#REF!</f>
        <v>#REF!</v>
      </c>
      <c r="AN27" s="503" t="e">
        <f>Gas!#REF!</f>
        <v>#REF!</v>
      </c>
      <c r="AO27" s="503" t="e">
        <f>Gas!#REF!</f>
        <v>#REF!</v>
      </c>
      <c r="AP27" s="503" t="e">
        <f>Gas!#REF!</f>
        <v>#REF!</v>
      </c>
      <c r="AQ27" s="503" t="e">
        <f>Gas!#REF!</f>
        <v>#REF!</v>
      </c>
      <c r="AR27" s="503" t="e">
        <f>Gas!#REF!</f>
        <v>#REF!</v>
      </c>
      <c r="AS27" s="504" t="e">
        <f>Gas!#REF!</f>
        <v>#REF!</v>
      </c>
      <c r="AT27" s="499">
        <f>Elect!BK28</f>
        <v>187</v>
      </c>
      <c r="AU27" s="499">
        <f>Elect!BI28</f>
        <v>84</v>
      </c>
      <c r="AV27" s="507"/>
      <c r="AW27" s="521"/>
      <c r="AX27" s="500">
        <v>42.755344418052253</v>
      </c>
      <c r="AY27" s="509">
        <v>21.54398563734291</v>
      </c>
      <c r="AZ27" s="509">
        <v>9371.6914285714283</v>
      </c>
      <c r="BA27" s="509">
        <v>11.130274855785544</v>
      </c>
      <c r="BB27" s="510">
        <v>5.6084329315209027</v>
      </c>
      <c r="BC27" s="502">
        <f>Elect!BJ28</f>
        <v>392586</v>
      </c>
      <c r="BD27" s="511" t="e">
        <f>Elect!#REF!</f>
        <v>#REF!</v>
      </c>
      <c r="BE27" s="511" t="e">
        <f>Elect!#REF!</f>
        <v>#REF!</v>
      </c>
      <c r="BF27" s="511" t="e">
        <f>Elect!#REF!</f>
        <v>#REF!</v>
      </c>
      <c r="BG27" s="499" t="e">
        <f>Elect!#REF!</f>
        <v>#REF!</v>
      </c>
      <c r="BH27" s="512">
        <v>1.0712589073634204</v>
      </c>
      <c r="BI27" s="513">
        <v>0.53979652902453623</v>
      </c>
      <c r="BJ27" s="509">
        <v>5762.7972639046411</v>
      </c>
      <c r="BK27" s="513">
        <v>6.8441772730458919</v>
      </c>
      <c r="BL27" s="514">
        <v>3.4487117079022389</v>
      </c>
      <c r="BM27" s="515">
        <f>Water!U29</f>
        <v>55.099999999999994</v>
      </c>
      <c r="BN27" s="516" t="e">
        <f>Water!W29</f>
        <v>#DIV/0!</v>
      </c>
      <c r="BO27" s="511">
        <f>Water!X29</f>
        <v>440.79999999999995</v>
      </c>
      <c r="BP27" s="516">
        <f>Water!Y29</f>
        <v>220.39999999999998</v>
      </c>
      <c r="BQ27" s="517" t="e">
        <f>Water!Z29</f>
        <v>#DIV/0!</v>
      </c>
    </row>
    <row r="28" spans="1:69" ht="72" customHeight="1">
      <c r="A28" s="404">
        <v>24</v>
      </c>
      <c r="B28" s="498">
        <v>33600</v>
      </c>
      <c r="C28" s="499">
        <f>Elect!J29</f>
        <v>2027</v>
      </c>
      <c r="D28" s="500">
        <v>0</v>
      </c>
      <c r="E28" s="499">
        <f>Elect!M29</f>
        <v>725</v>
      </c>
      <c r="F28" s="500">
        <v>20</v>
      </c>
      <c r="G28" s="499">
        <f>Elect!O29</f>
        <v>684</v>
      </c>
      <c r="H28" s="500">
        <v>891</v>
      </c>
      <c r="I28" s="499">
        <f>Water!C30</f>
        <v>127.6</v>
      </c>
      <c r="J28" s="500">
        <v>0</v>
      </c>
      <c r="K28" s="499">
        <f>Water!E30</f>
        <v>11.6</v>
      </c>
      <c r="L28" s="500">
        <v>0</v>
      </c>
      <c r="M28" s="499" t="e">
        <f>Water!#REF!</f>
        <v>#REF!</v>
      </c>
      <c r="N28" s="501" t="e">
        <f>Water!#REF!</f>
        <v>#REF!</v>
      </c>
      <c r="O28" s="500">
        <v>818</v>
      </c>
      <c r="P28" s="499">
        <f>Water!H30</f>
        <v>139.19999999999999</v>
      </c>
      <c r="Q28" s="500">
        <v>221</v>
      </c>
      <c r="R28" s="499">
        <f>Water!O30</f>
        <v>0</v>
      </c>
      <c r="S28" s="500">
        <v>93</v>
      </c>
      <c r="T28" s="510" t="e">
        <f>Water!#REF!</f>
        <v>#REF!</v>
      </c>
      <c r="U28" s="500">
        <v>191</v>
      </c>
      <c r="V28" s="499" t="e">
        <f>Water!#REF!</f>
        <v>#REF!</v>
      </c>
      <c r="W28" s="500">
        <v>827</v>
      </c>
      <c r="X28" s="510">
        <f>Water!Q30</f>
        <v>80.73599999999999</v>
      </c>
      <c r="Y28" s="500">
        <v>0</v>
      </c>
      <c r="Z28" s="499" t="e">
        <f>Water!#REF!</f>
        <v>#REF!</v>
      </c>
      <c r="AA28" s="500">
        <v>0</v>
      </c>
      <c r="AB28" s="499">
        <v>0</v>
      </c>
      <c r="AC28" s="500">
        <v>470</v>
      </c>
      <c r="AD28" s="518" t="e">
        <f>Water!#REF!</f>
        <v>#REF!</v>
      </c>
      <c r="AE28" s="519" t="e">
        <f>Water!#REF!</f>
        <v>#REF!</v>
      </c>
      <c r="AF28" s="499" t="e">
        <f>Water!#REF!</f>
        <v>#REF!</v>
      </c>
      <c r="AG28" s="506">
        <f>Gas!B30</f>
        <v>7831499</v>
      </c>
      <c r="AH28" s="503">
        <f>Gas!C30</f>
        <v>213.06</v>
      </c>
      <c r="AI28" s="504" t="e">
        <f>Gas!#REF!</f>
        <v>#REF!</v>
      </c>
      <c r="AJ28" s="505">
        <f>Gas!J30</f>
        <v>0</v>
      </c>
      <c r="AK28" s="520" t="e">
        <f>Gas!#REF!</f>
        <v>#REF!</v>
      </c>
      <c r="AL28" s="506" t="e">
        <f>Gas!#REF!</f>
        <v>#REF!</v>
      </c>
      <c r="AM28" s="503" t="e">
        <f>Gas!#REF!</f>
        <v>#REF!</v>
      </c>
      <c r="AN28" s="503" t="e">
        <f>Gas!#REF!</f>
        <v>#REF!</v>
      </c>
      <c r="AO28" s="503" t="e">
        <f>Gas!#REF!</f>
        <v>#REF!</v>
      </c>
      <c r="AP28" s="503" t="e">
        <f>Gas!#REF!</f>
        <v>#REF!</v>
      </c>
      <c r="AQ28" s="503" t="e">
        <f>Gas!#REF!</f>
        <v>#REF!</v>
      </c>
      <c r="AR28" s="503" t="e">
        <f>Gas!#REF!</f>
        <v>#REF!</v>
      </c>
      <c r="AS28" s="504" t="e">
        <f>Gas!#REF!</f>
        <v>#REF!</v>
      </c>
      <c r="AT28" s="499">
        <f>Elect!BK29</f>
        <v>192</v>
      </c>
      <c r="AU28" s="499">
        <f>Elect!BI29</f>
        <v>83</v>
      </c>
      <c r="AV28" s="507"/>
      <c r="AW28" s="521"/>
      <c r="AX28" s="500">
        <v>39.904988123515437</v>
      </c>
      <c r="AY28" s="509">
        <v>20.289855072463769</v>
      </c>
      <c r="AZ28" s="509">
        <v>8835.4834285714278</v>
      </c>
      <c r="BA28" s="509">
        <v>10.493448252460128</v>
      </c>
      <c r="BB28" s="510">
        <v>5.3354368530020695</v>
      </c>
      <c r="BC28" s="502">
        <f>Elect!BJ29</f>
        <v>392778</v>
      </c>
      <c r="BD28" s="511" t="e">
        <f>Elect!#REF!</f>
        <v>#REF!</v>
      </c>
      <c r="BE28" s="511" t="e">
        <f>Elect!#REF!</f>
        <v>#REF!</v>
      </c>
      <c r="BF28" s="511" t="e">
        <f>Elect!#REF!</f>
        <v>#REF!</v>
      </c>
      <c r="BG28" s="499" t="e">
        <f>Elect!#REF!</f>
        <v>#REF!</v>
      </c>
      <c r="BH28" s="512">
        <v>1.1104513064133017</v>
      </c>
      <c r="BI28" s="513">
        <v>0.56461352657004826</v>
      </c>
      <c r="BJ28" s="509">
        <v>5088.8526879475075</v>
      </c>
      <c r="BK28" s="513">
        <v>6.0437680379424084</v>
      </c>
      <c r="BL28" s="514">
        <v>3.0729786762968039</v>
      </c>
      <c r="BM28" s="515">
        <f>Water!U30</f>
        <v>69.599999999999994</v>
      </c>
      <c r="BN28" s="516" t="e">
        <f>Water!W30</f>
        <v>#DIV/0!</v>
      </c>
      <c r="BO28" s="511">
        <f>Water!X30</f>
        <v>556.79999999999995</v>
      </c>
      <c r="BP28" s="516">
        <f>Water!Y30</f>
        <v>278.39999999999998</v>
      </c>
      <c r="BQ28" s="517" t="e">
        <f>Water!Z30</f>
        <v>#DIV/0!</v>
      </c>
    </row>
    <row r="29" spans="1:69" s="479" customFormat="1" ht="72" customHeight="1">
      <c r="A29" s="478">
        <v>25</v>
      </c>
      <c r="B29" s="498">
        <v>33600</v>
      </c>
      <c r="C29" s="499">
        <f>Elect!J30</f>
        <v>2127</v>
      </c>
      <c r="D29" s="500">
        <v>0</v>
      </c>
      <c r="E29" s="499">
        <f>Elect!M30</f>
        <v>816</v>
      </c>
      <c r="F29" s="500">
        <v>20</v>
      </c>
      <c r="G29" s="499">
        <f>Elect!O30</f>
        <v>736</v>
      </c>
      <c r="H29" s="500">
        <v>1008</v>
      </c>
      <c r="I29" s="499">
        <f>Water!C31</f>
        <v>139.19999999999999</v>
      </c>
      <c r="J29" s="500">
        <v>0</v>
      </c>
      <c r="K29" s="499">
        <f>Water!E31</f>
        <v>5.8</v>
      </c>
      <c r="L29" s="500">
        <v>0</v>
      </c>
      <c r="M29" s="499" t="e">
        <f>Water!#REF!</f>
        <v>#REF!</v>
      </c>
      <c r="N29" s="501" t="e">
        <f>Water!#REF!</f>
        <v>#REF!</v>
      </c>
      <c r="O29" s="500">
        <v>1290</v>
      </c>
      <c r="P29" s="499">
        <f>Water!H31</f>
        <v>145</v>
      </c>
      <c r="Q29" s="500">
        <v>34</v>
      </c>
      <c r="R29" s="499">
        <f>Water!O31</f>
        <v>0</v>
      </c>
      <c r="S29" s="500">
        <v>34</v>
      </c>
      <c r="T29" s="510" t="e">
        <f>Water!#REF!</f>
        <v>#REF!</v>
      </c>
      <c r="U29" s="500">
        <v>55</v>
      </c>
      <c r="V29" s="499" t="e">
        <f>Water!#REF!</f>
        <v>#REF!</v>
      </c>
      <c r="W29" s="500">
        <v>681</v>
      </c>
      <c r="X29" s="510">
        <f>Water!Q31</f>
        <v>84.1</v>
      </c>
      <c r="Y29" s="500">
        <v>0</v>
      </c>
      <c r="Z29" s="499" t="e">
        <f>Water!#REF!</f>
        <v>#REF!</v>
      </c>
      <c r="AA29" s="500">
        <v>0</v>
      </c>
      <c r="AB29" s="499">
        <v>0</v>
      </c>
      <c r="AC29" s="500">
        <v>1170</v>
      </c>
      <c r="AD29" s="499" t="e">
        <f>Water!#REF!</f>
        <v>#REF!</v>
      </c>
      <c r="AE29" s="502" t="e">
        <f>Water!#REF!</f>
        <v>#REF!</v>
      </c>
      <c r="AF29" s="499" t="e">
        <f>Water!#REF!</f>
        <v>#REF!</v>
      </c>
      <c r="AG29" s="506">
        <f>Gas!B31</f>
        <v>7831690</v>
      </c>
      <c r="AH29" s="503">
        <f>Gas!C31</f>
        <v>202.46</v>
      </c>
      <c r="AI29" s="504" t="e">
        <f>Gas!#REF!</f>
        <v>#REF!</v>
      </c>
      <c r="AJ29" s="505">
        <f>Gas!J31</f>
        <v>0</v>
      </c>
      <c r="AK29" s="505" t="e">
        <f>Gas!#REF!</f>
        <v>#REF!</v>
      </c>
      <c r="AL29" s="506" t="e">
        <f>Gas!#REF!</f>
        <v>#REF!</v>
      </c>
      <c r="AM29" s="503" t="e">
        <f>Gas!#REF!</f>
        <v>#REF!</v>
      </c>
      <c r="AN29" s="503" t="e">
        <f>Gas!#REF!</f>
        <v>#REF!</v>
      </c>
      <c r="AO29" s="503" t="e">
        <f>Gas!#REF!</f>
        <v>#REF!</v>
      </c>
      <c r="AP29" s="503" t="e">
        <f>Gas!#REF!</f>
        <v>#REF!</v>
      </c>
      <c r="AQ29" s="503" t="e">
        <f>Gas!#REF!</f>
        <v>#REF!</v>
      </c>
      <c r="AR29" s="503" t="e">
        <f>Gas!#REF!</f>
        <v>#REF!</v>
      </c>
      <c r="AS29" s="504" t="e">
        <f>Gas!#REF!</f>
        <v>#REF!</v>
      </c>
      <c r="AT29" s="499">
        <f>Elect!BK30</f>
        <v>192</v>
      </c>
      <c r="AU29" s="499">
        <f>Elect!BI30</f>
        <v>93</v>
      </c>
      <c r="AV29" s="507"/>
      <c r="AW29" s="508"/>
      <c r="AX29" s="500">
        <v>39.763313609467453</v>
      </c>
      <c r="AY29" s="509">
        <v>20.20444978953698</v>
      </c>
      <c r="AZ29" s="509">
        <v>8835.4834285714278</v>
      </c>
      <c r="BA29" s="509">
        <v>10.456193406593405</v>
      </c>
      <c r="BB29" s="510">
        <v>5.312978610085044</v>
      </c>
      <c r="BC29" s="502">
        <f>Elect!BJ30</f>
        <v>392970</v>
      </c>
      <c r="BD29" s="511" t="e">
        <f>Elect!#REF!</f>
        <v>#REF!</v>
      </c>
      <c r="BE29" s="511" t="e">
        <f>Elect!#REF!</f>
        <v>#REF!</v>
      </c>
      <c r="BF29" s="511" t="e">
        <f>Elect!#REF!</f>
        <v>#REF!</v>
      </c>
      <c r="BG29" s="499" t="e">
        <f>Elect!#REF!</f>
        <v>#REF!</v>
      </c>
      <c r="BH29" s="512">
        <v>1.0059171597633136</v>
      </c>
      <c r="BI29" s="513">
        <v>0.51112447384245341</v>
      </c>
      <c r="BJ29" s="509">
        <v>5757.0858691931398</v>
      </c>
      <c r="BK29" s="513">
        <v>6.8131193718262013</v>
      </c>
      <c r="BL29" s="514">
        <v>3.4618676303025495</v>
      </c>
      <c r="BM29" s="515">
        <f>Water!U31</f>
        <v>72.5</v>
      </c>
      <c r="BN29" s="516" t="e">
        <f>Water!W31</f>
        <v>#DIV/0!</v>
      </c>
      <c r="BO29" s="511">
        <f>Water!X31</f>
        <v>580</v>
      </c>
      <c r="BP29" s="516">
        <f>Water!Y31</f>
        <v>290</v>
      </c>
      <c r="BQ29" s="517" t="e">
        <f>Water!Z31</f>
        <v>#DIV/0!</v>
      </c>
    </row>
    <row r="30" spans="1:69" s="479" customFormat="1" ht="72" customHeight="1">
      <c r="A30" s="478">
        <v>26</v>
      </c>
      <c r="B30" s="498">
        <v>31200</v>
      </c>
      <c r="C30" s="499">
        <f>Elect!J31</f>
        <v>1927</v>
      </c>
      <c r="D30" s="500">
        <v>0</v>
      </c>
      <c r="E30" s="499">
        <f>Elect!M31</f>
        <v>790</v>
      </c>
      <c r="F30" s="500">
        <v>20</v>
      </c>
      <c r="G30" s="499">
        <f>Elect!O31</f>
        <v>724</v>
      </c>
      <c r="H30" s="500">
        <v>760</v>
      </c>
      <c r="I30" s="499">
        <f>Water!C32</f>
        <v>150.79999999999998</v>
      </c>
      <c r="J30" s="500">
        <v>0</v>
      </c>
      <c r="K30" s="499">
        <f>Water!E32</f>
        <v>5.8</v>
      </c>
      <c r="L30" s="500">
        <v>0</v>
      </c>
      <c r="M30" s="499" t="e">
        <f>Water!#REF!</f>
        <v>#REF!</v>
      </c>
      <c r="N30" s="501" t="e">
        <f>Water!#REF!</f>
        <v>#REF!</v>
      </c>
      <c r="O30" s="500">
        <v>1004</v>
      </c>
      <c r="P30" s="499">
        <f>Water!H32</f>
        <v>156.6</v>
      </c>
      <c r="Q30" s="500">
        <v>131</v>
      </c>
      <c r="R30" s="499">
        <f>Water!O32</f>
        <v>0</v>
      </c>
      <c r="S30" s="500">
        <v>33</v>
      </c>
      <c r="T30" s="510" t="e">
        <f>Water!#REF!</f>
        <v>#REF!</v>
      </c>
      <c r="U30" s="500">
        <v>145</v>
      </c>
      <c r="V30" s="499" t="e">
        <f>Water!#REF!</f>
        <v>#REF!</v>
      </c>
      <c r="W30" s="500">
        <v>916</v>
      </c>
      <c r="X30" s="510">
        <f>Water!Q32</f>
        <v>90.827999999999989</v>
      </c>
      <c r="Y30" s="500">
        <v>0</v>
      </c>
      <c r="Z30" s="499" t="e">
        <f>Water!#REF!</f>
        <v>#REF!</v>
      </c>
      <c r="AA30" s="500">
        <v>0</v>
      </c>
      <c r="AB30" s="499">
        <v>0</v>
      </c>
      <c r="AC30" s="500">
        <v>810</v>
      </c>
      <c r="AD30" s="499" t="e">
        <f>Water!#REF!</f>
        <v>#REF!</v>
      </c>
      <c r="AE30" s="502" t="e">
        <f>Water!#REF!</f>
        <v>#REF!</v>
      </c>
      <c r="AF30" s="499" t="e">
        <f>Water!#REF!</f>
        <v>#REF!</v>
      </c>
      <c r="AG30" s="506">
        <f>Gas!B32</f>
        <v>7831891</v>
      </c>
      <c r="AH30" s="503">
        <f>Gas!C32</f>
        <v>213.06</v>
      </c>
      <c r="AI30" s="504" t="e">
        <f>Gas!#REF!</f>
        <v>#REF!</v>
      </c>
      <c r="AJ30" s="505">
        <f>Gas!J32</f>
        <v>0</v>
      </c>
      <c r="AK30" s="505" t="e">
        <f>Gas!#REF!</f>
        <v>#REF!</v>
      </c>
      <c r="AL30" s="506" t="e">
        <f>Gas!#REF!</f>
        <v>#REF!</v>
      </c>
      <c r="AM30" s="503" t="e">
        <f>Gas!#REF!</f>
        <v>#REF!</v>
      </c>
      <c r="AN30" s="503" t="e">
        <f>Gas!#REF!</f>
        <v>#REF!</v>
      </c>
      <c r="AO30" s="503" t="e">
        <f>Gas!#REF!</f>
        <v>#REF!</v>
      </c>
      <c r="AP30" s="503" t="e">
        <f>Gas!#REF!</f>
        <v>#REF!</v>
      </c>
      <c r="AQ30" s="503" t="e">
        <f>Gas!#REF!</f>
        <v>#REF!</v>
      </c>
      <c r="AR30" s="503" t="e">
        <f>Gas!#REF!</f>
        <v>#REF!</v>
      </c>
      <c r="AS30" s="504" t="e">
        <f>Gas!#REF!</f>
        <v>#REF!</v>
      </c>
      <c r="AT30" s="499">
        <f>Elect!BK31</f>
        <v>222</v>
      </c>
      <c r="AU30" s="499">
        <f>Elect!BI31</f>
        <v>90</v>
      </c>
      <c r="AV30" s="507"/>
      <c r="AW30" s="508"/>
      <c r="AX30" s="500">
        <v>37.275985663082437</v>
      </c>
      <c r="AY30" s="509">
        <v>18.989653073645769</v>
      </c>
      <c r="AZ30" s="509">
        <v>8299.2754285714291</v>
      </c>
      <c r="BA30" s="509">
        <v>9.9155023041474664</v>
      </c>
      <c r="BB30" s="510">
        <v>5.0512936266411623</v>
      </c>
      <c r="BC30" s="502">
        <f>Elect!BJ31</f>
        <v>393192</v>
      </c>
      <c r="BD30" s="511" t="e">
        <f>Elect!#REF!</f>
        <v>#REF!</v>
      </c>
      <c r="BE30" s="511" t="e">
        <f>Elect!#REF!</f>
        <v>#REF!</v>
      </c>
      <c r="BF30" s="511" t="e">
        <f>Elect!#REF!</f>
        <v>#REF!</v>
      </c>
      <c r="BG30" s="499" t="e">
        <f>Elect!#REF!</f>
        <v>#REF!</v>
      </c>
      <c r="BH30" s="512">
        <v>1.1063321385902032</v>
      </c>
      <c r="BI30" s="513">
        <v>0.56360316494217899</v>
      </c>
      <c r="BJ30" s="509">
        <v>4340.6599807408593</v>
      </c>
      <c r="BK30" s="513">
        <v>5.1859736926414088</v>
      </c>
      <c r="BL30" s="514">
        <v>2.6419111264399628</v>
      </c>
      <c r="BM30" s="515">
        <f>Water!U32</f>
        <v>78.3</v>
      </c>
      <c r="BN30" s="516" t="e">
        <f>Water!W32</f>
        <v>#DIV/0!</v>
      </c>
      <c r="BO30" s="511">
        <f>Water!X32</f>
        <v>626.4</v>
      </c>
      <c r="BP30" s="516">
        <f>Water!Y32</f>
        <v>313.2</v>
      </c>
      <c r="BQ30" s="517" t="e">
        <f>Water!Z32</f>
        <v>#DIV/0!</v>
      </c>
    </row>
    <row r="31" spans="1:69" ht="72" customHeight="1">
      <c r="A31" s="404">
        <v>27</v>
      </c>
      <c r="B31" s="498">
        <v>36000</v>
      </c>
      <c r="C31" s="499">
        <f>Elect!J32</f>
        <v>1887</v>
      </c>
      <c r="D31" s="500">
        <v>0</v>
      </c>
      <c r="E31" s="499">
        <f>Elect!M32</f>
        <v>791</v>
      </c>
      <c r="F31" s="500">
        <v>30</v>
      </c>
      <c r="G31" s="499">
        <f>Elect!O32</f>
        <v>701</v>
      </c>
      <c r="H31" s="500">
        <v>1010</v>
      </c>
      <c r="I31" s="499">
        <f>Water!C33</f>
        <v>156.6</v>
      </c>
      <c r="J31" s="500">
        <v>0</v>
      </c>
      <c r="K31" s="499">
        <f>Water!E33</f>
        <v>0</v>
      </c>
      <c r="L31" s="500">
        <v>0</v>
      </c>
      <c r="M31" s="499" t="e">
        <f>Water!#REF!</f>
        <v>#REF!</v>
      </c>
      <c r="N31" s="501" t="e">
        <f>Water!#REF!</f>
        <v>#REF!</v>
      </c>
      <c r="O31" s="500">
        <v>1014</v>
      </c>
      <c r="P31" s="499">
        <f>Water!H33</f>
        <v>156.6</v>
      </c>
      <c r="Q31" s="500">
        <v>151</v>
      </c>
      <c r="R31" s="499">
        <f>Water!O33</f>
        <v>0</v>
      </c>
      <c r="S31" s="500">
        <v>30</v>
      </c>
      <c r="T31" s="510" t="e">
        <f>Water!#REF!</f>
        <v>#REF!</v>
      </c>
      <c r="U31" s="500">
        <v>139</v>
      </c>
      <c r="V31" s="499" t="e">
        <f>Water!#REF!</f>
        <v>#REF!</v>
      </c>
      <c r="W31" s="500">
        <v>761</v>
      </c>
      <c r="X31" s="510">
        <f>Water!Q33</f>
        <v>90.827999999999989</v>
      </c>
      <c r="Y31" s="500">
        <v>0</v>
      </c>
      <c r="Z31" s="499" t="e">
        <f>Water!#REF!</f>
        <v>#REF!</v>
      </c>
      <c r="AA31" s="500">
        <v>0</v>
      </c>
      <c r="AB31" s="499">
        <v>0</v>
      </c>
      <c r="AC31" s="500">
        <v>930</v>
      </c>
      <c r="AD31" s="518" t="e">
        <f>Water!#REF!</f>
        <v>#REF!</v>
      </c>
      <c r="AE31" s="519" t="e">
        <f>Water!#REF!</f>
        <v>#REF!</v>
      </c>
      <c r="AF31" s="499" t="e">
        <f>Water!#REF!</f>
        <v>#REF!</v>
      </c>
      <c r="AG31" s="506">
        <f>Gas!B33</f>
        <v>7832022</v>
      </c>
      <c r="AH31" s="503">
        <f>Gas!C33</f>
        <v>138.86000000000001</v>
      </c>
      <c r="AI31" s="504" t="e">
        <f>Gas!#REF!</f>
        <v>#REF!</v>
      </c>
      <c r="AJ31" s="505">
        <f>Gas!J33</f>
        <v>0</v>
      </c>
      <c r="AK31" s="520" t="e">
        <f>Gas!#REF!</f>
        <v>#REF!</v>
      </c>
      <c r="AL31" s="506" t="e">
        <f>Gas!#REF!</f>
        <v>#REF!</v>
      </c>
      <c r="AM31" s="503" t="e">
        <f>Gas!#REF!</f>
        <v>#REF!</v>
      </c>
      <c r="AN31" s="503" t="e">
        <f>Gas!#REF!</f>
        <v>#REF!</v>
      </c>
      <c r="AO31" s="503" t="e">
        <f>Gas!#REF!</f>
        <v>#REF!</v>
      </c>
      <c r="AP31" s="503" t="e">
        <f>Gas!#REF!</f>
        <v>#REF!</v>
      </c>
      <c r="AQ31" s="503" t="e">
        <f>Gas!#REF!</f>
        <v>#REF!</v>
      </c>
      <c r="AR31" s="503" t="e">
        <f>Gas!#REF!</f>
        <v>#REF!</v>
      </c>
      <c r="AS31" s="504" t="e">
        <f>Gas!#REF!</f>
        <v>#REF!</v>
      </c>
      <c r="AT31" s="499">
        <f>Elect!BK32</f>
        <v>204</v>
      </c>
      <c r="AU31" s="499">
        <f>Elect!BI32</f>
        <v>95</v>
      </c>
      <c r="AV31" s="507"/>
      <c r="AW31" s="521"/>
      <c r="AX31" s="500">
        <v>44.063647490820074</v>
      </c>
      <c r="AY31" s="509">
        <v>22.346368715083798</v>
      </c>
      <c r="AZ31" s="509">
        <v>9371.6914285714283</v>
      </c>
      <c r="BA31" s="509">
        <v>11.470858541703095</v>
      </c>
      <c r="BB31" s="510">
        <v>5.8173131151902098</v>
      </c>
      <c r="BC31" s="502">
        <f>Elect!BJ32</f>
        <v>393396</v>
      </c>
      <c r="BD31" s="511" t="e">
        <f>Elect!#REF!</f>
        <v>#REF!</v>
      </c>
      <c r="BE31" s="511" t="e">
        <f>Elect!#REF!</f>
        <v>#REF!</v>
      </c>
      <c r="BF31" s="511" t="e">
        <f>Elect!#REF!</f>
        <v>#REF!</v>
      </c>
      <c r="BG31" s="499" t="e">
        <f>Elect!#REF!</f>
        <v>#REF!</v>
      </c>
      <c r="BH31" s="512">
        <v>1.1640146878824968</v>
      </c>
      <c r="BI31" s="513">
        <v>0.59031657355679701</v>
      </c>
      <c r="BJ31" s="509">
        <v>5768.5086586161424</v>
      </c>
      <c r="BK31" s="513">
        <v>7.0605981133612516</v>
      </c>
      <c r="BL31" s="514">
        <v>3.5807005950441604</v>
      </c>
      <c r="BM31" s="515">
        <f>Water!U33</f>
        <v>78.3</v>
      </c>
      <c r="BN31" s="516" t="e">
        <f>Water!W33</f>
        <v>#DIV/0!</v>
      </c>
      <c r="BO31" s="511">
        <f>Water!X33</f>
        <v>626.4</v>
      </c>
      <c r="BP31" s="516">
        <f>Water!Y33</f>
        <v>313.2</v>
      </c>
      <c r="BQ31" s="517" t="e">
        <f>Water!Z33</f>
        <v>#DIV/0!</v>
      </c>
    </row>
    <row r="32" spans="1:69" s="492" customFormat="1" ht="72" customHeight="1" thickBot="1">
      <c r="A32" s="491">
        <v>28</v>
      </c>
      <c r="B32" s="522">
        <v>33600</v>
      </c>
      <c r="C32" s="523">
        <f>Elect!J33</f>
        <v>2027</v>
      </c>
      <c r="D32" s="524">
        <v>0</v>
      </c>
      <c r="E32" s="523">
        <f>Elect!M33</f>
        <v>781</v>
      </c>
      <c r="F32" s="524">
        <v>20</v>
      </c>
      <c r="G32" s="523">
        <f>Elect!O33</f>
        <v>730</v>
      </c>
      <c r="H32" s="524">
        <v>1008</v>
      </c>
      <c r="I32" s="523">
        <f>Water!C34</f>
        <v>145</v>
      </c>
      <c r="J32" s="524">
        <v>0</v>
      </c>
      <c r="K32" s="523">
        <f>Water!E34</f>
        <v>5.8</v>
      </c>
      <c r="L32" s="524">
        <v>1</v>
      </c>
      <c r="M32" s="523" t="e">
        <f>Water!#REF!</f>
        <v>#REF!</v>
      </c>
      <c r="N32" s="525" t="e">
        <f>Water!#REF!</f>
        <v>#REF!</v>
      </c>
      <c r="O32" s="524">
        <v>1013</v>
      </c>
      <c r="P32" s="523">
        <f>Water!H34</f>
        <v>150.80000000000001</v>
      </c>
      <c r="Q32" s="524">
        <v>142</v>
      </c>
      <c r="R32" s="523">
        <f>Water!O34</f>
        <v>0</v>
      </c>
      <c r="S32" s="524">
        <v>13</v>
      </c>
      <c r="T32" s="534" t="e">
        <f>Water!#REF!</f>
        <v>#REF!</v>
      </c>
      <c r="U32" s="524">
        <v>155</v>
      </c>
      <c r="V32" s="523" t="e">
        <f>Water!#REF!</f>
        <v>#REF!</v>
      </c>
      <c r="W32" s="524">
        <v>825</v>
      </c>
      <c r="X32" s="534">
        <f>Water!Q34</f>
        <v>87.463999999999999</v>
      </c>
      <c r="Y32" s="524">
        <v>1</v>
      </c>
      <c r="Z32" s="523" t="e">
        <f>Water!#REF!</f>
        <v>#REF!</v>
      </c>
      <c r="AA32" s="524">
        <v>0</v>
      </c>
      <c r="AB32" s="523">
        <v>0</v>
      </c>
      <c r="AC32" s="524">
        <v>650</v>
      </c>
      <c r="AD32" s="523" t="e">
        <f>Water!#REF!</f>
        <v>#REF!</v>
      </c>
      <c r="AE32" s="526" t="e">
        <f>Water!#REF!</f>
        <v>#REF!</v>
      </c>
      <c r="AF32" s="523" t="e">
        <f>Water!#REF!</f>
        <v>#REF!</v>
      </c>
      <c r="AG32" s="530">
        <f>Gas!B34</f>
        <v>7832212</v>
      </c>
      <c r="AH32" s="527">
        <f>Gas!C34</f>
        <v>201.4</v>
      </c>
      <c r="AI32" s="528" t="e">
        <f>Gas!#REF!</f>
        <v>#REF!</v>
      </c>
      <c r="AJ32" s="529">
        <f>Gas!J34</f>
        <v>0</v>
      </c>
      <c r="AK32" s="529" t="e">
        <f>Gas!#REF!</f>
        <v>#REF!</v>
      </c>
      <c r="AL32" s="530" t="e">
        <f>Gas!#REF!</f>
        <v>#REF!</v>
      </c>
      <c r="AM32" s="527" t="e">
        <f>Gas!#REF!</f>
        <v>#REF!</v>
      </c>
      <c r="AN32" s="527" t="e">
        <f>Gas!#REF!</f>
        <v>#REF!</v>
      </c>
      <c r="AO32" s="527" t="e">
        <f>Gas!#REF!</f>
        <v>#REF!</v>
      </c>
      <c r="AP32" s="527" t="e">
        <f>Gas!#REF!</f>
        <v>#REF!</v>
      </c>
      <c r="AQ32" s="527" t="e">
        <f>Gas!#REF!</f>
        <v>#REF!</v>
      </c>
      <c r="AR32" s="527" t="e">
        <f>Gas!#REF!</f>
        <v>#REF!</v>
      </c>
      <c r="AS32" s="528" t="e">
        <f>Gas!#REF!</f>
        <v>#REF!</v>
      </c>
      <c r="AT32" s="523">
        <f>Elect!BK33</f>
        <v>113</v>
      </c>
      <c r="AU32" s="523">
        <f>Elect!BI33</f>
        <v>45</v>
      </c>
      <c r="AV32" s="531"/>
      <c r="AW32" s="532"/>
      <c r="AX32" s="524">
        <v>45.344129554655872</v>
      </c>
      <c r="AY32" s="533">
        <v>22.687373396353816</v>
      </c>
      <c r="AZ32" s="533">
        <v>8835.4834285714278</v>
      </c>
      <c r="BA32" s="533">
        <v>11.923729323308269</v>
      </c>
      <c r="BB32" s="534">
        <v>5.9658902286100117</v>
      </c>
      <c r="BC32" s="526">
        <f>Elect!BJ33</f>
        <v>393509</v>
      </c>
      <c r="BD32" s="535" t="e">
        <f>Elect!#REF!</f>
        <v>#REF!</v>
      </c>
      <c r="BE32" s="535" t="e">
        <f>Elect!#REF!</f>
        <v>#REF!</v>
      </c>
      <c r="BF32" s="535" t="e">
        <f>Elect!#REF!</f>
        <v>#REF!</v>
      </c>
      <c r="BG32" s="523" t="e">
        <f>Elect!#REF!</f>
        <v>#REF!</v>
      </c>
      <c r="BH32" s="536">
        <v>1.2294197031039136</v>
      </c>
      <c r="BI32" s="537">
        <v>0.61512491559756921</v>
      </c>
      <c r="BJ32" s="533">
        <v>5757.0858691931398</v>
      </c>
      <c r="BK32" s="537">
        <v>7.7693466520825103</v>
      </c>
      <c r="BL32" s="538">
        <v>3.887296333013599</v>
      </c>
      <c r="BM32" s="539">
        <f>Water!U34</f>
        <v>75.400000000000006</v>
      </c>
      <c r="BN32" s="540" t="e">
        <f>Water!W34</f>
        <v>#DIV/0!</v>
      </c>
      <c r="BO32" s="535">
        <f>Water!X34</f>
        <v>603.20000000000005</v>
      </c>
      <c r="BP32" s="540">
        <f>Water!Y34</f>
        <v>301.60000000000002</v>
      </c>
      <c r="BQ32" s="541" t="e">
        <f>Water!Z34</f>
        <v>#DIV/0!</v>
      </c>
    </row>
    <row r="33" spans="1:98" s="563" customFormat="1" ht="72" customHeight="1">
      <c r="A33" s="481" t="s">
        <v>111</v>
      </c>
      <c r="B33" s="542">
        <v>931200</v>
      </c>
      <c r="C33" s="543">
        <f>Elect!J34</f>
        <v>1975</v>
      </c>
      <c r="D33" s="544">
        <v>0</v>
      </c>
      <c r="E33" s="543">
        <f>Elect!M34</f>
        <v>794</v>
      </c>
      <c r="F33" s="544">
        <v>600</v>
      </c>
      <c r="G33" s="543">
        <f>Elect!O34</f>
        <v>720</v>
      </c>
      <c r="H33" s="544">
        <v>24543</v>
      </c>
      <c r="I33" s="543">
        <f>Water!C38</f>
        <v>3978.7999999999988</v>
      </c>
      <c r="J33" s="544">
        <v>0</v>
      </c>
      <c r="K33" s="543">
        <f>Water!E39</f>
        <v>2.4322580645161289</v>
      </c>
      <c r="L33" s="544">
        <v>3</v>
      </c>
      <c r="M33" s="543" t="e">
        <f>Water!#REF!</f>
        <v>#REF!</v>
      </c>
      <c r="N33" s="545" t="e">
        <f>Water!#REF!</f>
        <v>#REF!</v>
      </c>
      <c r="O33" s="544">
        <v>1013</v>
      </c>
      <c r="P33" s="543">
        <f>Water!H38</f>
        <v>4769.34</v>
      </c>
      <c r="Q33" s="544">
        <v>109</v>
      </c>
      <c r="R33" s="543">
        <f>Water!O38</f>
        <v>0</v>
      </c>
      <c r="S33" s="544">
        <v>15</v>
      </c>
      <c r="T33" s="554" t="e">
        <f>Water!#REF!</f>
        <v>#REF!</v>
      </c>
      <c r="U33" s="544">
        <v>147</v>
      </c>
      <c r="V33" s="543" t="e">
        <f>Water!#REF!</f>
        <v>#REF!</v>
      </c>
      <c r="W33" s="544">
        <v>730</v>
      </c>
      <c r="X33" s="554">
        <f>Water!Q38</f>
        <v>2513.9171999999999</v>
      </c>
      <c r="Y33" s="544">
        <v>3</v>
      </c>
      <c r="Z33" s="543" t="e">
        <f>Water!#REF!</f>
        <v>#REF!</v>
      </c>
      <c r="AA33" s="544">
        <v>0</v>
      </c>
      <c r="AB33" s="543">
        <v>0</v>
      </c>
      <c r="AC33" s="544">
        <v>0</v>
      </c>
      <c r="AD33" s="543" t="e">
        <f>Water!#REF!</f>
        <v>#REF!</v>
      </c>
      <c r="AE33" s="546" t="e">
        <f>Water!#REF!</f>
        <v>#REF!</v>
      </c>
      <c r="AF33" s="543" t="e">
        <f>Water!#REF!</f>
        <v>#REF!</v>
      </c>
      <c r="AG33" s="550">
        <f>Gas!B38</f>
        <v>0</v>
      </c>
      <c r="AH33" s="547">
        <f>Gas!C38</f>
        <v>26148.080000000002</v>
      </c>
      <c r="AI33" s="548" t="e">
        <f>Gas!#REF!</f>
        <v>#REF!</v>
      </c>
      <c r="AJ33" s="549">
        <f>Gas!J38</f>
        <v>3145.9400000000005</v>
      </c>
      <c r="AK33" s="549" t="e">
        <f>Gas!#REF!</f>
        <v>#REF!</v>
      </c>
      <c r="AL33" s="550" t="e">
        <f>Gas!#REF!</f>
        <v>#REF!</v>
      </c>
      <c r="AM33" s="547" t="e">
        <f>Gas!#REF!</f>
        <v>#REF!</v>
      </c>
      <c r="AN33" s="547" t="e">
        <f>Gas!#REF!</f>
        <v>#REF!</v>
      </c>
      <c r="AO33" s="547" t="e">
        <f>Gas!#REF!</f>
        <v>#REF!</v>
      </c>
      <c r="AP33" s="547" t="e">
        <f>Gas!#REF!</f>
        <v>#REF!</v>
      </c>
      <c r="AQ33" s="547" t="e">
        <f>Gas!#REF!</f>
        <v>#REF!</v>
      </c>
      <c r="AR33" s="547" t="e">
        <f>Gas!#REF!</f>
        <v>#REF!</v>
      </c>
      <c r="AS33" s="548" t="e">
        <f>Gas!#REF!</f>
        <v>#REF!</v>
      </c>
      <c r="AT33" s="548">
        <f>Elect!BK34</f>
        <v>214</v>
      </c>
      <c r="AU33" s="548">
        <f>Elect!BI34</f>
        <v>84</v>
      </c>
      <c r="AV33" s="551"/>
      <c r="AW33" s="552"/>
      <c r="AX33" s="544">
        <v>45.411099190480833</v>
      </c>
      <c r="AY33" s="553">
        <v>22.844806437368138</v>
      </c>
      <c r="AZ33" s="553">
        <v>245248.704</v>
      </c>
      <c r="BA33" s="553">
        <v>11.959850970447674</v>
      </c>
      <c r="BB33" s="554">
        <v>6.0166013443893824</v>
      </c>
      <c r="BC33" s="546">
        <f>Elect!BJ34</f>
        <v>393723</v>
      </c>
      <c r="BD33" s="555" t="e">
        <f>Elect!#REF!</f>
        <v>#REF!</v>
      </c>
      <c r="BE33" s="555" t="e">
        <f>Elect!#REF!</f>
        <v>#REF!</v>
      </c>
      <c r="BF33" s="555" t="e">
        <f>Elect!#REF!</f>
        <v>#REF!</v>
      </c>
      <c r="BG33" s="543" t="e">
        <f>Elect!#REF!</f>
        <v>#REF!</v>
      </c>
      <c r="BH33" s="556">
        <v>1.151467863064469</v>
      </c>
      <c r="BI33" s="557">
        <v>0.57929342492639846</v>
      </c>
      <c r="BJ33" s="553">
        <v>140121.30040437225</v>
      </c>
      <c r="BK33" s="557">
        <v>6.8331854288682461</v>
      </c>
      <c r="BL33" s="558">
        <v>3.4377159078599666</v>
      </c>
      <c r="BM33" s="559">
        <f>Water!U38</f>
        <v>2.8679134095009022</v>
      </c>
      <c r="BN33" s="560" t="e">
        <f>Water!W38</f>
        <v>#DIV/0!</v>
      </c>
      <c r="BO33" s="555">
        <f>Water!X38</f>
        <v>18497.36</v>
      </c>
      <c r="BP33" s="560">
        <f>Water!Y38</f>
        <v>11.122886349969935</v>
      </c>
      <c r="BQ33" s="561" t="e">
        <f>Water!Z38</f>
        <v>#DIV/0!</v>
      </c>
    </row>
    <row r="34" spans="1:98" s="565" customFormat="1" ht="72" customHeight="1" thickBot="1">
      <c r="A34" s="482" t="s">
        <v>112</v>
      </c>
      <c r="B34" s="542">
        <v>33257.142857142855</v>
      </c>
      <c r="C34" s="543">
        <f>Elect!J35</f>
        <v>1947</v>
      </c>
      <c r="D34" s="544">
        <v>0</v>
      </c>
      <c r="E34" s="543">
        <f>Elect!M35</f>
        <v>796</v>
      </c>
      <c r="F34" s="544">
        <v>21.428571428571427</v>
      </c>
      <c r="G34" s="543">
        <f>Elect!O35</f>
        <v>721</v>
      </c>
      <c r="H34" s="544">
        <v>876.53571428571433</v>
      </c>
      <c r="I34" s="543">
        <f>Water!C39</f>
        <v>128.34838709677416</v>
      </c>
      <c r="J34" s="544">
        <v>0</v>
      </c>
      <c r="K34" s="543">
        <f>Water!E40</f>
        <v>0</v>
      </c>
      <c r="L34" s="544">
        <v>4</v>
      </c>
      <c r="M34" s="543" t="e">
        <f>Water!#REF!</f>
        <v>#REF!</v>
      </c>
      <c r="N34" s="545" t="e">
        <f>Water!#REF!</f>
        <v>#REF!</v>
      </c>
      <c r="O34" s="544">
        <v>1014</v>
      </c>
      <c r="P34" s="543">
        <f>Water!H39</f>
        <v>153.84967741935483</v>
      </c>
      <c r="Q34" s="544">
        <v>138</v>
      </c>
      <c r="R34" s="543">
        <f>Water!O39</f>
        <v>0</v>
      </c>
      <c r="S34" s="544">
        <v>24</v>
      </c>
      <c r="T34" s="554" t="e">
        <f>Water!#REF!</f>
        <v>#REF!</v>
      </c>
      <c r="U34" s="544">
        <v>145</v>
      </c>
      <c r="V34" s="543" t="e">
        <f>Water!#REF!</f>
        <v>#REF!</v>
      </c>
      <c r="W34" s="544">
        <v>877</v>
      </c>
      <c r="X34" s="554">
        <f>Water!Q39</f>
        <v>81.09410322580645</v>
      </c>
      <c r="Y34" s="544">
        <v>4</v>
      </c>
      <c r="Z34" s="543" t="e">
        <f>Water!#REF!</f>
        <v>#REF!</v>
      </c>
      <c r="AA34" s="544">
        <v>0</v>
      </c>
      <c r="AB34" s="543">
        <v>0</v>
      </c>
      <c r="AC34" s="544">
        <v>0</v>
      </c>
      <c r="AD34" s="543" t="e">
        <f>Water!#REF!</f>
        <v>#REF!</v>
      </c>
      <c r="AE34" s="546" t="e">
        <f>Water!#REF!</f>
        <v>#REF!</v>
      </c>
      <c r="AF34" s="543" t="e">
        <f>Water!#REF!</f>
        <v>#REF!</v>
      </c>
      <c r="AG34" s="550">
        <f>Gas!B39</f>
        <v>0</v>
      </c>
      <c r="AH34" s="547">
        <f>Gas!C39</f>
        <v>871.60266666666678</v>
      </c>
      <c r="AI34" s="548" t="e">
        <f>Gas!#REF!</f>
        <v>#REF!</v>
      </c>
      <c r="AJ34" s="549" t="e">
        <f>Gas!J39</f>
        <v>#REF!</v>
      </c>
      <c r="AK34" s="549" t="e">
        <f>Gas!#REF!</f>
        <v>#REF!</v>
      </c>
      <c r="AL34" s="550" t="e">
        <f>Gas!#REF!</f>
        <v>#REF!</v>
      </c>
      <c r="AM34" s="547" t="e">
        <f>Gas!#REF!</f>
        <v>#REF!</v>
      </c>
      <c r="AN34" s="547" t="e">
        <f>Gas!#REF!</f>
        <v>#REF!</v>
      </c>
      <c r="AO34" s="564" t="e">
        <f>Gas!#REF!</f>
        <v>#REF!</v>
      </c>
      <c r="AP34" s="547" t="e">
        <f>Gas!#REF!</f>
        <v>#REF!</v>
      </c>
      <c r="AQ34" s="547" t="e">
        <f>Gas!#REF!</f>
        <v>#REF!</v>
      </c>
      <c r="AR34" s="547" t="e">
        <f>Gas!#REF!</f>
        <v>#REF!</v>
      </c>
      <c r="AS34" s="548" t="e">
        <f>Gas!#REF!</f>
        <v>#REF!</v>
      </c>
      <c r="AT34" s="548">
        <f>Elect!BK35</f>
        <v>194</v>
      </c>
      <c r="AU34" s="548">
        <f>Elect!BI35</f>
        <v>79</v>
      </c>
      <c r="AV34" s="551"/>
      <c r="AW34" s="552"/>
      <c r="AX34" s="544">
        <v>45.411099190480833</v>
      </c>
      <c r="AY34" s="553">
        <v>22.844806437368138</v>
      </c>
      <c r="AZ34" s="553">
        <v>8758.8822857142859</v>
      </c>
      <c r="BA34" s="553">
        <v>11.959850970447674</v>
      </c>
      <c r="BB34" s="554">
        <v>6.0166013443893824</v>
      </c>
      <c r="BC34" s="546">
        <f>Elect!BJ35</f>
        <v>393917</v>
      </c>
      <c r="BD34" s="555" t="e">
        <f>Elect!#REF!</f>
        <v>#REF!</v>
      </c>
      <c r="BE34" s="555" t="e">
        <f>Elect!#REF!</f>
        <v>#REF!</v>
      </c>
      <c r="BF34" s="555" t="e">
        <f>Elect!#REF!</f>
        <v>#REF!</v>
      </c>
      <c r="BG34" s="543" t="e">
        <f>Elect!#REF!</f>
        <v>#REF!</v>
      </c>
      <c r="BH34" s="556">
        <v>1.1761372019916823</v>
      </c>
      <c r="BI34" s="557">
        <v>0.60007376616126884</v>
      </c>
      <c r="BJ34" s="553">
        <v>5004.3321572990089</v>
      </c>
      <c r="BK34" s="557">
        <v>6.8331854288682452</v>
      </c>
      <c r="BL34" s="558">
        <v>3.4377159078599666</v>
      </c>
      <c r="BM34" s="559">
        <f>Water!U39</f>
        <v>2.8679134095009018</v>
      </c>
      <c r="BN34" s="560" t="e">
        <f>Water!W39</f>
        <v>#DIV/0!</v>
      </c>
      <c r="BO34" s="555">
        <f>Water!X39</f>
        <v>596.68903225806457</v>
      </c>
      <c r="BP34" s="560">
        <f>Water!Y39</f>
        <v>11.122886349969935</v>
      </c>
      <c r="BQ34" s="561" t="e">
        <f>Water!Z39</f>
        <v>#DIV/0!</v>
      </c>
    </row>
    <row r="35" spans="1:98" s="565" customFormat="1" ht="72" customHeight="1">
      <c r="A35" s="483" t="s">
        <v>147</v>
      </c>
      <c r="B35" s="542">
        <v>1040025.9801383178</v>
      </c>
      <c r="C35" s="543">
        <f>Elect!J5</f>
        <v>0</v>
      </c>
      <c r="D35" s="544">
        <v>0</v>
      </c>
      <c r="E35" s="543">
        <f>Elect!M5</f>
        <v>0</v>
      </c>
      <c r="F35" s="544">
        <v>0</v>
      </c>
      <c r="G35" s="543">
        <f>Elect!O5</f>
        <v>0</v>
      </c>
      <c r="H35" s="544">
        <v>0</v>
      </c>
      <c r="I35" s="543">
        <f>Water!C40</f>
        <v>0</v>
      </c>
      <c r="J35" s="544">
        <v>0</v>
      </c>
      <c r="K35" s="543">
        <f>Water!E41</f>
        <v>0</v>
      </c>
      <c r="L35" s="544">
        <v>5</v>
      </c>
      <c r="M35" s="543" t="e">
        <f>Water!#REF!</f>
        <v>#REF!</v>
      </c>
      <c r="N35" s="545" t="e">
        <f>Water!#REF!</f>
        <v>#REF!</v>
      </c>
      <c r="O35" s="544">
        <v>1010</v>
      </c>
      <c r="P35" s="543">
        <f>Water!H40</f>
        <v>0</v>
      </c>
      <c r="Q35" s="544">
        <v>148</v>
      </c>
      <c r="R35" s="543">
        <f>Water!O40</f>
        <v>0</v>
      </c>
      <c r="S35" s="544">
        <v>22</v>
      </c>
      <c r="T35" s="554" t="e">
        <f>Water!#REF!</f>
        <v>#REF!</v>
      </c>
      <c r="U35" s="544">
        <v>151</v>
      </c>
      <c r="V35" s="543" t="e">
        <f>Water!#REF!</f>
        <v>#REF!</v>
      </c>
      <c r="W35" s="544">
        <v>833</v>
      </c>
      <c r="X35" s="554">
        <f>Water!Q40</f>
        <v>0</v>
      </c>
      <c r="Y35" s="544">
        <v>5</v>
      </c>
      <c r="Z35" s="543" t="e">
        <f>Water!#REF!</f>
        <v>#REF!</v>
      </c>
      <c r="AA35" s="544">
        <v>0</v>
      </c>
      <c r="AB35" s="543">
        <v>0</v>
      </c>
      <c r="AC35" s="544">
        <v>0</v>
      </c>
      <c r="AD35" s="543" t="e">
        <f>Water!#REF!</f>
        <v>#REF!</v>
      </c>
      <c r="AE35" s="546" t="e">
        <f>Water!#REF!</f>
        <v>#REF!</v>
      </c>
      <c r="AF35" s="543" t="e">
        <f>Water!#REF!</f>
        <v>#REF!</v>
      </c>
      <c r="AG35" s="550">
        <f>Gas!B40</f>
        <v>0</v>
      </c>
      <c r="AH35" s="547">
        <f>Gas!C40</f>
        <v>0</v>
      </c>
      <c r="AI35" s="548" t="e">
        <f>Gas!#REF!</f>
        <v>#REF!</v>
      </c>
      <c r="AJ35" s="549">
        <f>Gas!J40</f>
        <v>0</v>
      </c>
      <c r="AK35" s="549" t="e">
        <f>Gas!#REF!</f>
        <v>#REF!</v>
      </c>
      <c r="AL35" s="550" t="e">
        <f>Gas!#REF!</f>
        <v>#REF!</v>
      </c>
      <c r="AM35" s="547" t="e">
        <f>Gas!#REF!</f>
        <v>#REF!</v>
      </c>
      <c r="AN35" s="547" t="e">
        <f>Gas!#REF!</f>
        <v>#REF!</v>
      </c>
      <c r="AO35" s="547" t="e">
        <f>Gas!#REF!</f>
        <v>#REF!</v>
      </c>
      <c r="AP35" s="547" t="e">
        <f>Gas!#REF!</f>
        <v>#REF!</v>
      </c>
      <c r="AQ35" s="547" t="e">
        <f>Gas!#REF!</f>
        <v>#REF!</v>
      </c>
      <c r="AR35" s="547" t="e">
        <f>Gas!#REF!</f>
        <v>#REF!</v>
      </c>
      <c r="AS35" s="548" t="e">
        <f>Gas!#REF!</f>
        <v>#REF!</v>
      </c>
      <c r="AT35" s="548">
        <f>Elect!BK5</f>
        <v>0</v>
      </c>
      <c r="AU35" s="548">
        <f>Elect!BI5</f>
        <v>0</v>
      </c>
      <c r="AV35" s="551"/>
      <c r="AW35" s="552"/>
      <c r="AX35" s="544">
        <v>45.679285845850217</v>
      </c>
      <c r="AY35" s="553">
        <v>23.30590431682505</v>
      </c>
      <c r="AZ35" s="553">
        <v>264708.40000000002</v>
      </c>
      <c r="BA35" s="553">
        <v>11.626335207308504</v>
      </c>
      <c r="BB35" s="554">
        <v>5.9318408963585441</v>
      </c>
      <c r="BC35" s="546">
        <f>Elect!BJ5</f>
        <v>388150</v>
      </c>
      <c r="BD35" s="555" t="e">
        <f>Elect!#REF!</f>
        <v>#REF!</v>
      </c>
      <c r="BE35" s="555" t="e">
        <f>Elect!#REF!</f>
        <v>#REF!</v>
      </c>
      <c r="BF35" s="555" t="e">
        <f>Elect!#REF!</f>
        <v>#REF!</v>
      </c>
      <c r="BG35" s="543" t="e">
        <f>Elect!#REF!</f>
        <v>#REF!</v>
      </c>
      <c r="BH35" s="556">
        <v>1.176137201991682</v>
      </c>
      <c r="BI35" s="557">
        <v>0.60007376616126884</v>
      </c>
      <c r="BJ35" s="553">
        <v>150494</v>
      </c>
      <c r="BK35" s="557">
        <v>6.6098910751932536</v>
      </c>
      <c r="BL35" s="558">
        <v>3.3724145658263307</v>
      </c>
      <c r="BM35" s="559" t="e">
        <f>Water!U40</f>
        <v>#REF!</v>
      </c>
      <c r="BN35" s="560" t="e">
        <f>Water!W40</f>
        <v>#REF!</v>
      </c>
      <c r="BO35" s="555">
        <f>Water!X40</f>
        <v>0</v>
      </c>
      <c r="BP35" s="560">
        <f>Water!Y40</f>
        <v>0</v>
      </c>
      <c r="BQ35" s="561">
        <f>Water!Z40</f>
        <v>0</v>
      </c>
      <c r="BR35" s="566"/>
      <c r="BS35" s="566"/>
      <c r="BT35" s="566"/>
      <c r="BU35" s="566"/>
      <c r="BV35" s="566"/>
      <c r="BW35" s="566"/>
      <c r="BX35" s="566"/>
      <c r="BY35" s="566"/>
      <c r="BZ35" s="566"/>
      <c r="CA35" s="566"/>
      <c r="CB35" s="566"/>
      <c r="CC35" s="566"/>
      <c r="CD35" s="566"/>
      <c r="CE35" s="566"/>
      <c r="CF35" s="566"/>
      <c r="CG35" s="566"/>
      <c r="CH35" s="566"/>
      <c r="CI35" s="566"/>
      <c r="CJ35" s="566"/>
      <c r="CK35" s="566"/>
      <c r="CL35" s="566"/>
      <c r="CM35" s="566"/>
      <c r="CN35" s="566"/>
      <c r="CO35" s="566"/>
      <c r="CP35" s="566"/>
      <c r="CQ35" s="566"/>
      <c r="CR35" s="566"/>
      <c r="CS35" s="566"/>
      <c r="CT35" s="566"/>
    </row>
    <row r="36" spans="1:98" s="567" customFormat="1" ht="72" customHeight="1">
      <c r="A36" s="484" t="s">
        <v>148</v>
      </c>
      <c r="B36" s="542">
        <v>1040025.9801383178</v>
      </c>
      <c r="C36" s="543" t="e">
        <f>Elect!#REF!</f>
        <v>#REF!</v>
      </c>
      <c r="D36" s="544">
        <v>0</v>
      </c>
      <c r="E36" s="543" t="e">
        <f>Elect!#REF!</f>
        <v>#REF!</v>
      </c>
      <c r="F36" s="544">
        <v>0</v>
      </c>
      <c r="G36" s="543" t="e">
        <f>Elect!#REF!</f>
        <v>#REF!</v>
      </c>
      <c r="H36" s="544">
        <v>0</v>
      </c>
      <c r="I36" s="543">
        <f>Water!C41</f>
        <v>0</v>
      </c>
      <c r="J36" s="544">
        <v>0</v>
      </c>
      <c r="K36" s="543">
        <f>Water!E42</f>
        <v>0</v>
      </c>
      <c r="L36" s="544">
        <v>6</v>
      </c>
      <c r="M36" s="543" t="e">
        <f>Water!#REF!</f>
        <v>#REF!</v>
      </c>
      <c r="N36" s="545" t="e">
        <f>Water!#REF!</f>
        <v>#REF!</v>
      </c>
      <c r="O36" s="544">
        <v>30039</v>
      </c>
      <c r="P36" s="543">
        <f>Water!H41</f>
        <v>0</v>
      </c>
      <c r="Q36" s="544">
        <v>129.54838709677421</v>
      </c>
      <c r="R36" s="543">
        <f>Water!O41</f>
        <v>0</v>
      </c>
      <c r="S36" s="544">
        <v>719</v>
      </c>
      <c r="T36" s="554" t="e">
        <f>Water!#REF!</f>
        <v>#REF!</v>
      </c>
      <c r="U36" s="544">
        <v>4609</v>
      </c>
      <c r="V36" s="543" t="e">
        <f>Water!#REF!</f>
        <v>#REF!</v>
      </c>
      <c r="W36" s="544">
        <v>23430</v>
      </c>
      <c r="X36" s="554">
        <f>Water!Q41</f>
        <v>0</v>
      </c>
      <c r="Y36" s="544">
        <v>6</v>
      </c>
      <c r="Z36" s="543" t="e">
        <f>Water!#REF!</f>
        <v>#REF!</v>
      </c>
      <c r="AA36" s="544">
        <v>0</v>
      </c>
      <c r="AB36" s="543">
        <v>0</v>
      </c>
      <c r="AC36" s="544">
        <v>0</v>
      </c>
      <c r="AD36" s="543" t="e">
        <f>Water!#REF!</f>
        <v>#REF!</v>
      </c>
      <c r="AE36" s="546" t="e">
        <f>Water!#REF!</f>
        <v>#REF!</v>
      </c>
      <c r="AF36" s="543" t="e">
        <f>Water!#REF!</f>
        <v>#REF!</v>
      </c>
      <c r="AG36" s="550">
        <f>Gas!B41</f>
        <v>0</v>
      </c>
      <c r="AH36" s="547">
        <f>Gas!C41</f>
        <v>0</v>
      </c>
      <c r="AI36" s="548" t="e">
        <f>Gas!#REF!</f>
        <v>#REF!</v>
      </c>
      <c r="AJ36" s="549">
        <f>Gas!J41</f>
        <v>0</v>
      </c>
      <c r="AK36" s="549" t="e">
        <f>Gas!#REF!</f>
        <v>#REF!</v>
      </c>
      <c r="AL36" s="550" t="e">
        <f>Gas!#REF!</f>
        <v>#REF!</v>
      </c>
      <c r="AM36" s="547" t="e">
        <f>Gas!#REF!</f>
        <v>#REF!</v>
      </c>
      <c r="AN36" s="547" t="e">
        <f>Gas!#REF!</f>
        <v>#REF!</v>
      </c>
      <c r="AO36" s="547" t="e">
        <f>Gas!#REF!</f>
        <v>#REF!</v>
      </c>
      <c r="AP36" s="547" t="e">
        <f>Gas!#REF!</f>
        <v>#REF!</v>
      </c>
      <c r="AQ36" s="547" t="e">
        <f>Gas!#REF!</f>
        <v>#REF!</v>
      </c>
      <c r="AR36" s="547" t="e">
        <f>Gas!#REF!</f>
        <v>#REF!</v>
      </c>
      <c r="AS36" s="548" t="e">
        <f>Gas!#REF!</f>
        <v>#REF!</v>
      </c>
      <c r="AT36" s="548" t="e">
        <f>Elect!#REF!</f>
        <v>#REF!</v>
      </c>
      <c r="AU36" s="548" t="e">
        <f>Elect!#REF!</f>
        <v>#REF!</v>
      </c>
      <c r="AV36" s="551"/>
      <c r="AW36" s="552"/>
      <c r="AX36" s="544">
        <v>45.679285845850217</v>
      </c>
      <c r="AY36" s="553">
        <v>23.30590431682505</v>
      </c>
      <c r="AZ36" s="553">
        <v>264708.40000000002</v>
      </c>
      <c r="BA36" s="553">
        <v>11.626335207308504</v>
      </c>
      <c r="BB36" s="554">
        <v>5.9318408963585441</v>
      </c>
      <c r="BC36" s="546" t="e">
        <f>Elect!#REF!</f>
        <v>#REF!</v>
      </c>
      <c r="BD36" s="555" t="e">
        <f>Elect!#REF!</f>
        <v>#REF!</v>
      </c>
      <c r="BE36" s="555" t="e">
        <f>Elect!#REF!</f>
        <v>#REF!</v>
      </c>
      <c r="BF36" s="555" t="e">
        <f>Elect!#REF!</f>
        <v>#REF!</v>
      </c>
      <c r="BG36" s="543" t="e">
        <f>Elect!#REF!</f>
        <v>#REF!</v>
      </c>
      <c r="BH36" s="556">
        <v>0</v>
      </c>
      <c r="BI36" s="557">
        <v>0</v>
      </c>
      <c r="BJ36" s="553">
        <v>135930.06451612906</v>
      </c>
      <c r="BK36" s="557">
        <v>6.6098910751932545</v>
      </c>
      <c r="BL36" s="558">
        <v>3.3724145658263311</v>
      </c>
      <c r="BM36" s="559" t="e">
        <f>Water!U41</f>
        <v>#REF!</v>
      </c>
      <c r="BN36" s="560" t="e">
        <f>Water!W41</f>
        <v>#REF!</v>
      </c>
      <c r="BO36" s="555" t="e">
        <f>Water!X41</f>
        <v>#REF!</v>
      </c>
      <c r="BP36" s="560" t="e">
        <f>Water!Y41</f>
        <v>#REF!</v>
      </c>
      <c r="BQ36" s="561" t="e">
        <f>Water!Z41</f>
        <v>#REF!</v>
      </c>
      <c r="BR36" s="566"/>
      <c r="BS36" s="566"/>
      <c r="BT36" s="566"/>
      <c r="BU36" s="566"/>
      <c r="BV36" s="566"/>
      <c r="BW36" s="566"/>
      <c r="BX36" s="566"/>
      <c r="BY36" s="566"/>
      <c r="BZ36" s="566"/>
      <c r="CA36" s="566"/>
      <c r="CB36" s="566"/>
      <c r="CC36" s="566"/>
      <c r="CD36" s="566"/>
      <c r="CE36" s="566"/>
      <c r="CF36" s="566"/>
      <c r="CG36" s="566"/>
      <c r="CH36" s="566"/>
      <c r="CI36" s="566"/>
      <c r="CJ36" s="566"/>
      <c r="CK36" s="566"/>
      <c r="CL36" s="566"/>
      <c r="CM36" s="566"/>
      <c r="CN36" s="566"/>
      <c r="CO36" s="566"/>
      <c r="CP36" s="566"/>
      <c r="CQ36" s="566"/>
      <c r="CR36" s="566"/>
      <c r="CS36" s="566"/>
      <c r="CT36" s="566"/>
    </row>
    <row r="37" spans="1:98" s="567" customFormat="1" ht="72" customHeight="1" thickBot="1">
      <c r="A37" s="485" t="s">
        <v>113</v>
      </c>
      <c r="B37" s="542">
        <v>37143.78500493992</v>
      </c>
      <c r="C37" s="543">
        <f>Elect!J39</f>
        <v>0</v>
      </c>
      <c r="D37" s="544">
        <v>0</v>
      </c>
      <c r="E37" s="543">
        <f>Elect!M39</f>
        <v>0</v>
      </c>
      <c r="F37" s="544">
        <v>0</v>
      </c>
      <c r="G37" s="543">
        <f>Elect!O39</f>
        <v>0</v>
      </c>
      <c r="H37" s="544">
        <v>0</v>
      </c>
      <c r="I37" s="543">
        <f>Water!C42</f>
        <v>0</v>
      </c>
      <c r="J37" s="544">
        <v>0</v>
      </c>
      <c r="K37" s="543">
        <f>Water!E43</f>
        <v>0</v>
      </c>
      <c r="L37" s="544">
        <v>7</v>
      </c>
      <c r="M37" s="543" t="e">
        <f>Water!#REF!</f>
        <v>#REF!</v>
      </c>
      <c r="N37" s="545" t="e">
        <f>Water!#REF!</f>
        <v>#REF!</v>
      </c>
      <c r="O37" s="544">
        <v>969</v>
      </c>
      <c r="P37" s="543">
        <f>Water!H42</f>
        <v>0</v>
      </c>
      <c r="Q37" s="544">
        <v>0</v>
      </c>
      <c r="R37" s="543">
        <f>Water!O42</f>
        <v>0</v>
      </c>
      <c r="S37" s="544">
        <v>23.193548387096776</v>
      </c>
      <c r="T37" s="554" t="e">
        <f>Water!#REF!</f>
        <v>#REF!</v>
      </c>
      <c r="U37" s="544">
        <v>148.67741935483872</v>
      </c>
      <c r="V37" s="543" t="e">
        <f>Water!#REF!</f>
        <v>#REF!</v>
      </c>
      <c r="W37" s="544">
        <v>755.80645161290317</v>
      </c>
      <c r="X37" s="554">
        <f>Water!Q42</f>
        <v>0</v>
      </c>
      <c r="Y37" s="544">
        <v>7</v>
      </c>
      <c r="Z37" s="543" t="e">
        <f>Water!#REF!</f>
        <v>#REF!</v>
      </c>
      <c r="AA37" s="544">
        <v>0</v>
      </c>
      <c r="AB37" s="543">
        <v>0</v>
      </c>
      <c r="AC37" s="544">
        <v>0</v>
      </c>
      <c r="AD37" s="543" t="e">
        <f>Water!#REF!</f>
        <v>#REF!</v>
      </c>
      <c r="AE37" s="546" t="e">
        <f>Water!#REF!</f>
        <v>#REF!</v>
      </c>
      <c r="AF37" s="543" t="e">
        <f>Water!#REF!</f>
        <v>#REF!</v>
      </c>
      <c r="AG37" s="550">
        <f>Gas!B42</f>
        <v>0</v>
      </c>
      <c r="AH37" s="547">
        <f>Gas!C42</f>
        <v>0</v>
      </c>
      <c r="AI37" s="548" t="e">
        <f>Gas!#REF!</f>
        <v>#REF!</v>
      </c>
      <c r="AJ37" s="549" t="e">
        <f>Gas!J42</f>
        <v>#REF!</v>
      </c>
      <c r="AK37" s="549" t="e">
        <f>Gas!#REF!</f>
        <v>#REF!</v>
      </c>
      <c r="AL37" s="550" t="e">
        <f>Gas!#REF!</f>
        <v>#REF!</v>
      </c>
      <c r="AM37" s="547" t="e">
        <f>Gas!#REF!</f>
        <v>#REF!</v>
      </c>
      <c r="AN37" s="547" t="e">
        <f>Gas!#REF!</f>
        <v>#REF!</v>
      </c>
      <c r="AO37" s="547" t="e">
        <f>Gas!#REF!</f>
        <v>#REF!</v>
      </c>
      <c r="AP37" s="547" t="e">
        <f>Gas!#REF!</f>
        <v>#REF!</v>
      </c>
      <c r="AQ37" s="547" t="e">
        <f>Gas!#REF!</f>
        <v>#REF!</v>
      </c>
      <c r="AR37" s="547" t="e">
        <f>Gas!#REF!</f>
        <v>#REF!</v>
      </c>
      <c r="AS37" s="548" t="e">
        <f>Gas!#REF!</f>
        <v>#REF!</v>
      </c>
      <c r="AT37" s="548">
        <f>Elect!BK39</f>
        <v>0</v>
      </c>
      <c r="AU37" s="548">
        <f>Elect!BI39</f>
        <v>0</v>
      </c>
      <c r="AV37" s="551"/>
      <c r="AW37" s="552"/>
      <c r="AX37" s="544">
        <v>0</v>
      </c>
      <c r="AY37" s="553">
        <v>0</v>
      </c>
      <c r="AZ37" s="553">
        <v>9453.8714285714286</v>
      </c>
      <c r="BA37" s="553">
        <v>0</v>
      </c>
      <c r="BB37" s="554">
        <v>0</v>
      </c>
      <c r="BC37" s="546">
        <f>Elect!BJ39</f>
        <v>0</v>
      </c>
      <c r="BD37" s="555" t="e">
        <f>Elect!#REF!</f>
        <v>#REF!</v>
      </c>
      <c r="BE37" s="555" t="e">
        <f>Elect!#REF!</f>
        <v>#REF!</v>
      </c>
      <c r="BF37" s="555" t="e">
        <f>Elect!#REF!</f>
        <v>#REF!</v>
      </c>
      <c r="BG37" s="543" t="e">
        <f>Elect!#REF!</f>
        <v>#REF!</v>
      </c>
      <c r="BH37" s="556">
        <v>0</v>
      </c>
      <c r="BI37" s="557">
        <v>0</v>
      </c>
      <c r="BJ37" s="553">
        <v>0</v>
      </c>
      <c r="BK37" s="557">
        <v>0</v>
      </c>
      <c r="BL37" s="558">
        <v>0</v>
      </c>
      <c r="BM37" s="559">
        <f>Water!U42</f>
        <v>0</v>
      </c>
      <c r="BN37" s="560">
        <f>Water!W42</f>
        <v>0</v>
      </c>
      <c r="BO37" s="555">
        <f>Water!X42</f>
        <v>0</v>
      </c>
      <c r="BP37" s="560">
        <f>Water!Y42</f>
        <v>0</v>
      </c>
      <c r="BQ37" s="561">
        <f>Water!Z42</f>
        <v>0</v>
      </c>
      <c r="BR37" s="566"/>
      <c r="BS37" s="566"/>
      <c r="BT37" s="566"/>
      <c r="BU37" s="566"/>
      <c r="BV37" s="566"/>
      <c r="BW37" s="566"/>
      <c r="BX37" s="566"/>
      <c r="BY37" s="566"/>
      <c r="BZ37" s="566"/>
      <c r="CA37" s="566"/>
      <c r="CB37" s="566"/>
      <c r="CC37" s="566"/>
      <c r="CD37" s="566"/>
      <c r="CE37" s="566"/>
      <c r="CF37" s="566"/>
      <c r="CG37" s="566"/>
      <c r="CH37" s="566"/>
      <c r="CI37" s="566"/>
      <c r="CJ37" s="566"/>
      <c r="CK37" s="566"/>
      <c r="CL37" s="566"/>
      <c r="CM37" s="566"/>
      <c r="CN37" s="566"/>
      <c r="CO37" s="566"/>
      <c r="CP37" s="566"/>
      <c r="CQ37" s="566"/>
      <c r="CR37" s="566"/>
      <c r="CS37" s="566"/>
      <c r="CT37" s="566"/>
    </row>
    <row r="38" spans="1:98" s="567" customFormat="1" ht="72" customHeight="1">
      <c r="A38" s="486" t="s">
        <v>114</v>
      </c>
      <c r="B38" s="542">
        <v>784008.52871448605</v>
      </c>
      <c r="C38" s="543">
        <f>Elect!J40</f>
        <v>0</v>
      </c>
      <c r="D38" s="544">
        <v>0</v>
      </c>
      <c r="E38" s="543">
        <f>Elect!M40</f>
        <v>0</v>
      </c>
      <c r="F38" s="544">
        <v>0</v>
      </c>
      <c r="G38" s="543">
        <f>Elect!O40</f>
        <v>0</v>
      </c>
      <c r="H38" s="544">
        <v>0</v>
      </c>
      <c r="I38" s="543">
        <f>Water!C43</f>
        <v>0</v>
      </c>
      <c r="J38" s="544">
        <v>0</v>
      </c>
      <c r="K38" s="543">
        <f>Water!E44</f>
        <v>0</v>
      </c>
      <c r="L38" s="544">
        <v>8</v>
      </c>
      <c r="M38" s="543" t="e">
        <f>Water!#REF!</f>
        <v>#REF!</v>
      </c>
      <c r="N38" s="545" t="e">
        <f>Water!#REF!</f>
        <v>#REF!</v>
      </c>
      <c r="O38" s="544">
        <v>0</v>
      </c>
      <c r="P38" s="543">
        <f>Water!H43</f>
        <v>0</v>
      </c>
      <c r="Q38" s="544">
        <v>0</v>
      </c>
      <c r="R38" s="543">
        <f>Water!O43</f>
        <v>0</v>
      </c>
      <c r="S38" s="544">
        <v>0</v>
      </c>
      <c r="T38" s="554" t="e">
        <f>Water!#REF!</f>
        <v>#REF!</v>
      </c>
      <c r="U38" s="544">
        <v>0</v>
      </c>
      <c r="V38" s="543" t="e">
        <f>Water!#REF!</f>
        <v>#REF!</v>
      </c>
      <c r="W38" s="544">
        <v>0</v>
      </c>
      <c r="X38" s="554">
        <f>Water!Q43</f>
        <v>0</v>
      </c>
      <c r="Y38" s="544">
        <v>8</v>
      </c>
      <c r="Z38" s="543" t="e">
        <f>Water!#REF!</f>
        <v>#REF!</v>
      </c>
      <c r="AA38" s="544">
        <v>0</v>
      </c>
      <c r="AB38" s="543">
        <v>0</v>
      </c>
      <c r="AC38" s="544">
        <v>0</v>
      </c>
      <c r="AD38" s="543" t="e">
        <f>Water!#REF!</f>
        <v>#REF!</v>
      </c>
      <c r="AE38" s="546" t="e">
        <f>Water!#REF!</f>
        <v>#REF!</v>
      </c>
      <c r="AF38" s="543" t="e">
        <f>Water!#REF!</f>
        <v>#REF!</v>
      </c>
      <c r="AG38" s="550">
        <f>Gas!B43</f>
        <v>0</v>
      </c>
      <c r="AH38" s="547">
        <f>Gas!C43</f>
        <v>0</v>
      </c>
      <c r="AI38" s="548" t="e">
        <f>Gas!#REF!</f>
        <v>#REF!</v>
      </c>
      <c r="AJ38" s="549">
        <f>Gas!J43</f>
        <v>0</v>
      </c>
      <c r="AK38" s="549" t="e">
        <f>Gas!#REF!</f>
        <v>#REF!</v>
      </c>
      <c r="AL38" s="550" t="e">
        <f>Gas!#REF!</f>
        <v>#REF!</v>
      </c>
      <c r="AM38" s="547" t="e">
        <f>Gas!#REF!</f>
        <v>#REF!</v>
      </c>
      <c r="AN38" s="547" t="e">
        <f>Gas!#REF!</f>
        <v>#REF!</v>
      </c>
      <c r="AO38" s="547" t="e">
        <f>Gas!#REF!</f>
        <v>#REF!</v>
      </c>
      <c r="AP38" s="547" t="e">
        <f>Gas!#REF!</f>
        <v>#REF!</v>
      </c>
      <c r="AQ38" s="547" t="e">
        <f>Gas!#REF!</f>
        <v>#REF!</v>
      </c>
      <c r="AR38" s="547" t="e">
        <f>Gas!#REF!</f>
        <v>#REF!</v>
      </c>
      <c r="AS38" s="548" t="e">
        <f>Gas!#REF!</f>
        <v>#REF!</v>
      </c>
      <c r="AT38" s="548">
        <f>Elect!BK40</f>
        <v>0</v>
      </c>
      <c r="AU38" s="548">
        <f>Elect!BI40</f>
        <v>0</v>
      </c>
      <c r="AV38" s="551"/>
      <c r="AW38" s="552"/>
      <c r="AX38" s="544">
        <v>38.173557732714286</v>
      </c>
      <c r="AY38" s="553">
        <v>19.219192722145614</v>
      </c>
      <c r="AZ38" s="553">
        <v>208225.85</v>
      </c>
      <c r="BA38" s="553">
        <v>10.138565098841173</v>
      </c>
      <c r="BB38" s="554">
        <v>5.1044505184713067</v>
      </c>
      <c r="BC38" s="546">
        <f>Elect!BJ40</f>
        <v>0</v>
      </c>
      <c r="BD38" s="555" t="e">
        <f>Elect!#REF!</f>
        <v>#REF!</v>
      </c>
      <c r="BE38" s="555" t="e">
        <f>Elect!#REF!</f>
        <v>#REF!</v>
      </c>
      <c r="BF38" s="555" t="e">
        <f>Elect!#REF!</f>
        <v>#REF!</v>
      </c>
      <c r="BG38" s="543" t="e">
        <f>Elect!#REF!</f>
        <v>#REF!</v>
      </c>
      <c r="BH38" s="556">
        <v>0</v>
      </c>
      <c r="BI38" s="557">
        <v>0</v>
      </c>
      <c r="BJ38" s="553">
        <v>127385.62</v>
      </c>
      <c r="BK38" s="557">
        <v>6.2024354854416206</v>
      </c>
      <c r="BL38" s="558">
        <v>3.1227323315274678</v>
      </c>
      <c r="BM38" s="559">
        <f>Water!U43</f>
        <v>0</v>
      </c>
      <c r="BN38" s="560">
        <f>Water!W43</f>
        <v>0</v>
      </c>
      <c r="BO38" s="555">
        <f>Water!X43</f>
        <v>0</v>
      </c>
      <c r="BP38" s="560">
        <f>Water!Y43</f>
        <v>0</v>
      </c>
      <c r="BQ38" s="561">
        <f>Water!Z43</f>
        <v>0</v>
      </c>
      <c r="BR38" s="566"/>
      <c r="BS38" s="566"/>
      <c r="BT38" s="566"/>
      <c r="BU38" s="566"/>
      <c r="BV38" s="566"/>
      <c r="BW38" s="566"/>
      <c r="BX38" s="566"/>
      <c r="BY38" s="566"/>
      <c r="BZ38" s="566"/>
      <c r="CA38" s="566"/>
      <c r="CB38" s="566"/>
      <c r="CC38" s="566"/>
      <c r="CD38" s="566"/>
      <c r="CE38" s="566"/>
      <c r="CF38" s="566"/>
      <c r="CG38" s="566"/>
      <c r="CH38" s="566"/>
      <c r="CI38" s="566"/>
      <c r="CJ38" s="566"/>
      <c r="CK38" s="566"/>
      <c r="CL38" s="566"/>
      <c r="CM38" s="566"/>
      <c r="CN38" s="566"/>
      <c r="CO38" s="566"/>
      <c r="CP38" s="566"/>
      <c r="CQ38" s="566"/>
      <c r="CR38" s="566"/>
      <c r="CS38" s="566"/>
      <c r="CT38" s="566"/>
    </row>
    <row r="39" spans="1:98" s="567" customFormat="1" ht="72" customHeight="1">
      <c r="A39" s="487" t="s">
        <v>115</v>
      </c>
      <c r="B39" s="542">
        <v>784008.52871448605</v>
      </c>
      <c r="C39" s="543">
        <f>Elect!J41</f>
        <v>0</v>
      </c>
      <c r="D39" s="544">
        <v>0</v>
      </c>
      <c r="E39" s="543">
        <f>Elect!M41</f>
        <v>0</v>
      </c>
      <c r="F39" s="544">
        <v>0</v>
      </c>
      <c r="G39" s="543">
        <f>Elect!O41</f>
        <v>0</v>
      </c>
      <c r="H39" s="544">
        <v>0</v>
      </c>
      <c r="I39" s="543">
        <f>Water!C44</f>
        <v>0</v>
      </c>
      <c r="J39" s="544">
        <v>0</v>
      </c>
      <c r="K39" s="543">
        <f>Water!E45</f>
        <v>0</v>
      </c>
      <c r="L39" s="544">
        <v>9</v>
      </c>
      <c r="M39" s="543" t="e">
        <f>Water!#REF!</f>
        <v>#REF!</v>
      </c>
      <c r="N39" s="545" t="e">
        <f>Water!#REF!</f>
        <v>#REF!</v>
      </c>
      <c r="O39" s="544">
        <v>0</v>
      </c>
      <c r="P39" s="543">
        <f>Water!H44</f>
        <v>0</v>
      </c>
      <c r="Q39" s="544">
        <v>0</v>
      </c>
      <c r="R39" s="543">
        <f>Water!O44</f>
        <v>0</v>
      </c>
      <c r="S39" s="544">
        <v>0</v>
      </c>
      <c r="T39" s="554" t="e">
        <f>Water!#REF!</f>
        <v>#REF!</v>
      </c>
      <c r="U39" s="544">
        <v>0</v>
      </c>
      <c r="V39" s="543" t="e">
        <f>Water!#REF!</f>
        <v>#REF!</v>
      </c>
      <c r="W39" s="544">
        <v>0</v>
      </c>
      <c r="X39" s="554">
        <f>Water!Q44</f>
        <v>0</v>
      </c>
      <c r="Y39" s="544">
        <v>9</v>
      </c>
      <c r="Z39" s="543" t="e">
        <f>Water!#REF!</f>
        <v>#REF!</v>
      </c>
      <c r="AA39" s="544">
        <v>0</v>
      </c>
      <c r="AB39" s="543">
        <v>0</v>
      </c>
      <c r="AC39" s="544">
        <v>0</v>
      </c>
      <c r="AD39" s="543" t="e">
        <f>Water!#REF!</f>
        <v>#REF!</v>
      </c>
      <c r="AE39" s="546" t="e">
        <f>Water!#REF!</f>
        <v>#REF!</v>
      </c>
      <c r="AF39" s="543" t="e">
        <f>Water!#REF!</f>
        <v>#REF!</v>
      </c>
      <c r="AG39" s="550">
        <f>Gas!B44</f>
        <v>0</v>
      </c>
      <c r="AH39" s="547">
        <f>Gas!C44</f>
        <v>0</v>
      </c>
      <c r="AI39" s="548" t="e">
        <f>Gas!#REF!</f>
        <v>#REF!</v>
      </c>
      <c r="AJ39" s="549">
        <f>Gas!J44</f>
        <v>0</v>
      </c>
      <c r="AK39" s="549" t="e">
        <f>Gas!#REF!</f>
        <v>#REF!</v>
      </c>
      <c r="AL39" s="550" t="e">
        <f>Gas!#REF!</f>
        <v>#REF!</v>
      </c>
      <c r="AM39" s="547" t="e">
        <f>Gas!#REF!</f>
        <v>#REF!</v>
      </c>
      <c r="AN39" s="547" t="e">
        <f>Gas!#REF!</f>
        <v>#REF!</v>
      </c>
      <c r="AO39" s="547" t="e">
        <f>Gas!#REF!</f>
        <v>#REF!</v>
      </c>
      <c r="AP39" s="547" t="e">
        <f>Gas!#REF!</f>
        <v>#REF!</v>
      </c>
      <c r="AQ39" s="547" t="e">
        <f>Gas!#REF!</f>
        <v>#REF!</v>
      </c>
      <c r="AR39" s="547" t="e">
        <f>Gas!#REF!</f>
        <v>#REF!</v>
      </c>
      <c r="AS39" s="548" t="e">
        <f>Gas!#REF!</f>
        <v>#REF!</v>
      </c>
      <c r="AT39" s="548">
        <f>Elect!BK41</f>
        <v>0</v>
      </c>
      <c r="AU39" s="548">
        <f>Elect!BI41</f>
        <v>0</v>
      </c>
      <c r="AV39" s="551"/>
      <c r="AW39" s="552"/>
      <c r="AX39" s="544">
        <v>38.173557732714286</v>
      </c>
      <c r="AY39" s="553">
        <v>19.219192722145614</v>
      </c>
      <c r="AZ39" s="553">
        <v>208225.85</v>
      </c>
      <c r="BA39" s="553">
        <v>10.138565098841173</v>
      </c>
      <c r="BB39" s="554">
        <v>5.1044505184713067</v>
      </c>
      <c r="BC39" s="546">
        <f>Elect!BJ41</f>
        <v>0</v>
      </c>
      <c r="BD39" s="555" t="e">
        <f>Elect!#REF!</f>
        <v>#REF!</v>
      </c>
      <c r="BE39" s="555" t="e">
        <f>Elect!#REF!</f>
        <v>#REF!</v>
      </c>
      <c r="BF39" s="555" t="e">
        <f>Elect!#REF!</f>
        <v>#REF!</v>
      </c>
      <c r="BG39" s="543" t="e">
        <f>Elect!#REF!</f>
        <v>#REF!</v>
      </c>
      <c r="BH39" s="556">
        <v>0</v>
      </c>
      <c r="BI39" s="557">
        <v>0</v>
      </c>
      <c r="BJ39" s="553">
        <v>115057.97935483872</v>
      </c>
      <c r="BK39" s="557">
        <v>6.2024354854416206</v>
      </c>
      <c r="BL39" s="558">
        <v>3.1227323315274678</v>
      </c>
      <c r="BM39" s="559">
        <f>Water!U44</f>
        <v>0</v>
      </c>
      <c r="BN39" s="560">
        <f>Water!W44</f>
        <v>0</v>
      </c>
      <c r="BO39" s="555" t="e">
        <f>Water!X44</f>
        <v>#VALUE!</v>
      </c>
      <c r="BP39" s="560" t="e">
        <f>Water!Y44</f>
        <v>#VALUE!</v>
      </c>
      <c r="BQ39" s="561" t="e">
        <f>Water!Z44</f>
        <v>#VALUE!</v>
      </c>
      <c r="BR39" s="566"/>
      <c r="BS39" s="566"/>
      <c r="BT39" s="566"/>
      <c r="BU39" s="566"/>
      <c r="BV39" s="566"/>
      <c r="BW39" s="566"/>
      <c r="BX39" s="566"/>
      <c r="BY39" s="566"/>
      <c r="BZ39" s="566"/>
      <c r="CA39" s="566"/>
      <c r="CB39" s="566"/>
      <c r="CC39" s="566"/>
      <c r="CD39" s="566"/>
      <c r="CE39" s="566"/>
      <c r="CF39" s="566"/>
      <c r="CG39" s="566"/>
      <c r="CH39" s="566"/>
      <c r="CI39" s="566"/>
      <c r="CJ39" s="566"/>
      <c r="CK39" s="566"/>
      <c r="CL39" s="566"/>
      <c r="CM39" s="566"/>
      <c r="CN39" s="566"/>
      <c r="CO39" s="566"/>
      <c r="CP39" s="566"/>
      <c r="CQ39" s="566"/>
      <c r="CR39" s="566"/>
      <c r="CS39" s="566"/>
      <c r="CT39" s="566"/>
    </row>
    <row r="40" spans="1:98" s="567" customFormat="1" ht="72" customHeight="1" thickBot="1">
      <c r="A40" s="488" t="s">
        <v>117</v>
      </c>
      <c r="B40" s="542">
        <v>28000.304596945931</v>
      </c>
      <c r="C40" s="543">
        <f>Elect!J42</f>
        <v>0</v>
      </c>
      <c r="D40" s="544">
        <v>0</v>
      </c>
      <c r="E40" s="543">
        <f>Elect!M42</f>
        <v>0</v>
      </c>
      <c r="F40" s="544">
        <v>0</v>
      </c>
      <c r="G40" s="543">
        <f>Elect!O42</f>
        <v>0</v>
      </c>
      <c r="H40" s="544">
        <v>0</v>
      </c>
      <c r="I40" s="543">
        <f>Water!C45</f>
        <v>0</v>
      </c>
      <c r="J40" s="544">
        <v>0</v>
      </c>
      <c r="K40" s="543">
        <f>Water!E46</f>
        <v>0</v>
      </c>
      <c r="L40" s="544">
        <v>10</v>
      </c>
      <c r="M40" s="543" t="e">
        <f>Water!#REF!</f>
        <v>#REF!</v>
      </c>
      <c r="N40" s="545" t="e">
        <f>Water!#REF!</f>
        <v>#REF!</v>
      </c>
      <c r="O40" s="544">
        <v>0</v>
      </c>
      <c r="P40" s="543">
        <f>Water!H45</f>
        <v>0</v>
      </c>
      <c r="Q40" s="544">
        <v>0</v>
      </c>
      <c r="R40" s="543">
        <f>Water!O45</f>
        <v>0</v>
      </c>
      <c r="S40" s="544">
        <v>0</v>
      </c>
      <c r="T40" s="554" t="e">
        <f>Water!#REF!</f>
        <v>#REF!</v>
      </c>
      <c r="U40" s="544">
        <v>0</v>
      </c>
      <c r="V40" s="543" t="e">
        <f>Water!#REF!</f>
        <v>#REF!</v>
      </c>
      <c r="W40" s="544">
        <v>0</v>
      </c>
      <c r="X40" s="554">
        <f>Water!Q45</f>
        <v>0</v>
      </c>
      <c r="Y40" s="544">
        <v>10</v>
      </c>
      <c r="Z40" s="543" t="e">
        <f>Water!#REF!</f>
        <v>#REF!</v>
      </c>
      <c r="AA40" s="544">
        <v>0</v>
      </c>
      <c r="AB40" s="543">
        <v>0</v>
      </c>
      <c r="AC40" s="544">
        <v>0</v>
      </c>
      <c r="AD40" s="543" t="e">
        <f>Water!#REF!</f>
        <v>#REF!</v>
      </c>
      <c r="AE40" s="546" t="e">
        <f>Water!#REF!</f>
        <v>#REF!</v>
      </c>
      <c r="AF40" s="543" t="e">
        <f>Water!#REF!</f>
        <v>#REF!</v>
      </c>
      <c r="AG40" s="550">
        <f>Gas!B45</f>
        <v>0</v>
      </c>
      <c r="AH40" s="547">
        <f>Gas!C45</f>
        <v>0</v>
      </c>
      <c r="AI40" s="548" t="e">
        <f>Gas!#REF!</f>
        <v>#REF!</v>
      </c>
      <c r="AJ40" s="549">
        <f>Gas!J45</f>
        <v>0</v>
      </c>
      <c r="AK40" s="549" t="e">
        <f>Gas!#REF!</f>
        <v>#REF!</v>
      </c>
      <c r="AL40" s="550" t="e">
        <f>Gas!#REF!</f>
        <v>#REF!</v>
      </c>
      <c r="AM40" s="547" t="e">
        <f>Gas!#REF!</f>
        <v>#REF!</v>
      </c>
      <c r="AN40" s="547" t="e">
        <f>Gas!#REF!</f>
        <v>#REF!</v>
      </c>
      <c r="AO40" s="547" t="e">
        <f>Gas!#REF!</f>
        <v>#REF!</v>
      </c>
      <c r="AP40" s="547" t="e">
        <f>Gas!#REF!</f>
        <v>#REF!</v>
      </c>
      <c r="AQ40" s="547" t="e">
        <f>Gas!#REF!</f>
        <v>#REF!</v>
      </c>
      <c r="AR40" s="547" t="e">
        <f>Gas!#REF!</f>
        <v>#REF!</v>
      </c>
      <c r="AS40" s="548" t="e">
        <f>Gas!#REF!</f>
        <v>#REF!</v>
      </c>
      <c r="AT40" s="548">
        <f>Elect!BK42</f>
        <v>0</v>
      </c>
      <c r="AU40" s="548">
        <f>Elect!BI42</f>
        <v>0</v>
      </c>
      <c r="AV40" s="551"/>
      <c r="AW40" s="552"/>
      <c r="AX40" s="544">
        <v>0</v>
      </c>
      <c r="AY40" s="553">
        <v>0</v>
      </c>
      <c r="AZ40" s="553">
        <v>7436.6374999999998</v>
      </c>
      <c r="BA40" s="553">
        <v>0</v>
      </c>
      <c r="BB40" s="554">
        <v>0</v>
      </c>
      <c r="BC40" s="546">
        <f>Elect!BJ42</f>
        <v>0</v>
      </c>
      <c r="BD40" s="555" t="e">
        <f>Elect!#REF!</f>
        <v>#REF!</v>
      </c>
      <c r="BE40" s="555" t="e">
        <f>Elect!#REF!</f>
        <v>#REF!</v>
      </c>
      <c r="BF40" s="555" t="e">
        <f>Elect!#REF!</f>
        <v>#REF!</v>
      </c>
      <c r="BG40" s="543" t="e">
        <f>Elect!#REF!</f>
        <v>#REF!</v>
      </c>
      <c r="BH40" s="556">
        <v>1.1254645701449868</v>
      </c>
      <c r="BI40" s="557">
        <v>0.5726486845933253</v>
      </c>
      <c r="BJ40" s="553">
        <v>4109.213548387097</v>
      </c>
      <c r="BK40" s="557">
        <v>0</v>
      </c>
      <c r="BL40" s="558">
        <v>0</v>
      </c>
      <c r="BM40" s="559">
        <f>Water!U45</f>
        <v>0</v>
      </c>
      <c r="BN40" s="560">
        <f>Water!W45</f>
        <v>0</v>
      </c>
      <c r="BO40" s="555" t="e">
        <f>Water!X45</f>
        <v>#VALUE!</v>
      </c>
      <c r="BP40" s="560">
        <f>Water!Y45</f>
        <v>0</v>
      </c>
      <c r="BQ40" s="561">
        <f>Water!Z45</f>
        <v>0</v>
      </c>
      <c r="BR40" s="566"/>
      <c r="BS40" s="566"/>
      <c r="BT40" s="566"/>
      <c r="BU40" s="566"/>
      <c r="BV40" s="566"/>
      <c r="BW40" s="566"/>
      <c r="BX40" s="566"/>
      <c r="BY40" s="566"/>
      <c r="BZ40" s="566"/>
      <c r="CA40" s="566"/>
      <c r="CB40" s="566"/>
      <c r="CC40" s="566"/>
      <c r="CD40" s="566"/>
      <c r="CE40" s="566"/>
      <c r="CF40" s="566"/>
      <c r="CG40" s="566"/>
      <c r="CH40" s="566"/>
      <c r="CI40" s="566"/>
      <c r="CJ40" s="566"/>
      <c r="CK40" s="566"/>
      <c r="CL40" s="566"/>
      <c r="CM40" s="566"/>
      <c r="CN40" s="566"/>
      <c r="CO40" s="566"/>
      <c r="CP40" s="566"/>
      <c r="CQ40" s="566"/>
      <c r="CR40" s="566"/>
      <c r="CS40" s="566"/>
      <c r="CT40" s="566"/>
    </row>
    <row r="41" spans="1:98" ht="30.75" customHeight="1">
      <c r="F41" s="175"/>
      <c r="H41" s="186"/>
      <c r="I41" s="186"/>
      <c r="J41" s="187"/>
      <c r="K41" s="186"/>
      <c r="L41" s="187"/>
      <c r="M41" s="186"/>
      <c r="N41" s="188"/>
      <c r="O41" s="186"/>
      <c r="P41" s="186"/>
      <c r="Q41" s="190"/>
      <c r="R41" s="186"/>
      <c r="S41" s="187"/>
      <c r="T41" s="186"/>
      <c r="U41" s="186"/>
      <c r="V41" s="186"/>
      <c r="W41" s="187"/>
      <c r="X41" s="186"/>
      <c r="Y41" s="187"/>
      <c r="Z41" s="186"/>
      <c r="AA41" s="187"/>
      <c r="AB41" s="186"/>
      <c r="AC41" s="187"/>
      <c r="AD41" s="186"/>
      <c r="AE41" s="186"/>
      <c r="AF41" s="186"/>
      <c r="AG41" s="191"/>
      <c r="AH41" s="191"/>
      <c r="AI41" s="191"/>
      <c r="AJ41" s="192"/>
      <c r="AK41" s="191"/>
      <c r="AL41" s="192"/>
      <c r="AM41" s="192"/>
      <c r="AN41" s="191"/>
      <c r="AO41" s="191"/>
      <c r="AP41" s="192"/>
      <c r="AQ41" s="191"/>
      <c r="AR41" s="191"/>
      <c r="AS41" s="191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9"/>
      <c r="BQ41" s="189"/>
    </row>
    <row r="42" spans="1:98" ht="30.75" customHeight="1">
      <c r="F42" s="175"/>
      <c r="H42" s="186"/>
      <c r="I42" s="186"/>
      <c r="J42" s="187"/>
      <c r="K42" s="186"/>
      <c r="L42" s="187"/>
      <c r="M42" s="186"/>
      <c r="N42" s="186"/>
      <c r="O42" s="186"/>
      <c r="P42" s="186"/>
      <c r="Q42" s="190"/>
      <c r="R42" s="186"/>
      <c r="S42" s="187"/>
      <c r="T42" s="186"/>
      <c r="U42" s="186"/>
      <c r="V42" s="186"/>
      <c r="W42" s="187"/>
      <c r="X42" s="186"/>
      <c r="Y42" s="187"/>
      <c r="Z42" s="186"/>
      <c r="AA42" s="187"/>
      <c r="AB42" s="186"/>
      <c r="AC42" s="187"/>
      <c r="AD42" s="186"/>
      <c r="AE42" s="186"/>
      <c r="AF42" s="186"/>
      <c r="AG42" s="191"/>
      <c r="AH42" s="191"/>
      <c r="AI42" s="191"/>
      <c r="AJ42" s="192"/>
      <c r="AK42" s="191"/>
      <c r="AL42" s="192"/>
      <c r="AM42" s="192"/>
      <c r="AN42" s="191"/>
      <c r="AO42" s="191"/>
      <c r="AP42" s="192"/>
      <c r="AQ42" s="191"/>
      <c r="AR42" s="191"/>
      <c r="AS42" s="191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9"/>
      <c r="BQ42" s="189"/>
    </row>
    <row r="43" spans="1:98" ht="30.75" customHeight="1">
      <c r="F43" s="175"/>
      <c r="H43" s="186"/>
      <c r="I43" s="186"/>
      <c r="J43" s="187"/>
      <c r="K43" s="186"/>
      <c r="L43" s="187"/>
      <c r="M43" s="186"/>
      <c r="N43" s="186"/>
      <c r="O43" s="186"/>
      <c r="P43" s="186"/>
      <c r="Q43" s="190"/>
      <c r="R43" s="186"/>
      <c r="S43" s="187"/>
      <c r="T43" s="186"/>
      <c r="U43" s="186"/>
      <c r="V43" s="186"/>
      <c r="W43" s="187"/>
      <c r="X43" s="186"/>
      <c r="Y43" s="187"/>
      <c r="Z43" s="186"/>
      <c r="AA43" s="187"/>
      <c r="AB43" s="186"/>
      <c r="AC43" s="187"/>
      <c r="AD43" s="186"/>
      <c r="AE43" s="186"/>
      <c r="AF43" s="186"/>
      <c r="AG43" s="191"/>
      <c r="AH43" s="191"/>
      <c r="AI43" s="191"/>
      <c r="AJ43" s="192"/>
      <c r="AK43" s="191"/>
      <c r="AL43" s="192"/>
      <c r="AM43" s="192"/>
      <c r="AN43" s="191"/>
      <c r="AO43" s="191"/>
      <c r="AP43" s="192"/>
      <c r="AQ43" s="191"/>
      <c r="AR43" s="191"/>
      <c r="AS43" s="191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9"/>
      <c r="BQ43" s="189"/>
    </row>
    <row r="44" spans="1:98" ht="30.75" customHeight="1">
      <c r="F44" s="175"/>
      <c r="H44" s="186"/>
      <c r="I44" s="186"/>
      <c r="J44" s="187"/>
      <c r="K44" s="186"/>
      <c r="L44" s="187"/>
      <c r="M44" s="186"/>
      <c r="N44" s="186"/>
      <c r="O44" s="186"/>
      <c r="P44" s="186"/>
      <c r="Q44" s="190"/>
      <c r="R44" s="186"/>
      <c r="S44" s="187"/>
      <c r="T44" s="186"/>
      <c r="U44" s="186"/>
      <c r="V44" s="186"/>
      <c r="W44" s="187"/>
      <c r="X44" s="186"/>
      <c r="Y44" s="187"/>
      <c r="Z44" s="186"/>
      <c r="AA44" s="187"/>
      <c r="AB44" s="186"/>
      <c r="AC44" s="187"/>
      <c r="AD44" s="186"/>
      <c r="AE44" s="186"/>
      <c r="AF44" s="186"/>
      <c r="AG44" s="191"/>
      <c r="AH44" s="191"/>
      <c r="AI44" s="191"/>
      <c r="AJ44" s="192"/>
      <c r="AK44" s="191"/>
      <c r="AL44" s="192"/>
      <c r="AM44" s="192"/>
      <c r="AN44" s="191"/>
      <c r="AO44" s="191"/>
      <c r="AP44" s="192"/>
      <c r="AQ44" s="191"/>
      <c r="AR44" s="191"/>
      <c r="AS44" s="191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9"/>
      <c r="BQ44" s="189"/>
    </row>
    <row r="45" spans="1:98" ht="30.75" customHeight="1">
      <c r="F45" s="175"/>
      <c r="H45" s="186"/>
      <c r="I45" s="186"/>
      <c r="J45" s="187"/>
      <c r="K45" s="186"/>
      <c r="L45" s="187"/>
      <c r="M45" s="186"/>
      <c r="N45" s="186"/>
      <c r="O45" s="186"/>
      <c r="P45" s="186"/>
      <c r="Q45" s="190"/>
      <c r="R45" s="186"/>
      <c r="S45" s="187"/>
      <c r="T45" s="186"/>
      <c r="U45" s="186"/>
      <c r="V45" s="186"/>
      <c r="W45" s="187"/>
      <c r="X45" s="186"/>
      <c r="Y45" s="187"/>
      <c r="Z45" s="186"/>
      <c r="AA45" s="187"/>
      <c r="AB45" s="186"/>
      <c r="AC45" s="187"/>
      <c r="AD45" s="186"/>
      <c r="AE45" s="186"/>
      <c r="AF45" s="186"/>
      <c r="AG45" s="191"/>
      <c r="AH45" s="191"/>
      <c r="AI45" s="191"/>
      <c r="AJ45" s="192"/>
      <c r="AK45" s="191"/>
      <c r="AL45" s="192"/>
      <c r="AM45" s="192"/>
      <c r="AN45" s="191"/>
      <c r="AO45" s="191"/>
      <c r="AP45" s="192"/>
      <c r="AQ45" s="191"/>
      <c r="AR45" s="191"/>
      <c r="AS45" s="191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9"/>
      <c r="BQ45" s="189"/>
    </row>
    <row r="46" spans="1:98" ht="30.75" customHeight="1">
      <c r="F46" s="175"/>
      <c r="H46" s="186"/>
      <c r="I46" s="186"/>
      <c r="J46" s="187"/>
      <c r="K46" s="186"/>
      <c r="L46" s="187"/>
      <c r="M46" s="186"/>
      <c r="N46" s="186"/>
      <c r="O46" s="186"/>
      <c r="P46" s="186"/>
      <c r="Q46" s="190"/>
      <c r="R46" s="186"/>
      <c r="S46" s="187"/>
      <c r="T46" s="186"/>
      <c r="U46" s="186"/>
      <c r="V46" s="186"/>
      <c r="W46" s="187"/>
      <c r="X46" s="186"/>
      <c r="Y46" s="187"/>
      <c r="Z46" s="186"/>
      <c r="AA46" s="187"/>
      <c r="AB46" s="186"/>
      <c r="AC46" s="187"/>
      <c r="AD46" s="186"/>
      <c r="AE46" s="186"/>
      <c r="AF46" s="186"/>
      <c r="AG46" s="191"/>
      <c r="AH46" s="191"/>
      <c r="AI46" s="191"/>
      <c r="AJ46" s="192"/>
      <c r="AK46" s="191"/>
      <c r="AL46" s="192"/>
      <c r="AM46" s="192"/>
      <c r="AN46" s="191"/>
      <c r="AO46" s="191"/>
      <c r="AP46" s="192"/>
      <c r="AQ46" s="191"/>
      <c r="AR46" s="191"/>
      <c r="AS46" s="191"/>
      <c r="AT46" s="186"/>
      <c r="AU46" s="186"/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86"/>
      <c r="BM46" s="186"/>
      <c r="BN46" s="186"/>
      <c r="BO46" s="186"/>
      <c r="BP46" s="189"/>
      <c r="BQ46" s="189"/>
    </row>
    <row r="47" spans="1:98" ht="30.75" customHeight="1">
      <c r="F47" s="175"/>
      <c r="H47" s="186"/>
      <c r="I47" s="186"/>
      <c r="J47" s="187"/>
      <c r="K47" s="186"/>
      <c r="L47" s="187"/>
      <c r="M47" s="186"/>
      <c r="N47" s="186"/>
      <c r="O47" s="186"/>
      <c r="P47" s="186"/>
      <c r="Q47" s="188"/>
      <c r="R47" s="186"/>
      <c r="S47" s="187"/>
      <c r="T47" s="186"/>
      <c r="U47" s="186"/>
      <c r="V47" s="186"/>
      <c r="W47" s="187"/>
      <c r="X47" s="186"/>
      <c r="Y47" s="187"/>
      <c r="Z47" s="186"/>
      <c r="AA47" s="187"/>
      <c r="AB47" s="186"/>
      <c r="AC47" s="187"/>
      <c r="AD47" s="186"/>
      <c r="AE47" s="186"/>
      <c r="AF47" s="186"/>
      <c r="AG47" s="191"/>
      <c r="AH47" s="191"/>
      <c r="AI47" s="191"/>
      <c r="AJ47" s="192"/>
      <c r="AK47" s="191"/>
      <c r="AL47" s="192"/>
      <c r="AM47" s="192"/>
      <c r="AN47" s="191"/>
      <c r="AO47" s="191"/>
      <c r="AP47" s="192"/>
      <c r="AQ47" s="191"/>
      <c r="AR47" s="191"/>
      <c r="AS47" s="191"/>
      <c r="AT47" s="186"/>
      <c r="AU47" s="186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6"/>
      <c r="BM47" s="186"/>
      <c r="BN47" s="186"/>
      <c r="BO47" s="186"/>
      <c r="BP47" s="189"/>
      <c r="BQ47" s="189"/>
    </row>
    <row r="48" spans="1:98" ht="30.75" customHeight="1">
      <c r="F48" s="175"/>
      <c r="H48" s="186"/>
      <c r="I48" s="186"/>
      <c r="J48" s="187"/>
      <c r="K48" s="186"/>
      <c r="L48" s="187"/>
      <c r="M48" s="186"/>
      <c r="N48" s="186"/>
      <c r="O48" s="186"/>
      <c r="P48" s="186"/>
      <c r="Q48" s="188"/>
      <c r="R48" s="186"/>
      <c r="S48" s="187"/>
      <c r="T48" s="186"/>
      <c r="U48" s="186"/>
      <c r="V48" s="186"/>
      <c r="W48" s="187"/>
      <c r="X48" s="186"/>
      <c r="Y48" s="187"/>
      <c r="Z48" s="186"/>
      <c r="AA48" s="187"/>
      <c r="AB48" s="186"/>
      <c r="AC48" s="187"/>
      <c r="AD48" s="186"/>
      <c r="AE48" s="186"/>
      <c r="AF48" s="186"/>
      <c r="AG48" s="191"/>
      <c r="AH48" s="191"/>
      <c r="AI48" s="191"/>
      <c r="AJ48" s="192"/>
      <c r="AK48" s="191"/>
      <c r="AL48" s="192"/>
      <c r="AM48" s="192"/>
      <c r="AN48" s="191"/>
      <c r="AO48" s="191"/>
      <c r="AP48" s="192"/>
      <c r="AQ48" s="191"/>
      <c r="AR48" s="191"/>
      <c r="AS48" s="191"/>
      <c r="AT48" s="186"/>
      <c r="AU48" s="186"/>
      <c r="AV48" s="186"/>
      <c r="AW48" s="186"/>
      <c r="AX48" s="186"/>
      <c r="AY48" s="186"/>
      <c r="AZ48" s="186"/>
      <c r="BA48" s="186"/>
      <c r="BB48" s="186"/>
      <c r="BC48" s="186"/>
      <c r="BD48" s="186"/>
      <c r="BE48" s="186"/>
      <c r="BF48" s="186"/>
      <c r="BG48" s="186"/>
      <c r="BH48" s="186"/>
      <c r="BI48" s="186"/>
      <c r="BJ48" s="186"/>
      <c r="BK48" s="186"/>
      <c r="BL48" s="186"/>
      <c r="BM48" s="186"/>
      <c r="BN48" s="186"/>
      <c r="BO48" s="186"/>
      <c r="BP48" s="189"/>
      <c r="BQ48" s="189"/>
    </row>
    <row r="49" spans="6:69" ht="30.75" customHeight="1">
      <c r="F49" s="175"/>
      <c r="H49" s="186"/>
      <c r="I49" s="186"/>
      <c r="J49" s="187"/>
      <c r="K49" s="186"/>
      <c r="L49" s="187"/>
      <c r="M49" s="186"/>
      <c r="N49" s="186"/>
      <c r="O49" s="186"/>
      <c r="P49" s="186"/>
      <c r="Q49" s="188"/>
      <c r="R49" s="186"/>
      <c r="S49" s="187"/>
      <c r="T49" s="186"/>
      <c r="U49" s="186"/>
      <c r="V49" s="186"/>
      <c r="W49" s="187"/>
      <c r="X49" s="186"/>
      <c r="Y49" s="187"/>
      <c r="Z49" s="186"/>
      <c r="AA49" s="187"/>
      <c r="AB49" s="186"/>
      <c r="AC49" s="187"/>
      <c r="AD49" s="186"/>
      <c r="AE49" s="186"/>
      <c r="AF49" s="186"/>
      <c r="AG49" s="191"/>
      <c r="AH49" s="191"/>
      <c r="AI49" s="191"/>
      <c r="AJ49" s="192"/>
      <c r="AK49" s="191"/>
      <c r="AL49" s="192"/>
      <c r="AM49" s="192"/>
      <c r="AN49" s="191"/>
      <c r="AO49" s="191"/>
      <c r="AP49" s="192"/>
      <c r="AQ49" s="191"/>
      <c r="AR49" s="191"/>
      <c r="AS49" s="191"/>
      <c r="AT49" s="186"/>
      <c r="AU49" s="186"/>
      <c r="AV49" s="186"/>
      <c r="AW49" s="186"/>
      <c r="AX49" s="186"/>
      <c r="AY49" s="186"/>
      <c r="AZ49" s="186"/>
      <c r="BA49" s="186"/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6"/>
      <c r="BM49" s="186"/>
      <c r="BN49" s="186"/>
      <c r="BO49" s="186"/>
      <c r="BP49" s="189"/>
      <c r="BQ49" s="189"/>
    </row>
    <row r="50" spans="6:69" ht="30.75" customHeight="1">
      <c r="F50" s="175"/>
      <c r="H50" s="186"/>
      <c r="I50" s="186"/>
      <c r="J50" s="187"/>
      <c r="K50" s="186"/>
      <c r="L50" s="187"/>
      <c r="M50" s="186"/>
      <c r="N50" s="186"/>
      <c r="O50" s="186"/>
      <c r="P50" s="186"/>
      <c r="Q50" s="188"/>
      <c r="R50" s="186"/>
      <c r="S50" s="187"/>
      <c r="T50" s="186"/>
      <c r="U50" s="186"/>
      <c r="V50" s="186"/>
      <c r="W50" s="187"/>
      <c r="X50" s="186"/>
      <c r="Y50" s="187"/>
      <c r="Z50" s="186"/>
      <c r="AA50" s="187"/>
      <c r="AB50" s="186"/>
      <c r="AC50" s="187"/>
      <c r="AD50" s="186"/>
      <c r="AE50" s="186"/>
      <c r="AF50" s="186"/>
      <c r="AG50" s="191"/>
      <c r="AH50" s="191"/>
      <c r="AI50" s="191"/>
      <c r="AJ50" s="192"/>
      <c r="AK50" s="191"/>
      <c r="AL50" s="192"/>
      <c r="AM50" s="192"/>
      <c r="AN50" s="191"/>
      <c r="AO50" s="191"/>
      <c r="AP50" s="192"/>
      <c r="AQ50" s="191"/>
      <c r="AR50" s="191"/>
      <c r="AS50" s="191"/>
      <c r="AT50" s="186"/>
      <c r="AU50" s="186"/>
      <c r="AV50" s="186"/>
      <c r="AW50" s="186"/>
      <c r="AX50" s="186"/>
      <c r="AY50" s="186"/>
      <c r="AZ50" s="186"/>
      <c r="BA50" s="186"/>
      <c r="BB50" s="186"/>
      <c r="BC50" s="186"/>
      <c r="BD50" s="186"/>
      <c r="BE50" s="186"/>
      <c r="BF50" s="186"/>
      <c r="BG50" s="186"/>
      <c r="BH50" s="186"/>
      <c r="BI50" s="186"/>
      <c r="BJ50" s="186"/>
      <c r="BK50" s="186"/>
      <c r="BL50" s="186"/>
      <c r="BM50" s="186"/>
      <c r="BN50" s="186"/>
      <c r="BO50" s="186"/>
      <c r="BP50" s="189"/>
      <c r="BQ50" s="189"/>
    </row>
    <row r="51" spans="6:69" ht="30.75" customHeight="1">
      <c r="F51" s="175"/>
      <c r="H51" s="186"/>
      <c r="I51" s="186"/>
      <c r="J51" s="187"/>
      <c r="K51" s="186"/>
      <c r="L51" s="187"/>
      <c r="M51" s="186"/>
      <c r="N51" s="186"/>
      <c r="O51" s="186"/>
      <c r="P51" s="186"/>
      <c r="Q51" s="188"/>
      <c r="R51" s="186"/>
      <c r="S51" s="187"/>
      <c r="T51" s="186"/>
      <c r="U51" s="186"/>
      <c r="V51" s="186"/>
      <c r="W51" s="187"/>
      <c r="X51" s="186"/>
      <c r="Y51" s="187"/>
      <c r="Z51" s="186"/>
      <c r="AA51" s="187"/>
      <c r="AB51" s="186"/>
      <c r="AC51" s="187"/>
      <c r="AD51" s="186"/>
      <c r="AE51" s="186"/>
      <c r="AF51" s="186"/>
      <c r="AG51" s="191"/>
      <c r="AH51" s="191"/>
      <c r="AI51" s="191"/>
      <c r="AJ51" s="192"/>
      <c r="AK51" s="191"/>
      <c r="AL51" s="192"/>
      <c r="AM51" s="192"/>
      <c r="AN51" s="191"/>
      <c r="AO51" s="191"/>
      <c r="AP51" s="192"/>
      <c r="AQ51" s="191"/>
      <c r="AR51" s="191"/>
      <c r="AS51" s="191"/>
      <c r="AT51" s="186"/>
      <c r="AU51" s="186"/>
      <c r="AV51" s="186"/>
      <c r="AW51" s="186"/>
      <c r="AX51" s="186"/>
      <c r="AY51" s="186"/>
      <c r="AZ51" s="186"/>
      <c r="BA51" s="186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6"/>
      <c r="BM51" s="186"/>
      <c r="BN51" s="186"/>
      <c r="BO51" s="186"/>
      <c r="BP51" s="189"/>
      <c r="BQ51" s="189"/>
    </row>
    <row r="52" spans="6:69" ht="30.75" customHeight="1">
      <c r="F52" s="175"/>
      <c r="H52" s="186"/>
      <c r="I52" s="186"/>
      <c r="J52" s="187"/>
      <c r="K52" s="186"/>
      <c r="L52" s="187"/>
      <c r="M52" s="186"/>
      <c r="N52" s="186"/>
      <c r="O52" s="186"/>
      <c r="P52" s="186"/>
      <c r="Q52" s="188"/>
      <c r="R52" s="186"/>
      <c r="S52" s="187"/>
      <c r="T52" s="186"/>
      <c r="U52" s="186"/>
      <c r="V52" s="186"/>
      <c r="W52" s="187"/>
      <c r="X52" s="186"/>
      <c r="Y52" s="187"/>
      <c r="Z52" s="186"/>
      <c r="AA52" s="187"/>
      <c r="AB52" s="186"/>
      <c r="AC52" s="186"/>
      <c r="AD52" s="186"/>
      <c r="AE52" s="186"/>
      <c r="AF52" s="186"/>
      <c r="AG52" s="191"/>
      <c r="AH52" s="191"/>
      <c r="AI52" s="191"/>
      <c r="AJ52" s="192"/>
      <c r="AK52" s="191"/>
      <c r="AL52" s="192"/>
      <c r="AM52" s="192"/>
      <c r="AN52" s="191"/>
      <c r="AO52" s="191"/>
      <c r="AP52" s="192"/>
      <c r="AQ52" s="191"/>
      <c r="AR52" s="191"/>
      <c r="AS52" s="191"/>
      <c r="AT52" s="186"/>
      <c r="AU52" s="186"/>
      <c r="AV52" s="186"/>
      <c r="AW52" s="186"/>
      <c r="AX52" s="186"/>
      <c r="AY52" s="186"/>
      <c r="AZ52" s="186"/>
      <c r="BA52" s="186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6"/>
      <c r="BM52" s="186"/>
      <c r="BN52" s="186"/>
      <c r="BO52" s="186"/>
      <c r="BP52" s="189"/>
      <c r="BQ52" s="189"/>
    </row>
    <row r="53" spans="6:69" ht="30.75" customHeight="1">
      <c r="F53" s="175"/>
      <c r="H53" s="186"/>
      <c r="I53" s="186"/>
      <c r="J53" s="187"/>
      <c r="K53" s="186"/>
      <c r="L53" s="187"/>
      <c r="M53" s="186"/>
      <c r="N53" s="186"/>
      <c r="O53" s="186"/>
      <c r="P53" s="186"/>
      <c r="Q53" s="188"/>
      <c r="R53" s="186"/>
      <c r="S53" s="187"/>
      <c r="T53" s="186"/>
      <c r="U53" s="186"/>
      <c r="V53" s="186"/>
      <c r="W53" s="187"/>
      <c r="X53" s="186"/>
      <c r="Y53" s="187"/>
      <c r="Z53" s="186"/>
      <c r="AA53" s="187"/>
      <c r="AB53" s="186"/>
      <c r="AC53" s="186"/>
      <c r="AD53" s="186"/>
      <c r="AE53" s="186"/>
      <c r="AF53" s="186"/>
      <c r="AG53" s="191"/>
      <c r="AH53" s="191"/>
      <c r="AI53" s="191"/>
      <c r="AJ53" s="192"/>
      <c r="AK53" s="191"/>
      <c r="AL53" s="192"/>
      <c r="AM53" s="192"/>
      <c r="AN53" s="191"/>
      <c r="AO53" s="191"/>
      <c r="AP53" s="192"/>
      <c r="AQ53" s="191"/>
      <c r="AR53" s="191"/>
      <c r="AS53" s="191"/>
      <c r="AT53" s="186"/>
      <c r="AU53" s="186"/>
      <c r="AV53" s="186"/>
      <c r="AW53" s="186"/>
      <c r="AX53" s="186"/>
      <c r="AY53" s="186"/>
      <c r="AZ53" s="186"/>
      <c r="BA53" s="186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6"/>
      <c r="BM53" s="186"/>
      <c r="BN53" s="186"/>
      <c r="BO53" s="186"/>
      <c r="BP53" s="189"/>
      <c r="BQ53" s="189"/>
    </row>
    <row r="54" spans="6:69" ht="30.75" customHeight="1">
      <c r="F54" s="175"/>
      <c r="H54" s="186"/>
      <c r="I54" s="186"/>
      <c r="J54" s="187"/>
      <c r="K54" s="186"/>
      <c r="L54" s="187"/>
      <c r="M54" s="186"/>
      <c r="N54" s="186"/>
      <c r="O54" s="186"/>
      <c r="P54" s="186"/>
      <c r="Q54" s="188"/>
      <c r="R54" s="186"/>
      <c r="S54" s="187"/>
      <c r="T54" s="186"/>
      <c r="U54" s="186"/>
      <c r="V54" s="186"/>
      <c r="W54" s="186"/>
      <c r="X54" s="186"/>
      <c r="Y54" s="187"/>
      <c r="Z54" s="186"/>
      <c r="AA54" s="187"/>
      <c r="AB54" s="186"/>
      <c r="AC54" s="186"/>
      <c r="AD54" s="186"/>
      <c r="AE54" s="186"/>
      <c r="AF54" s="186"/>
      <c r="AG54" s="191"/>
      <c r="AH54" s="191"/>
      <c r="AI54" s="191"/>
      <c r="AJ54" s="192"/>
      <c r="AK54" s="191"/>
      <c r="AL54" s="192"/>
      <c r="AM54" s="192"/>
      <c r="AN54" s="191"/>
      <c r="AO54" s="191"/>
      <c r="AP54" s="192"/>
      <c r="AQ54" s="191"/>
      <c r="AR54" s="191"/>
      <c r="AS54" s="191"/>
      <c r="AT54" s="186"/>
      <c r="AU54" s="186"/>
      <c r="AV54" s="186"/>
      <c r="AW54" s="186"/>
      <c r="AX54" s="186"/>
      <c r="AY54" s="186"/>
      <c r="AZ54" s="186"/>
      <c r="BA54" s="186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6"/>
      <c r="BM54" s="186"/>
      <c r="BN54" s="186"/>
      <c r="BO54" s="186"/>
      <c r="BP54" s="189"/>
      <c r="BQ54" s="189"/>
    </row>
    <row r="55" spans="6:69" ht="30.75" customHeight="1">
      <c r="F55" s="175"/>
      <c r="H55" s="186"/>
      <c r="I55" s="186"/>
      <c r="J55" s="187"/>
      <c r="K55" s="186"/>
      <c r="L55" s="187"/>
      <c r="M55" s="186"/>
      <c r="N55" s="186"/>
      <c r="O55" s="186"/>
      <c r="P55" s="186"/>
      <c r="Q55" s="188"/>
      <c r="R55" s="186"/>
      <c r="S55" s="187"/>
      <c r="T55" s="186"/>
      <c r="U55" s="186"/>
      <c r="V55" s="186"/>
      <c r="W55" s="186"/>
      <c r="X55" s="186"/>
      <c r="Y55" s="187"/>
      <c r="Z55" s="186"/>
      <c r="AA55" s="187"/>
      <c r="AB55" s="186"/>
      <c r="AC55" s="186"/>
      <c r="AD55" s="186"/>
      <c r="AE55" s="186"/>
      <c r="AF55" s="186"/>
      <c r="AG55" s="191"/>
      <c r="AH55" s="191"/>
      <c r="AI55" s="191"/>
      <c r="AJ55" s="192"/>
      <c r="AK55" s="191"/>
      <c r="AL55" s="192"/>
      <c r="AM55" s="192"/>
      <c r="AN55" s="191"/>
      <c r="AO55" s="191"/>
      <c r="AP55" s="192"/>
      <c r="AQ55" s="191"/>
      <c r="AR55" s="191"/>
      <c r="AS55" s="191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6"/>
      <c r="BM55" s="186"/>
      <c r="BN55" s="186"/>
      <c r="BO55" s="186"/>
      <c r="BP55" s="189"/>
      <c r="BQ55" s="189"/>
    </row>
    <row r="56" spans="6:69" ht="30.75" customHeight="1">
      <c r="F56" s="175"/>
      <c r="J56" s="174"/>
      <c r="L56" s="174"/>
      <c r="S56" s="174"/>
      <c r="Y56" s="174"/>
      <c r="AA56" s="174"/>
      <c r="BP56" s="184"/>
      <c r="BQ56" s="184"/>
    </row>
    <row r="57" spans="6:69" ht="30.75" customHeight="1">
      <c r="F57" s="175"/>
      <c r="L57" s="174"/>
      <c r="S57" s="174"/>
      <c r="Y57" s="174"/>
      <c r="AA57" s="174"/>
      <c r="BP57" s="184"/>
      <c r="BQ57" s="184"/>
    </row>
    <row r="58" spans="6:69" ht="30.75" customHeight="1">
      <c r="F58" s="175"/>
      <c r="L58" s="174"/>
      <c r="S58" s="174"/>
      <c r="Y58" s="174"/>
      <c r="AA58" s="174"/>
      <c r="BP58" s="184"/>
      <c r="BQ58" s="184"/>
    </row>
    <row r="59" spans="6:69" ht="30.75" customHeight="1">
      <c r="F59" s="175"/>
      <c r="L59" s="174"/>
      <c r="S59" s="174"/>
      <c r="Y59" s="174"/>
      <c r="AA59" s="174"/>
      <c r="BP59" s="184"/>
      <c r="BQ59" s="184"/>
    </row>
    <row r="60" spans="6:69" ht="30.75" customHeight="1">
      <c r="F60" s="175"/>
      <c r="L60" s="174"/>
      <c r="Y60" s="174"/>
      <c r="AA60" s="174"/>
      <c r="BP60" s="184"/>
      <c r="BQ60" s="184"/>
    </row>
    <row r="61" spans="6:69" ht="30.75" customHeight="1">
      <c r="F61" s="175"/>
      <c r="L61" s="174"/>
      <c r="Y61" s="174"/>
      <c r="AA61" s="174"/>
      <c r="BP61" s="184"/>
      <c r="BQ61" s="184"/>
    </row>
    <row r="62" spans="6:69" ht="30.75" customHeight="1">
      <c r="F62" s="175"/>
      <c r="L62" s="174"/>
      <c r="Y62" s="174"/>
      <c r="AA62" s="174"/>
      <c r="BP62" s="184"/>
      <c r="BQ62" s="184"/>
    </row>
    <row r="63" spans="6:69" ht="30.75" customHeight="1">
      <c r="F63" s="175"/>
      <c r="L63" s="174"/>
      <c r="Y63" s="174"/>
      <c r="AA63" s="174"/>
      <c r="BP63" s="184"/>
      <c r="BQ63" s="184"/>
    </row>
    <row r="64" spans="6:69" ht="30.75" customHeight="1">
      <c r="F64" s="175"/>
      <c r="L64" s="174"/>
      <c r="Y64" s="174"/>
      <c r="AA64" s="174"/>
      <c r="BP64" s="184"/>
      <c r="BQ64" s="184"/>
    </row>
    <row r="65" spans="6:69" ht="30.75" customHeight="1">
      <c r="F65" s="175"/>
      <c r="L65" s="174"/>
      <c r="AA65" s="174"/>
      <c r="BP65" s="184"/>
      <c r="BQ65" s="184"/>
    </row>
    <row r="66" spans="6:69" ht="30.75" customHeight="1">
      <c r="F66" s="175"/>
      <c r="L66" s="174"/>
      <c r="AA66" s="174"/>
      <c r="BP66" s="184"/>
      <c r="BQ66" s="184"/>
    </row>
    <row r="67" spans="6:69" ht="30.75" customHeight="1">
      <c r="F67" s="175"/>
      <c r="L67" s="174"/>
      <c r="AA67" s="174"/>
      <c r="BP67" s="184"/>
      <c r="BQ67" s="184"/>
    </row>
    <row r="68" spans="6:69" ht="30.75" customHeight="1">
      <c r="F68" s="175"/>
      <c r="L68" s="174"/>
      <c r="AA68" s="174"/>
      <c r="BP68" s="184"/>
      <c r="BQ68" s="184"/>
    </row>
    <row r="69" spans="6:69" ht="30.75" customHeight="1">
      <c r="F69" s="175"/>
      <c r="L69" s="174"/>
      <c r="AA69" s="174"/>
      <c r="BP69" s="184"/>
      <c r="BQ69" s="184"/>
    </row>
    <row r="70" spans="6:69" ht="30.75" customHeight="1">
      <c r="F70" s="175"/>
      <c r="L70" s="174"/>
      <c r="AA70" s="174"/>
      <c r="BP70" s="184"/>
      <c r="BQ70" s="184"/>
    </row>
    <row r="71" spans="6:69" ht="30.75" customHeight="1">
      <c r="F71" s="175"/>
      <c r="L71" s="174"/>
      <c r="AA71" s="174"/>
      <c r="BP71" s="184"/>
      <c r="BQ71" s="184"/>
    </row>
    <row r="72" spans="6:69" ht="30.75" customHeight="1">
      <c r="L72" s="174"/>
      <c r="AA72" s="174"/>
      <c r="BP72" s="184"/>
      <c r="BQ72" s="184"/>
    </row>
    <row r="73" spans="6:69" ht="30.75" customHeight="1">
      <c r="L73" s="174"/>
      <c r="AA73" s="174"/>
      <c r="BP73" s="184"/>
      <c r="BQ73" s="184"/>
    </row>
    <row r="74" spans="6:69" ht="30.75" customHeight="1">
      <c r="L74" s="174"/>
      <c r="AA74" s="174"/>
      <c r="BP74" s="184"/>
      <c r="BQ74" s="184"/>
    </row>
    <row r="75" spans="6:69" ht="30.75" customHeight="1">
      <c r="L75" s="174"/>
      <c r="AA75" s="174"/>
      <c r="BP75" s="184"/>
      <c r="BQ75" s="184"/>
    </row>
    <row r="76" spans="6:69" ht="30.75" customHeight="1">
      <c r="L76" s="174"/>
    </row>
    <row r="77" spans="6:69" ht="30.75" customHeight="1">
      <c r="L77" s="174"/>
    </row>
    <row r="78" spans="6:69" ht="30.75" customHeight="1">
      <c r="L78" s="174"/>
    </row>
    <row r="79" spans="6:69" ht="30.75" customHeight="1">
      <c r="L79" s="174"/>
    </row>
    <row r="80" spans="6:69" ht="30.75" customHeight="1">
      <c r="L80" s="174"/>
    </row>
    <row r="81" spans="12:12" ht="30.75" customHeight="1">
      <c r="L81" s="174"/>
    </row>
    <row r="82" spans="12:12" ht="30.75" customHeight="1">
      <c r="L82" s="174"/>
    </row>
    <row r="83" spans="12:12" ht="30.75" customHeight="1">
      <c r="L83" s="174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207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208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61" t="s">
        <v>209</v>
      </c>
      <c r="B4" s="1061"/>
      <c r="C4" s="1061"/>
      <c r="D4" s="1061"/>
      <c r="E4" s="1061"/>
      <c r="F4" s="1061"/>
      <c r="G4" s="111" t="str">
        <f>Elect!A1</f>
        <v>March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210</v>
      </c>
      <c r="B7" s="102" t="s">
        <v>211</v>
      </c>
      <c r="C7" s="102" t="s">
        <v>212</v>
      </c>
      <c r="D7" s="102" t="s">
        <v>211</v>
      </c>
      <c r="E7" s="102" t="s">
        <v>212</v>
      </c>
      <c r="F7" s="102" t="s">
        <v>213</v>
      </c>
      <c r="G7" s="103" t="s">
        <v>214</v>
      </c>
      <c r="H7" s="103" t="s">
        <v>215</v>
      </c>
      <c r="I7" s="102" t="s">
        <v>111</v>
      </c>
      <c r="J7" s="104" t="s">
        <v>111</v>
      </c>
    </row>
    <row r="8" spans="1:10" ht="13.5" thickBot="1">
      <c r="A8" s="105"/>
      <c r="B8" s="106" t="s">
        <v>216</v>
      </c>
      <c r="C8" s="106" t="s">
        <v>216</v>
      </c>
      <c r="D8" s="106" t="s">
        <v>217</v>
      </c>
      <c r="E8" s="106" t="s">
        <v>217</v>
      </c>
      <c r="F8" s="107" t="s">
        <v>218</v>
      </c>
      <c r="G8" s="106" t="s">
        <v>12</v>
      </c>
      <c r="H8" s="106"/>
      <c r="I8" s="107" t="s">
        <v>219</v>
      </c>
      <c r="J8" s="108" t="s">
        <v>220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221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221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62"/>
      <c r="B3" s="1064" t="str">
        <f>Elect!A1</f>
        <v>March</v>
      </c>
      <c r="C3" s="1065"/>
      <c r="D3" s="1065"/>
      <c r="E3" s="1066"/>
    </row>
    <row r="4" spans="1:5" ht="14.25" customHeight="1" thickBot="1">
      <c r="A4" s="1063"/>
      <c r="B4" s="1067" t="s">
        <v>12</v>
      </c>
      <c r="C4" s="1068"/>
      <c r="D4" s="1069" t="s">
        <v>222</v>
      </c>
      <c r="E4" s="1070"/>
    </row>
    <row r="5" spans="1:5" ht="13.5" thickBot="1">
      <c r="A5" s="36" t="s">
        <v>223</v>
      </c>
      <c r="B5" s="37"/>
      <c r="C5" s="196">
        <v>2009</v>
      </c>
      <c r="D5" s="38">
        <v>2005</v>
      </c>
      <c r="E5" s="39">
        <v>2006</v>
      </c>
    </row>
    <row r="6" spans="1:5" ht="15" thickBot="1">
      <c r="A6" s="120" t="s">
        <v>224</v>
      </c>
      <c r="B6" s="40"/>
      <c r="C6" s="41"/>
      <c r="D6" s="42"/>
      <c r="E6" s="43"/>
    </row>
    <row r="7" spans="1:5" ht="13.5" thickBot="1">
      <c r="A7" s="121" t="s">
        <v>225</v>
      </c>
      <c r="B7" s="44"/>
      <c r="C7" s="45" t="s">
        <v>226</v>
      </c>
      <c r="D7" s="44" t="s">
        <v>226</v>
      </c>
      <c r="E7" s="45" t="s">
        <v>226</v>
      </c>
    </row>
    <row r="8" spans="1:5">
      <c r="A8" s="122" t="s">
        <v>227</v>
      </c>
      <c r="B8" s="44"/>
      <c r="C8" s="45" t="s">
        <v>226</v>
      </c>
      <c r="D8" s="46" t="s">
        <v>226</v>
      </c>
      <c r="E8" s="47" t="s">
        <v>226</v>
      </c>
    </row>
    <row r="9" spans="1:5" ht="13.5" thickBot="1">
      <c r="A9" s="122" t="s">
        <v>228</v>
      </c>
      <c r="B9" s="388"/>
      <c r="C9" s="389" t="s">
        <v>226</v>
      </c>
      <c r="D9" s="46" t="s">
        <v>226</v>
      </c>
      <c r="E9" s="47" t="s">
        <v>226</v>
      </c>
    </row>
    <row r="10" spans="1:5" ht="13.5" thickBot="1">
      <c r="A10" s="123" t="s">
        <v>229</v>
      </c>
      <c r="B10" s="78"/>
      <c r="C10" s="390"/>
      <c r="D10" s="50"/>
      <c r="E10" s="49"/>
    </row>
    <row r="11" spans="1:5" ht="13.5" thickBot="1">
      <c r="A11" s="391" t="s">
        <v>230</v>
      </c>
      <c r="B11" s="392"/>
      <c r="C11" s="393" t="e">
        <f>Gas!#REF!/1000</f>
        <v>#REF!</v>
      </c>
      <c r="D11" s="52"/>
      <c r="E11" s="53"/>
    </row>
    <row r="12" spans="1:5" ht="13.5" thickBot="1">
      <c r="A12" s="394" t="s">
        <v>231</v>
      </c>
      <c r="B12" s="395"/>
      <c r="C12" s="395" t="s">
        <v>226</v>
      </c>
      <c r="D12" s="54">
        <v>0</v>
      </c>
      <c r="E12" s="55" t="e">
        <v>#REF!</v>
      </c>
    </row>
    <row r="13" spans="1:5" ht="13.5" thickBot="1">
      <c r="A13" s="124" t="s">
        <v>232</v>
      </c>
      <c r="B13" s="78"/>
      <c r="C13" s="79"/>
      <c r="D13" s="44" t="s">
        <v>226</v>
      </c>
      <c r="E13" s="45" t="s">
        <v>226</v>
      </c>
    </row>
    <row r="14" spans="1:5">
      <c r="A14" s="121" t="s">
        <v>233</v>
      </c>
      <c r="B14" s="44"/>
      <c r="C14" s="65" t="s">
        <v>226</v>
      </c>
      <c r="D14" s="57"/>
      <c r="E14" s="58"/>
    </row>
    <row r="15" spans="1:5" ht="13.5" thickBot="1">
      <c r="A15" s="122" t="s">
        <v>234</v>
      </c>
      <c r="B15" s="46"/>
      <c r="C15" s="56" t="s">
        <v>226</v>
      </c>
      <c r="D15" s="60"/>
      <c r="E15" s="61"/>
    </row>
    <row r="16" spans="1:5" ht="13.5" thickBot="1">
      <c r="A16" s="122" t="s">
        <v>235</v>
      </c>
      <c r="B16" s="46"/>
      <c r="C16" s="56" t="s">
        <v>226</v>
      </c>
      <c r="D16" s="63"/>
      <c r="E16" s="64"/>
    </row>
    <row r="17" spans="1:5">
      <c r="A17" s="122" t="s">
        <v>236</v>
      </c>
      <c r="B17" s="46"/>
      <c r="C17" s="56" t="s">
        <v>226</v>
      </c>
      <c r="D17" s="46" t="s">
        <v>226</v>
      </c>
      <c r="E17" s="56" t="s">
        <v>226</v>
      </c>
    </row>
    <row r="18" spans="1:5">
      <c r="A18" s="122" t="s">
        <v>237</v>
      </c>
      <c r="B18" s="46"/>
      <c r="C18" s="56" t="s">
        <v>226</v>
      </c>
      <c r="D18" s="46" t="s">
        <v>226</v>
      </c>
      <c r="E18" s="56" t="s">
        <v>226</v>
      </c>
    </row>
    <row r="19" spans="1:5">
      <c r="A19" s="122" t="s">
        <v>238</v>
      </c>
      <c r="B19" s="46"/>
      <c r="C19" s="56" t="s">
        <v>226</v>
      </c>
      <c r="D19" s="46" t="s">
        <v>226</v>
      </c>
      <c r="E19" s="56" t="s">
        <v>226</v>
      </c>
    </row>
    <row r="20" spans="1:5">
      <c r="A20" s="122" t="s">
        <v>239</v>
      </c>
      <c r="B20" s="46"/>
      <c r="C20" s="66" t="e">
        <f>#REF!</f>
        <v>#REF!</v>
      </c>
      <c r="D20" s="46" t="s">
        <v>226</v>
      </c>
      <c r="E20" s="56" t="s">
        <v>226</v>
      </c>
    </row>
    <row r="21" spans="1:5">
      <c r="A21" s="122" t="s">
        <v>240</v>
      </c>
      <c r="B21" s="46"/>
      <c r="C21" s="56" t="s">
        <v>226</v>
      </c>
      <c r="D21" s="46" t="s">
        <v>226</v>
      </c>
      <c r="E21" s="56" t="s">
        <v>226</v>
      </c>
    </row>
    <row r="22" spans="1:5">
      <c r="A22" s="122" t="s">
        <v>241</v>
      </c>
      <c r="B22" s="46"/>
      <c r="C22" s="56">
        <f>Water!S38</f>
        <v>0</v>
      </c>
      <c r="D22" s="46" t="s">
        <v>226</v>
      </c>
      <c r="E22" s="56" t="s">
        <v>226</v>
      </c>
    </row>
    <row r="23" spans="1:5" ht="13.5" thickBot="1">
      <c r="A23" s="125" t="s">
        <v>242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6" t="s">
        <v>243</v>
      </c>
      <c r="B24" s="51"/>
      <c r="C24" s="62"/>
      <c r="D24" s="57" t="s">
        <v>226</v>
      </c>
      <c r="E24" s="58" t="s">
        <v>226</v>
      </c>
    </row>
    <row r="25" spans="1:5">
      <c r="A25" s="127" t="s">
        <v>244</v>
      </c>
      <c r="B25" s="44"/>
      <c r="C25" s="69">
        <f>Elect!J34</f>
        <v>1975</v>
      </c>
      <c r="D25" s="57">
        <v>12266</v>
      </c>
      <c r="E25" s="68">
        <v>814</v>
      </c>
    </row>
    <row r="26" spans="1:5" ht="13.5" thickBot="1">
      <c r="A26" s="132" t="s">
        <v>245</v>
      </c>
      <c r="B26" s="400"/>
      <c r="C26" s="84"/>
      <c r="D26" s="60">
        <v>147773</v>
      </c>
      <c r="E26" s="68" t="e">
        <v>#REF!</v>
      </c>
    </row>
    <row r="27" spans="1:5" ht="13.5" thickBot="1">
      <c r="A27" s="128" t="s">
        <v>246</v>
      </c>
      <c r="B27" s="46"/>
      <c r="C27" s="71">
        <f>Water!H38</f>
        <v>4769.34</v>
      </c>
      <c r="D27" s="63"/>
      <c r="E27" s="64"/>
    </row>
    <row r="28" spans="1:5">
      <c r="A28" s="128" t="s">
        <v>247</v>
      </c>
      <c r="B28" s="46"/>
      <c r="C28" s="71" t="e">
        <f>Gas!#REF!*1000</f>
        <v>#REF!</v>
      </c>
      <c r="D28" s="70">
        <v>12876868</v>
      </c>
      <c r="E28" s="68">
        <v>14502775</v>
      </c>
    </row>
    <row r="29" spans="1:5">
      <c r="A29" s="128" t="s">
        <v>248</v>
      </c>
      <c r="B29" s="46"/>
      <c r="C29" s="47" t="s">
        <v>226</v>
      </c>
      <c r="D29" s="72">
        <v>28880</v>
      </c>
      <c r="E29" s="68">
        <v>32980</v>
      </c>
    </row>
    <row r="30" spans="1:5" ht="13.5" thickBot="1">
      <c r="A30" s="129" t="s">
        <v>249</v>
      </c>
      <c r="B30" s="48"/>
      <c r="C30" s="59" t="e">
        <f>Gas!#REF!/1000</f>
        <v>#REF!</v>
      </c>
      <c r="D30" s="67">
        <v>244283</v>
      </c>
      <c r="E30" s="68">
        <v>256443.34</v>
      </c>
    </row>
    <row r="31" spans="1:5" ht="13.5" thickBot="1">
      <c r="A31" s="130" t="s">
        <v>250</v>
      </c>
      <c r="B31" s="51"/>
      <c r="C31" s="75"/>
      <c r="D31" s="57">
        <v>620770</v>
      </c>
      <c r="E31" s="68" t="e">
        <v>#REF!</v>
      </c>
    </row>
    <row r="32" spans="1:5" ht="13.5" thickBot="1">
      <c r="A32" s="131" t="s">
        <v>251</v>
      </c>
      <c r="B32" s="78"/>
      <c r="C32" s="79"/>
      <c r="D32" s="73" t="e">
        <v>#REF!</v>
      </c>
      <c r="E32" s="58" t="s">
        <v>226</v>
      </c>
    </row>
    <row r="33" spans="1:6" ht="13.5" thickBot="1">
      <c r="A33" s="127" t="s">
        <v>252</v>
      </c>
      <c r="B33" s="81"/>
      <c r="C33" s="235">
        <f>YTD!Q4</f>
        <v>0</v>
      </c>
      <c r="D33" s="74">
        <v>39.395000000000003</v>
      </c>
      <c r="E33" s="68" t="e">
        <v>#REF!</v>
      </c>
    </row>
    <row r="34" spans="1:6" ht="13.5" thickBot="1">
      <c r="A34" s="128" t="s">
        <v>253</v>
      </c>
      <c r="B34" s="46"/>
      <c r="C34" s="71">
        <f>YTD!Q5</f>
        <v>0</v>
      </c>
      <c r="D34" s="76"/>
      <c r="E34" s="77"/>
    </row>
    <row r="35" spans="1:6" ht="13.5" thickBot="1">
      <c r="A35" s="128" t="s">
        <v>254</v>
      </c>
      <c r="B35" s="46"/>
      <c r="C35" s="71">
        <f>YTD!Q6</f>
        <v>0</v>
      </c>
      <c r="D35" s="63"/>
      <c r="E35" s="64"/>
    </row>
    <row r="36" spans="1:6">
      <c r="A36" s="132" t="s">
        <v>255</v>
      </c>
      <c r="B36" s="46"/>
      <c r="C36" s="84"/>
      <c r="D36" s="80" t="e">
        <v>#REF!</v>
      </c>
      <c r="E36" s="68" t="e">
        <v>#REF!</v>
      </c>
    </row>
    <row r="37" spans="1:6">
      <c r="A37" s="132" t="s">
        <v>256</v>
      </c>
      <c r="B37" s="46"/>
      <c r="C37" s="83"/>
      <c r="D37" s="82">
        <v>0.88070000000000004</v>
      </c>
      <c r="E37" s="82">
        <v>0.46351997612847218</v>
      </c>
    </row>
    <row r="38" spans="1:6">
      <c r="A38" s="128" t="s">
        <v>257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9" t="s">
        <v>258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9" t="s">
        <v>259</v>
      </c>
      <c r="B40" s="78"/>
      <c r="C40" s="79"/>
      <c r="D40" s="57">
        <v>1583714</v>
      </c>
      <c r="E40" s="68">
        <v>1940567</v>
      </c>
    </row>
    <row r="41" spans="1:6">
      <c r="A41" s="396" t="s">
        <v>260</v>
      </c>
      <c r="B41" s="397"/>
      <c r="C41" s="398" t="e">
        <f>Elect!#REF!</f>
        <v>#REF!</v>
      </c>
      <c r="D41" s="60">
        <v>1690339</v>
      </c>
      <c r="E41" s="68">
        <v>3118671.6</v>
      </c>
    </row>
    <row r="42" spans="1:6">
      <c r="A42" s="133" t="s">
        <v>261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3" t="s">
        <v>262</v>
      </c>
      <c r="B43" s="134"/>
      <c r="C43" s="66">
        <f>Water!X38</f>
        <v>18497.36</v>
      </c>
      <c r="D43" s="60">
        <v>112</v>
      </c>
      <c r="E43" s="68">
        <v>97.529999999999944</v>
      </c>
    </row>
    <row r="44" spans="1:6" ht="13.5" thickBot="1">
      <c r="A44" s="133" t="s">
        <v>263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264</v>
      </c>
      <c r="B45" s="135"/>
      <c r="C45" s="56" t="s">
        <v>226</v>
      </c>
      <c r="D45" s="80">
        <v>2138156.84</v>
      </c>
      <c r="E45" s="68" t="e">
        <v>#REF!</v>
      </c>
    </row>
    <row r="46" spans="1:6" ht="13.5" thickBot="1">
      <c r="A46" s="136" t="s">
        <v>265</v>
      </c>
      <c r="B46" s="137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8" t="s">
        <v>266</v>
      </c>
      <c r="B47" s="139"/>
      <c r="C47" s="140" t="e">
        <f>SUM(C41:C46)</f>
        <v>#REF!</v>
      </c>
      <c r="D47" s="67">
        <v>1330535.6880219565</v>
      </c>
      <c r="E47" s="68">
        <v>1397108.1500000001</v>
      </c>
    </row>
    <row r="48" spans="1:6">
      <c r="A48" s="205" t="s">
        <v>267</v>
      </c>
      <c r="B48" s="201"/>
      <c r="C48" s="91"/>
      <c r="D48" s="67">
        <v>330278</v>
      </c>
      <c r="E48" s="68" t="e">
        <v>#REF!</v>
      </c>
    </row>
    <row r="49" spans="1:6">
      <c r="A49" s="206" t="s">
        <v>268</v>
      </c>
      <c r="B49" s="199"/>
      <c r="C49" s="207">
        <v>6</v>
      </c>
      <c r="D49" s="46" t="s">
        <v>226</v>
      </c>
      <c r="E49" s="56" t="s">
        <v>226</v>
      </c>
    </row>
    <row r="50" spans="1:6" ht="13.5" thickBot="1">
      <c r="A50" s="236" t="s">
        <v>130</v>
      </c>
      <c r="B50" s="135"/>
      <c r="C50" s="237">
        <f>31*912</f>
        <v>28272</v>
      </c>
      <c r="D50" s="60">
        <v>36597.525499999996</v>
      </c>
      <c r="E50" s="88" t="e">
        <v>#REF!</v>
      </c>
    </row>
    <row r="51" spans="1:6" ht="13.5" thickBot="1">
      <c r="A51" s="238" t="s">
        <v>269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8" t="s">
        <v>270</v>
      </c>
      <c r="B52" s="135"/>
      <c r="C52" s="56">
        <v>75064</v>
      </c>
      <c r="D52" s="63"/>
      <c r="E52" s="64"/>
    </row>
    <row r="53" spans="1:6" ht="13.5" thickBot="1">
      <c r="A53" s="208" t="s">
        <v>271</v>
      </c>
      <c r="B53" s="217"/>
      <c r="C53" s="218">
        <v>5.5940200000000004</v>
      </c>
      <c r="D53" s="92">
        <v>61</v>
      </c>
      <c r="E53" s="92">
        <v>72</v>
      </c>
    </row>
    <row r="54" spans="1:6" ht="13.5" thickBot="1">
      <c r="A54" s="379" t="s">
        <v>272</v>
      </c>
      <c r="B54" s="380"/>
      <c r="C54" s="381">
        <f>YTD!Q65</f>
        <v>0</v>
      </c>
      <c r="D54" s="72" t="e">
        <v>#REF!</v>
      </c>
      <c r="E54" s="93">
        <v>243175</v>
      </c>
      <c r="F54" s="239">
        <f>YTD!Q64</f>
        <v>0</v>
      </c>
    </row>
    <row r="55" spans="1:6" ht="13.5" thickBot="1">
      <c r="A55" s="200" t="s">
        <v>273</v>
      </c>
      <c r="B55" s="201"/>
      <c r="C55" s="202"/>
      <c r="D55" s="72" t="e">
        <v>#REF!</v>
      </c>
      <c r="E55" s="93">
        <v>75064</v>
      </c>
    </row>
    <row r="56" spans="1:6" ht="13.5" thickBot="1">
      <c r="A56" s="198" t="s">
        <v>274</v>
      </c>
      <c r="B56" s="199"/>
      <c r="C56" s="197"/>
      <c r="D56" s="94">
        <v>5.7549999999999999</v>
      </c>
      <c r="E56" s="94">
        <v>5.65951</v>
      </c>
    </row>
    <row r="57" spans="1:6" ht="13.5" thickBot="1">
      <c r="A57" s="198" t="s">
        <v>275</v>
      </c>
      <c r="B57" s="203"/>
      <c r="C57" s="204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6" customWidth="1"/>
    <col min="2" max="2" width="13.28515625" style="223" customWidth="1"/>
    <col min="3" max="7" width="11.7109375" style="224" customWidth="1" outlineLevel="1"/>
    <col min="8" max="8" width="12.28515625" style="224" customWidth="1" outlineLevel="1"/>
    <col min="9" max="9" width="12.42578125" style="224" customWidth="1" outlineLevel="1"/>
    <col min="10" max="10" width="12.140625" style="224" customWidth="1" outlineLevel="1"/>
    <col min="11" max="11" width="12.42578125" style="224" customWidth="1" outlineLevel="1"/>
    <col min="12" max="12" width="12.5703125" style="224" customWidth="1" outlineLevel="1"/>
    <col min="13" max="14" width="11.7109375" style="224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5" bestFit="1" customWidth="1"/>
    <col min="18" max="18" width="13.28515625" style="225" customWidth="1"/>
    <col min="19" max="19" width="19.28515625" style="225" customWidth="1"/>
    <col min="20" max="27" width="13.28515625" style="225" hidden="1" customWidth="1"/>
    <col min="28" max="108" width="0" style="225" hidden="1" customWidth="1"/>
    <col min="109" max="16384" width="9.140625" style="225"/>
  </cols>
  <sheetData>
    <row r="1" spans="1:110" ht="24" customHeight="1">
      <c r="A1" s="387" t="str">
        <f>Elect!A1</f>
        <v>March</v>
      </c>
      <c r="C1" s="1094"/>
      <c r="D1" s="1094"/>
      <c r="E1" s="1094"/>
      <c r="F1" s="1094"/>
      <c r="G1" s="1094"/>
      <c r="H1" s="219" t="s">
        <v>276</v>
      </c>
      <c r="I1" s="1094"/>
      <c r="J1" s="1094"/>
      <c r="K1" s="1094"/>
      <c r="L1" s="1094"/>
      <c r="M1" s="1094"/>
      <c r="N1" s="1094"/>
      <c r="Q1" s="912"/>
      <c r="R1" s="912"/>
      <c r="S1" s="912"/>
      <c r="T1" s="912"/>
      <c r="U1" s="912"/>
      <c r="V1" s="912"/>
      <c r="W1" s="912"/>
      <c r="X1" s="912"/>
      <c r="Y1" s="912"/>
      <c r="Z1" s="912"/>
      <c r="AA1" s="912"/>
      <c r="AB1" s="912"/>
      <c r="AC1" s="912"/>
      <c r="AD1" s="912"/>
      <c r="AE1" s="912"/>
      <c r="AF1" s="912"/>
      <c r="AG1" s="912"/>
      <c r="AH1" s="912"/>
      <c r="AI1" s="912"/>
      <c r="AJ1" s="912"/>
      <c r="AK1" s="912"/>
      <c r="AL1" s="912"/>
      <c r="AM1" s="912"/>
      <c r="AN1" s="912"/>
      <c r="AO1" s="912"/>
      <c r="AP1" s="912"/>
      <c r="AQ1" s="912"/>
      <c r="AR1" s="912"/>
      <c r="AS1" s="912"/>
      <c r="AT1" s="912"/>
      <c r="AU1" s="912"/>
      <c r="AV1" s="912"/>
      <c r="AW1" s="912"/>
      <c r="AX1" s="912"/>
      <c r="AY1" s="912"/>
      <c r="AZ1" s="912"/>
      <c r="BA1" s="912"/>
      <c r="BB1" s="912"/>
      <c r="BC1" s="912"/>
      <c r="BD1" s="912"/>
      <c r="BE1" s="912"/>
      <c r="BF1" s="912"/>
      <c r="BG1" s="912"/>
      <c r="BH1" s="912"/>
      <c r="BI1" s="912"/>
      <c r="BJ1" s="912"/>
      <c r="BK1" s="912"/>
      <c r="BL1" s="912"/>
      <c r="BM1" s="912"/>
      <c r="BN1" s="912"/>
      <c r="BO1" s="912"/>
      <c r="BP1" s="912"/>
      <c r="BQ1" s="912"/>
      <c r="BR1" s="912"/>
      <c r="BS1" s="912"/>
      <c r="BT1" s="912"/>
      <c r="BU1" s="912"/>
      <c r="BV1" s="912"/>
      <c r="BW1" s="912"/>
      <c r="BX1" s="912"/>
      <c r="BY1" s="912"/>
      <c r="BZ1" s="912"/>
      <c r="CA1" s="912"/>
      <c r="CB1" s="912"/>
      <c r="CC1" s="912"/>
      <c r="CD1" s="912"/>
      <c r="CE1" s="912"/>
      <c r="CF1" s="912"/>
      <c r="CG1" s="912"/>
      <c r="CH1" s="912"/>
      <c r="CI1" s="912"/>
      <c r="CJ1" s="912"/>
      <c r="CK1" s="912"/>
      <c r="CL1" s="912"/>
      <c r="CM1" s="912"/>
      <c r="CN1" s="912"/>
      <c r="CO1" s="912"/>
      <c r="CP1" s="912"/>
      <c r="CQ1" s="912"/>
      <c r="CR1" s="912"/>
      <c r="CS1" s="912"/>
      <c r="CT1" s="912"/>
      <c r="CU1" s="912"/>
      <c r="CV1" s="912"/>
      <c r="CW1" s="912"/>
      <c r="CX1" s="912"/>
      <c r="CY1" s="912"/>
      <c r="CZ1" s="912"/>
      <c r="DA1" s="912"/>
      <c r="DB1" s="912"/>
      <c r="DC1" s="912"/>
      <c r="DD1" s="912"/>
      <c r="DE1" s="912"/>
      <c r="DF1" s="912"/>
    </row>
    <row r="2" spans="1:110" ht="6.75" customHeight="1" thickBot="1">
      <c r="C2" s="1094"/>
      <c r="D2" s="1094"/>
      <c r="E2" s="1094"/>
      <c r="F2" s="1094"/>
      <c r="G2" s="220"/>
      <c r="H2" s="1094"/>
      <c r="I2" s="1094"/>
      <c r="J2" s="1094"/>
      <c r="K2" s="1094"/>
      <c r="L2" s="1094"/>
      <c r="M2" s="1094"/>
      <c r="N2" s="1094"/>
      <c r="Q2" s="912"/>
      <c r="R2" s="912"/>
      <c r="S2" s="912"/>
      <c r="T2" s="912"/>
      <c r="U2" s="912"/>
      <c r="V2" s="912"/>
      <c r="W2" s="912"/>
      <c r="X2" s="912"/>
      <c r="Y2" s="912"/>
      <c r="Z2" s="912"/>
      <c r="AA2" s="912"/>
      <c r="AB2" s="912"/>
      <c r="AC2" s="912"/>
      <c r="AD2" s="912"/>
      <c r="AE2" s="912"/>
      <c r="AF2" s="912"/>
      <c r="AG2" s="912"/>
      <c r="AH2" s="912"/>
      <c r="AI2" s="912"/>
      <c r="AJ2" s="912"/>
      <c r="AK2" s="912"/>
      <c r="AL2" s="912"/>
      <c r="AM2" s="912"/>
      <c r="AN2" s="912"/>
      <c r="AO2" s="912"/>
      <c r="AP2" s="912"/>
      <c r="AQ2" s="912"/>
      <c r="AR2" s="912"/>
      <c r="AS2" s="912"/>
      <c r="AT2" s="912"/>
      <c r="AU2" s="912"/>
      <c r="AV2" s="912"/>
      <c r="AW2" s="912"/>
      <c r="AX2" s="912"/>
      <c r="AY2" s="912"/>
      <c r="AZ2" s="912"/>
      <c r="BA2" s="912"/>
      <c r="BB2" s="912"/>
      <c r="BC2" s="912"/>
      <c r="BD2" s="912"/>
      <c r="BE2" s="912"/>
      <c r="BF2" s="912"/>
      <c r="BG2" s="912"/>
      <c r="BH2" s="912"/>
      <c r="BI2" s="912"/>
      <c r="BJ2" s="912"/>
      <c r="BK2" s="912"/>
      <c r="BL2" s="912"/>
      <c r="BM2" s="912"/>
      <c r="BN2" s="912"/>
      <c r="BO2" s="912"/>
      <c r="BP2" s="912"/>
      <c r="BQ2" s="912"/>
      <c r="BR2" s="912"/>
      <c r="BS2" s="912"/>
      <c r="BT2" s="912"/>
      <c r="BU2" s="912"/>
      <c r="BV2" s="912"/>
      <c r="BW2" s="912"/>
      <c r="BX2" s="912"/>
      <c r="BY2" s="912"/>
      <c r="BZ2" s="912"/>
      <c r="CA2" s="912"/>
      <c r="CB2" s="912"/>
      <c r="CC2" s="912"/>
      <c r="CD2" s="912"/>
      <c r="CE2" s="912"/>
      <c r="CF2" s="912"/>
      <c r="CG2" s="912"/>
      <c r="CH2" s="912"/>
      <c r="CI2" s="912"/>
      <c r="CJ2" s="912"/>
      <c r="CK2" s="912"/>
      <c r="CL2" s="912"/>
      <c r="CM2" s="912"/>
      <c r="CN2" s="912"/>
      <c r="CO2" s="912"/>
      <c r="CP2" s="912"/>
      <c r="CQ2" s="912"/>
      <c r="CR2" s="912"/>
      <c r="CS2" s="912"/>
      <c r="CT2" s="912"/>
      <c r="CU2" s="912"/>
      <c r="CV2" s="912"/>
      <c r="CW2" s="912"/>
      <c r="CX2" s="912"/>
      <c r="CY2" s="912"/>
      <c r="CZ2" s="912"/>
      <c r="DA2" s="912"/>
      <c r="DB2" s="912"/>
      <c r="DC2" s="912"/>
      <c r="DD2" s="912"/>
      <c r="DE2" s="912"/>
      <c r="DF2" s="912"/>
    </row>
    <row r="3" spans="1:110" s="228" customFormat="1" ht="24" customHeight="1" thickTop="1" thickBot="1">
      <c r="A3" s="314"/>
      <c r="B3" s="315"/>
      <c r="C3" s="241" t="s">
        <v>277</v>
      </c>
      <c r="D3" s="241" t="s">
        <v>278</v>
      </c>
      <c r="E3" s="241" t="s">
        <v>279</v>
      </c>
      <c r="F3" s="241" t="s">
        <v>280</v>
      </c>
      <c r="G3" s="241" t="s">
        <v>281</v>
      </c>
      <c r="H3" s="241" t="s">
        <v>282</v>
      </c>
      <c r="I3" s="241" t="s">
        <v>283</v>
      </c>
      <c r="J3" s="241" t="s">
        <v>284</v>
      </c>
      <c r="K3" s="241" t="s">
        <v>285</v>
      </c>
      <c r="L3" s="241" t="s">
        <v>286</v>
      </c>
      <c r="M3" s="241" t="s">
        <v>287</v>
      </c>
      <c r="N3" s="241" t="s">
        <v>288</v>
      </c>
      <c r="O3" s="242" t="s">
        <v>289</v>
      </c>
      <c r="P3" s="243" t="s">
        <v>290</v>
      </c>
      <c r="Q3" s="244" t="s">
        <v>291</v>
      </c>
      <c r="R3" s="227"/>
      <c r="S3" s="227"/>
      <c r="T3" s="227"/>
      <c r="U3" s="227"/>
      <c r="V3" s="227"/>
      <c r="W3" s="227"/>
      <c r="X3" s="227"/>
      <c r="Y3" s="1095"/>
      <c r="Z3" s="1095"/>
      <c r="AA3" s="1095"/>
      <c r="AB3" s="1095"/>
      <c r="AC3" s="1095"/>
      <c r="AD3" s="1095"/>
      <c r="AE3" s="1095"/>
      <c r="AF3" s="1095"/>
      <c r="AG3" s="1095"/>
      <c r="AH3" s="1095"/>
      <c r="AI3" s="1095"/>
      <c r="AJ3" s="1095"/>
      <c r="AK3" s="1095"/>
      <c r="AL3" s="1095"/>
      <c r="AM3" s="1095"/>
      <c r="AN3" s="1095"/>
      <c r="AO3" s="1095"/>
      <c r="AP3" s="1095"/>
      <c r="AQ3" s="1095"/>
      <c r="AR3" s="1095"/>
      <c r="AS3" s="1095"/>
      <c r="AT3" s="1095"/>
      <c r="AU3" s="1095"/>
      <c r="AV3" s="1095"/>
      <c r="AW3" s="1095"/>
      <c r="AX3" s="1095"/>
      <c r="AY3" s="1095"/>
      <c r="AZ3" s="1095"/>
      <c r="BA3" s="1095"/>
      <c r="BB3" s="1095"/>
      <c r="BC3" s="1095"/>
      <c r="BD3" s="1095"/>
      <c r="BE3" s="1095"/>
      <c r="BF3" s="1095"/>
      <c r="BG3" s="1095"/>
      <c r="BH3" s="1095"/>
      <c r="BI3" s="1095"/>
      <c r="BJ3" s="1095"/>
      <c r="BK3" s="1095"/>
      <c r="BL3" s="1095"/>
      <c r="BM3" s="1095"/>
      <c r="BN3" s="1095"/>
      <c r="BO3" s="1095"/>
      <c r="BP3" s="1095"/>
      <c r="BQ3" s="1095"/>
      <c r="BR3" s="1095"/>
      <c r="BS3" s="1095"/>
      <c r="BT3" s="1095"/>
      <c r="BU3" s="1095"/>
      <c r="BV3" s="1095"/>
      <c r="BW3" s="1095"/>
      <c r="BX3" s="1095"/>
      <c r="BY3" s="1095"/>
      <c r="BZ3" s="1095"/>
      <c r="CA3" s="1095"/>
      <c r="CB3" s="1095"/>
      <c r="CC3" s="1095"/>
      <c r="CD3" s="1095"/>
      <c r="CE3" s="1095"/>
      <c r="CF3" s="1095"/>
      <c r="CG3" s="1095"/>
      <c r="CH3" s="1095"/>
      <c r="CI3" s="1095"/>
      <c r="CJ3" s="1095"/>
      <c r="CK3" s="1095"/>
      <c r="CL3" s="1095"/>
      <c r="CM3" s="1095"/>
      <c r="CN3" s="1095"/>
      <c r="CO3" s="1095"/>
      <c r="CP3" s="1095"/>
      <c r="CQ3" s="1095"/>
      <c r="CR3" s="1095"/>
      <c r="CS3" s="1095"/>
      <c r="CT3" s="1095"/>
      <c r="CU3" s="1095"/>
      <c r="CV3" s="1095"/>
      <c r="CW3" s="1095"/>
      <c r="CX3" s="1095"/>
      <c r="CY3" s="1095"/>
      <c r="CZ3" s="1095"/>
      <c r="DA3" s="1095"/>
      <c r="DB3" s="1095"/>
      <c r="DC3" s="1095"/>
      <c r="DD3" s="1095"/>
      <c r="DE3" s="1095"/>
      <c r="DF3" s="1095"/>
    </row>
    <row r="4" spans="1:110" s="228" customFormat="1" ht="23.25">
      <c r="A4" s="316" t="s">
        <v>292</v>
      </c>
      <c r="B4" s="317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6">
        <f t="shared" ref="O4:O13" si="0">SUM(C4:N4)</f>
        <v>0</v>
      </c>
      <c r="P4" s="247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7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7"/>
      <c r="S4" s="452">
        <v>40179</v>
      </c>
      <c r="T4" s="453"/>
      <c r="U4" s="453"/>
      <c r="V4" s="453"/>
      <c r="W4" s="453"/>
      <c r="X4" s="453"/>
      <c r="Y4" s="453"/>
      <c r="Z4" s="453"/>
      <c r="AA4" s="453"/>
      <c r="AB4" s="453"/>
      <c r="AC4" s="453"/>
      <c r="AD4" s="453"/>
      <c r="AE4" s="453"/>
      <c r="AF4" s="453"/>
      <c r="AG4" s="453"/>
      <c r="AH4" s="453"/>
      <c r="AI4" s="453"/>
      <c r="AJ4" s="453"/>
      <c r="AK4" s="453"/>
      <c r="AL4" s="453"/>
      <c r="AM4" s="453"/>
      <c r="AN4" s="453"/>
      <c r="AO4" s="453"/>
      <c r="AP4" s="453"/>
      <c r="AQ4" s="453"/>
      <c r="AR4" s="453"/>
      <c r="AS4" s="453"/>
      <c r="AT4" s="453"/>
      <c r="AU4" s="453"/>
      <c r="AV4" s="453"/>
      <c r="AW4" s="453"/>
      <c r="AX4" s="453"/>
      <c r="AY4" s="453"/>
      <c r="AZ4" s="453"/>
      <c r="BA4" s="453"/>
      <c r="BB4" s="453"/>
      <c r="BC4" s="453"/>
      <c r="BD4" s="453"/>
      <c r="BE4" s="453"/>
      <c r="BF4" s="453"/>
      <c r="BG4" s="453"/>
      <c r="BH4" s="453"/>
      <c r="BI4" s="453"/>
      <c r="BJ4" s="453"/>
      <c r="BK4" s="453"/>
      <c r="BL4" s="453"/>
      <c r="BM4" s="453"/>
      <c r="BN4" s="453"/>
      <c r="BO4" s="453"/>
      <c r="BP4" s="453"/>
      <c r="BQ4" s="453"/>
      <c r="BR4" s="453"/>
      <c r="BS4" s="453"/>
      <c r="BT4" s="453"/>
      <c r="BU4" s="453"/>
      <c r="BV4" s="453"/>
      <c r="BW4" s="453"/>
      <c r="BX4" s="453"/>
      <c r="BY4" s="453"/>
      <c r="BZ4" s="453"/>
      <c r="CA4" s="453"/>
      <c r="CB4" s="453"/>
      <c r="CC4" s="453"/>
      <c r="CD4" s="453"/>
      <c r="CE4" s="453"/>
      <c r="CF4" s="453"/>
      <c r="CG4" s="453"/>
      <c r="CH4" s="453"/>
      <c r="CI4" s="453"/>
      <c r="CJ4" s="453"/>
      <c r="CK4" s="453"/>
      <c r="CL4" s="453"/>
      <c r="CM4" s="453"/>
      <c r="CN4" s="453"/>
      <c r="CO4" s="453"/>
      <c r="CP4" s="453"/>
      <c r="CQ4" s="453"/>
      <c r="CR4" s="453"/>
      <c r="CS4" s="453"/>
      <c r="CT4" s="453"/>
      <c r="CU4" s="453"/>
      <c r="CV4" s="453"/>
      <c r="CW4" s="453"/>
      <c r="CX4" s="453"/>
      <c r="CY4" s="453"/>
      <c r="CZ4" s="453"/>
      <c r="DA4" s="453"/>
      <c r="DB4" s="453"/>
      <c r="DC4" s="453"/>
      <c r="DD4" s="453"/>
      <c r="DE4" s="452">
        <v>1</v>
      </c>
      <c r="DF4" s="453"/>
    </row>
    <row r="5" spans="1:110" s="221" customFormat="1" ht="23.25">
      <c r="A5" s="316" t="s">
        <v>293</v>
      </c>
      <c r="B5" s="318"/>
      <c r="C5" s="248">
        <v>25072</v>
      </c>
      <c r="D5" s="409">
        <f>Elect!BI34</f>
        <v>84</v>
      </c>
      <c r="E5" s="248"/>
      <c r="F5" s="248"/>
      <c r="G5" s="248"/>
      <c r="H5" s="409"/>
      <c r="I5" s="409"/>
      <c r="J5" s="248"/>
      <c r="K5" s="248"/>
      <c r="L5" s="248"/>
      <c r="M5" s="248"/>
      <c r="N5" s="248"/>
      <c r="O5" s="246">
        <f t="shared" si="0"/>
        <v>25156</v>
      </c>
      <c r="P5" s="247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7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2">
        <v>40210</v>
      </c>
      <c r="T5" s="454"/>
      <c r="U5" s="454"/>
      <c r="V5" s="454"/>
      <c r="W5" s="454"/>
      <c r="X5" s="454"/>
      <c r="Y5" s="454"/>
      <c r="Z5" s="454"/>
      <c r="AA5" s="454"/>
      <c r="AB5" s="454"/>
      <c r="AC5" s="454"/>
      <c r="AD5" s="454"/>
      <c r="AE5" s="454"/>
      <c r="AF5" s="454"/>
      <c r="AG5" s="454"/>
      <c r="AH5" s="454"/>
      <c r="AI5" s="454"/>
      <c r="AJ5" s="454"/>
      <c r="AK5" s="454"/>
      <c r="AL5" s="454"/>
      <c r="AM5" s="454"/>
      <c r="AN5" s="454"/>
      <c r="AO5" s="454"/>
      <c r="AP5" s="454"/>
      <c r="AQ5" s="454"/>
      <c r="AR5" s="454"/>
      <c r="AS5" s="454"/>
      <c r="AT5" s="454"/>
      <c r="AU5" s="454"/>
      <c r="AV5" s="454"/>
      <c r="AW5" s="454"/>
      <c r="AX5" s="454"/>
      <c r="AY5" s="454"/>
      <c r="AZ5" s="454"/>
      <c r="BA5" s="454"/>
      <c r="BB5" s="454"/>
      <c r="BC5" s="454"/>
      <c r="BD5" s="454"/>
      <c r="BE5" s="454"/>
      <c r="BF5" s="454"/>
      <c r="BG5" s="454"/>
      <c r="BH5" s="454"/>
      <c r="BI5" s="454"/>
      <c r="BJ5" s="454"/>
      <c r="BK5" s="454"/>
      <c r="BL5" s="454"/>
      <c r="BM5" s="454"/>
      <c r="BN5" s="454"/>
      <c r="BO5" s="454"/>
      <c r="BP5" s="454"/>
      <c r="BQ5" s="454"/>
      <c r="BR5" s="454"/>
      <c r="BS5" s="454"/>
      <c r="BT5" s="454"/>
      <c r="BU5" s="454"/>
      <c r="BV5" s="454"/>
      <c r="BW5" s="454"/>
      <c r="BX5" s="454"/>
      <c r="BY5" s="454"/>
      <c r="BZ5" s="454"/>
      <c r="CA5" s="454"/>
      <c r="CB5" s="454"/>
      <c r="CC5" s="454"/>
      <c r="CD5" s="454"/>
      <c r="CE5" s="454"/>
      <c r="CF5" s="454"/>
      <c r="CG5" s="454"/>
      <c r="CH5" s="454"/>
      <c r="CI5" s="454"/>
      <c r="CJ5" s="454"/>
      <c r="CK5" s="454"/>
      <c r="CL5" s="454"/>
      <c r="CM5" s="454"/>
      <c r="CN5" s="454"/>
      <c r="CO5" s="454"/>
      <c r="CP5" s="454"/>
      <c r="CQ5" s="454"/>
      <c r="CR5" s="454"/>
      <c r="CS5" s="454"/>
      <c r="CT5" s="454"/>
      <c r="CU5" s="454"/>
      <c r="CV5" s="454"/>
      <c r="CW5" s="454"/>
      <c r="CX5" s="454"/>
      <c r="CY5" s="454"/>
      <c r="CZ5" s="454"/>
      <c r="DA5" s="454"/>
      <c r="DB5" s="454"/>
      <c r="DC5" s="454"/>
      <c r="DD5" s="454"/>
      <c r="DE5" s="452">
        <v>2</v>
      </c>
      <c r="DF5" s="454"/>
    </row>
    <row r="6" spans="1:110" s="221" customFormat="1" ht="24" thickBot="1">
      <c r="A6" s="319" t="s">
        <v>294</v>
      </c>
      <c r="B6" s="320"/>
      <c r="C6" s="249">
        <v>50662</v>
      </c>
      <c r="D6" s="249">
        <f>Elect!BK34</f>
        <v>214</v>
      </c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50">
        <f t="shared" si="0"/>
        <v>50876</v>
      </c>
      <c r="P6" s="247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7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2">
        <v>40238</v>
      </c>
      <c r="T6" s="454"/>
      <c r="U6" s="454"/>
      <c r="V6" s="454"/>
      <c r="W6" s="454"/>
      <c r="X6" s="454"/>
      <c r="Y6" s="454"/>
      <c r="Z6" s="454"/>
      <c r="AA6" s="454"/>
      <c r="AB6" s="454"/>
      <c r="AC6" s="454"/>
      <c r="AD6" s="454"/>
      <c r="AE6" s="454"/>
      <c r="AF6" s="454"/>
      <c r="AG6" s="454"/>
      <c r="AH6" s="454"/>
      <c r="AI6" s="454"/>
      <c r="AJ6" s="454"/>
      <c r="AK6" s="454"/>
      <c r="AL6" s="454"/>
      <c r="AM6" s="454"/>
      <c r="AN6" s="454"/>
      <c r="AO6" s="454"/>
      <c r="AP6" s="454"/>
      <c r="AQ6" s="454"/>
      <c r="AR6" s="454"/>
      <c r="AS6" s="454"/>
      <c r="AT6" s="454"/>
      <c r="AU6" s="454"/>
      <c r="AV6" s="454"/>
      <c r="AW6" s="454"/>
      <c r="AX6" s="454"/>
      <c r="AY6" s="454"/>
      <c r="AZ6" s="454"/>
      <c r="BA6" s="454"/>
      <c r="BB6" s="454"/>
      <c r="BC6" s="454"/>
      <c r="BD6" s="454"/>
      <c r="BE6" s="454"/>
      <c r="BF6" s="454"/>
      <c r="BG6" s="454"/>
      <c r="BH6" s="454"/>
      <c r="BI6" s="454"/>
      <c r="BJ6" s="454"/>
      <c r="BK6" s="454"/>
      <c r="BL6" s="454"/>
      <c r="BM6" s="454"/>
      <c r="BN6" s="454"/>
      <c r="BO6" s="454"/>
      <c r="BP6" s="454"/>
      <c r="BQ6" s="454"/>
      <c r="BR6" s="454"/>
      <c r="BS6" s="454"/>
      <c r="BT6" s="454"/>
      <c r="BU6" s="454"/>
      <c r="BV6" s="454"/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4"/>
      <c r="CV6" s="454"/>
      <c r="CW6" s="454"/>
      <c r="CX6" s="454"/>
      <c r="CY6" s="454"/>
      <c r="CZ6" s="454"/>
      <c r="DA6" s="454"/>
      <c r="DB6" s="454"/>
      <c r="DC6" s="454"/>
      <c r="DD6" s="454"/>
      <c r="DE6" s="452">
        <v>3</v>
      </c>
      <c r="DF6" s="454"/>
    </row>
    <row r="7" spans="1:110" ht="24" hidden="1" customHeight="1">
      <c r="A7" s="321" t="s">
        <v>295</v>
      </c>
      <c r="B7" s="322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0">
        <f t="shared" si="0"/>
        <v>0</v>
      </c>
      <c r="P7" s="247">
        <f t="shared" si="1"/>
        <v>0</v>
      </c>
      <c r="Q7" s="247">
        <f t="shared" si="2"/>
        <v>0</v>
      </c>
      <c r="R7" s="229"/>
      <c r="S7" s="455"/>
      <c r="T7" s="456"/>
      <c r="U7" s="456"/>
      <c r="V7" s="456"/>
      <c r="W7" s="456"/>
      <c r="X7" s="456"/>
      <c r="Y7" s="456"/>
      <c r="Z7" s="456"/>
      <c r="AA7" s="456"/>
      <c r="AB7" s="456"/>
      <c r="AC7" s="456"/>
      <c r="AD7" s="456"/>
      <c r="AE7" s="456"/>
      <c r="AF7" s="456"/>
      <c r="AG7" s="456"/>
      <c r="AH7" s="456"/>
      <c r="AI7" s="456"/>
      <c r="AJ7" s="456"/>
      <c r="AK7" s="456"/>
      <c r="AL7" s="456"/>
      <c r="AM7" s="456"/>
      <c r="AN7" s="456"/>
      <c r="AO7" s="456"/>
      <c r="AP7" s="456"/>
      <c r="AQ7" s="456"/>
      <c r="AR7" s="456"/>
      <c r="AS7" s="456"/>
      <c r="AT7" s="456"/>
      <c r="AU7" s="456"/>
      <c r="AV7" s="456"/>
      <c r="AW7" s="456"/>
      <c r="AX7" s="456"/>
      <c r="AY7" s="456"/>
      <c r="AZ7" s="456"/>
      <c r="BA7" s="456"/>
      <c r="BB7" s="456"/>
      <c r="BC7" s="456"/>
      <c r="BD7" s="456"/>
      <c r="BE7" s="456"/>
      <c r="BF7" s="456"/>
      <c r="BG7" s="456"/>
      <c r="BH7" s="456"/>
      <c r="BI7" s="456"/>
      <c r="BJ7" s="456"/>
      <c r="BK7" s="456"/>
      <c r="BL7" s="456"/>
      <c r="BM7" s="456"/>
      <c r="BN7" s="456"/>
      <c r="BO7" s="456"/>
      <c r="BP7" s="456"/>
      <c r="BQ7" s="456"/>
      <c r="BR7" s="456"/>
      <c r="BS7" s="456"/>
      <c r="BT7" s="456"/>
      <c r="BU7" s="456"/>
      <c r="BV7" s="456"/>
      <c r="BW7" s="456"/>
      <c r="BX7" s="456"/>
      <c r="BY7" s="456"/>
      <c r="BZ7" s="456"/>
      <c r="CA7" s="456"/>
      <c r="CB7" s="456"/>
      <c r="CC7" s="456"/>
      <c r="CD7" s="456"/>
      <c r="CE7" s="456"/>
      <c r="CF7" s="456"/>
      <c r="CG7" s="456"/>
      <c r="CH7" s="456"/>
      <c r="CI7" s="456"/>
      <c r="CJ7" s="456"/>
      <c r="CK7" s="456"/>
      <c r="CL7" s="456"/>
      <c r="CM7" s="456"/>
      <c r="CN7" s="456"/>
      <c r="CO7" s="456"/>
      <c r="CP7" s="456"/>
      <c r="CQ7" s="456"/>
      <c r="CR7" s="456"/>
      <c r="CS7" s="456"/>
      <c r="CT7" s="456"/>
      <c r="CU7" s="456"/>
      <c r="CV7" s="456"/>
      <c r="CW7" s="456"/>
      <c r="CX7" s="456"/>
      <c r="CY7" s="456"/>
      <c r="CZ7" s="456"/>
      <c r="DA7" s="456"/>
      <c r="DB7" s="456"/>
      <c r="DC7" s="456"/>
      <c r="DD7" s="456"/>
      <c r="DE7" s="455"/>
      <c r="DF7" s="456"/>
    </row>
    <row r="8" spans="1:110" ht="24" hidden="1" customHeight="1">
      <c r="A8" s="321" t="s">
        <v>296</v>
      </c>
      <c r="B8" s="322">
        <v>53241001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0">
        <f t="shared" si="0"/>
        <v>0</v>
      </c>
      <c r="P8" s="247">
        <f t="shared" si="1"/>
        <v>0</v>
      </c>
      <c r="Q8" s="247">
        <f t="shared" si="2"/>
        <v>0</v>
      </c>
      <c r="R8" s="229"/>
      <c r="S8" s="455"/>
      <c r="T8" s="456"/>
      <c r="U8" s="456"/>
      <c r="V8" s="456"/>
      <c r="W8" s="456"/>
      <c r="X8" s="456"/>
      <c r="Y8" s="456"/>
      <c r="Z8" s="456"/>
      <c r="AA8" s="456"/>
      <c r="AB8" s="456"/>
      <c r="AC8" s="456"/>
      <c r="AD8" s="456"/>
      <c r="AE8" s="456"/>
      <c r="AF8" s="456"/>
      <c r="AG8" s="456"/>
      <c r="AH8" s="456"/>
      <c r="AI8" s="456"/>
      <c r="AJ8" s="456"/>
      <c r="AK8" s="456"/>
      <c r="AL8" s="456"/>
      <c r="AM8" s="456"/>
      <c r="AN8" s="456"/>
      <c r="AO8" s="456"/>
      <c r="AP8" s="456"/>
      <c r="AQ8" s="456"/>
      <c r="AR8" s="456"/>
      <c r="AS8" s="456"/>
      <c r="AT8" s="456"/>
      <c r="AU8" s="456"/>
      <c r="AV8" s="456"/>
      <c r="AW8" s="456"/>
      <c r="AX8" s="456"/>
      <c r="AY8" s="456"/>
      <c r="AZ8" s="456"/>
      <c r="BA8" s="456"/>
      <c r="BB8" s="456"/>
      <c r="BC8" s="456"/>
      <c r="BD8" s="456"/>
      <c r="BE8" s="456"/>
      <c r="BF8" s="456"/>
      <c r="BG8" s="456"/>
      <c r="BH8" s="456"/>
      <c r="BI8" s="456"/>
      <c r="BJ8" s="456"/>
      <c r="BK8" s="456"/>
      <c r="BL8" s="456"/>
      <c r="BM8" s="456"/>
      <c r="BN8" s="456"/>
      <c r="BO8" s="456"/>
      <c r="BP8" s="456"/>
      <c r="BQ8" s="456"/>
      <c r="BR8" s="456"/>
      <c r="BS8" s="456"/>
      <c r="BT8" s="456"/>
      <c r="BU8" s="456"/>
      <c r="BV8" s="456"/>
      <c r="BW8" s="456"/>
      <c r="BX8" s="456"/>
      <c r="BY8" s="456"/>
      <c r="BZ8" s="456"/>
      <c r="CA8" s="456"/>
      <c r="CB8" s="456"/>
      <c r="CC8" s="456"/>
      <c r="CD8" s="456"/>
      <c r="CE8" s="456"/>
      <c r="CF8" s="456"/>
      <c r="CG8" s="456"/>
      <c r="CH8" s="456"/>
      <c r="CI8" s="456"/>
      <c r="CJ8" s="456"/>
      <c r="CK8" s="456"/>
      <c r="CL8" s="456"/>
      <c r="CM8" s="456"/>
      <c r="CN8" s="456"/>
      <c r="CO8" s="456"/>
      <c r="CP8" s="456"/>
      <c r="CQ8" s="456"/>
      <c r="CR8" s="456"/>
      <c r="CS8" s="456"/>
      <c r="CT8" s="456"/>
      <c r="CU8" s="456"/>
      <c r="CV8" s="456"/>
      <c r="CW8" s="456"/>
      <c r="CX8" s="456"/>
      <c r="CY8" s="456"/>
      <c r="CZ8" s="456"/>
      <c r="DA8" s="456"/>
      <c r="DB8" s="456"/>
      <c r="DC8" s="456"/>
      <c r="DD8" s="456"/>
      <c r="DE8" s="455"/>
      <c r="DF8" s="456"/>
    </row>
    <row r="9" spans="1:110" ht="24" hidden="1" customHeight="1">
      <c r="A9" s="321" t="s">
        <v>297</v>
      </c>
      <c r="B9" s="322">
        <v>53242099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0">
        <f t="shared" si="0"/>
        <v>0</v>
      </c>
      <c r="P9" s="247">
        <f t="shared" si="1"/>
        <v>0</v>
      </c>
      <c r="Q9" s="247">
        <f t="shared" si="2"/>
        <v>0</v>
      </c>
      <c r="R9" s="229"/>
      <c r="S9" s="455"/>
      <c r="T9" s="456"/>
      <c r="U9" s="456"/>
      <c r="V9" s="456"/>
      <c r="W9" s="456"/>
      <c r="X9" s="456"/>
      <c r="Y9" s="456"/>
      <c r="Z9" s="456"/>
      <c r="AA9" s="456"/>
      <c r="AB9" s="456"/>
      <c r="AC9" s="456"/>
      <c r="AD9" s="456"/>
      <c r="AE9" s="456"/>
      <c r="AF9" s="456"/>
      <c r="AG9" s="456"/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6"/>
      <c r="BD9" s="456"/>
      <c r="BE9" s="456"/>
      <c r="BF9" s="456"/>
      <c r="BG9" s="456"/>
      <c r="BH9" s="456"/>
      <c r="BI9" s="456"/>
      <c r="BJ9" s="456"/>
      <c r="BK9" s="456"/>
      <c r="BL9" s="456"/>
      <c r="BM9" s="456"/>
      <c r="BN9" s="456"/>
      <c r="BO9" s="456"/>
      <c r="BP9" s="456"/>
      <c r="BQ9" s="456"/>
      <c r="BR9" s="456"/>
      <c r="BS9" s="456"/>
      <c r="BT9" s="456"/>
      <c r="BU9" s="456"/>
      <c r="BV9" s="456"/>
      <c r="BW9" s="456"/>
      <c r="BX9" s="456"/>
      <c r="BY9" s="456"/>
      <c r="BZ9" s="456"/>
      <c r="CA9" s="456"/>
      <c r="CB9" s="456"/>
      <c r="CC9" s="456"/>
      <c r="CD9" s="456"/>
      <c r="CE9" s="456"/>
      <c r="CF9" s="456"/>
      <c r="CG9" s="456"/>
      <c r="CH9" s="456"/>
      <c r="CI9" s="456"/>
      <c r="CJ9" s="456"/>
      <c r="CK9" s="456"/>
      <c r="CL9" s="456"/>
      <c r="CM9" s="456"/>
      <c r="CN9" s="456"/>
      <c r="CO9" s="456"/>
      <c r="CP9" s="456"/>
      <c r="CQ9" s="456"/>
      <c r="CR9" s="456"/>
      <c r="CS9" s="456"/>
      <c r="CT9" s="456"/>
      <c r="CU9" s="456"/>
      <c r="CV9" s="456"/>
      <c r="CW9" s="456"/>
      <c r="CX9" s="456"/>
      <c r="CY9" s="456"/>
      <c r="CZ9" s="456"/>
      <c r="DA9" s="456"/>
      <c r="DB9" s="456"/>
      <c r="DC9" s="456"/>
      <c r="DD9" s="456"/>
      <c r="DE9" s="455"/>
      <c r="DF9" s="456"/>
    </row>
    <row r="10" spans="1:110" ht="24" hidden="1" customHeight="1">
      <c r="A10" s="321" t="s">
        <v>298</v>
      </c>
      <c r="B10" s="322">
        <v>53243001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0">
        <f t="shared" si="0"/>
        <v>0</v>
      </c>
      <c r="P10" s="247">
        <f t="shared" si="1"/>
        <v>0</v>
      </c>
      <c r="Q10" s="247">
        <f t="shared" si="2"/>
        <v>0</v>
      </c>
      <c r="R10" s="229"/>
      <c r="S10" s="455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6"/>
      <c r="AL10" s="456"/>
      <c r="AM10" s="456"/>
      <c r="AN10" s="456"/>
      <c r="AO10" s="456"/>
      <c r="AP10" s="456"/>
      <c r="AQ10" s="456"/>
      <c r="AR10" s="456"/>
      <c r="AS10" s="456"/>
      <c r="AT10" s="456"/>
      <c r="AU10" s="456"/>
      <c r="AV10" s="456"/>
      <c r="AW10" s="456"/>
      <c r="AX10" s="456"/>
      <c r="AY10" s="456"/>
      <c r="AZ10" s="456"/>
      <c r="BA10" s="456"/>
      <c r="BB10" s="456"/>
      <c r="BC10" s="456"/>
      <c r="BD10" s="456"/>
      <c r="BE10" s="456"/>
      <c r="BF10" s="456"/>
      <c r="BG10" s="456"/>
      <c r="BH10" s="456"/>
      <c r="BI10" s="456"/>
      <c r="BJ10" s="456"/>
      <c r="BK10" s="456"/>
      <c r="BL10" s="456"/>
      <c r="BM10" s="456"/>
      <c r="BN10" s="456"/>
      <c r="BO10" s="456"/>
      <c r="BP10" s="456"/>
      <c r="BQ10" s="456"/>
      <c r="BR10" s="456"/>
      <c r="BS10" s="456"/>
      <c r="BT10" s="456"/>
      <c r="BU10" s="456"/>
      <c r="BV10" s="456"/>
      <c r="BW10" s="456"/>
      <c r="BX10" s="456"/>
      <c r="BY10" s="456"/>
      <c r="BZ10" s="456"/>
      <c r="CA10" s="456"/>
      <c r="CB10" s="456"/>
      <c r="CC10" s="456"/>
      <c r="CD10" s="456"/>
      <c r="CE10" s="456"/>
      <c r="CF10" s="456"/>
      <c r="CG10" s="456"/>
      <c r="CH10" s="456"/>
      <c r="CI10" s="456"/>
      <c r="CJ10" s="456"/>
      <c r="CK10" s="456"/>
      <c r="CL10" s="456"/>
      <c r="CM10" s="456"/>
      <c r="CN10" s="456"/>
      <c r="CO10" s="456"/>
      <c r="CP10" s="456"/>
      <c r="CQ10" s="456"/>
      <c r="CR10" s="456"/>
      <c r="CS10" s="456"/>
      <c r="CT10" s="456"/>
      <c r="CU10" s="456"/>
      <c r="CV10" s="456"/>
      <c r="CW10" s="456"/>
      <c r="CX10" s="456"/>
      <c r="CY10" s="456"/>
      <c r="CZ10" s="456"/>
      <c r="DA10" s="456"/>
      <c r="DB10" s="456"/>
      <c r="DC10" s="456"/>
      <c r="DD10" s="456"/>
      <c r="DE10" s="455"/>
      <c r="DF10" s="456"/>
    </row>
    <row r="11" spans="1:110" s="228" customFormat="1" ht="24" hidden="1" customHeight="1">
      <c r="A11" s="323" t="s">
        <v>299</v>
      </c>
      <c r="B11" s="324">
        <v>53244001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0">
        <f t="shared" si="0"/>
        <v>0</v>
      </c>
      <c r="P11" s="247">
        <f t="shared" si="1"/>
        <v>0</v>
      </c>
      <c r="Q11" s="247">
        <f t="shared" si="2"/>
        <v>0</v>
      </c>
      <c r="R11" s="227"/>
      <c r="S11" s="457"/>
      <c r="T11" s="453"/>
      <c r="U11" s="453"/>
      <c r="V11" s="453"/>
      <c r="W11" s="453"/>
      <c r="X11" s="453"/>
      <c r="Y11" s="453"/>
      <c r="Z11" s="453"/>
      <c r="AA11" s="453"/>
      <c r="AB11" s="453"/>
      <c r="AC11" s="453"/>
      <c r="AD11" s="453"/>
      <c r="AE11" s="453"/>
      <c r="AF11" s="453"/>
      <c r="AG11" s="453"/>
      <c r="AH11" s="453"/>
      <c r="AI11" s="453"/>
      <c r="AJ11" s="453"/>
      <c r="AK11" s="453"/>
      <c r="AL11" s="453"/>
      <c r="AM11" s="453"/>
      <c r="AN11" s="453"/>
      <c r="AO11" s="453"/>
      <c r="AP11" s="453"/>
      <c r="AQ11" s="453"/>
      <c r="AR11" s="453"/>
      <c r="AS11" s="453"/>
      <c r="AT11" s="453"/>
      <c r="AU11" s="453"/>
      <c r="AV11" s="453"/>
      <c r="AW11" s="453"/>
      <c r="AX11" s="453"/>
      <c r="AY11" s="453"/>
      <c r="AZ11" s="453"/>
      <c r="BA11" s="453"/>
      <c r="BB11" s="453"/>
      <c r="BC11" s="453"/>
      <c r="BD11" s="453"/>
      <c r="BE11" s="453"/>
      <c r="BF11" s="453"/>
      <c r="BG11" s="453"/>
      <c r="BH11" s="453"/>
      <c r="BI11" s="453"/>
      <c r="BJ11" s="453"/>
      <c r="BK11" s="453"/>
      <c r="BL11" s="453"/>
      <c r="BM11" s="453"/>
      <c r="BN11" s="453"/>
      <c r="BO11" s="453"/>
      <c r="BP11" s="453"/>
      <c r="BQ11" s="453"/>
      <c r="BR11" s="453"/>
      <c r="BS11" s="453"/>
      <c r="BT11" s="453"/>
      <c r="BU11" s="453"/>
      <c r="BV11" s="453"/>
      <c r="BW11" s="453"/>
      <c r="BX11" s="453"/>
      <c r="BY11" s="453"/>
      <c r="BZ11" s="453"/>
      <c r="CA11" s="453"/>
      <c r="CB11" s="453"/>
      <c r="CC11" s="453"/>
      <c r="CD11" s="453"/>
      <c r="CE11" s="453"/>
      <c r="CF11" s="453"/>
      <c r="CG11" s="453"/>
      <c r="CH11" s="453"/>
      <c r="CI11" s="453"/>
      <c r="CJ11" s="453"/>
      <c r="CK11" s="453"/>
      <c r="CL11" s="453"/>
      <c r="CM11" s="453"/>
      <c r="CN11" s="453"/>
      <c r="CO11" s="453"/>
      <c r="CP11" s="453"/>
      <c r="CQ11" s="453"/>
      <c r="CR11" s="453"/>
      <c r="CS11" s="453"/>
      <c r="CT11" s="453"/>
      <c r="CU11" s="453"/>
      <c r="CV11" s="453"/>
      <c r="CW11" s="453"/>
      <c r="CX11" s="453"/>
      <c r="CY11" s="453"/>
      <c r="CZ11" s="453"/>
      <c r="DA11" s="453"/>
      <c r="DB11" s="453"/>
      <c r="DC11" s="453"/>
      <c r="DD11" s="453"/>
      <c r="DE11" s="457"/>
      <c r="DF11" s="453"/>
    </row>
    <row r="12" spans="1:110" ht="24" hidden="1" customHeight="1">
      <c r="A12" s="321" t="s">
        <v>300</v>
      </c>
      <c r="B12" s="322">
        <v>53245001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0">
        <f t="shared" si="0"/>
        <v>0</v>
      </c>
      <c r="P12" s="247">
        <f t="shared" si="1"/>
        <v>0</v>
      </c>
      <c r="Q12" s="247">
        <f t="shared" si="2"/>
        <v>0</v>
      </c>
      <c r="R12" s="229"/>
      <c r="S12" s="455"/>
      <c r="T12" s="456"/>
      <c r="U12" s="456"/>
      <c r="V12" s="456"/>
      <c r="W12" s="456"/>
      <c r="X12" s="456"/>
      <c r="Y12" s="456"/>
      <c r="Z12" s="456"/>
      <c r="AA12" s="456"/>
      <c r="AB12" s="456"/>
      <c r="AC12" s="456"/>
      <c r="AD12" s="456"/>
      <c r="AE12" s="456"/>
      <c r="AF12" s="456"/>
      <c r="AG12" s="456"/>
      <c r="AH12" s="456"/>
      <c r="AI12" s="456"/>
      <c r="AJ12" s="456"/>
      <c r="AK12" s="456"/>
      <c r="AL12" s="456"/>
      <c r="AM12" s="456"/>
      <c r="AN12" s="456"/>
      <c r="AO12" s="456"/>
      <c r="AP12" s="456"/>
      <c r="AQ12" s="456"/>
      <c r="AR12" s="456"/>
      <c r="AS12" s="456"/>
      <c r="AT12" s="456"/>
      <c r="AU12" s="456"/>
      <c r="AV12" s="456"/>
      <c r="AW12" s="456"/>
      <c r="AX12" s="456"/>
      <c r="AY12" s="456"/>
      <c r="AZ12" s="456"/>
      <c r="BA12" s="456"/>
      <c r="BB12" s="456"/>
      <c r="BC12" s="456"/>
      <c r="BD12" s="456"/>
      <c r="BE12" s="456"/>
      <c r="BF12" s="456"/>
      <c r="BG12" s="456"/>
      <c r="BH12" s="456"/>
      <c r="BI12" s="456"/>
      <c r="BJ12" s="456"/>
      <c r="BK12" s="456"/>
      <c r="BL12" s="456"/>
      <c r="BM12" s="456"/>
      <c r="BN12" s="456"/>
      <c r="BO12" s="456"/>
      <c r="BP12" s="456"/>
      <c r="BQ12" s="456"/>
      <c r="BR12" s="456"/>
      <c r="BS12" s="456"/>
      <c r="BT12" s="456"/>
      <c r="BU12" s="456"/>
      <c r="BV12" s="456"/>
      <c r="BW12" s="456"/>
      <c r="BX12" s="456"/>
      <c r="BY12" s="456"/>
      <c r="BZ12" s="456"/>
      <c r="CA12" s="456"/>
      <c r="CB12" s="456"/>
      <c r="CC12" s="456"/>
      <c r="CD12" s="456"/>
      <c r="CE12" s="456"/>
      <c r="CF12" s="456"/>
      <c r="CG12" s="456"/>
      <c r="CH12" s="456"/>
      <c r="CI12" s="456"/>
      <c r="CJ12" s="456"/>
      <c r="CK12" s="456"/>
      <c r="CL12" s="456"/>
      <c r="CM12" s="456"/>
      <c r="CN12" s="456"/>
      <c r="CO12" s="456"/>
      <c r="CP12" s="456"/>
      <c r="CQ12" s="456"/>
      <c r="CR12" s="456"/>
      <c r="CS12" s="456"/>
      <c r="CT12" s="456"/>
      <c r="CU12" s="456"/>
      <c r="CV12" s="456"/>
      <c r="CW12" s="456"/>
      <c r="CX12" s="456"/>
      <c r="CY12" s="456"/>
      <c r="CZ12" s="456"/>
      <c r="DA12" s="456"/>
      <c r="DB12" s="456"/>
      <c r="DC12" s="456"/>
      <c r="DD12" s="456"/>
      <c r="DE12" s="455"/>
      <c r="DF12" s="456"/>
    </row>
    <row r="13" spans="1:110" ht="23.25" hidden="1" customHeight="1" thickBot="1">
      <c r="A13" s="325"/>
      <c r="B13" s="326"/>
      <c r="C13" s="252"/>
      <c r="D13" s="25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3">
        <f t="shared" si="0"/>
        <v>0</v>
      </c>
      <c r="P13" s="247">
        <f t="shared" si="1"/>
        <v>0</v>
      </c>
      <c r="Q13" s="247">
        <f t="shared" si="2"/>
        <v>0</v>
      </c>
      <c r="R13" s="229"/>
      <c r="S13" s="455"/>
      <c r="T13" s="456"/>
      <c r="U13" s="456"/>
      <c r="V13" s="456"/>
      <c r="W13" s="456"/>
      <c r="X13" s="456"/>
      <c r="Y13" s="456"/>
      <c r="Z13" s="456"/>
      <c r="AA13" s="456"/>
      <c r="AB13" s="456"/>
      <c r="AC13" s="456"/>
      <c r="AD13" s="456"/>
      <c r="AE13" s="456"/>
      <c r="AF13" s="456"/>
      <c r="AG13" s="456"/>
      <c r="AH13" s="456"/>
      <c r="AI13" s="456"/>
      <c r="AJ13" s="456"/>
      <c r="AK13" s="456"/>
      <c r="AL13" s="456"/>
      <c r="AM13" s="456"/>
      <c r="AN13" s="456"/>
      <c r="AO13" s="456"/>
      <c r="AP13" s="456"/>
      <c r="AQ13" s="456"/>
      <c r="AR13" s="456"/>
      <c r="AS13" s="456"/>
      <c r="AT13" s="456"/>
      <c r="AU13" s="456"/>
      <c r="AV13" s="456"/>
      <c r="AW13" s="456"/>
      <c r="AX13" s="456"/>
      <c r="AY13" s="456"/>
      <c r="AZ13" s="456"/>
      <c r="BA13" s="456"/>
      <c r="BB13" s="456"/>
      <c r="BC13" s="456"/>
      <c r="BD13" s="456"/>
      <c r="BE13" s="456"/>
      <c r="BF13" s="456"/>
      <c r="BG13" s="456"/>
      <c r="BH13" s="456"/>
      <c r="BI13" s="456"/>
      <c r="BJ13" s="456"/>
      <c r="BK13" s="456"/>
      <c r="BL13" s="456"/>
      <c r="BM13" s="456"/>
      <c r="BN13" s="456"/>
      <c r="BO13" s="456"/>
      <c r="BP13" s="456"/>
      <c r="BQ13" s="456"/>
      <c r="BR13" s="456"/>
      <c r="BS13" s="456"/>
      <c r="BT13" s="456"/>
      <c r="BU13" s="456"/>
      <c r="BV13" s="456"/>
      <c r="BW13" s="456"/>
      <c r="BX13" s="456"/>
      <c r="BY13" s="456"/>
      <c r="BZ13" s="456"/>
      <c r="CA13" s="456"/>
      <c r="CB13" s="456"/>
      <c r="CC13" s="456"/>
      <c r="CD13" s="456"/>
      <c r="CE13" s="456"/>
      <c r="CF13" s="456"/>
      <c r="CG13" s="456"/>
      <c r="CH13" s="456"/>
      <c r="CI13" s="456"/>
      <c r="CJ13" s="456"/>
      <c r="CK13" s="456"/>
      <c r="CL13" s="456"/>
      <c r="CM13" s="456"/>
      <c r="CN13" s="456"/>
      <c r="CO13" s="456"/>
      <c r="CP13" s="456"/>
      <c r="CQ13" s="456"/>
      <c r="CR13" s="456"/>
      <c r="CS13" s="456"/>
      <c r="CT13" s="456"/>
      <c r="CU13" s="456"/>
      <c r="CV13" s="456"/>
      <c r="CW13" s="456"/>
      <c r="CX13" s="456"/>
      <c r="CY13" s="456"/>
      <c r="CZ13" s="456"/>
      <c r="DA13" s="456"/>
      <c r="DB13" s="456"/>
      <c r="DC13" s="456"/>
      <c r="DD13" s="456"/>
      <c r="DE13" s="455"/>
      <c r="DF13" s="456"/>
    </row>
    <row r="14" spans="1:110" s="230" customFormat="1" ht="20.25" customHeight="1" thickBot="1">
      <c r="A14" s="376" t="s">
        <v>301</v>
      </c>
      <c r="B14" s="377"/>
      <c r="C14" s="378">
        <v>147832.84</v>
      </c>
      <c r="D14" s="378">
        <v>158624</v>
      </c>
      <c r="E14" s="378"/>
      <c r="F14" s="378"/>
      <c r="G14" s="378"/>
      <c r="H14" s="378"/>
      <c r="I14" s="378"/>
      <c r="J14" s="378"/>
      <c r="K14" s="378"/>
      <c r="L14" s="378"/>
      <c r="M14" s="378"/>
      <c r="N14" s="378"/>
      <c r="O14" s="255">
        <f>SUM(C14:N14)</f>
        <v>306456.83999999997</v>
      </c>
      <c r="P14" s="247">
        <f t="shared" si="1"/>
        <v>0</v>
      </c>
      <c r="Q14" s="247">
        <f t="shared" si="2"/>
        <v>0</v>
      </c>
      <c r="R14" s="227"/>
      <c r="S14" s="457">
        <v>40269</v>
      </c>
      <c r="T14" s="453"/>
      <c r="U14" s="453"/>
      <c r="V14" s="453"/>
      <c r="W14" s="453"/>
      <c r="X14" s="453"/>
      <c r="Y14" s="453"/>
      <c r="Z14" s="453"/>
      <c r="AA14" s="458"/>
      <c r="AB14" s="458"/>
      <c r="AC14" s="458"/>
      <c r="AD14" s="458"/>
      <c r="AE14" s="458"/>
      <c r="AF14" s="458"/>
      <c r="AG14" s="458"/>
      <c r="AH14" s="458"/>
      <c r="AI14" s="458"/>
      <c r="AJ14" s="458"/>
      <c r="AK14" s="458"/>
      <c r="AL14" s="458"/>
      <c r="AM14" s="458"/>
      <c r="AN14" s="458"/>
      <c r="AO14" s="458"/>
      <c r="AP14" s="458"/>
      <c r="AQ14" s="458"/>
      <c r="AR14" s="458"/>
      <c r="AS14" s="458"/>
      <c r="AT14" s="458"/>
      <c r="AU14" s="458"/>
      <c r="AV14" s="458"/>
      <c r="AW14" s="458"/>
      <c r="AX14" s="458"/>
      <c r="AY14" s="458"/>
      <c r="AZ14" s="458"/>
      <c r="BA14" s="458"/>
      <c r="BB14" s="458"/>
      <c r="BC14" s="458"/>
      <c r="BD14" s="458"/>
      <c r="BE14" s="458"/>
      <c r="BF14" s="458"/>
      <c r="BG14" s="458"/>
      <c r="BH14" s="458"/>
      <c r="BI14" s="458"/>
      <c r="BJ14" s="458"/>
      <c r="BK14" s="458"/>
      <c r="BL14" s="458"/>
      <c r="BM14" s="458"/>
      <c r="BN14" s="458"/>
      <c r="BO14" s="458"/>
      <c r="BP14" s="458"/>
      <c r="BQ14" s="458"/>
      <c r="BR14" s="458"/>
      <c r="BS14" s="458"/>
      <c r="BT14" s="458"/>
      <c r="BU14" s="458"/>
      <c r="BV14" s="458"/>
      <c r="BW14" s="458"/>
      <c r="BX14" s="458"/>
      <c r="BY14" s="458"/>
      <c r="BZ14" s="458"/>
      <c r="CA14" s="458"/>
      <c r="CB14" s="458"/>
      <c r="CC14" s="458"/>
      <c r="CD14" s="458"/>
      <c r="CE14" s="458"/>
      <c r="CF14" s="458"/>
      <c r="CG14" s="458"/>
      <c r="CH14" s="458"/>
      <c r="CI14" s="458"/>
      <c r="CJ14" s="458"/>
      <c r="CK14" s="458"/>
      <c r="CL14" s="458"/>
      <c r="CM14" s="458"/>
      <c r="CN14" s="458"/>
      <c r="CO14" s="458"/>
      <c r="CP14" s="458"/>
      <c r="CQ14" s="458"/>
      <c r="CR14" s="458"/>
      <c r="CS14" s="458"/>
      <c r="CT14" s="458"/>
      <c r="CU14" s="458"/>
      <c r="CV14" s="458"/>
      <c r="CW14" s="458"/>
      <c r="CX14" s="458"/>
      <c r="CY14" s="458"/>
      <c r="CZ14" s="458"/>
      <c r="DA14" s="458"/>
      <c r="DB14" s="458"/>
      <c r="DC14" s="458"/>
      <c r="DD14" s="458"/>
      <c r="DE14" s="457">
        <v>4</v>
      </c>
      <c r="DF14" s="458"/>
    </row>
    <row r="15" spans="1:110" ht="23.25">
      <c r="A15" s="327" t="s">
        <v>302</v>
      </c>
      <c r="B15" s="328">
        <v>53257511</v>
      </c>
      <c r="C15" s="256">
        <v>267068.09000000003</v>
      </c>
      <c r="D15" s="256">
        <v>312865.7</v>
      </c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7">
        <f>SUM(C15:N15)</f>
        <v>579933.79</v>
      </c>
      <c r="P15" s="247">
        <f t="shared" si="1"/>
        <v>0</v>
      </c>
      <c r="Q15" s="247">
        <f t="shared" si="2"/>
        <v>0</v>
      </c>
      <c r="R15" s="229"/>
      <c r="S15" s="455">
        <v>40299</v>
      </c>
      <c r="T15" s="456"/>
      <c r="U15" s="456"/>
      <c r="V15" s="456"/>
      <c r="W15" s="456"/>
      <c r="X15" s="456"/>
      <c r="Y15" s="456"/>
      <c r="Z15" s="456"/>
      <c r="AA15" s="456"/>
      <c r="AB15" s="456"/>
      <c r="AC15" s="456"/>
      <c r="AD15" s="456"/>
      <c r="AE15" s="456"/>
      <c r="AF15" s="456"/>
      <c r="AG15" s="456"/>
      <c r="AH15" s="456"/>
      <c r="AI15" s="456"/>
      <c r="AJ15" s="456"/>
      <c r="AK15" s="456"/>
      <c r="AL15" s="456"/>
      <c r="AM15" s="456"/>
      <c r="AN15" s="456"/>
      <c r="AO15" s="456"/>
      <c r="AP15" s="456"/>
      <c r="AQ15" s="456"/>
      <c r="AR15" s="456"/>
      <c r="AS15" s="456"/>
      <c r="AT15" s="456"/>
      <c r="AU15" s="456"/>
      <c r="AV15" s="456"/>
      <c r="AW15" s="456"/>
      <c r="AX15" s="456"/>
      <c r="AY15" s="456"/>
      <c r="AZ15" s="456"/>
      <c r="BA15" s="456"/>
      <c r="BB15" s="456"/>
      <c r="BC15" s="456"/>
      <c r="BD15" s="456"/>
      <c r="BE15" s="456"/>
      <c r="BF15" s="456"/>
      <c r="BG15" s="456"/>
      <c r="BH15" s="456"/>
      <c r="BI15" s="456"/>
      <c r="BJ15" s="456"/>
      <c r="BK15" s="456"/>
      <c r="BL15" s="456"/>
      <c r="BM15" s="456"/>
      <c r="BN15" s="456"/>
      <c r="BO15" s="456"/>
      <c r="BP15" s="456"/>
      <c r="BQ15" s="456"/>
      <c r="BR15" s="456"/>
      <c r="BS15" s="456"/>
      <c r="BT15" s="456"/>
      <c r="BU15" s="456"/>
      <c r="BV15" s="456"/>
      <c r="BW15" s="456"/>
      <c r="BX15" s="456"/>
      <c r="BY15" s="456"/>
      <c r="BZ15" s="456"/>
      <c r="CA15" s="456"/>
      <c r="CB15" s="456"/>
      <c r="CC15" s="456"/>
      <c r="CD15" s="456"/>
      <c r="CE15" s="456"/>
      <c r="CF15" s="456"/>
      <c r="CG15" s="456"/>
      <c r="CH15" s="456"/>
      <c r="CI15" s="456"/>
      <c r="CJ15" s="456"/>
      <c r="CK15" s="456"/>
      <c r="CL15" s="456"/>
      <c r="CM15" s="456"/>
      <c r="CN15" s="456"/>
      <c r="CO15" s="456"/>
      <c r="CP15" s="456"/>
      <c r="CQ15" s="456"/>
      <c r="CR15" s="456"/>
      <c r="CS15" s="456"/>
      <c r="CT15" s="456"/>
      <c r="CU15" s="456"/>
      <c r="CV15" s="456"/>
      <c r="CW15" s="456"/>
      <c r="CX15" s="456"/>
      <c r="CY15" s="456"/>
      <c r="CZ15" s="456"/>
      <c r="DA15" s="456"/>
      <c r="DB15" s="456"/>
      <c r="DC15" s="456"/>
      <c r="DD15" s="456"/>
      <c r="DE15" s="455">
        <v>5</v>
      </c>
      <c r="DF15" s="456"/>
    </row>
    <row r="16" spans="1:110" ht="23.25">
      <c r="A16" s="329" t="s">
        <v>303</v>
      </c>
      <c r="B16" s="330">
        <v>53257551</v>
      </c>
      <c r="C16" s="258">
        <v>178948</v>
      </c>
      <c r="D16" s="258">
        <v>189620</v>
      </c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9">
        <f>SUM(C16:N16)</f>
        <v>368568</v>
      </c>
      <c r="P16" s="247">
        <f t="shared" si="1"/>
        <v>0</v>
      </c>
      <c r="Q16" s="247">
        <f t="shared" si="2"/>
        <v>0</v>
      </c>
      <c r="R16" s="229"/>
      <c r="S16" s="455">
        <v>40330</v>
      </c>
      <c r="T16" s="456"/>
      <c r="U16" s="456"/>
      <c r="V16" s="456"/>
      <c r="W16" s="456"/>
      <c r="X16" s="456"/>
      <c r="Y16" s="456"/>
      <c r="Z16" s="456"/>
      <c r="AA16" s="456"/>
      <c r="AB16" s="456"/>
      <c r="AC16" s="456"/>
      <c r="AD16" s="456"/>
      <c r="AE16" s="456"/>
      <c r="AF16" s="456"/>
      <c r="AG16" s="456"/>
      <c r="AH16" s="456"/>
      <c r="AI16" s="456"/>
      <c r="AJ16" s="456"/>
      <c r="AK16" s="456"/>
      <c r="AL16" s="456"/>
      <c r="AM16" s="456"/>
      <c r="AN16" s="456"/>
      <c r="AO16" s="456"/>
      <c r="AP16" s="456"/>
      <c r="AQ16" s="456"/>
      <c r="AR16" s="456"/>
      <c r="AS16" s="456"/>
      <c r="AT16" s="456"/>
      <c r="AU16" s="456"/>
      <c r="AV16" s="456"/>
      <c r="AW16" s="456"/>
      <c r="AX16" s="456"/>
      <c r="AY16" s="456"/>
      <c r="AZ16" s="456"/>
      <c r="BA16" s="456"/>
      <c r="BB16" s="456"/>
      <c r="BC16" s="456"/>
      <c r="BD16" s="456"/>
      <c r="BE16" s="456"/>
      <c r="BF16" s="456"/>
      <c r="BG16" s="456"/>
      <c r="BH16" s="456"/>
      <c r="BI16" s="456"/>
      <c r="BJ16" s="456"/>
      <c r="BK16" s="456"/>
      <c r="BL16" s="456"/>
      <c r="BM16" s="456"/>
      <c r="BN16" s="456"/>
      <c r="BO16" s="456"/>
      <c r="BP16" s="456"/>
      <c r="BQ16" s="456"/>
      <c r="BR16" s="456"/>
      <c r="BS16" s="456"/>
      <c r="BT16" s="456"/>
      <c r="BU16" s="456"/>
      <c r="BV16" s="456"/>
      <c r="BW16" s="456"/>
      <c r="BX16" s="456"/>
      <c r="BY16" s="456"/>
      <c r="BZ16" s="456"/>
      <c r="CA16" s="456"/>
      <c r="CB16" s="456"/>
      <c r="CC16" s="456"/>
      <c r="CD16" s="456"/>
      <c r="CE16" s="456"/>
      <c r="CF16" s="456"/>
      <c r="CG16" s="456"/>
      <c r="CH16" s="456"/>
      <c r="CI16" s="456"/>
      <c r="CJ16" s="456"/>
      <c r="CK16" s="456"/>
      <c r="CL16" s="456"/>
      <c r="CM16" s="456"/>
      <c r="CN16" s="456"/>
      <c r="CO16" s="456"/>
      <c r="CP16" s="456"/>
      <c r="CQ16" s="456"/>
      <c r="CR16" s="456"/>
      <c r="CS16" s="456"/>
      <c r="CT16" s="456"/>
      <c r="CU16" s="456"/>
      <c r="CV16" s="456"/>
      <c r="CW16" s="456"/>
      <c r="CX16" s="456"/>
      <c r="CY16" s="456"/>
      <c r="CZ16" s="456"/>
      <c r="DA16" s="456"/>
      <c r="DB16" s="456"/>
      <c r="DC16" s="456"/>
      <c r="DD16" s="456"/>
      <c r="DE16" s="455">
        <v>6</v>
      </c>
      <c r="DF16" s="456"/>
    </row>
    <row r="17" spans="1:110" ht="23.25">
      <c r="A17" s="329" t="s">
        <v>304</v>
      </c>
      <c r="B17" s="330">
        <v>53257571</v>
      </c>
      <c r="C17" s="258">
        <v>82735</v>
      </c>
      <c r="D17" s="258">
        <v>123809</v>
      </c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9">
        <f>SUM(C17:N17)</f>
        <v>206544</v>
      </c>
      <c r="P17" s="247">
        <f t="shared" si="1"/>
        <v>0</v>
      </c>
      <c r="Q17" s="247">
        <f t="shared" si="2"/>
        <v>0</v>
      </c>
      <c r="R17" s="562"/>
      <c r="S17" s="455">
        <v>40360</v>
      </c>
      <c r="T17" s="456"/>
      <c r="U17" s="456"/>
      <c r="V17" s="456"/>
      <c r="W17" s="456"/>
      <c r="X17" s="456"/>
      <c r="Y17" s="456"/>
      <c r="Z17" s="456"/>
      <c r="AA17" s="456"/>
      <c r="AB17" s="456"/>
      <c r="AC17" s="456"/>
      <c r="AD17" s="456"/>
      <c r="AE17" s="456"/>
      <c r="AF17" s="456"/>
      <c r="AG17" s="456"/>
      <c r="AH17" s="456"/>
      <c r="AI17" s="456"/>
      <c r="AJ17" s="456"/>
      <c r="AK17" s="456"/>
      <c r="AL17" s="456"/>
      <c r="AM17" s="456"/>
      <c r="AN17" s="456"/>
      <c r="AO17" s="456"/>
      <c r="AP17" s="456"/>
      <c r="AQ17" s="456"/>
      <c r="AR17" s="456"/>
      <c r="AS17" s="456"/>
      <c r="AT17" s="456"/>
      <c r="AU17" s="456"/>
      <c r="AV17" s="456"/>
      <c r="AW17" s="456"/>
      <c r="AX17" s="456"/>
      <c r="AY17" s="456"/>
      <c r="AZ17" s="456"/>
      <c r="BA17" s="456"/>
      <c r="BB17" s="456"/>
      <c r="BC17" s="456"/>
      <c r="BD17" s="456"/>
      <c r="BE17" s="456"/>
      <c r="BF17" s="456"/>
      <c r="BG17" s="456"/>
      <c r="BH17" s="456"/>
      <c r="BI17" s="456"/>
      <c r="BJ17" s="456"/>
      <c r="BK17" s="456"/>
      <c r="BL17" s="456"/>
      <c r="BM17" s="456"/>
      <c r="BN17" s="456"/>
      <c r="BO17" s="456"/>
      <c r="BP17" s="456"/>
      <c r="BQ17" s="456"/>
      <c r="BR17" s="456"/>
      <c r="BS17" s="456"/>
      <c r="BT17" s="456"/>
      <c r="BU17" s="456"/>
      <c r="BV17" s="456"/>
      <c r="BW17" s="456"/>
      <c r="BX17" s="456"/>
      <c r="BY17" s="456"/>
      <c r="BZ17" s="456"/>
      <c r="CA17" s="456"/>
      <c r="CB17" s="456"/>
      <c r="CC17" s="456"/>
      <c r="CD17" s="456"/>
      <c r="CE17" s="456"/>
      <c r="CF17" s="456"/>
      <c r="CG17" s="456"/>
      <c r="CH17" s="456"/>
      <c r="CI17" s="456"/>
      <c r="CJ17" s="456"/>
      <c r="CK17" s="456"/>
      <c r="CL17" s="456"/>
      <c r="CM17" s="456"/>
      <c r="CN17" s="456"/>
      <c r="CO17" s="456"/>
      <c r="CP17" s="456"/>
      <c r="CQ17" s="456"/>
      <c r="CR17" s="456"/>
      <c r="CS17" s="456"/>
      <c r="CT17" s="456"/>
      <c r="CU17" s="456"/>
      <c r="CV17" s="456"/>
      <c r="CW17" s="456"/>
      <c r="CX17" s="456"/>
      <c r="CY17" s="456"/>
      <c r="CZ17" s="456"/>
      <c r="DA17" s="456"/>
      <c r="DB17" s="456"/>
      <c r="DC17" s="456"/>
      <c r="DD17" s="456"/>
      <c r="DE17" s="455">
        <v>7</v>
      </c>
      <c r="DF17" s="456"/>
    </row>
    <row r="18" spans="1:110" ht="24" thickBot="1">
      <c r="A18" s="331" t="s">
        <v>305</v>
      </c>
      <c r="B18" s="461">
        <v>0</v>
      </c>
      <c r="C18" s="260">
        <v>0</v>
      </c>
      <c r="D18" s="260">
        <v>0</v>
      </c>
      <c r="E18" s="260">
        <v>0</v>
      </c>
      <c r="F18" s="260">
        <v>0</v>
      </c>
      <c r="G18" s="260">
        <v>0</v>
      </c>
      <c r="H18" s="260">
        <v>0</v>
      </c>
      <c r="I18" s="260"/>
      <c r="J18" s="260"/>
      <c r="K18" s="260"/>
      <c r="L18" s="260"/>
      <c r="M18" s="260"/>
      <c r="N18" s="260"/>
      <c r="O18" s="261">
        <f>SUM(C18:N18)</f>
        <v>0</v>
      </c>
      <c r="P18" s="247">
        <f t="shared" si="1"/>
        <v>0</v>
      </c>
      <c r="Q18" s="247">
        <f t="shared" si="2"/>
        <v>0</v>
      </c>
      <c r="R18" s="229"/>
      <c r="S18" s="455">
        <v>40391</v>
      </c>
      <c r="T18" s="456"/>
      <c r="U18" s="456"/>
      <c r="V18" s="456"/>
      <c r="W18" s="456"/>
      <c r="X18" s="456"/>
      <c r="Y18" s="456"/>
      <c r="Z18" s="456"/>
      <c r="AA18" s="456"/>
      <c r="AB18" s="456"/>
      <c r="AC18" s="456"/>
      <c r="AD18" s="456"/>
      <c r="AE18" s="456"/>
      <c r="AF18" s="456"/>
      <c r="AG18" s="456"/>
      <c r="AH18" s="456"/>
      <c r="AI18" s="456"/>
      <c r="AJ18" s="456"/>
      <c r="AK18" s="456"/>
      <c r="AL18" s="456"/>
      <c r="AM18" s="456"/>
      <c r="AN18" s="456"/>
      <c r="AO18" s="456"/>
      <c r="AP18" s="456"/>
      <c r="AQ18" s="456"/>
      <c r="AR18" s="456"/>
      <c r="AS18" s="456"/>
      <c r="AT18" s="456"/>
      <c r="AU18" s="456"/>
      <c r="AV18" s="456"/>
      <c r="AW18" s="456"/>
      <c r="AX18" s="456"/>
      <c r="AY18" s="456"/>
      <c r="AZ18" s="456"/>
      <c r="BA18" s="456"/>
      <c r="BB18" s="456"/>
      <c r="BC18" s="456"/>
      <c r="BD18" s="456"/>
      <c r="BE18" s="456"/>
      <c r="BF18" s="456"/>
      <c r="BG18" s="456"/>
      <c r="BH18" s="456"/>
      <c r="BI18" s="456"/>
      <c r="BJ18" s="456"/>
      <c r="BK18" s="456"/>
      <c r="BL18" s="456"/>
      <c r="BM18" s="456"/>
      <c r="BN18" s="456"/>
      <c r="BO18" s="456"/>
      <c r="BP18" s="456"/>
      <c r="BQ18" s="456"/>
      <c r="BR18" s="456"/>
      <c r="BS18" s="456"/>
      <c r="BT18" s="456"/>
      <c r="BU18" s="456"/>
      <c r="BV18" s="456"/>
      <c r="BW18" s="456"/>
      <c r="BX18" s="456"/>
      <c r="BY18" s="456"/>
      <c r="BZ18" s="456"/>
      <c r="CA18" s="456"/>
      <c r="CB18" s="456"/>
      <c r="CC18" s="456"/>
      <c r="CD18" s="456"/>
      <c r="CE18" s="456"/>
      <c r="CF18" s="456"/>
      <c r="CG18" s="456"/>
      <c r="CH18" s="456"/>
      <c r="CI18" s="456"/>
      <c r="CJ18" s="456"/>
      <c r="CK18" s="456"/>
      <c r="CL18" s="456"/>
      <c r="CM18" s="456"/>
      <c r="CN18" s="456"/>
      <c r="CO18" s="456"/>
      <c r="CP18" s="456"/>
      <c r="CQ18" s="456"/>
      <c r="CR18" s="456"/>
      <c r="CS18" s="456"/>
      <c r="CT18" s="456"/>
      <c r="CU18" s="456"/>
      <c r="CV18" s="456"/>
      <c r="CW18" s="456"/>
      <c r="CX18" s="456"/>
      <c r="CY18" s="456"/>
      <c r="CZ18" s="456"/>
      <c r="DA18" s="456"/>
      <c r="DB18" s="456"/>
      <c r="DC18" s="456"/>
      <c r="DD18" s="456"/>
      <c r="DE18" s="455">
        <v>8</v>
      </c>
      <c r="DF18" s="456"/>
    </row>
    <row r="19" spans="1:110" s="230" customFormat="1" ht="24" thickBot="1">
      <c r="A19" s="332" t="s">
        <v>306</v>
      </c>
      <c r="B19" s="333"/>
      <c r="C19" s="262">
        <f>SUM(C15:C18)</f>
        <v>528751.09000000008</v>
      </c>
      <c r="D19" s="262">
        <f>SUM(D15:D18)</f>
        <v>626294.69999999995</v>
      </c>
      <c r="E19" s="262">
        <f t="shared" ref="E19:M19" si="3">SUM(E15:E18)</f>
        <v>0</v>
      </c>
      <c r="F19" s="262">
        <f t="shared" si="3"/>
        <v>0</v>
      </c>
      <c r="G19" s="262">
        <f t="shared" si="3"/>
        <v>0</v>
      </c>
      <c r="H19" s="262">
        <f t="shared" si="3"/>
        <v>0</v>
      </c>
      <c r="I19" s="262">
        <f t="shared" si="3"/>
        <v>0</v>
      </c>
      <c r="J19" s="262">
        <f t="shared" si="3"/>
        <v>0</v>
      </c>
      <c r="K19" s="262">
        <f t="shared" si="3"/>
        <v>0</v>
      </c>
      <c r="L19" s="262">
        <f t="shared" si="3"/>
        <v>0</v>
      </c>
      <c r="M19" s="262">
        <f t="shared" si="3"/>
        <v>0</v>
      </c>
      <c r="N19" s="262">
        <f>SUM(N15:N18)</f>
        <v>0</v>
      </c>
      <c r="O19" s="262">
        <f>SUM(O15:O18)</f>
        <v>1155045.79</v>
      </c>
      <c r="P19" s="247">
        <f t="shared" si="1"/>
        <v>0</v>
      </c>
      <c r="Q19" s="247">
        <f t="shared" si="2"/>
        <v>0</v>
      </c>
      <c r="R19" s="227"/>
      <c r="S19" s="457">
        <v>40422</v>
      </c>
      <c r="T19" s="453"/>
      <c r="U19" s="453"/>
      <c r="V19" s="453"/>
      <c r="W19" s="453"/>
      <c r="X19" s="453"/>
      <c r="Y19" s="453"/>
      <c r="Z19" s="453"/>
      <c r="AA19" s="458"/>
      <c r="AB19" s="458"/>
      <c r="AC19" s="458"/>
      <c r="AD19" s="458"/>
      <c r="AE19" s="458"/>
      <c r="AF19" s="458"/>
      <c r="AG19" s="458"/>
      <c r="AH19" s="458"/>
      <c r="AI19" s="458"/>
      <c r="AJ19" s="458"/>
      <c r="AK19" s="458"/>
      <c r="AL19" s="458"/>
      <c r="AM19" s="458"/>
      <c r="AN19" s="458"/>
      <c r="AO19" s="458"/>
      <c r="AP19" s="458"/>
      <c r="AQ19" s="458"/>
      <c r="AR19" s="458"/>
      <c r="AS19" s="458"/>
      <c r="AT19" s="458"/>
      <c r="AU19" s="458"/>
      <c r="AV19" s="458"/>
      <c r="AW19" s="458"/>
      <c r="AX19" s="458"/>
      <c r="AY19" s="458"/>
      <c r="AZ19" s="458"/>
      <c r="BA19" s="458"/>
      <c r="BB19" s="458"/>
      <c r="BC19" s="458"/>
      <c r="BD19" s="458"/>
      <c r="BE19" s="458"/>
      <c r="BF19" s="458"/>
      <c r="BG19" s="458"/>
      <c r="BH19" s="458"/>
      <c r="BI19" s="458"/>
      <c r="BJ19" s="458"/>
      <c r="BK19" s="458"/>
      <c r="BL19" s="458"/>
      <c r="BM19" s="458"/>
      <c r="BN19" s="458"/>
      <c r="BO19" s="458"/>
      <c r="BP19" s="458"/>
      <c r="BQ19" s="458"/>
      <c r="BR19" s="458"/>
      <c r="BS19" s="458"/>
      <c r="BT19" s="458"/>
      <c r="BU19" s="458"/>
      <c r="BV19" s="458"/>
      <c r="BW19" s="458"/>
      <c r="BX19" s="458"/>
      <c r="BY19" s="458"/>
      <c r="BZ19" s="458"/>
      <c r="CA19" s="458"/>
      <c r="CB19" s="458"/>
      <c r="CC19" s="458"/>
      <c r="CD19" s="458"/>
      <c r="CE19" s="458"/>
      <c r="CF19" s="458"/>
      <c r="CG19" s="458"/>
      <c r="CH19" s="458"/>
      <c r="CI19" s="458"/>
      <c r="CJ19" s="458"/>
      <c r="CK19" s="458"/>
      <c r="CL19" s="458"/>
      <c r="CM19" s="458"/>
      <c r="CN19" s="458"/>
      <c r="CO19" s="458"/>
      <c r="CP19" s="458"/>
      <c r="CQ19" s="458"/>
      <c r="CR19" s="458"/>
      <c r="CS19" s="458"/>
      <c r="CT19" s="458"/>
      <c r="CU19" s="458"/>
      <c r="CV19" s="458"/>
      <c r="CW19" s="458"/>
      <c r="CX19" s="458"/>
      <c r="CY19" s="458"/>
      <c r="CZ19" s="458"/>
      <c r="DA19" s="458"/>
      <c r="DB19" s="458"/>
      <c r="DC19" s="458"/>
      <c r="DD19" s="458"/>
      <c r="DE19" s="457">
        <v>9</v>
      </c>
      <c r="DF19" s="458"/>
    </row>
    <row r="20" spans="1:110" ht="12.75" hidden="1" customHeight="1">
      <c r="A20" s="334"/>
      <c r="B20" s="334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4"/>
      <c r="P20" s="247">
        <f t="shared" si="1"/>
        <v>0</v>
      </c>
      <c r="Q20" s="247">
        <f t="shared" si="2"/>
        <v>0</v>
      </c>
      <c r="R20" s="229"/>
      <c r="S20" s="455"/>
      <c r="T20" s="456"/>
      <c r="U20" s="456"/>
      <c r="V20" s="456"/>
      <c r="W20" s="456"/>
      <c r="X20" s="456"/>
      <c r="Y20" s="456"/>
      <c r="Z20" s="456"/>
      <c r="AA20" s="456"/>
      <c r="AB20" s="456"/>
      <c r="AC20" s="456"/>
      <c r="AD20" s="456"/>
      <c r="AE20" s="456"/>
      <c r="AF20" s="456"/>
      <c r="AG20" s="456"/>
      <c r="AH20" s="456"/>
      <c r="AI20" s="456"/>
      <c r="AJ20" s="456"/>
      <c r="AK20" s="456"/>
      <c r="AL20" s="456"/>
      <c r="AM20" s="456"/>
      <c r="AN20" s="456"/>
      <c r="AO20" s="456"/>
      <c r="AP20" s="456"/>
      <c r="AQ20" s="456"/>
      <c r="AR20" s="456"/>
      <c r="AS20" s="456"/>
      <c r="AT20" s="456"/>
      <c r="AU20" s="456"/>
      <c r="AV20" s="456"/>
      <c r="AW20" s="456"/>
      <c r="AX20" s="456"/>
      <c r="AY20" s="456"/>
      <c r="AZ20" s="456"/>
      <c r="BA20" s="456"/>
      <c r="BB20" s="456"/>
      <c r="BC20" s="456"/>
      <c r="BD20" s="456"/>
      <c r="BE20" s="456"/>
      <c r="BF20" s="456"/>
      <c r="BG20" s="456"/>
      <c r="BH20" s="456"/>
      <c r="BI20" s="456"/>
      <c r="BJ20" s="456"/>
      <c r="BK20" s="456"/>
      <c r="BL20" s="456"/>
      <c r="BM20" s="456"/>
      <c r="BN20" s="456"/>
      <c r="BO20" s="456"/>
      <c r="BP20" s="456"/>
      <c r="BQ20" s="456"/>
      <c r="BR20" s="456"/>
      <c r="BS20" s="456"/>
      <c r="BT20" s="456"/>
      <c r="BU20" s="456"/>
      <c r="BV20" s="456"/>
      <c r="BW20" s="456"/>
      <c r="BX20" s="456"/>
      <c r="BY20" s="456"/>
      <c r="BZ20" s="456"/>
      <c r="CA20" s="456"/>
      <c r="CB20" s="456"/>
      <c r="CC20" s="456"/>
      <c r="CD20" s="456"/>
      <c r="CE20" s="456"/>
      <c r="CF20" s="456"/>
      <c r="CG20" s="456"/>
      <c r="CH20" s="456"/>
      <c r="CI20" s="456"/>
      <c r="CJ20" s="456"/>
      <c r="CK20" s="456"/>
      <c r="CL20" s="456"/>
      <c r="CM20" s="456"/>
      <c r="CN20" s="456"/>
      <c r="CO20" s="456"/>
      <c r="CP20" s="456"/>
      <c r="CQ20" s="456"/>
      <c r="CR20" s="456"/>
      <c r="CS20" s="456"/>
      <c r="CT20" s="456"/>
      <c r="CU20" s="456"/>
      <c r="CV20" s="456"/>
      <c r="CW20" s="456"/>
      <c r="CX20" s="456"/>
      <c r="CY20" s="456"/>
      <c r="CZ20" s="456"/>
      <c r="DA20" s="456"/>
      <c r="DB20" s="456"/>
      <c r="DC20" s="456"/>
      <c r="DD20" s="456"/>
      <c r="DE20" s="455"/>
      <c r="DF20" s="456"/>
    </row>
    <row r="21" spans="1:110" ht="12.75" hidden="1" customHeight="1">
      <c r="A21" s="334" t="s">
        <v>307</v>
      </c>
      <c r="B21" s="334"/>
      <c r="C21" s="265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7"/>
      <c r="O21" s="264"/>
      <c r="P21" s="247">
        <f t="shared" si="1"/>
        <v>0</v>
      </c>
      <c r="Q21" s="247">
        <f t="shared" si="2"/>
        <v>0</v>
      </c>
      <c r="R21" s="229"/>
      <c r="S21" s="455"/>
      <c r="T21" s="456"/>
      <c r="U21" s="456"/>
      <c r="V21" s="456"/>
      <c r="W21" s="456"/>
      <c r="X21" s="456"/>
      <c r="Y21" s="456"/>
      <c r="Z21" s="456"/>
      <c r="AA21" s="456"/>
      <c r="AB21" s="456"/>
      <c r="AC21" s="456"/>
      <c r="AD21" s="456"/>
      <c r="AE21" s="456"/>
      <c r="AF21" s="456"/>
      <c r="AG21" s="456"/>
      <c r="AH21" s="456"/>
      <c r="AI21" s="456"/>
      <c r="AJ21" s="456"/>
      <c r="AK21" s="456"/>
      <c r="AL21" s="456"/>
      <c r="AM21" s="456"/>
      <c r="AN21" s="456"/>
      <c r="AO21" s="456"/>
      <c r="AP21" s="456"/>
      <c r="AQ21" s="456"/>
      <c r="AR21" s="456"/>
      <c r="AS21" s="456"/>
      <c r="AT21" s="456"/>
      <c r="AU21" s="456"/>
      <c r="AV21" s="456"/>
      <c r="AW21" s="456"/>
      <c r="AX21" s="456"/>
      <c r="AY21" s="456"/>
      <c r="AZ21" s="456"/>
      <c r="BA21" s="456"/>
      <c r="BB21" s="456"/>
      <c r="BC21" s="456"/>
      <c r="BD21" s="456"/>
      <c r="BE21" s="456"/>
      <c r="BF21" s="456"/>
      <c r="BG21" s="456"/>
      <c r="BH21" s="456"/>
      <c r="BI21" s="456"/>
      <c r="BJ21" s="456"/>
      <c r="BK21" s="456"/>
      <c r="BL21" s="456"/>
      <c r="BM21" s="456"/>
      <c r="BN21" s="456"/>
      <c r="BO21" s="456"/>
      <c r="BP21" s="456"/>
      <c r="BQ21" s="456"/>
      <c r="BR21" s="456"/>
      <c r="BS21" s="456"/>
      <c r="BT21" s="456"/>
      <c r="BU21" s="456"/>
      <c r="BV21" s="456"/>
      <c r="BW21" s="456"/>
      <c r="BX21" s="456"/>
      <c r="BY21" s="456"/>
      <c r="BZ21" s="456"/>
      <c r="CA21" s="456"/>
      <c r="CB21" s="456"/>
      <c r="CC21" s="456"/>
      <c r="CD21" s="456"/>
      <c r="CE21" s="456"/>
      <c r="CF21" s="456"/>
      <c r="CG21" s="456"/>
      <c r="CH21" s="456"/>
      <c r="CI21" s="456"/>
      <c r="CJ21" s="456"/>
      <c r="CK21" s="456"/>
      <c r="CL21" s="456"/>
      <c r="CM21" s="456"/>
      <c r="CN21" s="456"/>
      <c r="CO21" s="456"/>
      <c r="CP21" s="456"/>
      <c r="CQ21" s="456"/>
      <c r="CR21" s="456"/>
      <c r="CS21" s="456"/>
      <c r="CT21" s="456"/>
      <c r="CU21" s="456"/>
      <c r="CV21" s="456"/>
      <c r="CW21" s="456"/>
      <c r="CX21" s="456"/>
      <c r="CY21" s="456"/>
      <c r="CZ21" s="456"/>
      <c r="DA21" s="456"/>
      <c r="DB21" s="456"/>
      <c r="DC21" s="456"/>
      <c r="DD21" s="456"/>
      <c r="DE21" s="455"/>
      <c r="DF21" s="456"/>
    </row>
    <row r="22" spans="1:110" ht="12.75" hidden="1" customHeight="1">
      <c r="A22" s="334" t="s">
        <v>308</v>
      </c>
      <c r="B22" s="334">
        <v>53251503</v>
      </c>
      <c r="C22" s="267">
        <v>2782.3724209327602</v>
      </c>
      <c r="D22" s="267">
        <v>2209.2805313129379</v>
      </c>
      <c r="E22" s="267">
        <v>3205.3201564567603</v>
      </c>
      <c r="F22" s="267">
        <v>2604.6091154625256</v>
      </c>
      <c r="G22" s="267">
        <v>3235.6987440758298</v>
      </c>
      <c r="H22" s="267">
        <v>2482.8473526037669</v>
      </c>
      <c r="I22" s="267">
        <v>3129.5287419927386</v>
      </c>
      <c r="J22" s="267">
        <v>4085.8966955648962</v>
      </c>
      <c r="K22" s="267">
        <v>4096.02342029171</v>
      </c>
      <c r="L22" s="267">
        <v>4111.0374229127128</v>
      </c>
      <c r="M22" s="267">
        <v>4007.7193641127155</v>
      </c>
      <c r="N22" s="267">
        <v>3115.8678781237404</v>
      </c>
      <c r="O22" s="264">
        <v>39066.20184384309</v>
      </c>
      <c r="P22" s="247">
        <f t="shared" si="1"/>
        <v>0</v>
      </c>
      <c r="Q22" s="247">
        <f t="shared" si="2"/>
        <v>0</v>
      </c>
      <c r="R22" s="229"/>
      <c r="S22" s="455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  <c r="AF22" s="456"/>
      <c r="AG22" s="456"/>
      <c r="AH22" s="456"/>
      <c r="AI22" s="456"/>
      <c r="AJ22" s="456"/>
      <c r="AK22" s="456"/>
      <c r="AL22" s="456"/>
      <c r="AM22" s="456"/>
      <c r="AN22" s="456"/>
      <c r="AO22" s="456"/>
      <c r="AP22" s="456"/>
      <c r="AQ22" s="456"/>
      <c r="AR22" s="456"/>
      <c r="AS22" s="456"/>
      <c r="AT22" s="456"/>
      <c r="AU22" s="456"/>
      <c r="AV22" s="456"/>
      <c r="AW22" s="456"/>
      <c r="AX22" s="456"/>
      <c r="AY22" s="456"/>
      <c r="AZ22" s="456"/>
      <c r="BA22" s="456"/>
      <c r="BB22" s="456"/>
      <c r="BC22" s="456"/>
      <c r="BD22" s="456"/>
      <c r="BE22" s="456"/>
      <c r="BF22" s="456"/>
      <c r="BG22" s="456"/>
      <c r="BH22" s="456"/>
      <c r="BI22" s="456"/>
      <c r="BJ22" s="456"/>
      <c r="BK22" s="456"/>
      <c r="BL22" s="456"/>
      <c r="BM22" s="456"/>
      <c r="BN22" s="456"/>
      <c r="BO22" s="456"/>
      <c r="BP22" s="456"/>
      <c r="BQ22" s="456"/>
      <c r="BR22" s="456"/>
      <c r="BS22" s="456"/>
      <c r="BT22" s="456"/>
      <c r="BU22" s="456"/>
      <c r="BV22" s="456"/>
      <c r="BW22" s="456"/>
      <c r="BX22" s="456"/>
      <c r="BY22" s="456"/>
      <c r="BZ22" s="456"/>
      <c r="CA22" s="456"/>
      <c r="CB22" s="456"/>
      <c r="CC22" s="456"/>
      <c r="CD22" s="456"/>
      <c r="CE22" s="456"/>
      <c r="CF22" s="456"/>
      <c r="CG22" s="456"/>
      <c r="CH22" s="456"/>
      <c r="CI22" s="456"/>
      <c r="CJ22" s="456"/>
      <c r="CK22" s="456"/>
      <c r="CL22" s="456"/>
      <c r="CM22" s="456"/>
      <c r="CN22" s="456"/>
      <c r="CO22" s="456"/>
      <c r="CP22" s="456"/>
      <c r="CQ22" s="456"/>
      <c r="CR22" s="456"/>
      <c r="CS22" s="456"/>
      <c r="CT22" s="456"/>
      <c r="CU22" s="456"/>
      <c r="CV22" s="456"/>
      <c r="CW22" s="456"/>
      <c r="CX22" s="456"/>
      <c r="CY22" s="456"/>
      <c r="CZ22" s="456"/>
      <c r="DA22" s="456"/>
      <c r="DB22" s="456"/>
      <c r="DC22" s="456"/>
      <c r="DD22" s="456"/>
      <c r="DE22" s="455"/>
      <c r="DF22" s="456"/>
    </row>
    <row r="23" spans="1:110" s="228" customFormat="1" ht="12.75" hidden="1" customHeight="1">
      <c r="A23" s="334" t="s">
        <v>309</v>
      </c>
      <c r="B23" s="334">
        <v>53251912</v>
      </c>
      <c r="C23" s="267">
        <v>0</v>
      </c>
      <c r="D23" s="267">
        <v>0</v>
      </c>
      <c r="E23" s="267">
        <v>0</v>
      </c>
      <c r="F23" s="267">
        <v>0</v>
      </c>
      <c r="G23" s="267">
        <v>0</v>
      </c>
      <c r="H23" s="267">
        <v>0</v>
      </c>
      <c r="I23" s="267">
        <v>0</v>
      </c>
      <c r="J23" s="267">
        <v>0</v>
      </c>
      <c r="K23" s="267">
        <v>0</v>
      </c>
      <c r="L23" s="267">
        <v>0</v>
      </c>
      <c r="M23" s="267">
        <v>0</v>
      </c>
      <c r="N23" s="267">
        <v>0</v>
      </c>
      <c r="O23" s="264">
        <v>0</v>
      </c>
      <c r="P23" s="247">
        <f t="shared" si="1"/>
        <v>0</v>
      </c>
      <c r="Q23" s="247">
        <f t="shared" si="2"/>
        <v>0</v>
      </c>
      <c r="R23" s="227"/>
      <c r="S23" s="457"/>
      <c r="T23" s="453"/>
      <c r="U23" s="453"/>
      <c r="V23" s="453"/>
      <c r="W23" s="453"/>
      <c r="X23" s="453"/>
      <c r="Y23" s="453"/>
      <c r="Z23" s="453"/>
      <c r="AA23" s="453"/>
      <c r="AB23" s="453"/>
      <c r="AC23" s="453"/>
      <c r="AD23" s="453"/>
      <c r="AE23" s="453"/>
      <c r="AF23" s="453"/>
      <c r="AG23" s="453"/>
      <c r="AH23" s="453"/>
      <c r="AI23" s="453"/>
      <c r="AJ23" s="453"/>
      <c r="AK23" s="453"/>
      <c r="AL23" s="453"/>
      <c r="AM23" s="453"/>
      <c r="AN23" s="453"/>
      <c r="AO23" s="453"/>
      <c r="AP23" s="453"/>
      <c r="AQ23" s="453"/>
      <c r="AR23" s="453"/>
      <c r="AS23" s="453"/>
      <c r="AT23" s="453"/>
      <c r="AU23" s="453"/>
      <c r="AV23" s="453"/>
      <c r="AW23" s="453"/>
      <c r="AX23" s="453"/>
      <c r="AY23" s="453"/>
      <c r="AZ23" s="453"/>
      <c r="BA23" s="453"/>
      <c r="BB23" s="453"/>
      <c r="BC23" s="453"/>
      <c r="BD23" s="453"/>
      <c r="BE23" s="453"/>
      <c r="BF23" s="453"/>
      <c r="BG23" s="453"/>
      <c r="BH23" s="453"/>
      <c r="BI23" s="453"/>
      <c r="BJ23" s="453"/>
      <c r="BK23" s="453"/>
      <c r="BL23" s="453"/>
      <c r="BM23" s="453"/>
      <c r="BN23" s="453"/>
      <c r="BO23" s="453"/>
      <c r="BP23" s="453"/>
      <c r="BQ23" s="453"/>
      <c r="BR23" s="453"/>
      <c r="BS23" s="453"/>
      <c r="BT23" s="453"/>
      <c r="BU23" s="453"/>
      <c r="BV23" s="453"/>
      <c r="BW23" s="453"/>
      <c r="BX23" s="453"/>
      <c r="BY23" s="453"/>
      <c r="BZ23" s="453"/>
      <c r="CA23" s="453"/>
      <c r="CB23" s="453"/>
      <c r="CC23" s="453"/>
      <c r="CD23" s="453"/>
      <c r="CE23" s="453"/>
      <c r="CF23" s="453"/>
      <c r="CG23" s="453"/>
      <c r="CH23" s="453"/>
      <c r="CI23" s="453"/>
      <c r="CJ23" s="453"/>
      <c r="CK23" s="453"/>
      <c r="CL23" s="453"/>
      <c r="CM23" s="453"/>
      <c r="CN23" s="453"/>
      <c r="CO23" s="453"/>
      <c r="CP23" s="453"/>
      <c r="CQ23" s="453"/>
      <c r="CR23" s="453"/>
      <c r="CS23" s="453"/>
      <c r="CT23" s="453"/>
      <c r="CU23" s="453"/>
      <c r="CV23" s="453"/>
      <c r="CW23" s="453"/>
      <c r="CX23" s="453"/>
      <c r="CY23" s="453"/>
      <c r="CZ23" s="453"/>
      <c r="DA23" s="453"/>
      <c r="DB23" s="453"/>
      <c r="DC23" s="453"/>
      <c r="DD23" s="453"/>
      <c r="DE23" s="457"/>
      <c r="DF23" s="453"/>
    </row>
    <row r="24" spans="1:110" ht="12.75" hidden="1" customHeight="1">
      <c r="A24" s="334" t="s">
        <v>310</v>
      </c>
      <c r="B24" s="334">
        <v>53251919</v>
      </c>
      <c r="C24" s="267">
        <v>11276.363227910348</v>
      </c>
      <c r="D24" s="267">
        <v>10009.132669991368</v>
      </c>
      <c r="E24" s="267">
        <v>9350.2819140655411</v>
      </c>
      <c r="F24" s="267">
        <v>12862.267236851978</v>
      </c>
      <c r="G24" s="267">
        <v>10806.952345971564</v>
      </c>
      <c r="H24" s="267">
        <v>11155.63987638318</v>
      </c>
      <c r="I24" s="267">
        <v>12970.205320451796</v>
      </c>
      <c r="J24" s="267">
        <v>10165.751474999999</v>
      </c>
      <c r="K24" s="267">
        <v>10061.171175000001</v>
      </c>
      <c r="L24" s="267">
        <v>10190.725875</v>
      </c>
      <c r="M24" s="267">
        <v>10023.31935</v>
      </c>
      <c r="N24" s="267">
        <v>7435.7373749999997</v>
      </c>
      <c r="O24" s="264">
        <v>126307.54784162578</v>
      </c>
      <c r="P24" s="247">
        <f t="shared" si="1"/>
        <v>0</v>
      </c>
      <c r="Q24" s="247">
        <f t="shared" si="2"/>
        <v>0</v>
      </c>
      <c r="R24" s="229"/>
      <c r="S24" s="455"/>
      <c r="T24" s="456"/>
      <c r="U24" s="456"/>
      <c r="V24" s="456"/>
      <c r="W24" s="456"/>
      <c r="X24" s="456"/>
      <c r="Y24" s="456"/>
      <c r="Z24" s="456"/>
      <c r="AA24" s="456"/>
      <c r="AB24" s="456"/>
      <c r="AC24" s="456"/>
      <c r="AD24" s="456"/>
      <c r="AE24" s="456"/>
      <c r="AF24" s="456"/>
      <c r="AG24" s="456"/>
      <c r="AH24" s="456"/>
      <c r="AI24" s="456"/>
      <c r="AJ24" s="456"/>
      <c r="AK24" s="456"/>
      <c r="AL24" s="456"/>
      <c r="AM24" s="456"/>
      <c r="AN24" s="456"/>
      <c r="AO24" s="456"/>
      <c r="AP24" s="456"/>
      <c r="AQ24" s="456"/>
      <c r="AR24" s="456"/>
      <c r="AS24" s="456"/>
      <c r="AT24" s="456"/>
      <c r="AU24" s="456"/>
      <c r="AV24" s="456"/>
      <c r="AW24" s="456"/>
      <c r="AX24" s="456"/>
      <c r="AY24" s="456"/>
      <c r="AZ24" s="456"/>
      <c r="BA24" s="456"/>
      <c r="BB24" s="456"/>
      <c r="BC24" s="456"/>
      <c r="BD24" s="456"/>
      <c r="BE24" s="456"/>
      <c r="BF24" s="456"/>
      <c r="BG24" s="456"/>
      <c r="BH24" s="456"/>
      <c r="BI24" s="456"/>
      <c r="BJ24" s="456"/>
      <c r="BK24" s="456"/>
      <c r="BL24" s="456"/>
      <c r="BM24" s="456"/>
      <c r="BN24" s="456"/>
      <c r="BO24" s="456"/>
      <c r="BP24" s="456"/>
      <c r="BQ24" s="456"/>
      <c r="BR24" s="456"/>
      <c r="BS24" s="456"/>
      <c r="BT24" s="456"/>
      <c r="BU24" s="456"/>
      <c r="BV24" s="456"/>
      <c r="BW24" s="456"/>
      <c r="BX24" s="456"/>
      <c r="BY24" s="456"/>
      <c r="BZ24" s="456"/>
      <c r="CA24" s="456"/>
      <c r="CB24" s="456"/>
      <c r="CC24" s="456"/>
      <c r="CD24" s="456"/>
      <c r="CE24" s="456"/>
      <c r="CF24" s="456"/>
      <c r="CG24" s="456"/>
      <c r="CH24" s="456"/>
      <c r="CI24" s="456"/>
      <c r="CJ24" s="456"/>
      <c r="CK24" s="456"/>
      <c r="CL24" s="456"/>
      <c r="CM24" s="456"/>
      <c r="CN24" s="456"/>
      <c r="CO24" s="456"/>
      <c r="CP24" s="456"/>
      <c r="CQ24" s="456"/>
      <c r="CR24" s="456"/>
      <c r="CS24" s="456"/>
      <c r="CT24" s="456"/>
      <c r="CU24" s="456"/>
      <c r="CV24" s="456"/>
      <c r="CW24" s="456"/>
      <c r="CX24" s="456"/>
      <c r="CY24" s="456"/>
      <c r="CZ24" s="456"/>
      <c r="DA24" s="456"/>
      <c r="DB24" s="456"/>
      <c r="DC24" s="456"/>
      <c r="DD24" s="456"/>
      <c r="DE24" s="455"/>
      <c r="DF24" s="456"/>
    </row>
    <row r="25" spans="1:110" ht="12.75" hidden="1" customHeight="1">
      <c r="A25" s="334" t="s">
        <v>311</v>
      </c>
      <c r="B25" s="334">
        <v>53252601</v>
      </c>
      <c r="C25" s="267">
        <v>0</v>
      </c>
      <c r="D25" s="267">
        <v>0</v>
      </c>
      <c r="E25" s="267">
        <v>0</v>
      </c>
      <c r="F25" s="267">
        <v>0</v>
      </c>
      <c r="G25" s="267">
        <v>0</v>
      </c>
      <c r="H25" s="267">
        <v>0</v>
      </c>
      <c r="I25" s="267">
        <v>0</v>
      </c>
      <c r="J25" s="267">
        <v>0</v>
      </c>
      <c r="K25" s="267">
        <v>0</v>
      </c>
      <c r="L25" s="267">
        <v>0</v>
      </c>
      <c r="M25" s="267">
        <v>0</v>
      </c>
      <c r="N25" s="267">
        <v>0</v>
      </c>
      <c r="O25" s="264">
        <v>0</v>
      </c>
      <c r="P25" s="247">
        <f t="shared" si="1"/>
        <v>0</v>
      </c>
      <c r="Q25" s="247">
        <f t="shared" si="2"/>
        <v>0</v>
      </c>
      <c r="R25" s="229"/>
      <c r="S25" s="455"/>
      <c r="T25" s="456"/>
      <c r="U25" s="456"/>
      <c r="V25" s="456"/>
      <c r="W25" s="456"/>
      <c r="X25" s="456"/>
      <c r="Y25" s="456"/>
      <c r="Z25" s="456"/>
      <c r="AA25" s="456"/>
      <c r="AB25" s="456"/>
      <c r="AC25" s="456"/>
      <c r="AD25" s="456"/>
      <c r="AE25" s="456"/>
      <c r="AF25" s="456"/>
      <c r="AG25" s="456"/>
      <c r="AH25" s="456"/>
      <c r="AI25" s="456"/>
      <c r="AJ25" s="456"/>
      <c r="AK25" s="456"/>
      <c r="AL25" s="456"/>
      <c r="AM25" s="456"/>
      <c r="AN25" s="456"/>
      <c r="AO25" s="456"/>
      <c r="AP25" s="456"/>
      <c r="AQ25" s="456"/>
      <c r="AR25" s="456"/>
      <c r="AS25" s="456"/>
      <c r="AT25" s="456"/>
      <c r="AU25" s="456"/>
      <c r="AV25" s="456"/>
      <c r="AW25" s="456"/>
      <c r="AX25" s="456"/>
      <c r="AY25" s="456"/>
      <c r="AZ25" s="456"/>
      <c r="BA25" s="456"/>
      <c r="BB25" s="456"/>
      <c r="BC25" s="456"/>
      <c r="BD25" s="456"/>
      <c r="BE25" s="456"/>
      <c r="BF25" s="456"/>
      <c r="BG25" s="456"/>
      <c r="BH25" s="456"/>
      <c r="BI25" s="456"/>
      <c r="BJ25" s="456"/>
      <c r="BK25" s="456"/>
      <c r="BL25" s="456"/>
      <c r="BM25" s="456"/>
      <c r="BN25" s="456"/>
      <c r="BO25" s="456"/>
      <c r="BP25" s="456"/>
      <c r="BQ25" s="456"/>
      <c r="BR25" s="456"/>
      <c r="BS25" s="456"/>
      <c r="BT25" s="456"/>
      <c r="BU25" s="456"/>
      <c r="BV25" s="456"/>
      <c r="BW25" s="456"/>
      <c r="BX25" s="456"/>
      <c r="BY25" s="456"/>
      <c r="BZ25" s="456"/>
      <c r="CA25" s="456"/>
      <c r="CB25" s="456"/>
      <c r="CC25" s="456"/>
      <c r="CD25" s="456"/>
      <c r="CE25" s="456"/>
      <c r="CF25" s="456"/>
      <c r="CG25" s="456"/>
      <c r="CH25" s="456"/>
      <c r="CI25" s="456"/>
      <c r="CJ25" s="456"/>
      <c r="CK25" s="456"/>
      <c r="CL25" s="456"/>
      <c r="CM25" s="456"/>
      <c r="CN25" s="456"/>
      <c r="CO25" s="456"/>
      <c r="CP25" s="456"/>
      <c r="CQ25" s="456"/>
      <c r="CR25" s="456"/>
      <c r="CS25" s="456"/>
      <c r="CT25" s="456"/>
      <c r="CU25" s="456"/>
      <c r="CV25" s="456"/>
      <c r="CW25" s="456"/>
      <c r="CX25" s="456"/>
      <c r="CY25" s="456"/>
      <c r="CZ25" s="456"/>
      <c r="DA25" s="456"/>
      <c r="DB25" s="456"/>
      <c r="DC25" s="456"/>
      <c r="DD25" s="456"/>
      <c r="DE25" s="455"/>
      <c r="DF25" s="456"/>
    </row>
    <row r="26" spans="1:110" ht="12.75" hidden="1" customHeight="1">
      <c r="A26" s="334" t="s">
        <v>312</v>
      </c>
      <c r="B26" s="334">
        <v>53252603</v>
      </c>
      <c r="C26" s="267">
        <v>29.374708835861071</v>
      </c>
      <c r="D26" s="267">
        <v>15.100234966912822</v>
      </c>
      <c r="E26" s="267">
        <v>33.209819413092546</v>
      </c>
      <c r="F26" s="267">
        <v>40.45390501913122</v>
      </c>
      <c r="G26" s="267">
        <v>120.16144549763033</v>
      </c>
      <c r="H26" s="267">
        <v>0</v>
      </c>
      <c r="I26" s="267">
        <v>0</v>
      </c>
      <c r="J26" s="267">
        <v>1532.6831214481392</v>
      </c>
      <c r="K26" s="267">
        <v>1577.9928321647906</v>
      </c>
      <c r="L26" s="267">
        <v>1553.3432426470592</v>
      </c>
      <c r="M26" s="267">
        <v>1485.7035032836518</v>
      </c>
      <c r="N26" s="267">
        <v>1074.5973549476018</v>
      </c>
      <c r="O26" s="268">
        <v>7462.6201682238707</v>
      </c>
      <c r="P26" s="247">
        <f t="shared" si="1"/>
        <v>0</v>
      </c>
      <c r="Q26" s="247">
        <f t="shared" si="2"/>
        <v>0</v>
      </c>
      <c r="R26" s="229"/>
      <c r="S26" s="455"/>
      <c r="T26" s="456"/>
      <c r="U26" s="456"/>
      <c r="V26" s="456"/>
      <c r="W26" s="456"/>
      <c r="X26" s="456"/>
      <c r="Y26" s="456"/>
      <c r="Z26" s="456"/>
      <c r="AA26" s="456"/>
      <c r="AB26" s="456"/>
      <c r="AC26" s="456"/>
      <c r="AD26" s="456"/>
      <c r="AE26" s="456"/>
      <c r="AF26" s="456"/>
      <c r="AG26" s="456"/>
      <c r="AH26" s="456"/>
      <c r="AI26" s="456"/>
      <c r="AJ26" s="456"/>
      <c r="AK26" s="456"/>
      <c r="AL26" s="456"/>
      <c r="AM26" s="456"/>
      <c r="AN26" s="456"/>
      <c r="AO26" s="456"/>
      <c r="AP26" s="456"/>
      <c r="AQ26" s="456"/>
      <c r="AR26" s="456"/>
      <c r="AS26" s="456"/>
      <c r="AT26" s="456"/>
      <c r="AU26" s="456"/>
      <c r="AV26" s="456"/>
      <c r="AW26" s="456"/>
      <c r="AX26" s="456"/>
      <c r="AY26" s="456"/>
      <c r="AZ26" s="456"/>
      <c r="BA26" s="456"/>
      <c r="BB26" s="456"/>
      <c r="BC26" s="456"/>
      <c r="BD26" s="456"/>
      <c r="BE26" s="456"/>
      <c r="BF26" s="456"/>
      <c r="BG26" s="456"/>
      <c r="BH26" s="456"/>
      <c r="BI26" s="456"/>
      <c r="BJ26" s="456"/>
      <c r="BK26" s="456"/>
      <c r="BL26" s="456"/>
      <c r="BM26" s="456"/>
      <c r="BN26" s="456"/>
      <c r="BO26" s="456"/>
      <c r="BP26" s="456"/>
      <c r="BQ26" s="456"/>
      <c r="BR26" s="456"/>
      <c r="BS26" s="456"/>
      <c r="BT26" s="456"/>
      <c r="BU26" s="456"/>
      <c r="BV26" s="456"/>
      <c r="BW26" s="456"/>
      <c r="BX26" s="456"/>
      <c r="BY26" s="456"/>
      <c r="BZ26" s="456"/>
      <c r="CA26" s="456"/>
      <c r="CB26" s="456"/>
      <c r="CC26" s="456"/>
      <c r="CD26" s="456"/>
      <c r="CE26" s="456"/>
      <c r="CF26" s="456"/>
      <c r="CG26" s="456"/>
      <c r="CH26" s="456"/>
      <c r="CI26" s="456"/>
      <c r="CJ26" s="456"/>
      <c r="CK26" s="456"/>
      <c r="CL26" s="456"/>
      <c r="CM26" s="456"/>
      <c r="CN26" s="456"/>
      <c r="CO26" s="456"/>
      <c r="CP26" s="456"/>
      <c r="CQ26" s="456"/>
      <c r="CR26" s="456"/>
      <c r="CS26" s="456"/>
      <c r="CT26" s="456"/>
      <c r="CU26" s="456"/>
      <c r="CV26" s="456"/>
      <c r="CW26" s="456"/>
      <c r="CX26" s="456"/>
      <c r="CY26" s="456"/>
      <c r="CZ26" s="456"/>
      <c r="DA26" s="456"/>
      <c r="DB26" s="456"/>
      <c r="DC26" s="456"/>
      <c r="DD26" s="456"/>
      <c r="DE26" s="455"/>
      <c r="DF26" s="456"/>
    </row>
    <row r="27" spans="1:110" ht="12.75" hidden="1" customHeight="1">
      <c r="A27" s="334" t="s">
        <v>313</v>
      </c>
      <c r="B27" s="334">
        <v>53252703</v>
      </c>
      <c r="C27" s="267">
        <v>18610.980174957298</v>
      </c>
      <c r="D27" s="267">
        <v>7247.7120744221738</v>
      </c>
      <c r="E27" s="267">
        <v>5707.4427843076201</v>
      </c>
      <c r="F27" s="267">
        <v>12222.515515042387</v>
      </c>
      <c r="G27" s="267">
        <v>5623.8033175355449</v>
      </c>
      <c r="H27" s="267">
        <v>6509.5046068379925</v>
      </c>
      <c r="I27" s="267">
        <v>15311.56559120613</v>
      </c>
      <c r="J27" s="267">
        <v>21902.259627503307</v>
      </c>
      <c r="K27" s="267">
        <v>18614.509671929372</v>
      </c>
      <c r="L27" s="267">
        <v>19231.518001660341</v>
      </c>
      <c r="M27" s="267">
        <v>20212.924638565441</v>
      </c>
      <c r="N27" s="267">
        <v>15102.401318268847</v>
      </c>
      <c r="O27" s="268">
        <v>166297.13732223646</v>
      </c>
      <c r="P27" s="247">
        <f t="shared" si="1"/>
        <v>0</v>
      </c>
      <c r="Q27" s="247">
        <f t="shared" si="2"/>
        <v>0</v>
      </c>
      <c r="R27" s="229"/>
      <c r="S27" s="455"/>
      <c r="T27" s="456"/>
      <c r="U27" s="456"/>
      <c r="V27" s="456"/>
      <c r="W27" s="456"/>
      <c r="X27" s="456"/>
      <c r="Y27" s="456"/>
      <c r="Z27" s="456"/>
      <c r="AA27" s="456"/>
      <c r="AB27" s="456"/>
      <c r="AC27" s="456"/>
      <c r="AD27" s="456"/>
      <c r="AE27" s="456"/>
      <c r="AF27" s="456"/>
      <c r="AG27" s="456"/>
      <c r="AH27" s="456"/>
      <c r="AI27" s="456"/>
      <c r="AJ27" s="456"/>
      <c r="AK27" s="456"/>
      <c r="AL27" s="456"/>
      <c r="AM27" s="456"/>
      <c r="AN27" s="456"/>
      <c r="AO27" s="456"/>
      <c r="AP27" s="456"/>
      <c r="AQ27" s="456"/>
      <c r="AR27" s="456"/>
      <c r="AS27" s="456"/>
      <c r="AT27" s="456"/>
      <c r="AU27" s="456"/>
      <c r="AV27" s="456"/>
      <c r="AW27" s="456"/>
      <c r="AX27" s="456"/>
      <c r="AY27" s="456"/>
      <c r="AZ27" s="456"/>
      <c r="BA27" s="456"/>
      <c r="BB27" s="456"/>
      <c r="BC27" s="456"/>
      <c r="BD27" s="456"/>
      <c r="BE27" s="456"/>
      <c r="BF27" s="456"/>
      <c r="BG27" s="456"/>
      <c r="BH27" s="456"/>
      <c r="BI27" s="456"/>
      <c r="BJ27" s="456"/>
      <c r="BK27" s="456"/>
      <c r="BL27" s="456"/>
      <c r="BM27" s="456"/>
      <c r="BN27" s="456"/>
      <c r="BO27" s="456"/>
      <c r="BP27" s="456"/>
      <c r="BQ27" s="456"/>
      <c r="BR27" s="456"/>
      <c r="BS27" s="456"/>
      <c r="BT27" s="456"/>
      <c r="BU27" s="456"/>
      <c r="BV27" s="456"/>
      <c r="BW27" s="456"/>
      <c r="BX27" s="456"/>
      <c r="BY27" s="456"/>
      <c r="BZ27" s="456"/>
      <c r="CA27" s="456"/>
      <c r="CB27" s="456"/>
      <c r="CC27" s="456"/>
      <c r="CD27" s="456"/>
      <c r="CE27" s="456"/>
      <c r="CF27" s="456"/>
      <c r="CG27" s="456"/>
      <c r="CH27" s="456"/>
      <c r="CI27" s="456"/>
      <c r="CJ27" s="456"/>
      <c r="CK27" s="456"/>
      <c r="CL27" s="456"/>
      <c r="CM27" s="456"/>
      <c r="CN27" s="456"/>
      <c r="CO27" s="456"/>
      <c r="CP27" s="456"/>
      <c r="CQ27" s="456"/>
      <c r="CR27" s="456"/>
      <c r="CS27" s="456"/>
      <c r="CT27" s="456"/>
      <c r="CU27" s="456"/>
      <c r="CV27" s="456"/>
      <c r="CW27" s="456"/>
      <c r="CX27" s="456"/>
      <c r="CY27" s="456"/>
      <c r="CZ27" s="456"/>
      <c r="DA27" s="456"/>
      <c r="DB27" s="456"/>
      <c r="DC27" s="456"/>
      <c r="DD27" s="456"/>
      <c r="DE27" s="455"/>
      <c r="DF27" s="456"/>
    </row>
    <row r="28" spans="1:110" ht="12.75" hidden="1" customHeight="1">
      <c r="A28" s="334" t="s">
        <v>314</v>
      </c>
      <c r="B28" s="334">
        <v>53252704</v>
      </c>
      <c r="C28" s="267">
        <v>5275.9524406025157</v>
      </c>
      <c r="D28" s="267">
        <v>3912.9834372302676</v>
      </c>
      <c r="E28" s="267">
        <v>5168.9447575309405</v>
      </c>
      <c r="F28" s="267">
        <v>3995.7884312401529</v>
      </c>
      <c r="G28" s="267">
        <v>23112.427890995259</v>
      </c>
      <c r="H28" s="267">
        <v>3000</v>
      </c>
      <c r="I28" s="267">
        <v>25530.469997418313</v>
      </c>
      <c r="J28" s="267">
        <v>10393.273799999999</v>
      </c>
      <c r="K28" s="267">
        <v>10317.215400000001</v>
      </c>
      <c r="L28" s="267">
        <v>10411.437</v>
      </c>
      <c r="M28" s="267">
        <v>8163.5281500000019</v>
      </c>
      <c r="N28" s="267">
        <v>8407.8090000000011</v>
      </c>
      <c r="O28" s="268">
        <v>117689.83030501744</v>
      </c>
      <c r="P28" s="247">
        <f t="shared" si="1"/>
        <v>0</v>
      </c>
      <c r="Q28" s="247">
        <f t="shared" si="2"/>
        <v>0</v>
      </c>
      <c r="R28" s="229"/>
      <c r="S28" s="455"/>
      <c r="T28" s="456"/>
      <c r="U28" s="456"/>
      <c r="V28" s="456"/>
      <c r="W28" s="456"/>
      <c r="X28" s="456"/>
      <c r="Y28" s="456"/>
      <c r="Z28" s="456"/>
      <c r="AA28" s="456"/>
      <c r="AB28" s="456"/>
      <c r="AC28" s="456"/>
      <c r="AD28" s="456"/>
      <c r="AE28" s="456"/>
      <c r="AF28" s="456"/>
      <c r="AG28" s="456"/>
      <c r="AH28" s="456"/>
      <c r="AI28" s="456"/>
      <c r="AJ28" s="456"/>
      <c r="AK28" s="456"/>
      <c r="AL28" s="456"/>
      <c r="AM28" s="456"/>
      <c r="AN28" s="456"/>
      <c r="AO28" s="456"/>
      <c r="AP28" s="456"/>
      <c r="AQ28" s="456"/>
      <c r="AR28" s="456"/>
      <c r="AS28" s="456"/>
      <c r="AT28" s="456"/>
      <c r="AU28" s="456"/>
      <c r="AV28" s="456"/>
      <c r="AW28" s="456"/>
      <c r="AX28" s="456"/>
      <c r="AY28" s="456"/>
      <c r="AZ28" s="456"/>
      <c r="BA28" s="456"/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6"/>
      <c r="BR28" s="456"/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6"/>
      <c r="CI28" s="456"/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6"/>
      <c r="CZ28" s="456"/>
      <c r="DA28" s="456"/>
      <c r="DB28" s="456"/>
      <c r="DC28" s="456"/>
      <c r="DD28" s="456"/>
      <c r="DE28" s="455"/>
      <c r="DF28" s="456"/>
    </row>
    <row r="29" spans="1:110" ht="12.75" hidden="1" customHeight="1">
      <c r="A29" s="334" t="s">
        <v>315</v>
      </c>
      <c r="B29" s="334">
        <v>53252705</v>
      </c>
      <c r="C29" s="267">
        <v>79.899208033542109</v>
      </c>
      <c r="D29" s="267">
        <v>0</v>
      </c>
      <c r="E29" s="267">
        <v>0</v>
      </c>
      <c r="F29" s="267">
        <v>0</v>
      </c>
      <c r="G29" s="267">
        <v>0</v>
      </c>
      <c r="H29" s="267">
        <v>0</v>
      </c>
      <c r="I29" s="267">
        <v>0</v>
      </c>
      <c r="J29" s="267">
        <v>95.285728320423203</v>
      </c>
      <c r="K29" s="267">
        <v>102.18196110542476</v>
      </c>
      <c r="L29" s="267">
        <v>111.19935483870968</v>
      </c>
      <c r="M29" s="267">
        <v>111.86031672100606</v>
      </c>
      <c r="N29" s="267">
        <v>108.77325171301894</v>
      </c>
      <c r="O29" s="268">
        <v>609.19982073212475</v>
      </c>
      <c r="P29" s="247">
        <f t="shared" si="1"/>
        <v>0</v>
      </c>
      <c r="Q29" s="247">
        <f t="shared" si="2"/>
        <v>0</v>
      </c>
      <c r="R29" s="229"/>
      <c r="S29" s="455"/>
      <c r="T29" s="456"/>
      <c r="U29" s="456"/>
      <c r="V29" s="456"/>
      <c r="W29" s="456"/>
      <c r="X29" s="456"/>
      <c r="Y29" s="456"/>
      <c r="Z29" s="456"/>
      <c r="AA29" s="456"/>
      <c r="AB29" s="456"/>
      <c r="AC29" s="456"/>
      <c r="AD29" s="456"/>
      <c r="AE29" s="456"/>
      <c r="AF29" s="456"/>
      <c r="AG29" s="456"/>
      <c r="AH29" s="456"/>
      <c r="AI29" s="456"/>
      <c r="AJ29" s="456"/>
      <c r="AK29" s="456"/>
      <c r="AL29" s="456"/>
      <c r="AM29" s="456"/>
      <c r="AN29" s="456"/>
      <c r="AO29" s="456"/>
      <c r="AP29" s="456"/>
      <c r="AQ29" s="456"/>
      <c r="AR29" s="456"/>
      <c r="AS29" s="456"/>
      <c r="AT29" s="456"/>
      <c r="AU29" s="456"/>
      <c r="AV29" s="456"/>
      <c r="AW29" s="456"/>
      <c r="AX29" s="456"/>
      <c r="AY29" s="456"/>
      <c r="AZ29" s="456"/>
      <c r="BA29" s="456"/>
      <c r="BB29" s="456"/>
      <c r="BC29" s="456"/>
      <c r="BD29" s="456"/>
      <c r="BE29" s="456"/>
      <c r="BF29" s="456"/>
      <c r="BG29" s="456"/>
      <c r="BH29" s="456"/>
      <c r="BI29" s="456"/>
      <c r="BJ29" s="456"/>
      <c r="BK29" s="456"/>
      <c r="BL29" s="456"/>
      <c r="BM29" s="456"/>
      <c r="BN29" s="456"/>
      <c r="BO29" s="456"/>
      <c r="BP29" s="456"/>
      <c r="BQ29" s="456"/>
      <c r="BR29" s="456"/>
      <c r="BS29" s="456"/>
      <c r="BT29" s="456"/>
      <c r="BU29" s="456"/>
      <c r="BV29" s="456"/>
      <c r="BW29" s="456"/>
      <c r="BX29" s="456"/>
      <c r="BY29" s="456"/>
      <c r="BZ29" s="456"/>
      <c r="CA29" s="456"/>
      <c r="CB29" s="456"/>
      <c r="CC29" s="456"/>
      <c r="CD29" s="456"/>
      <c r="CE29" s="456"/>
      <c r="CF29" s="456"/>
      <c r="CG29" s="456"/>
      <c r="CH29" s="456"/>
      <c r="CI29" s="456"/>
      <c r="CJ29" s="456"/>
      <c r="CK29" s="456"/>
      <c r="CL29" s="456"/>
      <c r="CM29" s="456"/>
      <c r="CN29" s="456"/>
      <c r="CO29" s="456"/>
      <c r="CP29" s="456"/>
      <c r="CQ29" s="456"/>
      <c r="CR29" s="456"/>
      <c r="CS29" s="456"/>
      <c r="CT29" s="456"/>
      <c r="CU29" s="456"/>
      <c r="CV29" s="456"/>
      <c r="CW29" s="456"/>
      <c r="CX29" s="456"/>
      <c r="CY29" s="456"/>
      <c r="CZ29" s="456"/>
      <c r="DA29" s="456"/>
      <c r="DB29" s="456"/>
      <c r="DC29" s="456"/>
      <c r="DD29" s="456"/>
      <c r="DE29" s="455"/>
      <c r="DF29" s="456"/>
    </row>
    <row r="30" spans="1:110" ht="12.75" hidden="1" customHeight="1">
      <c r="A30" s="334" t="s">
        <v>316</v>
      </c>
      <c r="B30" s="334">
        <v>53252706</v>
      </c>
      <c r="C30" s="267">
        <v>0</v>
      </c>
      <c r="D30" s="267">
        <v>0</v>
      </c>
      <c r="E30" s="267">
        <v>0</v>
      </c>
      <c r="F30" s="267">
        <v>0</v>
      </c>
      <c r="G30" s="267">
        <v>274.09799999999996</v>
      </c>
      <c r="H30" s="267">
        <v>0</v>
      </c>
      <c r="I30" s="267">
        <v>0</v>
      </c>
      <c r="J30" s="267">
        <v>3304.6660630455326</v>
      </c>
      <c r="K30" s="267">
        <v>3307.9377880245656</v>
      </c>
      <c r="L30" s="267">
        <v>3323.0618965844405</v>
      </c>
      <c r="M30" s="267">
        <v>3118.4419095482067</v>
      </c>
      <c r="N30" s="267">
        <v>2387.0892037484887</v>
      </c>
      <c r="O30" s="268">
        <v>15715.294860951233</v>
      </c>
      <c r="P30" s="247">
        <f t="shared" si="1"/>
        <v>0</v>
      </c>
      <c r="Q30" s="247">
        <f t="shared" si="2"/>
        <v>0</v>
      </c>
      <c r="R30" s="229"/>
      <c r="S30" s="455"/>
      <c r="T30" s="456"/>
      <c r="U30" s="456"/>
      <c r="V30" s="456"/>
      <c r="W30" s="456"/>
      <c r="X30" s="456"/>
      <c r="Y30" s="456"/>
      <c r="Z30" s="456"/>
      <c r="AA30" s="456"/>
      <c r="AB30" s="456"/>
      <c r="AC30" s="456"/>
      <c r="AD30" s="456"/>
      <c r="AE30" s="456"/>
      <c r="AF30" s="456"/>
      <c r="AG30" s="456"/>
      <c r="AH30" s="456"/>
      <c r="AI30" s="456"/>
      <c r="AJ30" s="456"/>
      <c r="AK30" s="456"/>
      <c r="AL30" s="456"/>
      <c r="AM30" s="456"/>
      <c r="AN30" s="456"/>
      <c r="AO30" s="456"/>
      <c r="AP30" s="456"/>
      <c r="AQ30" s="456"/>
      <c r="AR30" s="456"/>
      <c r="AS30" s="456"/>
      <c r="AT30" s="456"/>
      <c r="AU30" s="456"/>
      <c r="AV30" s="456"/>
      <c r="AW30" s="456"/>
      <c r="AX30" s="456"/>
      <c r="AY30" s="456"/>
      <c r="AZ30" s="456"/>
      <c r="BA30" s="456"/>
      <c r="BB30" s="456"/>
      <c r="BC30" s="456"/>
      <c r="BD30" s="456"/>
      <c r="BE30" s="456"/>
      <c r="BF30" s="456"/>
      <c r="BG30" s="456"/>
      <c r="BH30" s="456"/>
      <c r="BI30" s="456"/>
      <c r="BJ30" s="456"/>
      <c r="BK30" s="456"/>
      <c r="BL30" s="456"/>
      <c r="BM30" s="456"/>
      <c r="BN30" s="456"/>
      <c r="BO30" s="456"/>
      <c r="BP30" s="456"/>
      <c r="BQ30" s="456"/>
      <c r="BR30" s="456"/>
      <c r="BS30" s="456"/>
      <c r="BT30" s="456"/>
      <c r="BU30" s="456"/>
      <c r="BV30" s="456"/>
      <c r="BW30" s="456"/>
      <c r="BX30" s="456"/>
      <c r="BY30" s="456"/>
      <c r="BZ30" s="456"/>
      <c r="CA30" s="456"/>
      <c r="CB30" s="456"/>
      <c r="CC30" s="456"/>
      <c r="CD30" s="456"/>
      <c r="CE30" s="456"/>
      <c r="CF30" s="456"/>
      <c r="CG30" s="456"/>
      <c r="CH30" s="456"/>
      <c r="CI30" s="456"/>
      <c r="CJ30" s="456"/>
      <c r="CK30" s="456"/>
      <c r="CL30" s="456"/>
      <c r="CM30" s="456"/>
      <c r="CN30" s="456"/>
      <c r="CO30" s="456"/>
      <c r="CP30" s="456"/>
      <c r="CQ30" s="456"/>
      <c r="CR30" s="456"/>
      <c r="CS30" s="456"/>
      <c r="CT30" s="456"/>
      <c r="CU30" s="456"/>
      <c r="CV30" s="456"/>
      <c r="CW30" s="456"/>
      <c r="CX30" s="456"/>
      <c r="CY30" s="456"/>
      <c r="CZ30" s="456"/>
      <c r="DA30" s="456"/>
      <c r="DB30" s="456"/>
      <c r="DC30" s="456"/>
      <c r="DD30" s="456"/>
      <c r="DE30" s="455"/>
      <c r="DF30" s="456"/>
    </row>
    <row r="31" spans="1:110" ht="12.75" hidden="1" customHeight="1">
      <c r="A31" s="334" t="s">
        <v>317</v>
      </c>
      <c r="B31" s="334">
        <v>53252707</v>
      </c>
      <c r="C31" s="267">
        <v>0</v>
      </c>
      <c r="D31" s="267">
        <v>0</v>
      </c>
      <c r="E31" s="267">
        <v>0</v>
      </c>
      <c r="F31" s="267">
        <v>0</v>
      </c>
      <c r="G31" s="267">
        <v>0</v>
      </c>
      <c r="H31" s="267">
        <v>0</v>
      </c>
      <c r="I31" s="267">
        <v>0</v>
      </c>
      <c r="J31" s="267">
        <v>43.311694691101458</v>
      </c>
      <c r="K31" s="267">
        <v>52.252139201637675</v>
      </c>
      <c r="L31" s="267">
        <v>49.058538899430737</v>
      </c>
      <c r="M31" s="267">
        <v>49.350139729855613</v>
      </c>
      <c r="N31" s="267">
        <v>47.522294437726728</v>
      </c>
      <c r="O31" s="268">
        <v>241.49480695975222</v>
      </c>
      <c r="P31" s="247">
        <f t="shared" si="1"/>
        <v>0</v>
      </c>
      <c r="Q31" s="247">
        <f t="shared" si="2"/>
        <v>0</v>
      </c>
      <c r="R31" s="229"/>
      <c r="S31" s="455"/>
      <c r="T31" s="456"/>
      <c r="U31" s="456"/>
      <c r="V31" s="456"/>
      <c r="W31" s="456"/>
      <c r="X31" s="456"/>
      <c r="Y31" s="456"/>
      <c r="Z31" s="456"/>
      <c r="AA31" s="456"/>
      <c r="AB31" s="456"/>
      <c r="AC31" s="456"/>
      <c r="AD31" s="456"/>
      <c r="AE31" s="456"/>
      <c r="AF31" s="456"/>
      <c r="AG31" s="456"/>
      <c r="AH31" s="456"/>
      <c r="AI31" s="456"/>
      <c r="AJ31" s="456"/>
      <c r="AK31" s="456"/>
      <c r="AL31" s="456"/>
      <c r="AM31" s="456"/>
      <c r="AN31" s="456"/>
      <c r="AO31" s="456"/>
      <c r="AP31" s="456"/>
      <c r="AQ31" s="456"/>
      <c r="AR31" s="456"/>
      <c r="AS31" s="456"/>
      <c r="AT31" s="456"/>
      <c r="AU31" s="456"/>
      <c r="AV31" s="456"/>
      <c r="AW31" s="456"/>
      <c r="AX31" s="456"/>
      <c r="AY31" s="456"/>
      <c r="AZ31" s="456"/>
      <c r="BA31" s="456"/>
      <c r="BB31" s="456"/>
      <c r="BC31" s="456"/>
      <c r="BD31" s="456"/>
      <c r="BE31" s="456"/>
      <c r="BF31" s="456"/>
      <c r="BG31" s="456"/>
      <c r="BH31" s="456"/>
      <c r="BI31" s="456"/>
      <c r="BJ31" s="456"/>
      <c r="BK31" s="456"/>
      <c r="BL31" s="456"/>
      <c r="BM31" s="456"/>
      <c r="BN31" s="456"/>
      <c r="BO31" s="456"/>
      <c r="BP31" s="456"/>
      <c r="BQ31" s="456"/>
      <c r="BR31" s="456"/>
      <c r="BS31" s="456"/>
      <c r="BT31" s="456"/>
      <c r="BU31" s="456"/>
      <c r="BV31" s="456"/>
      <c r="BW31" s="456"/>
      <c r="BX31" s="456"/>
      <c r="BY31" s="456"/>
      <c r="BZ31" s="456"/>
      <c r="CA31" s="456"/>
      <c r="CB31" s="456"/>
      <c r="CC31" s="456"/>
      <c r="CD31" s="456"/>
      <c r="CE31" s="456"/>
      <c r="CF31" s="456"/>
      <c r="CG31" s="456"/>
      <c r="CH31" s="456"/>
      <c r="CI31" s="456"/>
      <c r="CJ31" s="456"/>
      <c r="CK31" s="456"/>
      <c r="CL31" s="456"/>
      <c r="CM31" s="456"/>
      <c r="CN31" s="456"/>
      <c r="CO31" s="456"/>
      <c r="CP31" s="456"/>
      <c r="CQ31" s="456"/>
      <c r="CR31" s="456"/>
      <c r="CS31" s="456"/>
      <c r="CT31" s="456"/>
      <c r="CU31" s="456"/>
      <c r="CV31" s="456"/>
      <c r="CW31" s="456"/>
      <c r="CX31" s="456"/>
      <c r="CY31" s="456"/>
      <c r="CZ31" s="456"/>
      <c r="DA31" s="456"/>
      <c r="DB31" s="456"/>
      <c r="DC31" s="456"/>
      <c r="DD31" s="456"/>
      <c r="DE31" s="455"/>
      <c r="DF31" s="456"/>
    </row>
    <row r="32" spans="1:110" ht="12.75" hidden="1" customHeight="1">
      <c r="A32" s="334" t="s">
        <v>318</v>
      </c>
      <c r="B32" s="334">
        <v>53252708</v>
      </c>
      <c r="C32" s="267">
        <v>26271.989150577156</v>
      </c>
      <c r="D32" s="267">
        <v>24991.549539656662</v>
      </c>
      <c r="E32" s="267">
        <v>25766.443628862769</v>
      </c>
      <c r="F32" s="267">
        <v>14083.457596218772</v>
      </c>
      <c r="G32" s="267">
        <v>32760.54151658768</v>
      </c>
      <c r="H32" s="267">
        <v>30820.265201029761</v>
      </c>
      <c r="I32" s="267">
        <v>27093.717759177089</v>
      </c>
      <c r="J32" s="267">
        <v>32921.82601197809</v>
      </c>
      <c r="K32" s="267">
        <v>34279.57328853634</v>
      </c>
      <c r="L32" s="267">
        <v>31548.542676952562</v>
      </c>
      <c r="M32" s="267">
        <v>31011.051492689334</v>
      </c>
      <c r="N32" s="267">
        <v>25248.970687222893</v>
      </c>
      <c r="O32" s="268">
        <v>336797.92854948912</v>
      </c>
      <c r="P32" s="247">
        <f t="shared" si="1"/>
        <v>0</v>
      </c>
      <c r="Q32" s="247">
        <f t="shared" si="2"/>
        <v>0</v>
      </c>
      <c r="R32" s="229"/>
      <c r="S32" s="455"/>
      <c r="T32" s="456"/>
      <c r="U32" s="456"/>
      <c r="V32" s="456"/>
      <c r="W32" s="456"/>
      <c r="X32" s="456"/>
      <c r="Y32" s="456"/>
      <c r="Z32" s="456"/>
      <c r="AA32" s="456"/>
      <c r="AB32" s="456"/>
      <c r="AC32" s="456"/>
      <c r="AD32" s="456"/>
      <c r="AE32" s="456"/>
      <c r="AF32" s="456"/>
      <c r="AG32" s="456"/>
      <c r="AH32" s="456"/>
      <c r="AI32" s="456"/>
      <c r="AJ32" s="456"/>
      <c r="AK32" s="456"/>
      <c r="AL32" s="456"/>
      <c r="AM32" s="456"/>
      <c r="AN32" s="456"/>
      <c r="AO32" s="456"/>
      <c r="AP32" s="456"/>
      <c r="AQ32" s="456"/>
      <c r="AR32" s="456"/>
      <c r="AS32" s="456"/>
      <c r="AT32" s="456"/>
      <c r="AU32" s="456"/>
      <c r="AV32" s="456"/>
      <c r="AW32" s="456"/>
      <c r="AX32" s="456"/>
      <c r="AY32" s="456"/>
      <c r="AZ32" s="456"/>
      <c r="BA32" s="456"/>
      <c r="BB32" s="456"/>
      <c r="BC32" s="456"/>
      <c r="BD32" s="456"/>
      <c r="BE32" s="456"/>
      <c r="BF32" s="456"/>
      <c r="BG32" s="456"/>
      <c r="BH32" s="456"/>
      <c r="BI32" s="456"/>
      <c r="BJ32" s="456"/>
      <c r="BK32" s="456"/>
      <c r="BL32" s="456"/>
      <c r="BM32" s="456"/>
      <c r="BN32" s="456"/>
      <c r="BO32" s="456"/>
      <c r="BP32" s="456"/>
      <c r="BQ32" s="456"/>
      <c r="BR32" s="456"/>
      <c r="BS32" s="456"/>
      <c r="BT32" s="456"/>
      <c r="BU32" s="456"/>
      <c r="BV32" s="456"/>
      <c r="BW32" s="456"/>
      <c r="BX32" s="456"/>
      <c r="BY32" s="456"/>
      <c r="BZ32" s="456"/>
      <c r="CA32" s="456"/>
      <c r="CB32" s="456"/>
      <c r="CC32" s="456"/>
      <c r="CD32" s="456"/>
      <c r="CE32" s="456"/>
      <c r="CF32" s="456"/>
      <c r="CG32" s="456"/>
      <c r="CH32" s="456"/>
      <c r="CI32" s="456"/>
      <c r="CJ32" s="456"/>
      <c r="CK32" s="456"/>
      <c r="CL32" s="456"/>
      <c r="CM32" s="456"/>
      <c r="CN32" s="456"/>
      <c r="CO32" s="456"/>
      <c r="CP32" s="456"/>
      <c r="CQ32" s="456"/>
      <c r="CR32" s="456"/>
      <c r="CS32" s="456"/>
      <c r="CT32" s="456"/>
      <c r="CU32" s="456"/>
      <c r="CV32" s="456"/>
      <c r="CW32" s="456"/>
      <c r="CX32" s="456"/>
      <c r="CY32" s="456"/>
      <c r="CZ32" s="456"/>
      <c r="DA32" s="456"/>
      <c r="DB32" s="456"/>
      <c r="DC32" s="456"/>
      <c r="DD32" s="456"/>
      <c r="DE32" s="455"/>
      <c r="DF32" s="456"/>
    </row>
    <row r="33" spans="1:110" ht="12.75" hidden="1" customHeight="1">
      <c r="A33" s="334" t="s">
        <v>319</v>
      </c>
      <c r="B33" s="334">
        <v>53252801</v>
      </c>
      <c r="C33" s="267">
        <v>7155.9338060976243</v>
      </c>
      <c r="D33" s="267">
        <v>13666.573669320034</v>
      </c>
      <c r="E33" s="267">
        <v>13288.173020938741</v>
      </c>
      <c r="F33" s="267">
        <v>18794.656710931056</v>
      </c>
      <c r="G33" s="267">
        <v>26304.825213270142</v>
      </c>
      <c r="H33" s="267">
        <v>33052.364678740792</v>
      </c>
      <c r="I33" s="267">
        <v>42520.560131665996</v>
      </c>
      <c r="J33" s="267">
        <v>22963.855690085962</v>
      </c>
      <c r="K33" s="267">
        <v>23657.048650588538</v>
      </c>
      <c r="L33" s="267">
        <v>21575.00732874763</v>
      </c>
      <c r="M33" s="267">
        <v>16832.205904471353</v>
      </c>
      <c r="N33" s="267">
        <v>15606.794528315195</v>
      </c>
      <c r="O33" s="268">
        <v>255417.99933317309</v>
      </c>
      <c r="P33" s="247">
        <f t="shared" si="1"/>
        <v>0</v>
      </c>
      <c r="Q33" s="247">
        <f t="shared" si="2"/>
        <v>0</v>
      </c>
      <c r="R33" s="229"/>
      <c r="S33" s="455"/>
      <c r="T33" s="456"/>
      <c r="U33" s="456"/>
      <c r="V33" s="456"/>
      <c r="W33" s="456"/>
      <c r="X33" s="456"/>
      <c r="Y33" s="456"/>
      <c r="Z33" s="456"/>
      <c r="AA33" s="456"/>
      <c r="AB33" s="456"/>
      <c r="AC33" s="456"/>
      <c r="AD33" s="456"/>
      <c r="AE33" s="456"/>
      <c r="AF33" s="456"/>
      <c r="AG33" s="456"/>
      <c r="AH33" s="456"/>
      <c r="AI33" s="456"/>
      <c r="AJ33" s="456"/>
      <c r="AK33" s="456"/>
      <c r="AL33" s="456"/>
      <c r="AM33" s="456"/>
      <c r="AN33" s="456"/>
      <c r="AO33" s="456"/>
      <c r="AP33" s="456"/>
      <c r="AQ33" s="456"/>
      <c r="AR33" s="456"/>
      <c r="AS33" s="456"/>
      <c r="AT33" s="456"/>
      <c r="AU33" s="456"/>
      <c r="AV33" s="456"/>
      <c r="AW33" s="456"/>
      <c r="AX33" s="456"/>
      <c r="AY33" s="456"/>
      <c r="AZ33" s="456"/>
      <c r="BA33" s="456"/>
      <c r="BB33" s="456"/>
      <c r="BC33" s="456"/>
      <c r="BD33" s="456"/>
      <c r="BE33" s="456"/>
      <c r="BF33" s="456"/>
      <c r="BG33" s="456"/>
      <c r="BH33" s="456"/>
      <c r="BI33" s="456"/>
      <c r="BJ33" s="456"/>
      <c r="BK33" s="456"/>
      <c r="BL33" s="456"/>
      <c r="BM33" s="456"/>
      <c r="BN33" s="456"/>
      <c r="BO33" s="456"/>
      <c r="BP33" s="456"/>
      <c r="BQ33" s="456"/>
      <c r="BR33" s="456"/>
      <c r="BS33" s="456"/>
      <c r="BT33" s="456"/>
      <c r="BU33" s="456"/>
      <c r="BV33" s="456"/>
      <c r="BW33" s="456"/>
      <c r="BX33" s="456"/>
      <c r="BY33" s="456"/>
      <c r="BZ33" s="456"/>
      <c r="CA33" s="456"/>
      <c r="CB33" s="456"/>
      <c r="CC33" s="456"/>
      <c r="CD33" s="456"/>
      <c r="CE33" s="456"/>
      <c r="CF33" s="456"/>
      <c r="CG33" s="456"/>
      <c r="CH33" s="456"/>
      <c r="CI33" s="456"/>
      <c r="CJ33" s="456"/>
      <c r="CK33" s="456"/>
      <c r="CL33" s="456"/>
      <c r="CM33" s="456"/>
      <c r="CN33" s="456"/>
      <c r="CO33" s="456"/>
      <c r="CP33" s="456"/>
      <c r="CQ33" s="456"/>
      <c r="CR33" s="456"/>
      <c r="CS33" s="456"/>
      <c r="CT33" s="456"/>
      <c r="CU33" s="456"/>
      <c r="CV33" s="456"/>
      <c r="CW33" s="456"/>
      <c r="CX33" s="456"/>
      <c r="CY33" s="456"/>
      <c r="CZ33" s="456"/>
      <c r="DA33" s="456"/>
      <c r="DB33" s="456"/>
      <c r="DC33" s="456"/>
      <c r="DD33" s="456"/>
      <c r="DE33" s="455"/>
      <c r="DF33" s="456"/>
    </row>
    <row r="34" spans="1:110" ht="12.75" hidden="1" customHeight="1">
      <c r="A34" s="334" t="s">
        <v>320</v>
      </c>
      <c r="B34" s="334">
        <v>53252802</v>
      </c>
      <c r="C34" s="267">
        <v>4269.96</v>
      </c>
      <c r="D34" s="267">
        <v>2349.6285173108276</v>
      </c>
      <c r="E34" s="267">
        <v>2547.3894372226978</v>
      </c>
      <c r="F34" s="267">
        <v>8311.8464626003442</v>
      </c>
      <c r="G34" s="267">
        <v>15195.025758293839</v>
      </c>
      <c r="H34" s="267">
        <v>7454.5550662120049</v>
      </c>
      <c r="I34" s="267">
        <v>3443.4543444937472</v>
      </c>
      <c r="J34" s="267">
        <v>16805.84133579634</v>
      </c>
      <c r="K34" s="267">
        <v>16753.202815301949</v>
      </c>
      <c r="L34" s="267">
        <v>17381.650758064519</v>
      </c>
      <c r="M34" s="267">
        <v>15504.953503223102</v>
      </c>
      <c r="N34" s="267">
        <v>11268.342783555019</v>
      </c>
      <c r="O34" s="268">
        <v>121285.8507820744</v>
      </c>
      <c r="P34" s="247">
        <f t="shared" si="1"/>
        <v>0</v>
      </c>
      <c r="Q34" s="247">
        <f t="shared" si="2"/>
        <v>0</v>
      </c>
      <c r="R34" s="229"/>
      <c r="S34" s="455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6"/>
      <c r="AI34" s="456"/>
      <c r="AJ34" s="456"/>
      <c r="AK34" s="456"/>
      <c r="AL34" s="456"/>
      <c r="AM34" s="456"/>
      <c r="AN34" s="456"/>
      <c r="AO34" s="456"/>
      <c r="AP34" s="456"/>
      <c r="AQ34" s="456"/>
      <c r="AR34" s="456"/>
      <c r="AS34" s="456"/>
      <c r="AT34" s="456"/>
      <c r="AU34" s="456"/>
      <c r="AV34" s="456"/>
      <c r="AW34" s="456"/>
      <c r="AX34" s="456"/>
      <c r="AY34" s="456"/>
      <c r="AZ34" s="456"/>
      <c r="BA34" s="456"/>
      <c r="BB34" s="456"/>
      <c r="BC34" s="456"/>
      <c r="BD34" s="456"/>
      <c r="BE34" s="456"/>
      <c r="BF34" s="456"/>
      <c r="BG34" s="456"/>
      <c r="BH34" s="456"/>
      <c r="BI34" s="456"/>
      <c r="BJ34" s="456"/>
      <c r="BK34" s="456"/>
      <c r="BL34" s="456"/>
      <c r="BM34" s="456"/>
      <c r="BN34" s="456"/>
      <c r="BO34" s="456"/>
      <c r="BP34" s="456"/>
      <c r="BQ34" s="456"/>
      <c r="BR34" s="456"/>
      <c r="BS34" s="456"/>
      <c r="BT34" s="456"/>
      <c r="BU34" s="456"/>
      <c r="BV34" s="456"/>
      <c r="BW34" s="456"/>
      <c r="BX34" s="456"/>
      <c r="BY34" s="456"/>
      <c r="BZ34" s="456"/>
      <c r="CA34" s="456"/>
      <c r="CB34" s="456"/>
      <c r="CC34" s="456"/>
      <c r="CD34" s="456"/>
      <c r="CE34" s="456"/>
      <c r="CF34" s="456"/>
      <c r="CG34" s="456"/>
      <c r="CH34" s="456"/>
      <c r="CI34" s="456"/>
      <c r="CJ34" s="456"/>
      <c r="CK34" s="456"/>
      <c r="CL34" s="456"/>
      <c r="CM34" s="456"/>
      <c r="CN34" s="456"/>
      <c r="CO34" s="456"/>
      <c r="CP34" s="456"/>
      <c r="CQ34" s="456"/>
      <c r="CR34" s="456"/>
      <c r="CS34" s="456"/>
      <c r="CT34" s="456"/>
      <c r="CU34" s="456"/>
      <c r="CV34" s="456"/>
      <c r="CW34" s="456"/>
      <c r="CX34" s="456"/>
      <c r="CY34" s="456"/>
      <c r="CZ34" s="456"/>
      <c r="DA34" s="456"/>
      <c r="DB34" s="456"/>
      <c r="DC34" s="456"/>
      <c r="DD34" s="456"/>
      <c r="DE34" s="455"/>
      <c r="DF34" s="456"/>
    </row>
    <row r="35" spans="1:110" ht="12.75" hidden="1" customHeight="1">
      <c r="A35" s="334" t="s">
        <v>321</v>
      </c>
      <c r="B35" s="334">
        <v>53252803</v>
      </c>
      <c r="C35" s="267">
        <v>0</v>
      </c>
      <c r="D35" s="267">
        <v>0</v>
      </c>
      <c r="E35" s="267">
        <v>0</v>
      </c>
      <c r="F35" s="267">
        <v>0</v>
      </c>
      <c r="G35" s="267">
        <v>0</v>
      </c>
      <c r="H35" s="267">
        <v>0</v>
      </c>
      <c r="I35" s="267">
        <v>0</v>
      </c>
      <c r="J35" s="267">
        <v>43.311694691101458</v>
      </c>
      <c r="K35" s="267">
        <v>52.252139201637675</v>
      </c>
      <c r="L35" s="267">
        <v>49.058538899430737</v>
      </c>
      <c r="M35" s="267">
        <v>49.350139729855613</v>
      </c>
      <c r="N35" s="267">
        <v>47.522294437726728</v>
      </c>
      <c r="O35" s="268">
        <v>241.49480695975222</v>
      </c>
      <c r="P35" s="247">
        <f t="shared" si="1"/>
        <v>0</v>
      </c>
      <c r="Q35" s="247">
        <f t="shared" si="2"/>
        <v>0</v>
      </c>
      <c r="R35" s="229"/>
      <c r="S35" s="455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6"/>
      <c r="AI35" s="456"/>
      <c r="AJ35" s="456"/>
      <c r="AK35" s="456"/>
      <c r="AL35" s="456"/>
      <c r="AM35" s="456"/>
      <c r="AN35" s="456"/>
      <c r="AO35" s="456"/>
      <c r="AP35" s="456"/>
      <c r="AQ35" s="456"/>
      <c r="AR35" s="456"/>
      <c r="AS35" s="456"/>
      <c r="AT35" s="456"/>
      <c r="AU35" s="456"/>
      <c r="AV35" s="456"/>
      <c r="AW35" s="456"/>
      <c r="AX35" s="456"/>
      <c r="AY35" s="456"/>
      <c r="AZ35" s="456"/>
      <c r="BA35" s="456"/>
      <c r="BB35" s="456"/>
      <c r="BC35" s="456"/>
      <c r="BD35" s="456"/>
      <c r="BE35" s="456"/>
      <c r="BF35" s="456"/>
      <c r="BG35" s="456"/>
      <c r="BH35" s="456"/>
      <c r="BI35" s="456"/>
      <c r="BJ35" s="456"/>
      <c r="BK35" s="456"/>
      <c r="BL35" s="456"/>
      <c r="BM35" s="456"/>
      <c r="BN35" s="456"/>
      <c r="BO35" s="456"/>
      <c r="BP35" s="456"/>
      <c r="BQ35" s="456"/>
      <c r="BR35" s="456"/>
      <c r="BS35" s="456"/>
      <c r="BT35" s="456"/>
      <c r="BU35" s="456"/>
      <c r="BV35" s="456"/>
      <c r="BW35" s="456"/>
      <c r="BX35" s="456"/>
      <c r="BY35" s="456"/>
      <c r="BZ35" s="456"/>
      <c r="CA35" s="456"/>
      <c r="CB35" s="456"/>
      <c r="CC35" s="456"/>
      <c r="CD35" s="456"/>
      <c r="CE35" s="456"/>
      <c r="CF35" s="456"/>
      <c r="CG35" s="456"/>
      <c r="CH35" s="456"/>
      <c r="CI35" s="456"/>
      <c r="CJ35" s="456"/>
      <c r="CK35" s="456"/>
      <c r="CL35" s="456"/>
      <c r="CM35" s="456"/>
      <c r="CN35" s="456"/>
      <c r="CO35" s="456"/>
      <c r="CP35" s="456"/>
      <c r="CQ35" s="456"/>
      <c r="CR35" s="456"/>
      <c r="CS35" s="456"/>
      <c r="CT35" s="456"/>
      <c r="CU35" s="456"/>
      <c r="CV35" s="456"/>
      <c r="CW35" s="456"/>
      <c r="CX35" s="456"/>
      <c r="CY35" s="456"/>
      <c r="CZ35" s="456"/>
      <c r="DA35" s="456"/>
      <c r="DB35" s="456"/>
      <c r="DC35" s="456"/>
      <c r="DD35" s="456"/>
      <c r="DE35" s="455"/>
      <c r="DF35" s="456"/>
    </row>
    <row r="36" spans="1:110" ht="12.75" hidden="1" customHeight="1">
      <c r="A36" s="334" t="s">
        <v>322</v>
      </c>
      <c r="B36" s="334">
        <v>53252804</v>
      </c>
      <c r="C36" s="267">
        <v>14242.288565660749</v>
      </c>
      <c r="D36" s="267">
        <v>8161.9572456123533</v>
      </c>
      <c r="E36" s="267">
        <v>7900.1661127111383</v>
      </c>
      <c r="F36" s="267">
        <v>5876.3763748218171</v>
      </c>
      <c r="G36" s="267">
        <v>8531.7566350710913</v>
      </c>
      <c r="H36" s="267">
        <v>9132.7750000000015</v>
      </c>
      <c r="I36" s="267">
        <v>9999.85</v>
      </c>
      <c r="J36" s="267">
        <v>11596.83</v>
      </c>
      <c r="K36" s="267">
        <v>14344.52</v>
      </c>
      <c r="L36" s="267">
        <v>17363.25</v>
      </c>
      <c r="M36" s="267">
        <v>17127.3</v>
      </c>
      <c r="N36" s="267">
        <v>10309.4252284865</v>
      </c>
      <c r="O36" s="268">
        <v>134586.49516236366</v>
      </c>
      <c r="P36" s="247">
        <f t="shared" si="1"/>
        <v>0</v>
      </c>
      <c r="Q36" s="247">
        <f t="shared" si="2"/>
        <v>0</v>
      </c>
      <c r="R36" s="229"/>
      <c r="S36" s="455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6"/>
      <c r="AI36" s="456"/>
      <c r="AJ36" s="456"/>
      <c r="AK36" s="456"/>
      <c r="AL36" s="456"/>
      <c r="AM36" s="456"/>
      <c r="AN36" s="456"/>
      <c r="AO36" s="456"/>
      <c r="AP36" s="456"/>
      <c r="AQ36" s="456"/>
      <c r="AR36" s="456"/>
      <c r="AS36" s="456"/>
      <c r="AT36" s="456"/>
      <c r="AU36" s="456"/>
      <c r="AV36" s="456"/>
      <c r="AW36" s="456"/>
      <c r="AX36" s="456"/>
      <c r="AY36" s="456"/>
      <c r="AZ36" s="456"/>
      <c r="BA36" s="456"/>
      <c r="BB36" s="456"/>
      <c r="BC36" s="456"/>
      <c r="BD36" s="456"/>
      <c r="BE36" s="456"/>
      <c r="BF36" s="456"/>
      <c r="BG36" s="456"/>
      <c r="BH36" s="456"/>
      <c r="BI36" s="456"/>
      <c r="BJ36" s="456"/>
      <c r="BK36" s="456"/>
      <c r="BL36" s="456"/>
      <c r="BM36" s="456"/>
      <c r="BN36" s="456"/>
      <c r="BO36" s="456"/>
      <c r="BP36" s="456"/>
      <c r="BQ36" s="456"/>
      <c r="BR36" s="456"/>
      <c r="BS36" s="456"/>
      <c r="BT36" s="456"/>
      <c r="BU36" s="456"/>
      <c r="BV36" s="456"/>
      <c r="BW36" s="456"/>
      <c r="BX36" s="456"/>
      <c r="BY36" s="456"/>
      <c r="BZ36" s="456"/>
      <c r="CA36" s="456"/>
      <c r="CB36" s="456"/>
      <c r="CC36" s="456"/>
      <c r="CD36" s="456"/>
      <c r="CE36" s="456"/>
      <c r="CF36" s="456"/>
      <c r="CG36" s="456"/>
      <c r="CH36" s="456"/>
      <c r="CI36" s="456"/>
      <c r="CJ36" s="456"/>
      <c r="CK36" s="456"/>
      <c r="CL36" s="456"/>
      <c r="CM36" s="456"/>
      <c r="CN36" s="456"/>
      <c r="CO36" s="456"/>
      <c r="CP36" s="456"/>
      <c r="CQ36" s="456"/>
      <c r="CR36" s="456"/>
      <c r="CS36" s="456"/>
      <c r="CT36" s="456"/>
      <c r="CU36" s="456"/>
      <c r="CV36" s="456"/>
      <c r="CW36" s="456"/>
      <c r="CX36" s="456"/>
      <c r="CY36" s="456"/>
      <c r="CZ36" s="456"/>
      <c r="DA36" s="456"/>
      <c r="DB36" s="456"/>
      <c r="DC36" s="456"/>
      <c r="DD36" s="456"/>
      <c r="DE36" s="455"/>
      <c r="DF36" s="456"/>
    </row>
    <row r="37" spans="1:110" ht="12.75" hidden="1" customHeight="1">
      <c r="A37" s="334" t="s">
        <v>323</v>
      </c>
      <c r="B37" s="334">
        <v>53252805</v>
      </c>
      <c r="C37" s="267">
        <v>1680.2333454112531</v>
      </c>
      <c r="D37" s="267">
        <v>1661.0258463604105</v>
      </c>
      <c r="E37" s="267">
        <v>1637.5876469214602</v>
      </c>
      <c r="F37" s="267">
        <v>1483.3098507014779</v>
      </c>
      <c r="G37" s="267">
        <v>1548.0258293838863</v>
      </c>
      <c r="H37" s="267">
        <v>1471.866</v>
      </c>
      <c r="I37" s="267">
        <v>1959.9580000000003</v>
      </c>
      <c r="J37" s="267">
        <v>2865.61</v>
      </c>
      <c r="K37" s="267">
        <v>2836.13</v>
      </c>
      <c r="L37" s="267">
        <v>4308.9749999999995</v>
      </c>
      <c r="M37" s="267">
        <v>2825.46</v>
      </c>
      <c r="N37" s="267">
        <v>2096.0500000000002</v>
      </c>
      <c r="O37" s="268">
        <v>26374.231518778484</v>
      </c>
      <c r="P37" s="247">
        <f t="shared" si="1"/>
        <v>0</v>
      </c>
      <c r="Q37" s="247">
        <f t="shared" si="2"/>
        <v>0</v>
      </c>
      <c r="R37" s="229"/>
      <c r="S37" s="455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6"/>
      <c r="AI37" s="456"/>
      <c r="AJ37" s="456"/>
      <c r="AK37" s="456"/>
      <c r="AL37" s="456"/>
      <c r="AM37" s="456"/>
      <c r="AN37" s="456"/>
      <c r="AO37" s="456"/>
      <c r="AP37" s="456"/>
      <c r="AQ37" s="456"/>
      <c r="AR37" s="456"/>
      <c r="AS37" s="456"/>
      <c r="AT37" s="456"/>
      <c r="AU37" s="456"/>
      <c r="AV37" s="456"/>
      <c r="AW37" s="456"/>
      <c r="AX37" s="456"/>
      <c r="AY37" s="456"/>
      <c r="AZ37" s="456"/>
      <c r="BA37" s="456"/>
      <c r="BB37" s="456"/>
      <c r="BC37" s="456"/>
      <c r="BD37" s="456"/>
      <c r="BE37" s="456"/>
      <c r="BF37" s="456"/>
      <c r="BG37" s="456"/>
      <c r="BH37" s="456"/>
      <c r="BI37" s="456"/>
      <c r="BJ37" s="456"/>
      <c r="BK37" s="456"/>
      <c r="BL37" s="456"/>
      <c r="BM37" s="456"/>
      <c r="BN37" s="456"/>
      <c r="BO37" s="456"/>
      <c r="BP37" s="456"/>
      <c r="BQ37" s="456"/>
      <c r="BR37" s="456"/>
      <c r="BS37" s="456"/>
      <c r="BT37" s="456"/>
      <c r="BU37" s="456"/>
      <c r="BV37" s="456"/>
      <c r="BW37" s="456"/>
      <c r="BX37" s="456"/>
      <c r="BY37" s="456"/>
      <c r="BZ37" s="456"/>
      <c r="CA37" s="456"/>
      <c r="CB37" s="456"/>
      <c r="CC37" s="456"/>
      <c r="CD37" s="456"/>
      <c r="CE37" s="456"/>
      <c r="CF37" s="456"/>
      <c r="CG37" s="456"/>
      <c r="CH37" s="456"/>
      <c r="CI37" s="456"/>
      <c r="CJ37" s="456"/>
      <c r="CK37" s="456"/>
      <c r="CL37" s="456"/>
      <c r="CM37" s="456"/>
      <c r="CN37" s="456"/>
      <c r="CO37" s="456"/>
      <c r="CP37" s="456"/>
      <c r="CQ37" s="456"/>
      <c r="CR37" s="456"/>
      <c r="CS37" s="456"/>
      <c r="CT37" s="456"/>
      <c r="CU37" s="456"/>
      <c r="CV37" s="456"/>
      <c r="CW37" s="456"/>
      <c r="CX37" s="456"/>
      <c r="CY37" s="456"/>
      <c r="CZ37" s="456"/>
      <c r="DA37" s="456"/>
      <c r="DB37" s="456"/>
      <c r="DC37" s="456"/>
      <c r="DD37" s="456"/>
      <c r="DE37" s="455"/>
      <c r="DF37" s="456"/>
    </row>
    <row r="38" spans="1:110" ht="12.75" hidden="1" customHeight="1">
      <c r="A38" s="334" t="s">
        <v>324</v>
      </c>
      <c r="B38" s="334">
        <v>53252806</v>
      </c>
      <c r="C38" s="267">
        <v>9200</v>
      </c>
      <c r="D38" s="267">
        <v>9200</v>
      </c>
      <c r="E38" s="267">
        <v>9200</v>
      </c>
      <c r="F38" s="267">
        <v>9200</v>
      </c>
      <c r="G38" s="267">
        <v>9200</v>
      </c>
      <c r="H38" s="267">
        <v>9200</v>
      </c>
      <c r="I38" s="267">
        <v>9200</v>
      </c>
      <c r="J38" s="267">
        <v>9200</v>
      </c>
      <c r="K38" s="267">
        <v>9200</v>
      </c>
      <c r="L38" s="267">
        <v>9200</v>
      </c>
      <c r="M38" s="267">
        <v>9200</v>
      </c>
      <c r="N38" s="267">
        <v>9200</v>
      </c>
      <c r="O38" s="268">
        <v>110400</v>
      </c>
      <c r="P38" s="247">
        <f t="shared" si="1"/>
        <v>0</v>
      </c>
      <c r="Q38" s="247">
        <f t="shared" si="2"/>
        <v>0</v>
      </c>
      <c r="R38" s="229"/>
      <c r="S38" s="455"/>
      <c r="T38" s="456"/>
      <c r="U38" s="456"/>
      <c r="V38" s="456"/>
      <c r="W38" s="456"/>
      <c r="X38" s="456"/>
      <c r="Y38" s="456"/>
      <c r="Z38" s="456"/>
      <c r="AA38" s="456"/>
      <c r="AB38" s="456"/>
      <c r="AC38" s="456"/>
      <c r="AD38" s="456"/>
      <c r="AE38" s="456"/>
      <c r="AF38" s="456"/>
      <c r="AG38" s="456"/>
      <c r="AH38" s="456"/>
      <c r="AI38" s="456"/>
      <c r="AJ38" s="456"/>
      <c r="AK38" s="456"/>
      <c r="AL38" s="456"/>
      <c r="AM38" s="456"/>
      <c r="AN38" s="456"/>
      <c r="AO38" s="456"/>
      <c r="AP38" s="456"/>
      <c r="AQ38" s="456"/>
      <c r="AR38" s="456"/>
      <c r="AS38" s="456"/>
      <c r="AT38" s="456"/>
      <c r="AU38" s="456"/>
      <c r="AV38" s="456"/>
      <c r="AW38" s="456"/>
      <c r="AX38" s="456"/>
      <c r="AY38" s="456"/>
      <c r="AZ38" s="456"/>
      <c r="BA38" s="456"/>
      <c r="BB38" s="456"/>
      <c r="BC38" s="456"/>
      <c r="BD38" s="456"/>
      <c r="BE38" s="456"/>
      <c r="BF38" s="456"/>
      <c r="BG38" s="456"/>
      <c r="BH38" s="456"/>
      <c r="BI38" s="456"/>
      <c r="BJ38" s="456"/>
      <c r="BK38" s="456"/>
      <c r="BL38" s="456"/>
      <c r="BM38" s="456"/>
      <c r="BN38" s="456"/>
      <c r="BO38" s="456"/>
      <c r="BP38" s="456"/>
      <c r="BQ38" s="456"/>
      <c r="BR38" s="456"/>
      <c r="BS38" s="456"/>
      <c r="BT38" s="456"/>
      <c r="BU38" s="456"/>
      <c r="BV38" s="456"/>
      <c r="BW38" s="456"/>
      <c r="BX38" s="456"/>
      <c r="BY38" s="456"/>
      <c r="BZ38" s="456"/>
      <c r="CA38" s="456"/>
      <c r="CB38" s="456"/>
      <c r="CC38" s="456"/>
      <c r="CD38" s="456"/>
      <c r="CE38" s="456"/>
      <c r="CF38" s="456"/>
      <c r="CG38" s="456"/>
      <c r="CH38" s="456"/>
      <c r="CI38" s="456"/>
      <c r="CJ38" s="456"/>
      <c r="CK38" s="456"/>
      <c r="CL38" s="456"/>
      <c r="CM38" s="456"/>
      <c r="CN38" s="456"/>
      <c r="CO38" s="456"/>
      <c r="CP38" s="456"/>
      <c r="CQ38" s="456"/>
      <c r="CR38" s="456"/>
      <c r="CS38" s="456"/>
      <c r="CT38" s="456"/>
      <c r="CU38" s="456"/>
      <c r="CV38" s="456"/>
      <c r="CW38" s="456"/>
      <c r="CX38" s="456"/>
      <c r="CY38" s="456"/>
      <c r="CZ38" s="456"/>
      <c r="DA38" s="456"/>
      <c r="DB38" s="456"/>
      <c r="DC38" s="456"/>
      <c r="DD38" s="456"/>
      <c r="DE38" s="455"/>
      <c r="DF38" s="456"/>
    </row>
    <row r="39" spans="1:110" ht="12.75" hidden="1" customHeight="1">
      <c r="A39" s="334" t="s">
        <v>325</v>
      </c>
      <c r="B39" s="334">
        <v>53252807</v>
      </c>
      <c r="C39" s="267">
        <v>6091.139624204151</v>
      </c>
      <c r="D39" s="267">
        <v>1450.7841133595473</v>
      </c>
      <c r="E39" s="267">
        <v>3926.7748540515295</v>
      </c>
      <c r="F39" s="267">
        <v>5504.8429214494718</v>
      </c>
      <c r="G39" s="267">
        <v>9088.9684360189585</v>
      </c>
      <c r="H39" s="267">
        <v>5013.8683300663924</v>
      </c>
      <c r="I39" s="267">
        <v>3134.6226223477211</v>
      </c>
      <c r="J39" s="267">
        <v>8881.489345904969</v>
      </c>
      <c r="K39" s="267">
        <v>9801.1224383316276</v>
      </c>
      <c r="L39" s="267">
        <v>9491.6008135673619</v>
      </c>
      <c r="M39" s="267">
        <v>7814.424642408012</v>
      </c>
      <c r="N39" s="267">
        <v>4982.3302813381724</v>
      </c>
      <c r="O39" s="268">
        <v>75181.968423047918</v>
      </c>
      <c r="P39" s="247">
        <f t="shared" si="1"/>
        <v>0</v>
      </c>
      <c r="Q39" s="247">
        <f t="shared" si="2"/>
        <v>0</v>
      </c>
      <c r="R39" s="229"/>
      <c r="S39" s="455"/>
      <c r="T39" s="456"/>
      <c r="U39" s="456"/>
      <c r="V39" s="456"/>
      <c r="W39" s="456"/>
      <c r="X39" s="456"/>
      <c r="Y39" s="456"/>
      <c r="Z39" s="456"/>
      <c r="AA39" s="456"/>
      <c r="AB39" s="456"/>
      <c r="AC39" s="456"/>
      <c r="AD39" s="456"/>
      <c r="AE39" s="456"/>
      <c r="AF39" s="456"/>
      <c r="AG39" s="456"/>
      <c r="AH39" s="456"/>
      <c r="AI39" s="456"/>
      <c r="AJ39" s="456"/>
      <c r="AK39" s="456"/>
      <c r="AL39" s="456"/>
      <c r="AM39" s="456"/>
      <c r="AN39" s="456"/>
      <c r="AO39" s="456"/>
      <c r="AP39" s="456"/>
      <c r="AQ39" s="456"/>
      <c r="AR39" s="456"/>
      <c r="AS39" s="456"/>
      <c r="AT39" s="456"/>
      <c r="AU39" s="456"/>
      <c r="AV39" s="456"/>
      <c r="AW39" s="456"/>
      <c r="AX39" s="456"/>
      <c r="AY39" s="456"/>
      <c r="AZ39" s="456"/>
      <c r="BA39" s="456"/>
      <c r="BB39" s="456"/>
      <c r="BC39" s="456"/>
      <c r="BD39" s="456"/>
      <c r="BE39" s="456"/>
      <c r="BF39" s="456"/>
      <c r="BG39" s="456"/>
      <c r="BH39" s="456"/>
      <c r="BI39" s="456"/>
      <c r="BJ39" s="456"/>
      <c r="BK39" s="456"/>
      <c r="BL39" s="456"/>
      <c r="BM39" s="456"/>
      <c r="BN39" s="456"/>
      <c r="BO39" s="456"/>
      <c r="BP39" s="456"/>
      <c r="BQ39" s="456"/>
      <c r="BR39" s="456"/>
      <c r="BS39" s="456"/>
      <c r="BT39" s="456"/>
      <c r="BU39" s="456"/>
      <c r="BV39" s="456"/>
      <c r="BW39" s="456"/>
      <c r="BX39" s="456"/>
      <c r="BY39" s="456"/>
      <c r="BZ39" s="456"/>
      <c r="CA39" s="456"/>
      <c r="CB39" s="456"/>
      <c r="CC39" s="456"/>
      <c r="CD39" s="456"/>
      <c r="CE39" s="456"/>
      <c r="CF39" s="456"/>
      <c r="CG39" s="456"/>
      <c r="CH39" s="456"/>
      <c r="CI39" s="456"/>
      <c r="CJ39" s="456"/>
      <c r="CK39" s="456"/>
      <c r="CL39" s="456"/>
      <c r="CM39" s="456"/>
      <c r="CN39" s="456"/>
      <c r="CO39" s="456"/>
      <c r="CP39" s="456"/>
      <c r="CQ39" s="456"/>
      <c r="CR39" s="456"/>
      <c r="CS39" s="456"/>
      <c r="CT39" s="456"/>
      <c r="CU39" s="456"/>
      <c r="CV39" s="456"/>
      <c r="CW39" s="456"/>
      <c r="CX39" s="456"/>
      <c r="CY39" s="456"/>
      <c r="CZ39" s="456"/>
      <c r="DA39" s="456"/>
      <c r="DB39" s="456"/>
      <c r="DC39" s="456"/>
      <c r="DD39" s="456"/>
      <c r="DE39" s="455"/>
      <c r="DF39" s="456"/>
    </row>
    <row r="40" spans="1:110" ht="12.75" hidden="1" customHeight="1">
      <c r="A40" s="334" t="s">
        <v>326</v>
      </c>
      <c r="B40" s="334">
        <v>53252808</v>
      </c>
      <c r="C40" s="267">
        <v>2704.9081008333765</v>
      </c>
      <c r="D40" s="267">
        <v>10966.155078162463</v>
      </c>
      <c r="E40" s="267">
        <v>4508.7891959212266</v>
      </c>
      <c r="F40" s="267">
        <v>6560.8560207067303</v>
      </c>
      <c r="G40" s="267">
        <v>5885.7769194312796</v>
      </c>
      <c r="H40" s="267">
        <v>12812.952811526127</v>
      </c>
      <c r="I40" s="267">
        <v>11869.60652626059</v>
      </c>
      <c r="J40" s="267">
        <v>14590.939095975815</v>
      </c>
      <c r="K40" s="267">
        <v>15611.439858751279</v>
      </c>
      <c r="L40" s="267">
        <v>14681.336309297913</v>
      </c>
      <c r="M40" s="267">
        <v>13435.006941779227</v>
      </c>
      <c r="N40" s="267">
        <v>9845.0606509471963</v>
      </c>
      <c r="O40" s="268">
        <v>123472.82750959322</v>
      </c>
      <c r="P40" s="247">
        <f t="shared" si="1"/>
        <v>0</v>
      </c>
      <c r="Q40" s="247">
        <f t="shared" si="2"/>
        <v>0</v>
      </c>
      <c r="R40" s="229"/>
      <c r="S40" s="455"/>
      <c r="T40" s="456"/>
      <c r="U40" s="456"/>
      <c r="V40" s="456"/>
      <c r="W40" s="456"/>
      <c r="X40" s="456"/>
      <c r="Y40" s="456"/>
      <c r="Z40" s="456"/>
      <c r="AA40" s="456"/>
      <c r="AB40" s="456"/>
      <c r="AC40" s="456"/>
      <c r="AD40" s="456"/>
      <c r="AE40" s="456"/>
      <c r="AF40" s="456"/>
      <c r="AG40" s="456"/>
      <c r="AH40" s="456"/>
      <c r="AI40" s="456"/>
      <c r="AJ40" s="456"/>
      <c r="AK40" s="456"/>
      <c r="AL40" s="456"/>
      <c r="AM40" s="456"/>
      <c r="AN40" s="456"/>
      <c r="AO40" s="456"/>
      <c r="AP40" s="456"/>
      <c r="AQ40" s="456"/>
      <c r="AR40" s="456"/>
      <c r="AS40" s="456"/>
      <c r="AT40" s="456"/>
      <c r="AU40" s="456"/>
      <c r="AV40" s="456"/>
      <c r="AW40" s="456"/>
      <c r="AX40" s="456"/>
      <c r="AY40" s="456"/>
      <c r="AZ40" s="456"/>
      <c r="BA40" s="456"/>
      <c r="BB40" s="456"/>
      <c r="BC40" s="456"/>
      <c r="BD40" s="456"/>
      <c r="BE40" s="456"/>
      <c r="BF40" s="456"/>
      <c r="BG40" s="456"/>
      <c r="BH40" s="456"/>
      <c r="BI40" s="456"/>
      <c r="BJ40" s="456"/>
      <c r="BK40" s="456"/>
      <c r="BL40" s="456"/>
      <c r="BM40" s="456"/>
      <c r="BN40" s="456"/>
      <c r="BO40" s="456"/>
      <c r="BP40" s="456"/>
      <c r="BQ40" s="456"/>
      <c r="BR40" s="456"/>
      <c r="BS40" s="456"/>
      <c r="BT40" s="456"/>
      <c r="BU40" s="456"/>
      <c r="BV40" s="456"/>
      <c r="BW40" s="456"/>
      <c r="BX40" s="456"/>
      <c r="BY40" s="456"/>
      <c r="BZ40" s="456"/>
      <c r="CA40" s="456"/>
      <c r="CB40" s="456"/>
      <c r="CC40" s="456"/>
      <c r="CD40" s="456"/>
      <c r="CE40" s="456"/>
      <c r="CF40" s="456"/>
      <c r="CG40" s="456"/>
      <c r="CH40" s="456"/>
      <c r="CI40" s="456"/>
      <c r="CJ40" s="456"/>
      <c r="CK40" s="456"/>
      <c r="CL40" s="456"/>
      <c r="CM40" s="456"/>
      <c r="CN40" s="456"/>
      <c r="CO40" s="456"/>
      <c r="CP40" s="456"/>
      <c r="CQ40" s="456"/>
      <c r="CR40" s="456"/>
      <c r="CS40" s="456"/>
      <c r="CT40" s="456"/>
      <c r="CU40" s="456"/>
      <c r="CV40" s="456"/>
      <c r="CW40" s="456"/>
      <c r="CX40" s="456"/>
      <c r="CY40" s="456"/>
      <c r="CZ40" s="456"/>
      <c r="DA40" s="456"/>
      <c r="DB40" s="456"/>
      <c r="DC40" s="456"/>
      <c r="DD40" s="456"/>
      <c r="DE40" s="455"/>
      <c r="DF40" s="456"/>
    </row>
    <row r="41" spans="1:110" ht="12.75" hidden="1" customHeight="1">
      <c r="A41" s="334" t="s">
        <v>327</v>
      </c>
      <c r="B41" s="334">
        <v>53252809</v>
      </c>
      <c r="C41" s="267">
        <v>2258.3276153009992</v>
      </c>
      <c r="D41" s="267">
        <v>4526.5858204660972</v>
      </c>
      <c r="E41" s="267">
        <v>5819.7345605978053</v>
      </c>
      <c r="F41" s="267">
        <v>5449.8671018080877</v>
      </c>
      <c r="G41" s="267">
        <v>4295.5010426540284</v>
      </c>
      <c r="H41" s="267">
        <v>13214.597000496817</v>
      </c>
      <c r="I41" s="267">
        <v>14913.164894876969</v>
      </c>
      <c r="J41" s="267">
        <v>8278.7472900000012</v>
      </c>
      <c r="K41" s="267">
        <v>8193.5795700000017</v>
      </c>
      <c r="L41" s="267">
        <v>8299.0858500000013</v>
      </c>
      <c r="M41" s="267">
        <v>7860.4297200000001</v>
      </c>
      <c r="N41" s="267">
        <v>6055.4884500000016</v>
      </c>
      <c r="O41" s="268">
        <v>89165.108916200814</v>
      </c>
      <c r="P41" s="247">
        <f t="shared" si="1"/>
        <v>0</v>
      </c>
      <c r="Q41" s="247">
        <f t="shared" si="2"/>
        <v>0</v>
      </c>
      <c r="R41" s="229"/>
      <c r="S41" s="455"/>
      <c r="T41" s="456"/>
      <c r="U41" s="456"/>
      <c r="V41" s="456"/>
      <c r="W41" s="456"/>
      <c r="X41" s="456"/>
      <c r="Y41" s="456"/>
      <c r="Z41" s="456"/>
      <c r="AA41" s="456"/>
      <c r="AB41" s="456"/>
      <c r="AC41" s="456"/>
      <c r="AD41" s="456"/>
      <c r="AE41" s="456"/>
      <c r="AF41" s="456"/>
      <c r="AG41" s="456"/>
      <c r="AH41" s="456"/>
      <c r="AI41" s="456"/>
      <c r="AJ41" s="456"/>
      <c r="AK41" s="456"/>
      <c r="AL41" s="456"/>
      <c r="AM41" s="456"/>
      <c r="AN41" s="456"/>
      <c r="AO41" s="456"/>
      <c r="AP41" s="456"/>
      <c r="AQ41" s="456"/>
      <c r="AR41" s="456"/>
      <c r="AS41" s="456"/>
      <c r="AT41" s="456"/>
      <c r="AU41" s="456"/>
      <c r="AV41" s="456"/>
      <c r="AW41" s="456"/>
      <c r="AX41" s="456"/>
      <c r="AY41" s="456"/>
      <c r="AZ41" s="456"/>
      <c r="BA41" s="456"/>
      <c r="BB41" s="456"/>
      <c r="BC41" s="456"/>
      <c r="BD41" s="456"/>
      <c r="BE41" s="456"/>
      <c r="BF41" s="456"/>
      <c r="BG41" s="456"/>
      <c r="BH41" s="456"/>
      <c r="BI41" s="456"/>
      <c r="BJ41" s="456"/>
      <c r="BK41" s="456"/>
      <c r="BL41" s="456"/>
      <c r="BM41" s="456"/>
      <c r="BN41" s="456"/>
      <c r="BO41" s="456"/>
      <c r="BP41" s="456"/>
      <c r="BQ41" s="456"/>
      <c r="BR41" s="456"/>
      <c r="BS41" s="456"/>
      <c r="BT41" s="456"/>
      <c r="BU41" s="456"/>
      <c r="BV41" s="456"/>
      <c r="BW41" s="456"/>
      <c r="BX41" s="456"/>
      <c r="BY41" s="456"/>
      <c r="BZ41" s="456"/>
      <c r="CA41" s="456"/>
      <c r="CB41" s="456"/>
      <c r="CC41" s="456"/>
      <c r="CD41" s="456"/>
      <c r="CE41" s="456"/>
      <c r="CF41" s="456"/>
      <c r="CG41" s="456"/>
      <c r="CH41" s="456"/>
      <c r="CI41" s="456"/>
      <c r="CJ41" s="456"/>
      <c r="CK41" s="456"/>
      <c r="CL41" s="456"/>
      <c r="CM41" s="456"/>
      <c r="CN41" s="456"/>
      <c r="CO41" s="456"/>
      <c r="CP41" s="456"/>
      <c r="CQ41" s="456"/>
      <c r="CR41" s="456"/>
      <c r="CS41" s="456"/>
      <c r="CT41" s="456"/>
      <c r="CU41" s="456"/>
      <c r="CV41" s="456"/>
      <c r="CW41" s="456"/>
      <c r="CX41" s="456"/>
      <c r="CY41" s="456"/>
      <c r="CZ41" s="456"/>
      <c r="DA41" s="456"/>
      <c r="DB41" s="456"/>
      <c r="DC41" s="456"/>
      <c r="DD41" s="456"/>
      <c r="DE41" s="455"/>
      <c r="DF41" s="456"/>
    </row>
    <row r="42" spans="1:110" ht="12.75" hidden="1" customHeight="1">
      <c r="A42" s="334" t="s">
        <v>328</v>
      </c>
      <c r="B42" s="334">
        <v>53252811</v>
      </c>
      <c r="C42" s="267">
        <v>28310.593943785909</v>
      </c>
      <c r="D42" s="267">
        <v>32451.065613311592</v>
      </c>
      <c r="E42" s="267">
        <v>30919.691468825407</v>
      </c>
      <c r="F42" s="267">
        <v>29372.959134218621</v>
      </c>
      <c r="G42" s="267">
        <v>22634.504028436018</v>
      </c>
      <c r="H42" s="267">
        <v>26271.004227180347</v>
      </c>
      <c r="I42" s="267">
        <v>55924.504541992734</v>
      </c>
      <c r="J42" s="267">
        <v>34643.457755006617</v>
      </c>
      <c r="K42" s="267">
        <v>34748.37657855681</v>
      </c>
      <c r="L42" s="267">
        <v>35162.824999999997</v>
      </c>
      <c r="M42" s="267">
        <v>32733.807975430842</v>
      </c>
      <c r="N42" s="267">
        <v>24644.238049173717</v>
      </c>
      <c r="O42" s="268">
        <v>387817.02831591869</v>
      </c>
      <c r="P42" s="247">
        <f t="shared" si="1"/>
        <v>0</v>
      </c>
      <c r="Q42" s="247">
        <f t="shared" si="2"/>
        <v>0</v>
      </c>
      <c r="R42" s="229"/>
      <c r="S42" s="455"/>
      <c r="T42" s="456"/>
      <c r="U42" s="456"/>
      <c r="V42" s="456"/>
      <c r="W42" s="456"/>
      <c r="X42" s="456"/>
      <c r="Y42" s="456"/>
      <c r="Z42" s="456"/>
      <c r="AA42" s="456"/>
      <c r="AB42" s="456"/>
      <c r="AC42" s="456"/>
      <c r="AD42" s="456"/>
      <c r="AE42" s="456"/>
      <c r="AF42" s="456"/>
      <c r="AG42" s="456"/>
      <c r="AH42" s="456"/>
      <c r="AI42" s="456"/>
      <c r="AJ42" s="456"/>
      <c r="AK42" s="456"/>
      <c r="AL42" s="456"/>
      <c r="AM42" s="456"/>
      <c r="AN42" s="456"/>
      <c r="AO42" s="456"/>
      <c r="AP42" s="456"/>
      <c r="AQ42" s="456"/>
      <c r="AR42" s="456"/>
      <c r="AS42" s="456"/>
      <c r="AT42" s="456"/>
      <c r="AU42" s="456"/>
      <c r="AV42" s="456"/>
      <c r="AW42" s="456"/>
      <c r="AX42" s="456"/>
      <c r="AY42" s="456"/>
      <c r="AZ42" s="456"/>
      <c r="BA42" s="456"/>
      <c r="BB42" s="456"/>
      <c r="BC42" s="456"/>
      <c r="BD42" s="456"/>
      <c r="BE42" s="456"/>
      <c r="BF42" s="456"/>
      <c r="BG42" s="456"/>
      <c r="BH42" s="456"/>
      <c r="BI42" s="456"/>
      <c r="BJ42" s="456"/>
      <c r="BK42" s="456"/>
      <c r="BL42" s="456"/>
      <c r="BM42" s="456"/>
      <c r="BN42" s="456"/>
      <c r="BO42" s="456"/>
      <c r="BP42" s="456"/>
      <c r="BQ42" s="456"/>
      <c r="BR42" s="456"/>
      <c r="BS42" s="456"/>
      <c r="BT42" s="456"/>
      <c r="BU42" s="456"/>
      <c r="BV42" s="456"/>
      <c r="BW42" s="456"/>
      <c r="BX42" s="456"/>
      <c r="BY42" s="456"/>
      <c r="BZ42" s="456"/>
      <c r="CA42" s="456"/>
      <c r="CB42" s="456"/>
      <c r="CC42" s="456"/>
      <c r="CD42" s="456"/>
      <c r="CE42" s="456"/>
      <c r="CF42" s="456"/>
      <c r="CG42" s="456"/>
      <c r="CH42" s="456"/>
      <c r="CI42" s="456"/>
      <c r="CJ42" s="456"/>
      <c r="CK42" s="456"/>
      <c r="CL42" s="456"/>
      <c r="CM42" s="456"/>
      <c r="CN42" s="456"/>
      <c r="CO42" s="456"/>
      <c r="CP42" s="456"/>
      <c r="CQ42" s="456"/>
      <c r="CR42" s="456"/>
      <c r="CS42" s="456"/>
      <c r="CT42" s="456"/>
      <c r="CU42" s="456"/>
      <c r="CV42" s="456"/>
      <c r="CW42" s="456"/>
      <c r="CX42" s="456"/>
      <c r="CY42" s="456"/>
      <c r="CZ42" s="456"/>
      <c r="DA42" s="456"/>
      <c r="DB42" s="456"/>
      <c r="DC42" s="456"/>
      <c r="DD42" s="456"/>
      <c r="DE42" s="455"/>
      <c r="DF42" s="456"/>
    </row>
    <row r="43" spans="1:110" ht="12.75" hidden="1" customHeight="1">
      <c r="A43" s="334" t="s">
        <v>329</v>
      </c>
      <c r="B43" s="334">
        <v>53252814</v>
      </c>
      <c r="C43" s="267">
        <v>587.49417671722142</v>
      </c>
      <c r="D43" s="267">
        <v>580.77826795818555</v>
      </c>
      <c r="E43" s="267">
        <v>0</v>
      </c>
      <c r="F43" s="267">
        <v>0</v>
      </c>
      <c r="G43" s="267">
        <v>0</v>
      </c>
      <c r="H43" s="267">
        <v>0</v>
      </c>
      <c r="I43" s="267">
        <v>0</v>
      </c>
      <c r="J43" s="267">
        <v>43.311694691101458</v>
      </c>
      <c r="K43" s="267">
        <v>52.252139201637675</v>
      </c>
      <c r="L43" s="267">
        <v>49.058538899430737</v>
      </c>
      <c r="M43" s="267">
        <v>49.350139729855613</v>
      </c>
      <c r="N43" s="267">
        <v>47.522294437726728</v>
      </c>
      <c r="O43" s="268">
        <v>1409.7672516351588</v>
      </c>
      <c r="P43" s="247">
        <f t="shared" si="1"/>
        <v>0</v>
      </c>
      <c r="Q43" s="247">
        <f t="shared" si="2"/>
        <v>0</v>
      </c>
      <c r="R43" s="229"/>
      <c r="S43" s="455"/>
      <c r="T43" s="456"/>
      <c r="U43" s="456"/>
      <c r="V43" s="456"/>
      <c r="W43" s="456"/>
      <c r="X43" s="456"/>
      <c r="Y43" s="456"/>
      <c r="Z43" s="456"/>
      <c r="AA43" s="456"/>
      <c r="AB43" s="456"/>
      <c r="AC43" s="456"/>
      <c r="AD43" s="456"/>
      <c r="AE43" s="456"/>
      <c r="AF43" s="456"/>
      <c r="AG43" s="456"/>
      <c r="AH43" s="456"/>
      <c r="AI43" s="456"/>
      <c r="AJ43" s="456"/>
      <c r="AK43" s="456"/>
      <c r="AL43" s="456"/>
      <c r="AM43" s="456"/>
      <c r="AN43" s="456"/>
      <c r="AO43" s="456"/>
      <c r="AP43" s="456"/>
      <c r="AQ43" s="456"/>
      <c r="AR43" s="456"/>
      <c r="AS43" s="456"/>
      <c r="AT43" s="456"/>
      <c r="AU43" s="456"/>
      <c r="AV43" s="456"/>
      <c r="AW43" s="456"/>
      <c r="AX43" s="456"/>
      <c r="AY43" s="456"/>
      <c r="AZ43" s="456"/>
      <c r="BA43" s="456"/>
      <c r="BB43" s="456"/>
      <c r="BC43" s="456"/>
      <c r="BD43" s="456"/>
      <c r="BE43" s="456"/>
      <c r="BF43" s="456"/>
      <c r="BG43" s="456"/>
      <c r="BH43" s="456"/>
      <c r="BI43" s="456"/>
      <c r="BJ43" s="456"/>
      <c r="BK43" s="456"/>
      <c r="BL43" s="456"/>
      <c r="BM43" s="456"/>
      <c r="BN43" s="456"/>
      <c r="BO43" s="456"/>
      <c r="BP43" s="456"/>
      <c r="BQ43" s="456"/>
      <c r="BR43" s="456"/>
      <c r="BS43" s="456"/>
      <c r="BT43" s="456"/>
      <c r="BU43" s="456"/>
      <c r="BV43" s="456"/>
      <c r="BW43" s="456"/>
      <c r="BX43" s="456"/>
      <c r="BY43" s="456"/>
      <c r="BZ43" s="456"/>
      <c r="CA43" s="456"/>
      <c r="CB43" s="456"/>
      <c r="CC43" s="456"/>
      <c r="CD43" s="456"/>
      <c r="CE43" s="456"/>
      <c r="CF43" s="456"/>
      <c r="CG43" s="456"/>
      <c r="CH43" s="456"/>
      <c r="CI43" s="456"/>
      <c r="CJ43" s="456"/>
      <c r="CK43" s="456"/>
      <c r="CL43" s="456"/>
      <c r="CM43" s="456"/>
      <c r="CN43" s="456"/>
      <c r="CO43" s="456"/>
      <c r="CP43" s="456"/>
      <c r="CQ43" s="456"/>
      <c r="CR43" s="456"/>
      <c r="CS43" s="456"/>
      <c r="CT43" s="456"/>
      <c r="CU43" s="456"/>
      <c r="CV43" s="456"/>
      <c r="CW43" s="456"/>
      <c r="CX43" s="456"/>
      <c r="CY43" s="456"/>
      <c r="CZ43" s="456"/>
      <c r="DA43" s="456"/>
      <c r="DB43" s="456"/>
      <c r="DC43" s="456"/>
      <c r="DD43" s="456"/>
      <c r="DE43" s="455"/>
      <c r="DF43" s="456"/>
    </row>
    <row r="44" spans="1:110" ht="12.75" hidden="1" customHeight="1">
      <c r="A44" s="334" t="s">
        <v>330</v>
      </c>
      <c r="B44" s="334">
        <v>53252818</v>
      </c>
      <c r="C44" s="267">
        <v>14598.225125524095</v>
      </c>
      <c r="D44" s="267">
        <v>15470.571147022156</v>
      </c>
      <c r="E44" s="267">
        <v>10976.957737214914</v>
      </c>
      <c r="F44" s="267">
        <v>23200.958068872384</v>
      </c>
      <c r="G44" s="267">
        <v>15716.807890995262</v>
      </c>
      <c r="H44" s="267">
        <v>25574.25303816449</v>
      </c>
      <c r="I44" s="267">
        <v>16959.868210326742</v>
      </c>
      <c r="J44" s="267">
        <v>20016.494222251087</v>
      </c>
      <c r="K44" s="267">
        <v>19428.374454836234</v>
      </c>
      <c r="L44" s="267">
        <v>18509.751860056924</v>
      </c>
      <c r="M44" s="267">
        <v>18128.790327014438</v>
      </c>
      <c r="N44" s="267">
        <v>13989.969931227324</v>
      </c>
      <c r="O44" s="268">
        <v>212571.02201350604</v>
      </c>
      <c r="P44" s="247">
        <f t="shared" si="1"/>
        <v>0</v>
      </c>
      <c r="Q44" s="247">
        <f t="shared" si="2"/>
        <v>0</v>
      </c>
      <c r="R44" s="229"/>
      <c r="S44" s="455"/>
      <c r="T44" s="456"/>
      <c r="U44" s="456"/>
      <c r="V44" s="456"/>
      <c r="W44" s="456"/>
      <c r="X44" s="456"/>
      <c r="Y44" s="456"/>
      <c r="Z44" s="456"/>
      <c r="AA44" s="456"/>
      <c r="AB44" s="456"/>
      <c r="AC44" s="456"/>
      <c r="AD44" s="456"/>
      <c r="AE44" s="456"/>
      <c r="AF44" s="456"/>
      <c r="AG44" s="456"/>
      <c r="AH44" s="456"/>
      <c r="AI44" s="456"/>
      <c r="AJ44" s="456"/>
      <c r="AK44" s="456"/>
      <c r="AL44" s="456"/>
      <c r="AM44" s="456"/>
      <c r="AN44" s="456"/>
      <c r="AO44" s="456"/>
      <c r="AP44" s="456"/>
      <c r="AQ44" s="456"/>
      <c r="AR44" s="456"/>
      <c r="AS44" s="456"/>
      <c r="AT44" s="456"/>
      <c r="AU44" s="456"/>
      <c r="AV44" s="456"/>
      <c r="AW44" s="456"/>
      <c r="AX44" s="456"/>
      <c r="AY44" s="456"/>
      <c r="AZ44" s="456"/>
      <c r="BA44" s="456"/>
      <c r="BB44" s="456"/>
      <c r="BC44" s="456"/>
      <c r="BD44" s="456"/>
      <c r="BE44" s="456"/>
      <c r="BF44" s="456"/>
      <c r="BG44" s="456"/>
      <c r="BH44" s="456"/>
      <c r="BI44" s="456"/>
      <c r="BJ44" s="456"/>
      <c r="BK44" s="456"/>
      <c r="BL44" s="456"/>
      <c r="BM44" s="456"/>
      <c r="BN44" s="456"/>
      <c r="BO44" s="456"/>
      <c r="BP44" s="456"/>
      <c r="BQ44" s="456"/>
      <c r="BR44" s="456"/>
      <c r="BS44" s="456"/>
      <c r="BT44" s="456"/>
      <c r="BU44" s="456"/>
      <c r="BV44" s="456"/>
      <c r="BW44" s="456"/>
      <c r="BX44" s="456"/>
      <c r="BY44" s="456"/>
      <c r="BZ44" s="456"/>
      <c r="CA44" s="456"/>
      <c r="CB44" s="456"/>
      <c r="CC44" s="456"/>
      <c r="CD44" s="456"/>
      <c r="CE44" s="456"/>
      <c r="CF44" s="456"/>
      <c r="CG44" s="456"/>
      <c r="CH44" s="456"/>
      <c r="CI44" s="456"/>
      <c r="CJ44" s="456"/>
      <c r="CK44" s="456"/>
      <c r="CL44" s="456"/>
      <c r="CM44" s="456"/>
      <c r="CN44" s="456"/>
      <c r="CO44" s="456"/>
      <c r="CP44" s="456"/>
      <c r="CQ44" s="456"/>
      <c r="CR44" s="456"/>
      <c r="CS44" s="456"/>
      <c r="CT44" s="456"/>
      <c r="CU44" s="456"/>
      <c r="CV44" s="456"/>
      <c r="CW44" s="456"/>
      <c r="CX44" s="456"/>
      <c r="CY44" s="456"/>
      <c r="CZ44" s="456"/>
      <c r="DA44" s="456"/>
      <c r="DB44" s="456"/>
      <c r="DC44" s="456"/>
      <c r="DD44" s="456"/>
      <c r="DE44" s="455"/>
      <c r="DF44" s="456"/>
    </row>
    <row r="45" spans="1:110" ht="12.75" hidden="1" customHeight="1">
      <c r="A45" s="334" t="s">
        <v>331</v>
      </c>
      <c r="B45" s="334">
        <v>53252901</v>
      </c>
      <c r="C45" s="267">
        <v>14865.952647652572</v>
      </c>
      <c r="D45" s="267">
        <v>7004.185911575717</v>
      </c>
      <c r="E45" s="267">
        <v>7662.3069549311122</v>
      </c>
      <c r="F45" s="267">
        <v>1843.2458774101583</v>
      </c>
      <c r="G45" s="267">
        <v>7802.9162085308062</v>
      </c>
      <c r="H45" s="267">
        <v>6573.5282130888399</v>
      </c>
      <c r="I45" s="267">
        <v>32491.163366680117</v>
      </c>
      <c r="J45" s="267">
        <v>13596.997319270735</v>
      </c>
      <c r="K45" s="267">
        <v>12737.453172492324</v>
      </c>
      <c r="L45" s="267">
        <v>11457.485486242886</v>
      </c>
      <c r="M45" s="267">
        <v>12118.816209850957</v>
      </c>
      <c r="N45" s="267">
        <v>6853.3484885126973</v>
      </c>
      <c r="O45" s="268">
        <v>135007.39985623895</v>
      </c>
      <c r="P45" s="247">
        <f t="shared" si="1"/>
        <v>0</v>
      </c>
      <c r="Q45" s="247">
        <f t="shared" si="2"/>
        <v>0</v>
      </c>
      <c r="R45" s="229"/>
      <c r="S45" s="455"/>
      <c r="T45" s="456"/>
      <c r="U45" s="456"/>
      <c r="V45" s="456"/>
      <c r="W45" s="456"/>
      <c r="X45" s="456"/>
      <c r="Y45" s="456"/>
      <c r="Z45" s="456"/>
      <c r="AA45" s="456"/>
      <c r="AB45" s="456"/>
      <c r="AC45" s="456"/>
      <c r="AD45" s="456"/>
      <c r="AE45" s="456"/>
      <c r="AF45" s="456"/>
      <c r="AG45" s="456"/>
      <c r="AH45" s="456"/>
      <c r="AI45" s="456"/>
      <c r="AJ45" s="456"/>
      <c r="AK45" s="456"/>
      <c r="AL45" s="456"/>
      <c r="AM45" s="456"/>
      <c r="AN45" s="456"/>
      <c r="AO45" s="456"/>
      <c r="AP45" s="456"/>
      <c r="AQ45" s="456"/>
      <c r="AR45" s="456"/>
      <c r="AS45" s="456"/>
      <c r="AT45" s="456"/>
      <c r="AU45" s="456"/>
      <c r="AV45" s="456"/>
      <c r="AW45" s="456"/>
      <c r="AX45" s="456"/>
      <c r="AY45" s="456"/>
      <c r="AZ45" s="456"/>
      <c r="BA45" s="456"/>
      <c r="BB45" s="456"/>
      <c r="BC45" s="456"/>
      <c r="BD45" s="456"/>
      <c r="BE45" s="456"/>
      <c r="BF45" s="456"/>
      <c r="BG45" s="456"/>
      <c r="BH45" s="456"/>
      <c r="BI45" s="456"/>
      <c r="BJ45" s="456"/>
      <c r="BK45" s="456"/>
      <c r="BL45" s="456"/>
      <c r="BM45" s="456"/>
      <c r="BN45" s="456"/>
      <c r="BO45" s="456"/>
      <c r="BP45" s="456"/>
      <c r="BQ45" s="456"/>
      <c r="BR45" s="456"/>
      <c r="BS45" s="456"/>
      <c r="BT45" s="456"/>
      <c r="BU45" s="456"/>
      <c r="BV45" s="456"/>
      <c r="BW45" s="456"/>
      <c r="BX45" s="456"/>
      <c r="BY45" s="456"/>
      <c r="BZ45" s="456"/>
      <c r="CA45" s="456"/>
      <c r="CB45" s="456"/>
      <c r="CC45" s="456"/>
      <c r="CD45" s="456"/>
      <c r="CE45" s="456"/>
      <c r="CF45" s="456"/>
      <c r="CG45" s="456"/>
      <c r="CH45" s="456"/>
      <c r="CI45" s="456"/>
      <c r="CJ45" s="456"/>
      <c r="CK45" s="456"/>
      <c r="CL45" s="456"/>
      <c r="CM45" s="456"/>
      <c r="CN45" s="456"/>
      <c r="CO45" s="456"/>
      <c r="CP45" s="456"/>
      <c r="CQ45" s="456"/>
      <c r="CR45" s="456"/>
      <c r="CS45" s="456"/>
      <c r="CT45" s="456"/>
      <c r="CU45" s="456"/>
      <c r="CV45" s="456"/>
      <c r="CW45" s="456"/>
      <c r="CX45" s="456"/>
      <c r="CY45" s="456"/>
      <c r="CZ45" s="456"/>
      <c r="DA45" s="456"/>
      <c r="DB45" s="456"/>
      <c r="DC45" s="456"/>
      <c r="DD45" s="456"/>
      <c r="DE45" s="455"/>
      <c r="DF45" s="456"/>
    </row>
    <row r="46" spans="1:110" ht="12.75" hidden="1" customHeight="1">
      <c r="A46" s="334" t="s">
        <v>332</v>
      </c>
      <c r="B46" s="334">
        <v>53252904</v>
      </c>
      <c r="C46" s="267">
        <v>237.34764739375746</v>
      </c>
      <c r="D46" s="267">
        <v>76.662731370480472</v>
      </c>
      <c r="E46" s="267">
        <v>37.790484159726006</v>
      </c>
      <c r="F46" s="267">
        <v>5.1863980793757971</v>
      </c>
      <c r="G46" s="267">
        <v>1263.3189810426541</v>
      </c>
      <c r="H46" s="267">
        <v>171.77642129985097</v>
      </c>
      <c r="I46" s="267">
        <v>0</v>
      </c>
      <c r="J46" s="267">
        <v>892.11263139996208</v>
      </c>
      <c r="K46" s="267">
        <v>962.01994063459563</v>
      </c>
      <c r="L46" s="267">
        <v>915.75939278937381</v>
      </c>
      <c r="M46" s="267">
        <v>844.26025710293425</v>
      </c>
      <c r="N46" s="267">
        <v>588.09367392180559</v>
      </c>
      <c r="O46" s="268">
        <v>5994.3285591945159</v>
      </c>
      <c r="P46" s="247">
        <f t="shared" si="1"/>
        <v>0</v>
      </c>
      <c r="Q46" s="247">
        <f t="shared" si="2"/>
        <v>0</v>
      </c>
      <c r="R46" s="229"/>
      <c r="S46" s="455"/>
      <c r="T46" s="456"/>
      <c r="U46" s="456"/>
      <c r="V46" s="456"/>
      <c r="W46" s="456"/>
      <c r="X46" s="456"/>
      <c r="Y46" s="456"/>
      <c r="Z46" s="456"/>
      <c r="AA46" s="456"/>
      <c r="AB46" s="456"/>
      <c r="AC46" s="456"/>
      <c r="AD46" s="456"/>
      <c r="AE46" s="456"/>
      <c r="AF46" s="456"/>
      <c r="AG46" s="456"/>
      <c r="AH46" s="456"/>
      <c r="AI46" s="456"/>
      <c r="AJ46" s="456"/>
      <c r="AK46" s="456"/>
      <c r="AL46" s="456"/>
      <c r="AM46" s="456"/>
      <c r="AN46" s="456"/>
      <c r="AO46" s="456"/>
      <c r="AP46" s="456"/>
      <c r="AQ46" s="456"/>
      <c r="AR46" s="456"/>
      <c r="AS46" s="456"/>
      <c r="AT46" s="456"/>
      <c r="AU46" s="456"/>
      <c r="AV46" s="456"/>
      <c r="AW46" s="456"/>
      <c r="AX46" s="456"/>
      <c r="AY46" s="456"/>
      <c r="AZ46" s="456"/>
      <c r="BA46" s="456"/>
      <c r="BB46" s="456"/>
      <c r="BC46" s="456"/>
      <c r="BD46" s="456"/>
      <c r="BE46" s="456"/>
      <c r="BF46" s="456"/>
      <c r="BG46" s="456"/>
      <c r="BH46" s="456"/>
      <c r="BI46" s="456"/>
      <c r="BJ46" s="456"/>
      <c r="BK46" s="456"/>
      <c r="BL46" s="456"/>
      <c r="BM46" s="456"/>
      <c r="BN46" s="456"/>
      <c r="BO46" s="456"/>
      <c r="BP46" s="456"/>
      <c r="BQ46" s="456"/>
      <c r="BR46" s="456"/>
      <c r="BS46" s="456"/>
      <c r="BT46" s="456"/>
      <c r="BU46" s="456"/>
      <c r="BV46" s="456"/>
      <c r="BW46" s="456"/>
      <c r="BX46" s="456"/>
      <c r="BY46" s="456"/>
      <c r="BZ46" s="456"/>
      <c r="CA46" s="456"/>
      <c r="CB46" s="456"/>
      <c r="CC46" s="456"/>
      <c r="CD46" s="456"/>
      <c r="CE46" s="456"/>
      <c r="CF46" s="456"/>
      <c r="CG46" s="456"/>
      <c r="CH46" s="456"/>
      <c r="CI46" s="456"/>
      <c r="CJ46" s="456"/>
      <c r="CK46" s="456"/>
      <c r="CL46" s="456"/>
      <c r="CM46" s="456"/>
      <c r="CN46" s="456"/>
      <c r="CO46" s="456"/>
      <c r="CP46" s="456"/>
      <c r="CQ46" s="456"/>
      <c r="CR46" s="456"/>
      <c r="CS46" s="456"/>
      <c r="CT46" s="456"/>
      <c r="CU46" s="456"/>
      <c r="CV46" s="456"/>
      <c r="CW46" s="456"/>
      <c r="CX46" s="456"/>
      <c r="CY46" s="456"/>
      <c r="CZ46" s="456"/>
      <c r="DA46" s="456"/>
      <c r="DB46" s="456"/>
      <c r="DC46" s="456"/>
      <c r="DD46" s="456"/>
      <c r="DE46" s="455"/>
      <c r="DF46" s="456"/>
    </row>
    <row r="47" spans="1:110" ht="12.75" hidden="1" customHeight="1">
      <c r="A47" s="334" t="s">
        <v>333</v>
      </c>
      <c r="B47" s="334">
        <v>53254201</v>
      </c>
      <c r="C47" s="267">
        <v>3803.5222112945803</v>
      </c>
      <c r="D47" s="267">
        <v>2648.7794140212909</v>
      </c>
      <c r="E47" s="267">
        <v>2552.6776445862847</v>
      </c>
      <c r="F47" s="267">
        <v>3045.5154025058146</v>
      </c>
      <c r="G47" s="267">
        <v>2357.4995734597155</v>
      </c>
      <c r="H47" s="267">
        <v>2726.5550000000003</v>
      </c>
      <c r="I47" s="267">
        <v>2399.9699999999998</v>
      </c>
      <c r="J47" s="267">
        <v>5298.4149999999991</v>
      </c>
      <c r="K47" s="267">
        <v>4970.5820000000003</v>
      </c>
      <c r="L47" s="267">
        <v>5021.71</v>
      </c>
      <c r="M47" s="267">
        <v>4955.6440000000002</v>
      </c>
      <c r="N47" s="267">
        <v>3934.47</v>
      </c>
      <c r="O47" s="268">
        <v>43715.340245867694</v>
      </c>
      <c r="P47" s="247">
        <f t="shared" si="1"/>
        <v>0</v>
      </c>
      <c r="Q47" s="247">
        <f t="shared" si="2"/>
        <v>0</v>
      </c>
      <c r="R47" s="229"/>
      <c r="S47" s="455"/>
      <c r="T47" s="456"/>
      <c r="U47" s="456"/>
      <c r="V47" s="456"/>
      <c r="W47" s="456"/>
      <c r="X47" s="456"/>
      <c r="Y47" s="456"/>
      <c r="Z47" s="456"/>
      <c r="AA47" s="456"/>
      <c r="AB47" s="456"/>
      <c r="AC47" s="456"/>
      <c r="AD47" s="456"/>
      <c r="AE47" s="456"/>
      <c r="AF47" s="456"/>
      <c r="AG47" s="456"/>
      <c r="AH47" s="456"/>
      <c r="AI47" s="456"/>
      <c r="AJ47" s="456"/>
      <c r="AK47" s="456"/>
      <c r="AL47" s="456"/>
      <c r="AM47" s="456"/>
      <c r="AN47" s="456"/>
      <c r="AO47" s="456"/>
      <c r="AP47" s="456"/>
      <c r="AQ47" s="456"/>
      <c r="AR47" s="456"/>
      <c r="AS47" s="456"/>
      <c r="AT47" s="456"/>
      <c r="AU47" s="456"/>
      <c r="AV47" s="456"/>
      <c r="AW47" s="456"/>
      <c r="AX47" s="456"/>
      <c r="AY47" s="456"/>
      <c r="AZ47" s="456"/>
      <c r="BA47" s="456"/>
      <c r="BB47" s="456"/>
      <c r="BC47" s="456"/>
      <c r="BD47" s="456"/>
      <c r="BE47" s="456"/>
      <c r="BF47" s="456"/>
      <c r="BG47" s="456"/>
      <c r="BH47" s="456"/>
      <c r="BI47" s="456"/>
      <c r="BJ47" s="456"/>
      <c r="BK47" s="456"/>
      <c r="BL47" s="456"/>
      <c r="BM47" s="456"/>
      <c r="BN47" s="456"/>
      <c r="BO47" s="456"/>
      <c r="BP47" s="456"/>
      <c r="BQ47" s="456"/>
      <c r="BR47" s="456"/>
      <c r="BS47" s="456"/>
      <c r="BT47" s="456"/>
      <c r="BU47" s="456"/>
      <c r="BV47" s="456"/>
      <c r="BW47" s="456"/>
      <c r="BX47" s="456"/>
      <c r="BY47" s="456"/>
      <c r="BZ47" s="456"/>
      <c r="CA47" s="456"/>
      <c r="CB47" s="456"/>
      <c r="CC47" s="456"/>
      <c r="CD47" s="456"/>
      <c r="CE47" s="456"/>
      <c r="CF47" s="456"/>
      <c r="CG47" s="456"/>
      <c r="CH47" s="456"/>
      <c r="CI47" s="456"/>
      <c r="CJ47" s="456"/>
      <c r="CK47" s="456"/>
      <c r="CL47" s="456"/>
      <c r="CM47" s="456"/>
      <c r="CN47" s="456"/>
      <c r="CO47" s="456"/>
      <c r="CP47" s="456"/>
      <c r="CQ47" s="456"/>
      <c r="CR47" s="456"/>
      <c r="CS47" s="456"/>
      <c r="CT47" s="456"/>
      <c r="CU47" s="456"/>
      <c r="CV47" s="456"/>
      <c r="CW47" s="456"/>
      <c r="CX47" s="456"/>
      <c r="CY47" s="456"/>
      <c r="CZ47" s="456"/>
      <c r="DA47" s="456"/>
      <c r="DB47" s="456"/>
      <c r="DC47" s="456"/>
      <c r="DD47" s="456"/>
      <c r="DE47" s="455"/>
      <c r="DF47" s="456"/>
    </row>
    <row r="48" spans="1:110" ht="12.75" hidden="1" customHeight="1">
      <c r="A48" s="335" t="s">
        <v>334</v>
      </c>
      <c r="B48" s="334"/>
      <c r="C48" s="267">
        <v>0</v>
      </c>
      <c r="D48" s="267">
        <v>0</v>
      </c>
      <c r="E48" s="267">
        <v>0</v>
      </c>
      <c r="F48" s="267">
        <v>0</v>
      </c>
      <c r="G48" s="267">
        <v>0</v>
      </c>
      <c r="H48" s="267">
        <v>0</v>
      </c>
      <c r="I48" s="267">
        <v>0</v>
      </c>
      <c r="J48" s="267">
        <v>0</v>
      </c>
      <c r="K48" s="267">
        <v>0</v>
      </c>
      <c r="L48" s="267">
        <v>0</v>
      </c>
      <c r="M48" s="267">
        <v>0</v>
      </c>
      <c r="N48" s="267">
        <v>0</v>
      </c>
      <c r="O48" s="268">
        <v>0</v>
      </c>
      <c r="P48" s="247">
        <f t="shared" si="1"/>
        <v>0</v>
      </c>
      <c r="Q48" s="247">
        <f t="shared" si="2"/>
        <v>0</v>
      </c>
      <c r="R48" s="229"/>
      <c r="S48" s="455"/>
      <c r="T48" s="456"/>
      <c r="U48" s="456"/>
      <c r="V48" s="456"/>
      <c r="W48" s="456"/>
      <c r="X48" s="456"/>
      <c r="Y48" s="456"/>
      <c r="Z48" s="456"/>
      <c r="AA48" s="456"/>
      <c r="AB48" s="456"/>
      <c r="AC48" s="456"/>
      <c r="AD48" s="456"/>
      <c r="AE48" s="456"/>
      <c r="AF48" s="456"/>
      <c r="AG48" s="456"/>
      <c r="AH48" s="456"/>
      <c r="AI48" s="456"/>
      <c r="AJ48" s="456"/>
      <c r="AK48" s="456"/>
      <c r="AL48" s="456"/>
      <c r="AM48" s="456"/>
      <c r="AN48" s="456"/>
      <c r="AO48" s="456"/>
      <c r="AP48" s="456"/>
      <c r="AQ48" s="456"/>
      <c r="AR48" s="456"/>
      <c r="AS48" s="456"/>
      <c r="AT48" s="456"/>
      <c r="AU48" s="456"/>
      <c r="AV48" s="456"/>
      <c r="AW48" s="456"/>
      <c r="AX48" s="456"/>
      <c r="AY48" s="456"/>
      <c r="AZ48" s="456"/>
      <c r="BA48" s="456"/>
      <c r="BB48" s="456"/>
      <c r="BC48" s="456"/>
      <c r="BD48" s="456"/>
      <c r="BE48" s="456"/>
      <c r="BF48" s="456"/>
      <c r="BG48" s="456"/>
      <c r="BH48" s="456"/>
      <c r="BI48" s="456"/>
      <c r="BJ48" s="456"/>
      <c r="BK48" s="456"/>
      <c r="BL48" s="456"/>
      <c r="BM48" s="456"/>
      <c r="BN48" s="456"/>
      <c r="BO48" s="456"/>
      <c r="BP48" s="456"/>
      <c r="BQ48" s="456"/>
      <c r="BR48" s="456"/>
      <c r="BS48" s="456"/>
      <c r="BT48" s="456"/>
      <c r="BU48" s="456"/>
      <c r="BV48" s="456"/>
      <c r="BW48" s="456"/>
      <c r="BX48" s="456"/>
      <c r="BY48" s="456"/>
      <c r="BZ48" s="456"/>
      <c r="CA48" s="456"/>
      <c r="CB48" s="456"/>
      <c r="CC48" s="456"/>
      <c r="CD48" s="456"/>
      <c r="CE48" s="456"/>
      <c r="CF48" s="456"/>
      <c r="CG48" s="456"/>
      <c r="CH48" s="456"/>
      <c r="CI48" s="456"/>
      <c r="CJ48" s="456"/>
      <c r="CK48" s="456"/>
      <c r="CL48" s="456"/>
      <c r="CM48" s="456"/>
      <c r="CN48" s="456"/>
      <c r="CO48" s="456"/>
      <c r="CP48" s="456"/>
      <c r="CQ48" s="456"/>
      <c r="CR48" s="456"/>
      <c r="CS48" s="456"/>
      <c r="CT48" s="456"/>
      <c r="CU48" s="456"/>
      <c r="CV48" s="456"/>
      <c r="CW48" s="456"/>
      <c r="CX48" s="456"/>
      <c r="CY48" s="456"/>
      <c r="CZ48" s="456"/>
      <c r="DA48" s="456"/>
      <c r="DB48" s="456"/>
      <c r="DC48" s="456"/>
      <c r="DD48" s="456"/>
      <c r="DE48" s="455"/>
      <c r="DF48" s="456"/>
    </row>
    <row r="49" spans="1:110" s="232" customFormat="1" ht="12.75" hidden="1" customHeight="1">
      <c r="A49" s="334" t="s">
        <v>335</v>
      </c>
      <c r="B49" s="334">
        <v>53255308</v>
      </c>
      <c r="C49" s="267">
        <v>3220.6430767638076</v>
      </c>
      <c r="D49" s="267">
        <v>3431.2380070969598</v>
      </c>
      <c r="E49" s="267">
        <v>3826.0002296255934</v>
      </c>
      <c r="F49" s="267">
        <v>2718.7098732087929</v>
      </c>
      <c r="G49" s="267">
        <v>2041.6620379146921</v>
      </c>
      <c r="H49" s="267">
        <v>1621.0070221308881</v>
      </c>
      <c r="I49" s="267">
        <v>2137.2498845502219</v>
      </c>
      <c r="J49" s="267">
        <v>2579.049</v>
      </c>
      <c r="K49" s="267">
        <v>2552.5169999999998</v>
      </c>
      <c r="L49" s="267">
        <v>2585.3850000000002</v>
      </c>
      <c r="M49" s="267">
        <v>2542.9139999999998</v>
      </c>
      <c r="N49" s="267">
        <v>1886.4449999999999</v>
      </c>
      <c r="O49" s="268">
        <v>31142.820131290955</v>
      </c>
      <c r="P49" s="247">
        <f t="shared" si="1"/>
        <v>0</v>
      </c>
      <c r="Q49" s="247">
        <f t="shared" si="2"/>
        <v>0</v>
      </c>
      <c r="R49" s="231"/>
      <c r="S49" s="459"/>
      <c r="T49" s="460"/>
      <c r="U49" s="460"/>
      <c r="V49" s="460"/>
      <c r="W49" s="460"/>
      <c r="X49" s="460"/>
      <c r="Y49" s="460"/>
      <c r="Z49" s="460"/>
      <c r="AA49" s="460"/>
      <c r="AB49" s="460"/>
      <c r="AC49" s="460"/>
      <c r="AD49" s="460"/>
      <c r="AE49" s="460"/>
      <c r="AF49" s="460"/>
      <c r="AG49" s="460"/>
      <c r="AH49" s="460"/>
      <c r="AI49" s="460"/>
      <c r="AJ49" s="460"/>
      <c r="AK49" s="460"/>
      <c r="AL49" s="460"/>
      <c r="AM49" s="460"/>
      <c r="AN49" s="460"/>
      <c r="AO49" s="460"/>
      <c r="AP49" s="460"/>
      <c r="AQ49" s="460"/>
      <c r="AR49" s="460"/>
      <c r="AS49" s="460"/>
      <c r="AT49" s="460"/>
      <c r="AU49" s="460"/>
      <c r="AV49" s="460"/>
      <c r="AW49" s="460"/>
      <c r="AX49" s="460"/>
      <c r="AY49" s="460"/>
      <c r="AZ49" s="460"/>
      <c r="BA49" s="460"/>
      <c r="BB49" s="460"/>
      <c r="BC49" s="460"/>
      <c r="BD49" s="460"/>
      <c r="BE49" s="460"/>
      <c r="BF49" s="460"/>
      <c r="BG49" s="460"/>
      <c r="BH49" s="460"/>
      <c r="BI49" s="460"/>
      <c r="BJ49" s="460"/>
      <c r="BK49" s="460"/>
      <c r="BL49" s="460"/>
      <c r="BM49" s="460"/>
      <c r="BN49" s="460"/>
      <c r="BO49" s="460"/>
      <c r="BP49" s="460"/>
      <c r="BQ49" s="460"/>
      <c r="BR49" s="460"/>
      <c r="BS49" s="460"/>
      <c r="BT49" s="460"/>
      <c r="BU49" s="460"/>
      <c r="BV49" s="460"/>
      <c r="BW49" s="460"/>
      <c r="BX49" s="460"/>
      <c r="BY49" s="460"/>
      <c r="BZ49" s="460"/>
      <c r="CA49" s="460"/>
      <c r="CB49" s="460"/>
      <c r="CC49" s="460"/>
      <c r="CD49" s="460"/>
      <c r="CE49" s="460"/>
      <c r="CF49" s="460"/>
      <c r="CG49" s="460"/>
      <c r="CH49" s="460"/>
      <c r="CI49" s="460"/>
      <c r="CJ49" s="460"/>
      <c r="CK49" s="460"/>
      <c r="CL49" s="460"/>
      <c r="CM49" s="460"/>
      <c r="CN49" s="460"/>
      <c r="CO49" s="460"/>
      <c r="CP49" s="460"/>
      <c r="CQ49" s="460"/>
      <c r="CR49" s="460"/>
      <c r="CS49" s="460"/>
      <c r="CT49" s="460"/>
      <c r="CU49" s="460"/>
      <c r="CV49" s="460"/>
      <c r="CW49" s="460"/>
      <c r="CX49" s="460"/>
      <c r="CY49" s="460"/>
      <c r="CZ49" s="460"/>
      <c r="DA49" s="460"/>
      <c r="DB49" s="460"/>
      <c r="DC49" s="460"/>
      <c r="DD49" s="460"/>
      <c r="DE49" s="459"/>
      <c r="DF49" s="460"/>
    </row>
    <row r="50" spans="1:110" ht="12.75" hidden="1" customHeight="1">
      <c r="A50" s="334" t="s">
        <v>336</v>
      </c>
      <c r="B50" s="334">
        <v>53255799</v>
      </c>
      <c r="C50" s="267">
        <v>0</v>
      </c>
      <c r="D50" s="267">
        <v>1138.3254051980434</v>
      </c>
      <c r="E50" s="267">
        <v>0</v>
      </c>
      <c r="F50" s="267">
        <v>0</v>
      </c>
      <c r="G50" s="267">
        <v>0</v>
      </c>
      <c r="H50" s="267">
        <v>0</v>
      </c>
      <c r="I50" s="267">
        <v>0</v>
      </c>
      <c r="J50" s="267">
        <v>64.967542036652176</v>
      </c>
      <c r="K50" s="267">
        <v>69.669518935516891</v>
      </c>
      <c r="L50" s="267">
        <v>65.411385199240982</v>
      </c>
      <c r="M50" s="267">
        <v>65.800186306474146</v>
      </c>
      <c r="N50" s="267">
        <v>63.3630592503023</v>
      </c>
      <c r="O50" s="268">
        <v>1467.5370969262301</v>
      </c>
      <c r="P50" s="247">
        <f t="shared" si="1"/>
        <v>0</v>
      </c>
      <c r="Q50" s="247">
        <f t="shared" si="2"/>
        <v>0</v>
      </c>
      <c r="R50" s="229"/>
      <c r="S50" s="455"/>
      <c r="T50" s="456"/>
      <c r="U50" s="456"/>
      <c r="V50" s="456"/>
      <c r="W50" s="456"/>
      <c r="X50" s="456"/>
      <c r="Y50" s="456"/>
      <c r="Z50" s="456"/>
      <c r="AA50" s="456"/>
      <c r="AB50" s="456"/>
      <c r="AC50" s="456"/>
      <c r="AD50" s="456"/>
      <c r="AE50" s="456"/>
      <c r="AF50" s="456"/>
      <c r="AG50" s="456"/>
      <c r="AH50" s="456"/>
      <c r="AI50" s="456"/>
      <c r="AJ50" s="456"/>
      <c r="AK50" s="456"/>
      <c r="AL50" s="456"/>
      <c r="AM50" s="456"/>
      <c r="AN50" s="456"/>
      <c r="AO50" s="456"/>
      <c r="AP50" s="456"/>
      <c r="AQ50" s="456"/>
      <c r="AR50" s="456"/>
      <c r="AS50" s="456"/>
      <c r="AT50" s="456"/>
      <c r="AU50" s="456"/>
      <c r="AV50" s="456"/>
      <c r="AW50" s="456"/>
      <c r="AX50" s="456"/>
      <c r="AY50" s="456"/>
      <c r="AZ50" s="456"/>
      <c r="BA50" s="456"/>
      <c r="BB50" s="456"/>
      <c r="BC50" s="456"/>
      <c r="BD50" s="456"/>
      <c r="BE50" s="456"/>
      <c r="BF50" s="456"/>
      <c r="BG50" s="456"/>
      <c r="BH50" s="456"/>
      <c r="BI50" s="456"/>
      <c r="BJ50" s="456"/>
      <c r="BK50" s="456"/>
      <c r="BL50" s="456"/>
      <c r="BM50" s="456"/>
      <c r="BN50" s="456"/>
      <c r="BO50" s="456"/>
      <c r="BP50" s="456"/>
      <c r="BQ50" s="456"/>
      <c r="BR50" s="456"/>
      <c r="BS50" s="456"/>
      <c r="BT50" s="456"/>
      <c r="BU50" s="456"/>
      <c r="BV50" s="456"/>
      <c r="BW50" s="456"/>
      <c r="BX50" s="456"/>
      <c r="BY50" s="456"/>
      <c r="BZ50" s="456"/>
      <c r="CA50" s="456"/>
      <c r="CB50" s="456"/>
      <c r="CC50" s="456"/>
      <c r="CD50" s="456"/>
      <c r="CE50" s="456"/>
      <c r="CF50" s="456"/>
      <c r="CG50" s="456"/>
      <c r="CH50" s="456"/>
      <c r="CI50" s="456"/>
      <c r="CJ50" s="456"/>
      <c r="CK50" s="456"/>
      <c r="CL50" s="456"/>
      <c r="CM50" s="456"/>
      <c r="CN50" s="456"/>
      <c r="CO50" s="456"/>
      <c r="CP50" s="456"/>
      <c r="CQ50" s="456"/>
      <c r="CR50" s="456"/>
      <c r="CS50" s="456"/>
      <c r="CT50" s="456"/>
      <c r="CU50" s="456"/>
      <c r="CV50" s="456"/>
      <c r="CW50" s="456"/>
      <c r="CX50" s="456"/>
      <c r="CY50" s="456"/>
      <c r="CZ50" s="456"/>
      <c r="DA50" s="456"/>
      <c r="DB50" s="456"/>
      <c r="DC50" s="456"/>
      <c r="DD50" s="456"/>
      <c r="DE50" s="455"/>
      <c r="DF50" s="456"/>
    </row>
    <row r="51" spans="1:110" ht="12.75" hidden="1" customHeight="1">
      <c r="A51" s="334" t="s">
        <v>337</v>
      </c>
      <c r="B51" s="334" t="s">
        <v>338</v>
      </c>
      <c r="C51" s="267">
        <v>0</v>
      </c>
      <c r="D51" s="267">
        <v>0</v>
      </c>
      <c r="E51" s="267">
        <v>0</v>
      </c>
      <c r="F51" s="267">
        <v>0</v>
      </c>
      <c r="G51" s="267">
        <v>0</v>
      </c>
      <c r="H51" s="267">
        <v>0</v>
      </c>
      <c r="I51" s="267">
        <v>0</v>
      </c>
      <c r="J51" s="267">
        <v>0</v>
      </c>
      <c r="K51" s="267">
        <v>0</v>
      </c>
      <c r="L51" s="267">
        <v>0</v>
      </c>
      <c r="M51" s="267">
        <v>0</v>
      </c>
      <c r="N51" s="267">
        <v>0</v>
      </c>
      <c r="O51" s="268">
        <v>0</v>
      </c>
      <c r="P51" s="247">
        <f t="shared" si="1"/>
        <v>0</v>
      </c>
      <c r="Q51" s="247">
        <f t="shared" si="2"/>
        <v>0</v>
      </c>
      <c r="R51" s="229"/>
      <c r="S51" s="455"/>
      <c r="T51" s="456"/>
      <c r="U51" s="456"/>
      <c r="V51" s="456"/>
      <c r="W51" s="456"/>
      <c r="X51" s="456"/>
      <c r="Y51" s="456"/>
      <c r="Z51" s="456"/>
      <c r="AA51" s="456"/>
      <c r="AB51" s="456"/>
      <c r="AC51" s="456"/>
      <c r="AD51" s="456"/>
      <c r="AE51" s="456"/>
      <c r="AF51" s="456"/>
      <c r="AG51" s="456"/>
      <c r="AH51" s="456"/>
      <c r="AI51" s="456"/>
      <c r="AJ51" s="456"/>
      <c r="AK51" s="456"/>
      <c r="AL51" s="456"/>
      <c r="AM51" s="456"/>
      <c r="AN51" s="456"/>
      <c r="AO51" s="456"/>
      <c r="AP51" s="456"/>
      <c r="AQ51" s="456"/>
      <c r="AR51" s="456"/>
      <c r="AS51" s="456"/>
      <c r="AT51" s="456"/>
      <c r="AU51" s="456"/>
      <c r="AV51" s="456"/>
      <c r="AW51" s="456"/>
      <c r="AX51" s="456"/>
      <c r="AY51" s="456"/>
      <c r="AZ51" s="456"/>
      <c r="BA51" s="456"/>
      <c r="BB51" s="456"/>
      <c r="BC51" s="456"/>
      <c r="BD51" s="456"/>
      <c r="BE51" s="456"/>
      <c r="BF51" s="456"/>
      <c r="BG51" s="456"/>
      <c r="BH51" s="456"/>
      <c r="BI51" s="456"/>
      <c r="BJ51" s="456"/>
      <c r="BK51" s="456"/>
      <c r="BL51" s="456"/>
      <c r="BM51" s="456"/>
      <c r="BN51" s="456"/>
      <c r="BO51" s="456"/>
      <c r="BP51" s="456"/>
      <c r="BQ51" s="456"/>
      <c r="BR51" s="456"/>
      <c r="BS51" s="456"/>
      <c r="BT51" s="456"/>
      <c r="BU51" s="456"/>
      <c r="BV51" s="456"/>
      <c r="BW51" s="456"/>
      <c r="BX51" s="456"/>
      <c r="BY51" s="456"/>
      <c r="BZ51" s="456"/>
      <c r="CA51" s="456"/>
      <c r="CB51" s="456"/>
      <c r="CC51" s="456"/>
      <c r="CD51" s="456"/>
      <c r="CE51" s="456"/>
      <c r="CF51" s="456"/>
      <c r="CG51" s="456"/>
      <c r="CH51" s="456"/>
      <c r="CI51" s="456"/>
      <c r="CJ51" s="456"/>
      <c r="CK51" s="456"/>
      <c r="CL51" s="456"/>
      <c r="CM51" s="456"/>
      <c r="CN51" s="456"/>
      <c r="CO51" s="456"/>
      <c r="CP51" s="456"/>
      <c r="CQ51" s="456"/>
      <c r="CR51" s="456"/>
      <c r="CS51" s="456"/>
      <c r="CT51" s="456"/>
      <c r="CU51" s="456"/>
      <c r="CV51" s="456"/>
      <c r="CW51" s="456"/>
      <c r="CX51" s="456"/>
      <c r="CY51" s="456"/>
      <c r="CZ51" s="456"/>
      <c r="DA51" s="456"/>
      <c r="DB51" s="456"/>
      <c r="DC51" s="456"/>
      <c r="DD51" s="456"/>
      <c r="DE51" s="455"/>
      <c r="DF51" s="456"/>
    </row>
    <row r="52" spans="1:110" ht="12.75" hidden="1" customHeight="1">
      <c r="A52" s="336" t="s">
        <v>339</v>
      </c>
      <c r="B52" s="336">
        <v>53257201</v>
      </c>
      <c r="C52" s="267">
        <v>3299.3672964439156</v>
      </c>
      <c r="D52" s="267">
        <v>3398.7144240913012</v>
      </c>
      <c r="E52" s="267">
        <v>3454.9663851482837</v>
      </c>
      <c r="F52" s="267">
        <v>3663.6716032710633</v>
      </c>
      <c r="G52" s="267">
        <v>3888.4676777251188</v>
      </c>
      <c r="H52" s="267">
        <v>3828.3628425093721</v>
      </c>
      <c r="I52" s="267">
        <v>3852.9614041145624</v>
      </c>
      <c r="J52" s="267">
        <v>3943.9156172228959</v>
      </c>
      <c r="K52" s="267">
        <v>4100.3770509058113</v>
      </c>
      <c r="L52" s="267">
        <v>3864.6599932321969</v>
      </c>
      <c r="M52" s="267">
        <v>3853.742329138573</v>
      </c>
      <c r="N52" s="267">
        <v>3406.3851359506139</v>
      </c>
      <c r="O52" s="268">
        <v>44555.591759753705</v>
      </c>
      <c r="P52" s="247">
        <f t="shared" si="1"/>
        <v>0</v>
      </c>
      <c r="Q52" s="247">
        <f t="shared" si="2"/>
        <v>0</v>
      </c>
      <c r="R52" s="229"/>
      <c r="S52" s="455"/>
      <c r="T52" s="456"/>
      <c r="U52" s="456"/>
      <c r="V52" s="456"/>
      <c r="W52" s="456"/>
      <c r="X52" s="456"/>
      <c r="Y52" s="456"/>
      <c r="Z52" s="456"/>
      <c r="AA52" s="456"/>
      <c r="AB52" s="456"/>
      <c r="AC52" s="456"/>
      <c r="AD52" s="456"/>
      <c r="AE52" s="456"/>
      <c r="AF52" s="456"/>
      <c r="AG52" s="456"/>
      <c r="AH52" s="456"/>
      <c r="AI52" s="456"/>
      <c r="AJ52" s="456"/>
      <c r="AK52" s="456"/>
      <c r="AL52" s="456"/>
      <c r="AM52" s="456"/>
      <c r="AN52" s="456"/>
      <c r="AO52" s="456"/>
      <c r="AP52" s="456"/>
      <c r="AQ52" s="456"/>
      <c r="AR52" s="456"/>
      <c r="AS52" s="456"/>
      <c r="AT52" s="456"/>
      <c r="AU52" s="456"/>
      <c r="AV52" s="456"/>
      <c r="AW52" s="456"/>
      <c r="AX52" s="456"/>
      <c r="AY52" s="456"/>
      <c r="AZ52" s="456"/>
      <c r="BA52" s="456"/>
      <c r="BB52" s="456"/>
      <c r="BC52" s="456"/>
      <c r="BD52" s="456"/>
      <c r="BE52" s="456"/>
      <c r="BF52" s="456"/>
      <c r="BG52" s="456"/>
      <c r="BH52" s="456"/>
      <c r="BI52" s="456"/>
      <c r="BJ52" s="456"/>
      <c r="BK52" s="456"/>
      <c r="BL52" s="456"/>
      <c r="BM52" s="456"/>
      <c r="BN52" s="456"/>
      <c r="BO52" s="456"/>
      <c r="BP52" s="456"/>
      <c r="BQ52" s="456"/>
      <c r="BR52" s="456"/>
      <c r="BS52" s="456"/>
      <c r="BT52" s="456"/>
      <c r="BU52" s="456"/>
      <c r="BV52" s="456"/>
      <c r="BW52" s="456"/>
      <c r="BX52" s="456"/>
      <c r="BY52" s="456"/>
      <c r="BZ52" s="456"/>
      <c r="CA52" s="456"/>
      <c r="CB52" s="456"/>
      <c r="CC52" s="456"/>
      <c r="CD52" s="456"/>
      <c r="CE52" s="456"/>
      <c r="CF52" s="456"/>
      <c r="CG52" s="456"/>
      <c r="CH52" s="456"/>
      <c r="CI52" s="456"/>
      <c r="CJ52" s="456"/>
      <c r="CK52" s="456"/>
      <c r="CL52" s="456"/>
      <c r="CM52" s="456"/>
      <c r="CN52" s="456"/>
      <c r="CO52" s="456"/>
      <c r="CP52" s="456"/>
      <c r="CQ52" s="456"/>
      <c r="CR52" s="456"/>
      <c r="CS52" s="456"/>
      <c r="CT52" s="456"/>
      <c r="CU52" s="456"/>
      <c r="CV52" s="456"/>
      <c r="CW52" s="456"/>
      <c r="CX52" s="456"/>
      <c r="CY52" s="456"/>
      <c r="CZ52" s="456"/>
      <c r="DA52" s="456"/>
      <c r="DB52" s="456"/>
      <c r="DC52" s="456"/>
      <c r="DD52" s="456"/>
      <c r="DE52" s="455"/>
      <c r="DF52" s="456"/>
    </row>
    <row r="53" spans="1:110" ht="12.75" hidden="1" customHeight="1">
      <c r="A53" s="334" t="s">
        <v>340</v>
      </c>
      <c r="B53" s="334">
        <v>53257498</v>
      </c>
      <c r="C53" s="267">
        <v>0</v>
      </c>
      <c r="D53" s="267">
        <v>0</v>
      </c>
      <c r="E53" s="267">
        <v>0</v>
      </c>
      <c r="F53" s="267">
        <v>0</v>
      </c>
      <c r="G53" s="267">
        <v>0</v>
      </c>
      <c r="H53" s="267">
        <v>221.58981075832168</v>
      </c>
      <c r="I53" s="267">
        <v>55.885853650665581</v>
      </c>
      <c r="J53" s="267">
        <v>2436.0121282826371</v>
      </c>
      <c r="K53" s="267">
        <v>2590.2546560900714</v>
      </c>
      <c r="L53" s="267">
        <v>2489.4483017077796</v>
      </c>
      <c r="M53" s="267">
        <v>2183.0308476944574</v>
      </c>
      <c r="N53" s="267">
        <v>1083.2971029826685</v>
      </c>
      <c r="O53" s="268">
        <v>11059.518701166602</v>
      </c>
      <c r="P53" s="247">
        <f t="shared" si="1"/>
        <v>0</v>
      </c>
      <c r="Q53" s="247">
        <f t="shared" si="2"/>
        <v>0</v>
      </c>
      <c r="R53" s="229"/>
      <c r="S53" s="455"/>
      <c r="T53" s="456"/>
      <c r="U53" s="456"/>
      <c r="V53" s="456"/>
      <c r="W53" s="456"/>
      <c r="X53" s="456"/>
      <c r="Y53" s="456"/>
      <c r="Z53" s="456"/>
      <c r="AA53" s="456"/>
      <c r="AB53" s="456"/>
      <c r="AC53" s="456"/>
      <c r="AD53" s="456"/>
      <c r="AE53" s="456"/>
      <c r="AF53" s="456"/>
      <c r="AG53" s="456"/>
      <c r="AH53" s="456"/>
      <c r="AI53" s="456"/>
      <c r="AJ53" s="456"/>
      <c r="AK53" s="456"/>
      <c r="AL53" s="456"/>
      <c r="AM53" s="456"/>
      <c r="AN53" s="456"/>
      <c r="AO53" s="456"/>
      <c r="AP53" s="456"/>
      <c r="AQ53" s="456"/>
      <c r="AR53" s="456"/>
      <c r="AS53" s="456"/>
      <c r="AT53" s="456"/>
      <c r="AU53" s="456"/>
      <c r="AV53" s="456"/>
      <c r="AW53" s="456"/>
      <c r="AX53" s="456"/>
      <c r="AY53" s="456"/>
      <c r="AZ53" s="456"/>
      <c r="BA53" s="456"/>
      <c r="BB53" s="456"/>
      <c r="BC53" s="456"/>
      <c r="BD53" s="456"/>
      <c r="BE53" s="456"/>
      <c r="BF53" s="456"/>
      <c r="BG53" s="456"/>
      <c r="BH53" s="456"/>
      <c r="BI53" s="456"/>
      <c r="BJ53" s="456"/>
      <c r="BK53" s="456"/>
      <c r="BL53" s="456"/>
      <c r="BM53" s="456"/>
      <c r="BN53" s="456"/>
      <c r="BO53" s="456"/>
      <c r="BP53" s="456"/>
      <c r="BQ53" s="456"/>
      <c r="BR53" s="456"/>
      <c r="BS53" s="456"/>
      <c r="BT53" s="456"/>
      <c r="BU53" s="456"/>
      <c r="BV53" s="456"/>
      <c r="BW53" s="456"/>
      <c r="BX53" s="456"/>
      <c r="BY53" s="456"/>
      <c r="BZ53" s="456"/>
      <c r="CA53" s="456"/>
      <c r="CB53" s="456"/>
      <c r="CC53" s="456"/>
      <c r="CD53" s="456"/>
      <c r="CE53" s="456"/>
      <c r="CF53" s="456"/>
      <c r="CG53" s="456"/>
      <c r="CH53" s="456"/>
      <c r="CI53" s="456"/>
      <c r="CJ53" s="456"/>
      <c r="CK53" s="456"/>
      <c r="CL53" s="456"/>
      <c r="CM53" s="456"/>
      <c r="CN53" s="456"/>
      <c r="CO53" s="456"/>
      <c r="CP53" s="456"/>
      <c r="CQ53" s="456"/>
      <c r="CR53" s="456"/>
      <c r="CS53" s="456"/>
      <c r="CT53" s="456"/>
      <c r="CU53" s="456"/>
      <c r="CV53" s="456"/>
      <c r="CW53" s="456"/>
      <c r="CX53" s="456"/>
      <c r="CY53" s="456"/>
      <c r="CZ53" s="456"/>
      <c r="DA53" s="456"/>
      <c r="DB53" s="456"/>
      <c r="DC53" s="456"/>
      <c r="DD53" s="456"/>
      <c r="DE53" s="455"/>
      <c r="DF53" s="456"/>
    </row>
    <row r="54" spans="1:110" ht="12.75" hidden="1" customHeight="1">
      <c r="A54" s="334" t="s">
        <v>341</v>
      </c>
      <c r="B54" s="334">
        <v>53257814</v>
      </c>
      <c r="C54" s="267">
        <v>4376</v>
      </c>
      <c r="D54" s="267">
        <v>4376</v>
      </c>
      <c r="E54" s="267">
        <v>4376</v>
      </c>
      <c r="F54" s="267">
        <v>4376</v>
      </c>
      <c r="G54" s="267">
        <v>4376</v>
      </c>
      <c r="H54" s="267">
        <v>4376</v>
      </c>
      <c r="I54" s="267">
        <v>4376</v>
      </c>
      <c r="J54" s="267">
        <v>4376</v>
      </c>
      <c r="K54" s="267">
        <v>4376</v>
      </c>
      <c r="L54" s="267">
        <v>4376</v>
      </c>
      <c r="M54" s="267">
        <v>4376</v>
      </c>
      <c r="N54" s="267">
        <v>4376</v>
      </c>
      <c r="O54" s="268">
        <v>52512</v>
      </c>
      <c r="P54" s="247">
        <f t="shared" si="1"/>
        <v>0</v>
      </c>
      <c r="Q54" s="247">
        <f t="shared" si="2"/>
        <v>0</v>
      </c>
      <c r="R54" s="229"/>
      <c r="S54" s="455"/>
      <c r="T54" s="456"/>
      <c r="U54" s="456"/>
      <c r="V54" s="456"/>
      <c r="W54" s="456"/>
      <c r="X54" s="456"/>
      <c r="Y54" s="456"/>
      <c r="Z54" s="456"/>
      <c r="AA54" s="456"/>
      <c r="AB54" s="456"/>
      <c r="AC54" s="456"/>
      <c r="AD54" s="456"/>
      <c r="AE54" s="456"/>
      <c r="AF54" s="456"/>
      <c r="AG54" s="456"/>
      <c r="AH54" s="456"/>
      <c r="AI54" s="456"/>
      <c r="AJ54" s="456"/>
      <c r="AK54" s="456"/>
      <c r="AL54" s="456"/>
      <c r="AM54" s="456"/>
      <c r="AN54" s="456"/>
      <c r="AO54" s="456"/>
      <c r="AP54" s="456"/>
      <c r="AQ54" s="456"/>
      <c r="AR54" s="456"/>
      <c r="AS54" s="456"/>
      <c r="AT54" s="456"/>
      <c r="AU54" s="456"/>
      <c r="AV54" s="456"/>
      <c r="AW54" s="456"/>
      <c r="AX54" s="456"/>
      <c r="AY54" s="456"/>
      <c r="AZ54" s="456"/>
      <c r="BA54" s="456"/>
      <c r="BB54" s="456"/>
      <c r="BC54" s="456"/>
      <c r="BD54" s="456"/>
      <c r="BE54" s="456"/>
      <c r="BF54" s="456"/>
      <c r="BG54" s="456"/>
      <c r="BH54" s="456"/>
      <c r="BI54" s="456"/>
      <c r="BJ54" s="456"/>
      <c r="BK54" s="456"/>
      <c r="BL54" s="456"/>
      <c r="BM54" s="456"/>
      <c r="BN54" s="456"/>
      <c r="BO54" s="456"/>
      <c r="BP54" s="456"/>
      <c r="BQ54" s="456"/>
      <c r="BR54" s="456"/>
      <c r="BS54" s="456"/>
      <c r="BT54" s="456"/>
      <c r="BU54" s="456"/>
      <c r="BV54" s="456"/>
      <c r="BW54" s="456"/>
      <c r="BX54" s="456"/>
      <c r="BY54" s="456"/>
      <c r="BZ54" s="456"/>
      <c r="CA54" s="456"/>
      <c r="CB54" s="456"/>
      <c r="CC54" s="456"/>
      <c r="CD54" s="456"/>
      <c r="CE54" s="456"/>
      <c r="CF54" s="456"/>
      <c r="CG54" s="456"/>
      <c r="CH54" s="456"/>
      <c r="CI54" s="456"/>
      <c r="CJ54" s="456"/>
      <c r="CK54" s="456"/>
      <c r="CL54" s="456"/>
      <c r="CM54" s="456"/>
      <c r="CN54" s="456"/>
      <c r="CO54" s="456"/>
      <c r="CP54" s="456"/>
      <c r="CQ54" s="456"/>
      <c r="CR54" s="456"/>
      <c r="CS54" s="456"/>
      <c r="CT54" s="456"/>
      <c r="CU54" s="456"/>
      <c r="CV54" s="456"/>
      <c r="CW54" s="456"/>
      <c r="CX54" s="456"/>
      <c r="CY54" s="456"/>
      <c r="CZ54" s="456"/>
      <c r="DA54" s="456"/>
      <c r="DB54" s="456"/>
      <c r="DC54" s="456"/>
      <c r="DD54" s="456"/>
      <c r="DE54" s="455"/>
      <c r="DF54" s="456"/>
    </row>
    <row r="55" spans="1:110" ht="12.75" hidden="1" customHeight="1">
      <c r="A55" s="334" t="s">
        <v>342</v>
      </c>
      <c r="B55" s="334">
        <v>53258201</v>
      </c>
      <c r="C55" s="267">
        <v>453.99199999999996</v>
      </c>
      <c r="D55" s="267">
        <v>2255.3122806176275</v>
      </c>
      <c r="E55" s="267">
        <v>588.47799999999995</v>
      </c>
      <c r="F55" s="267">
        <v>829.55400000000009</v>
      </c>
      <c r="G55" s="267">
        <v>1128.396303317536</v>
      </c>
      <c r="H55" s="267">
        <v>323.88674689490085</v>
      </c>
      <c r="I55" s="267">
        <v>559.98799999999994</v>
      </c>
      <c r="J55" s="267">
        <v>7020.7445000000007</v>
      </c>
      <c r="K55" s="267">
        <v>6948.5185000000001</v>
      </c>
      <c r="L55" s="267">
        <v>7037.9925000000003</v>
      </c>
      <c r="M55" s="267">
        <v>6922.3770000000004</v>
      </c>
      <c r="N55" s="267">
        <v>5135.3225000000002</v>
      </c>
      <c r="O55" s="268">
        <v>39204.562330830071</v>
      </c>
      <c r="P55" s="247">
        <f t="shared" si="1"/>
        <v>0</v>
      </c>
      <c r="Q55" s="247">
        <f t="shared" si="2"/>
        <v>0</v>
      </c>
      <c r="R55" s="229"/>
      <c r="S55" s="455"/>
      <c r="T55" s="456"/>
      <c r="U55" s="456"/>
      <c r="V55" s="456"/>
      <c r="W55" s="456"/>
      <c r="X55" s="456"/>
      <c r="Y55" s="456"/>
      <c r="Z55" s="456"/>
      <c r="AA55" s="456"/>
      <c r="AB55" s="456"/>
      <c r="AC55" s="456"/>
      <c r="AD55" s="456"/>
      <c r="AE55" s="456"/>
      <c r="AF55" s="456"/>
      <c r="AG55" s="456"/>
      <c r="AH55" s="456"/>
      <c r="AI55" s="456"/>
      <c r="AJ55" s="456"/>
      <c r="AK55" s="456"/>
      <c r="AL55" s="456"/>
      <c r="AM55" s="456"/>
      <c r="AN55" s="456"/>
      <c r="AO55" s="456"/>
      <c r="AP55" s="456"/>
      <c r="AQ55" s="456"/>
      <c r="AR55" s="456"/>
      <c r="AS55" s="456"/>
      <c r="AT55" s="456"/>
      <c r="AU55" s="456"/>
      <c r="AV55" s="456"/>
      <c r="AW55" s="456"/>
      <c r="AX55" s="456"/>
      <c r="AY55" s="456"/>
      <c r="AZ55" s="456"/>
      <c r="BA55" s="456"/>
      <c r="BB55" s="456"/>
      <c r="BC55" s="456"/>
      <c r="BD55" s="456"/>
      <c r="BE55" s="456"/>
      <c r="BF55" s="456"/>
      <c r="BG55" s="456"/>
      <c r="BH55" s="456"/>
      <c r="BI55" s="456"/>
      <c r="BJ55" s="456"/>
      <c r="BK55" s="456"/>
      <c r="BL55" s="456"/>
      <c r="BM55" s="456"/>
      <c r="BN55" s="456"/>
      <c r="BO55" s="456"/>
      <c r="BP55" s="456"/>
      <c r="BQ55" s="456"/>
      <c r="BR55" s="456"/>
      <c r="BS55" s="456"/>
      <c r="BT55" s="456"/>
      <c r="BU55" s="456"/>
      <c r="BV55" s="456"/>
      <c r="BW55" s="456"/>
      <c r="BX55" s="456"/>
      <c r="BY55" s="456"/>
      <c r="BZ55" s="456"/>
      <c r="CA55" s="456"/>
      <c r="CB55" s="456"/>
      <c r="CC55" s="456"/>
      <c r="CD55" s="456"/>
      <c r="CE55" s="456"/>
      <c r="CF55" s="456"/>
      <c r="CG55" s="456"/>
      <c r="CH55" s="456"/>
      <c r="CI55" s="456"/>
      <c r="CJ55" s="456"/>
      <c r="CK55" s="456"/>
      <c r="CL55" s="456"/>
      <c r="CM55" s="456"/>
      <c r="CN55" s="456"/>
      <c r="CO55" s="456"/>
      <c r="CP55" s="456"/>
      <c r="CQ55" s="456"/>
      <c r="CR55" s="456"/>
      <c r="CS55" s="456"/>
      <c r="CT55" s="456"/>
      <c r="CU55" s="456"/>
      <c r="CV55" s="456"/>
      <c r="CW55" s="456"/>
      <c r="CX55" s="456"/>
      <c r="CY55" s="456"/>
      <c r="CZ55" s="456"/>
      <c r="DA55" s="456"/>
      <c r="DB55" s="456"/>
      <c r="DC55" s="456"/>
      <c r="DD55" s="456"/>
      <c r="DE55" s="455"/>
      <c r="DF55" s="456"/>
    </row>
    <row r="56" spans="1:110" ht="12.75" hidden="1" customHeight="1">
      <c r="A56" s="334" t="s">
        <v>343</v>
      </c>
      <c r="B56" s="334">
        <v>53258402</v>
      </c>
      <c r="C56" s="267">
        <v>2050.3546767431026</v>
      </c>
      <c r="D56" s="267">
        <v>1148.7794140212909</v>
      </c>
      <c r="E56" s="267">
        <v>1691.4104576944035</v>
      </c>
      <c r="F56" s="267">
        <v>1208.4307524945607</v>
      </c>
      <c r="G56" s="267">
        <v>1876.0340995260663</v>
      </c>
      <c r="H56" s="267">
        <v>2458.9932094756332</v>
      </c>
      <c r="I56" s="267">
        <v>2102.7673640984267</v>
      </c>
      <c r="J56" s="267">
        <v>2579.049</v>
      </c>
      <c r="K56" s="267">
        <v>2552.5169999999998</v>
      </c>
      <c r="L56" s="267">
        <v>2585.3850000000002</v>
      </c>
      <c r="M56" s="267">
        <v>2542.9139999999998</v>
      </c>
      <c r="N56" s="267">
        <v>1886.4449999999999</v>
      </c>
      <c r="O56" s="268">
        <v>24683.079974053482</v>
      </c>
      <c r="P56" s="247">
        <f t="shared" si="1"/>
        <v>0</v>
      </c>
      <c r="Q56" s="247">
        <f t="shared" si="2"/>
        <v>0</v>
      </c>
      <c r="R56" s="229"/>
      <c r="S56" s="455"/>
      <c r="T56" s="456"/>
      <c r="U56" s="456"/>
      <c r="V56" s="456"/>
      <c r="W56" s="456"/>
      <c r="X56" s="456"/>
      <c r="Y56" s="456"/>
      <c r="Z56" s="456"/>
      <c r="AA56" s="456"/>
      <c r="AB56" s="456"/>
      <c r="AC56" s="456"/>
      <c r="AD56" s="456"/>
      <c r="AE56" s="456"/>
      <c r="AF56" s="456"/>
      <c r="AG56" s="456"/>
      <c r="AH56" s="456"/>
      <c r="AI56" s="456"/>
      <c r="AJ56" s="456"/>
      <c r="AK56" s="456"/>
      <c r="AL56" s="456"/>
      <c r="AM56" s="456"/>
      <c r="AN56" s="456"/>
      <c r="AO56" s="456"/>
      <c r="AP56" s="456"/>
      <c r="AQ56" s="456"/>
      <c r="AR56" s="456"/>
      <c r="AS56" s="456"/>
      <c r="AT56" s="456"/>
      <c r="AU56" s="456"/>
      <c r="AV56" s="456"/>
      <c r="AW56" s="456"/>
      <c r="AX56" s="456"/>
      <c r="AY56" s="456"/>
      <c r="AZ56" s="456"/>
      <c r="BA56" s="456"/>
      <c r="BB56" s="456"/>
      <c r="BC56" s="456"/>
      <c r="BD56" s="456"/>
      <c r="BE56" s="456"/>
      <c r="BF56" s="456"/>
      <c r="BG56" s="456"/>
      <c r="BH56" s="456"/>
      <c r="BI56" s="456"/>
      <c r="BJ56" s="456"/>
      <c r="BK56" s="456"/>
      <c r="BL56" s="456"/>
      <c r="BM56" s="456"/>
      <c r="BN56" s="456"/>
      <c r="BO56" s="456"/>
      <c r="BP56" s="456"/>
      <c r="BQ56" s="456"/>
      <c r="BR56" s="456"/>
      <c r="BS56" s="456"/>
      <c r="BT56" s="456"/>
      <c r="BU56" s="456"/>
      <c r="BV56" s="456"/>
      <c r="BW56" s="456"/>
      <c r="BX56" s="456"/>
      <c r="BY56" s="456"/>
      <c r="BZ56" s="456"/>
      <c r="CA56" s="456"/>
      <c r="CB56" s="456"/>
      <c r="CC56" s="456"/>
      <c r="CD56" s="456"/>
      <c r="CE56" s="456"/>
      <c r="CF56" s="456"/>
      <c r="CG56" s="456"/>
      <c r="CH56" s="456"/>
      <c r="CI56" s="456"/>
      <c r="CJ56" s="456"/>
      <c r="CK56" s="456"/>
      <c r="CL56" s="456"/>
      <c r="CM56" s="456"/>
      <c r="CN56" s="456"/>
      <c r="CO56" s="456"/>
      <c r="CP56" s="456"/>
      <c r="CQ56" s="456"/>
      <c r="CR56" s="456"/>
      <c r="CS56" s="456"/>
      <c r="CT56" s="456"/>
      <c r="CU56" s="456"/>
      <c r="CV56" s="456"/>
      <c r="CW56" s="456"/>
      <c r="CX56" s="456"/>
      <c r="CY56" s="456"/>
      <c r="CZ56" s="456"/>
      <c r="DA56" s="456"/>
      <c r="DB56" s="456"/>
      <c r="DC56" s="456"/>
      <c r="DD56" s="456"/>
      <c r="DE56" s="455"/>
      <c r="DF56" s="456"/>
    </row>
    <row r="57" spans="1:110" ht="12.75" hidden="1" customHeight="1">
      <c r="A57" s="334" t="s">
        <v>344</v>
      </c>
      <c r="B57" s="334">
        <v>53258403</v>
      </c>
      <c r="C57" s="267">
        <v>6986.4807495211962</v>
      </c>
      <c r="D57" s="267">
        <v>5398.9147789392928</v>
      </c>
      <c r="E57" s="267">
        <v>4490.1966178874445</v>
      </c>
      <c r="F57" s="267">
        <v>5754.827308875384</v>
      </c>
      <c r="G57" s="267">
        <v>7546.3552843601892</v>
      </c>
      <c r="H57" s="267">
        <v>20454.423615554853</v>
      </c>
      <c r="I57" s="267">
        <v>10212.744442436468</v>
      </c>
      <c r="J57" s="267">
        <v>17235.817438027585</v>
      </c>
      <c r="K57" s="267">
        <v>16638.924461156603</v>
      </c>
      <c r="L57" s="267">
        <v>15327.740874762809</v>
      </c>
      <c r="M57" s="267">
        <v>15931.170434140662</v>
      </c>
      <c r="N57" s="267">
        <v>12126.666438311167</v>
      </c>
      <c r="O57" s="268">
        <v>138104.26244397365</v>
      </c>
      <c r="P57" s="247">
        <f t="shared" si="1"/>
        <v>0</v>
      </c>
      <c r="Q57" s="247">
        <f t="shared" si="2"/>
        <v>0</v>
      </c>
      <c r="R57" s="229"/>
      <c r="S57" s="455"/>
      <c r="T57" s="456"/>
      <c r="U57" s="456"/>
      <c r="V57" s="456"/>
      <c r="W57" s="456"/>
      <c r="X57" s="456"/>
      <c r="Y57" s="456"/>
      <c r="Z57" s="456"/>
      <c r="AA57" s="456"/>
      <c r="AB57" s="456"/>
      <c r="AC57" s="456"/>
      <c r="AD57" s="456"/>
      <c r="AE57" s="456"/>
      <c r="AF57" s="456"/>
      <c r="AG57" s="456"/>
      <c r="AH57" s="456"/>
      <c r="AI57" s="456"/>
      <c r="AJ57" s="456"/>
      <c r="AK57" s="456"/>
      <c r="AL57" s="456"/>
      <c r="AM57" s="456"/>
      <c r="AN57" s="456"/>
      <c r="AO57" s="456"/>
      <c r="AP57" s="456"/>
      <c r="AQ57" s="456"/>
      <c r="AR57" s="456"/>
      <c r="AS57" s="456"/>
      <c r="AT57" s="456"/>
      <c r="AU57" s="456"/>
      <c r="AV57" s="456"/>
      <c r="AW57" s="456"/>
      <c r="AX57" s="456"/>
      <c r="AY57" s="456"/>
      <c r="AZ57" s="456"/>
      <c r="BA57" s="456"/>
      <c r="BB57" s="456"/>
      <c r="BC57" s="456"/>
      <c r="BD57" s="456"/>
      <c r="BE57" s="456"/>
      <c r="BF57" s="456"/>
      <c r="BG57" s="456"/>
      <c r="BH57" s="456"/>
      <c r="BI57" s="456"/>
      <c r="BJ57" s="456"/>
      <c r="BK57" s="456"/>
      <c r="BL57" s="456"/>
      <c r="BM57" s="456"/>
      <c r="BN57" s="456"/>
      <c r="BO57" s="456"/>
      <c r="BP57" s="456"/>
      <c r="BQ57" s="456"/>
      <c r="BR57" s="456"/>
      <c r="BS57" s="456"/>
      <c r="BT57" s="456"/>
      <c r="BU57" s="456"/>
      <c r="BV57" s="456"/>
      <c r="BW57" s="456"/>
      <c r="BX57" s="456"/>
      <c r="BY57" s="456"/>
      <c r="BZ57" s="456"/>
      <c r="CA57" s="456"/>
      <c r="CB57" s="456"/>
      <c r="CC57" s="456"/>
      <c r="CD57" s="456"/>
      <c r="CE57" s="456"/>
      <c r="CF57" s="456"/>
      <c r="CG57" s="456"/>
      <c r="CH57" s="456"/>
      <c r="CI57" s="456"/>
      <c r="CJ57" s="456"/>
      <c r="CK57" s="456"/>
      <c r="CL57" s="456"/>
      <c r="CM57" s="456"/>
      <c r="CN57" s="456"/>
      <c r="CO57" s="456"/>
      <c r="CP57" s="456"/>
      <c r="CQ57" s="456"/>
      <c r="CR57" s="456"/>
      <c r="CS57" s="456"/>
      <c r="CT57" s="456"/>
      <c r="CU57" s="456"/>
      <c r="CV57" s="456"/>
      <c r="CW57" s="456"/>
      <c r="CX57" s="456"/>
      <c r="CY57" s="456"/>
      <c r="CZ57" s="456"/>
      <c r="DA57" s="456"/>
      <c r="DB57" s="456"/>
      <c r="DC57" s="456"/>
      <c r="DD57" s="456"/>
      <c r="DE57" s="455"/>
      <c r="DF57" s="456"/>
    </row>
    <row r="58" spans="1:110" ht="12.75" hidden="1" customHeight="1">
      <c r="A58" s="334" t="s">
        <v>345</v>
      </c>
      <c r="B58" s="334">
        <v>53258404</v>
      </c>
      <c r="C58" s="267">
        <v>3349.8917956415967</v>
      </c>
      <c r="D58" s="267">
        <v>4340.7367747194785</v>
      </c>
      <c r="E58" s="267">
        <v>11679.549937728652</v>
      </c>
      <c r="F58" s="267">
        <v>6561.8308500262583</v>
      </c>
      <c r="G58" s="267">
        <v>9199.3870616113763</v>
      </c>
      <c r="H58" s="267">
        <v>3376.29746958132</v>
      </c>
      <c r="I58" s="267">
        <v>3522.7853411052838</v>
      </c>
      <c r="J58" s="267">
        <v>4298.4149999999991</v>
      </c>
      <c r="K58" s="267">
        <v>4254.1949999999997</v>
      </c>
      <c r="L58" s="267">
        <v>4308.9749999999995</v>
      </c>
      <c r="M58" s="267">
        <v>4238.1899999999996</v>
      </c>
      <c r="N58" s="267">
        <v>3144.0749999999998</v>
      </c>
      <c r="O58" s="268">
        <v>62274.329230413961</v>
      </c>
      <c r="P58" s="247">
        <f t="shared" si="1"/>
        <v>0</v>
      </c>
      <c r="Q58" s="247">
        <f t="shared" si="2"/>
        <v>0</v>
      </c>
      <c r="R58" s="229"/>
      <c r="S58" s="455"/>
      <c r="T58" s="456"/>
      <c r="U58" s="456"/>
      <c r="V58" s="456"/>
      <c r="W58" s="456"/>
      <c r="X58" s="456"/>
      <c r="Y58" s="456"/>
      <c r="Z58" s="456"/>
      <c r="AA58" s="456"/>
      <c r="AB58" s="456"/>
      <c r="AC58" s="456"/>
      <c r="AD58" s="456"/>
      <c r="AE58" s="456"/>
      <c r="AF58" s="456"/>
      <c r="AG58" s="456"/>
      <c r="AH58" s="456"/>
      <c r="AI58" s="456"/>
      <c r="AJ58" s="456"/>
      <c r="AK58" s="456"/>
      <c r="AL58" s="456"/>
      <c r="AM58" s="456"/>
      <c r="AN58" s="456"/>
      <c r="AO58" s="456"/>
      <c r="AP58" s="456"/>
      <c r="AQ58" s="456"/>
      <c r="AR58" s="456"/>
      <c r="AS58" s="456"/>
      <c r="AT58" s="456"/>
      <c r="AU58" s="456"/>
      <c r="AV58" s="456"/>
      <c r="AW58" s="456"/>
      <c r="AX58" s="456"/>
      <c r="AY58" s="456"/>
      <c r="AZ58" s="456"/>
      <c r="BA58" s="456"/>
      <c r="BB58" s="456"/>
      <c r="BC58" s="456"/>
      <c r="BD58" s="456"/>
      <c r="BE58" s="456"/>
      <c r="BF58" s="456"/>
      <c r="BG58" s="456"/>
      <c r="BH58" s="456"/>
      <c r="BI58" s="456"/>
      <c r="BJ58" s="456"/>
      <c r="BK58" s="456"/>
      <c r="BL58" s="456"/>
      <c r="BM58" s="456"/>
      <c r="BN58" s="456"/>
      <c r="BO58" s="456"/>
      <c r="BP58" s="456"/>
      <c r="BQ58" s="456"/>
      <c r="BR58" s="456"/>
      <c r="BS58" s="456"/>
      <c r="BT58" s="456"/>
      <c r="BU58" s="456"/>
      <c r="BV58" s="456"/>
      <c r="BW58" s="456"/>
      <c r="BX58" s="456"/>
      <c r="BY58" s="456"/>
      <c r="BZ58" s="456"/>
      <c r="CA58" s="456"/>
      <c r="CB58" s="456"/>
      <c r="CC58" s="456"/>
      <c r="CD58" s="456"/>
      <c r="CE58" s="456"/>
      <c r="CF58" s="456"/>
      <c r="CG58" s="456"/>
      <c r="CH58" s="456"/>
      <c r="CI58" s="456"/>
      <c r="CJ58" s="456"/>
      <c r="CK58" s="456"/>
      <c r="CL58" s="456"/>
      <c r="CM58" s="456"/>
      <c r="CN58" s="456"/>
      <c r="CO58" s="456"/>
      <c r="CP58" s="456"/>
      <c r="CQ58" s="456"/>
      <c r="CR58" s="456"/>
      <c r="CS58" s="456"/>
      <c r="CT58" s="456"/>
      <c r="CU58" s="456"/>
      <c r="CV58" s="456"/>
      <c r="CW58" s="456"/>
      <c r="CX58" s="456"/>
      <c r="CY58" s="456"/>
      <c r="CZ58" s="456"/>
      <c r="DA58" s="456"/>
      <c r="DB58" s="456"/>
      <c r="DC58" s="456"/>
      <c r="DD58" s="456"/>
      <c r="DE58" s="455"/>
      <c r="DF58" s="456"/>
    </row>
    <row r="59" spans="1:110" ht="12.75" hidden="1" customHeight="1">
      <c r="A59" s="334" t="s">
        <v>346</v>
      </c>
      <c r="B59" s="334">
        <v>53258405</v>
      </c>
      <c r="C59" s="267">
        <v>0</v>
      </c>
      <c r="D59" s="267">
        <v>0</v>
      </c>
      <c r="E59" s="267">
        <v>0</v>
      </c>
      <c r="F59" s="267">
        <v>0</v>
      </c>
      <c r="G59" s="267">
        <v>0</v>
      </c>
      <c r="H59" s="267">
        <v>232.66930129623776</v>
      </c>
      <c r="I59" s="267">
        <v>8.222494231544978</v>
      </c>
      <c r="J59" s="267">
        <v>263.44338295862457</v>
      </c>
      <c r="K59" s="267">
        <v>290.87024155578297</v>
      </c>
      <c r="L59" s="267">
        <v>273.63762808349145</v>
      </c>
      <c r="M59" s="267">
        <v>241.57441732650207</v>
      </c>
      <c r="N59" s="267">
        <v>167.8698649738009</v>
      </c>
      <c r="O59" s="268">
        <v>1478.2873304259849</v>
      </c>
      <c r="P59" s="247">
        <f t="shared" si="1"/>
        <v>0</v>
      </c>
      <c r="Q59" s="247">
        <f t="shared" si="2"/>
        <v>0</v>
      </c>
      <c r="R59" s="229"/>
      <c r="S59" s="455"/>
      <c r="T59" s="456"/>
      <c r="U59" s="456"/>
      <c r="V59" s="456"/>
      <c r="W59" s="456"/>
      <c r="X59" s="456"/>
      <c r="Y59" s="456"/>
      <c r="Z59" s="456"/>
      <c r="AA59" s="456"/>
      <c r="AB59" s="456"/>
      <c r="AC59" s="456"/>
      <c r="AD59" s="456"/>
      <c r="AE59" s="456"/>
      <c r="AF59" s="456"/>
      <c r="AG59" s="456"/>
      <c r="AH59" s="456"/>
      <c r="AI59" s="456"/>
      <c r="AJ59" s="456"/>
      <c r="AK59" s="456"/>
      <c r="AL59" s="456"/>
      <c r="AM59" s="456"/>
      <c r="AN59" s="456"/>
      <c r="AO59" s="456"/>
      <c r="AP59" s="456"/>
      <c r="AQ59" s="456"/>
      <c r="AR59" s="456"/>
      <c r="AS59" s="456"/>
      <c r="AT59" s="456"/>
      <c r="AU59" s="456"/>
      <c r="AV59" s="456"/>
      <c r="AW59" s="456"/>
      <c r="AX59" s="456"/>
      <c r="AY59" s="456"/>
      <c r="AZ59" s="456"/>
      <c r="BA59" s="456"/>
      <c r="BB59" s="456"/>
      <c r="BC59" s="456"/>
      <c r="BD59" s="456"/>
      <c r="BE59" s="456"/>
      <c r="BF59" s="456"/>
      <c r="BG59" s="456"/>
      <c r="BH59" s="456"/>
      <c r="BI59" s="456"/>
      <c r="BJ59" s="456"/>
      <c r="BK59" s="456"/>
      <c r="BL59" s="456"/>
      <c r="BM59" s="456"/>
      <c r="BN59" s="456"/>
      <c r="BO59" s="456"/>
      <c r="BP59" s="456"/>
      <c r="BQ59" s="456"/>
      <c r="BR59" s="456"/>
      <c r="BS59" s="456"/>
      <c r="BT59" s="456"/>
      <c r="BU59" s="456"/>
      <c r="BV59" s="456"/>
      <c r="BW59" s="456"/>
      <c r="BX59" s="456"/>
      <c r="BY59" s="456"/>
      <c r="BZ59" s="456"/>
      <c r="CA59" s="456"/>
      <c r="CB59" s="456"/>
      <c r="CC59" s="456"/>
      <c r="CD59" s="456"/>
      <c r="CE59" s="456"/>
      <c r="CF59" s="456"/>
      <c r="CG59" s="456"/>
      <c r="CH59" s="456"/>
      <c r="CI59" s="456"/>
      <c r="CJ59" s="456"/>
      <c r="CK59" s="456"/>
      <c r="CL59" s="456"/>
      <c r="CM59" s="456"/>
      <c r="CN59" s="456"/>
      <c r="CO59" s="456"/>
      <c r="CP59" s="456"/>
      <c r="CQ59" s="456"/>
      <c r="CR59" s="456"/>
      <c r="CS59" s="456"/>
      <c r="CT59" s="456"/>
      <c r="CU59" s="456"/>
      <c r="CV59" s="456"/>
      <c r="CW59" s="456"/>
      <c r="CX59" s="456"/>
      <c r="CY59" s="456"/>
      <c r="CZ59" s="456"/>
      <c r="DA59" s="456"/>
      <c r="DB59" s="456"/>
      <c r="DC59" s="456"/>
      <c r="DD59" s="456"/>
      <c r="DE59" s="455"/>
      <c r="DF59" s="456"/>
    </row>
    <row r="60" spans="1:110" ht="12.75" hidden="1" customHeight="1">
      <c r="A60" s="334" t="s">
        <v>347</v>
      </c>
      <c r="B60" s="334">
        <v>53258510</v>
      </c>
      <c r="C60" s="267">
        <v>0</v>
      </c>
      <c r="D60" s="267">
        <v>7796.3674690706821</v>
      </c>
      <c r="E60" s="267">
        <v>3412.5952362419243</v>
      </c>
      <c r="F60" s="267">
        <v>9297.1371970890541</v>
      </c>
      <c r="G60" s="267">
        <v>5217.8213270142178</v>
      </c>
      <c r="H60" s="267">
        <v>5608.6818590849562</v>
      </c>
      <c r="I60" s="267">
        <v>5213.7503155304557</v>
      </c>
      <c r="J60" s="267">
        <v>17616.943838725678</v>
      </c>
      <c r="K60" s="267">
        <v>18321.305455859776</v>
      </c>
      <c r="L60" s="267">
        <v>18209.507586574953</v>
      </c>
      <c r="M60" s="267">
        <v>17587.287646599907</v>
      </c>
      <c r="N60" s="267">
        <v>12427.274308847238</v>
      </c>
      <c r="O60" s="268">
        <v>120708.67224063884</v>
      </c>
      <c r="P60" s="247">
        <f t="shared" si="1"/>
        <v>0</v>
      </c>
      <c r="Q60" s="247">
        <f t="shared" si="2"/>
        <v>0</v>
      </c>
      <c r="R60" s="229"/>
      <c r="S60" s="455"/>
      <c r="T60" s="456"/>
      <c r="U60" s="456"/>
      <c r="V60" s="456"/>
      <c r="W60" s="456"/>
      <c r="X60" s="456"/>
      <c r="Y60" s="456"/>
      <c r="Z60" s="456"/>
      <c r="AA60" s="456"/>
      <c r="AB60" s="456"/>
      <c r="AC60" s="456"/>
      <c r="AD60" s="456"/>
      <c r="AE60" s="456"/>
      <c r="AF60" s="456"/>
      <c r="AG60" s="456"/>
      <c r="AH60" s="456"/>
      <c r="AI60" s="456"/>
      <c r="AJ60" s="456"/>
      <c r="AK60" s="456"/>
      <c r="AL60" s="456"/>
      <c r="AM60" s="456"/>
      <c r="AN60" s="456"/>
      <c r="AO60" s="456"/>
      <c r="AP60" s="456"/>
      <c r="AQ60" s="456"/>
      <c r="AR60" s="456"/>
      <c r="AS60" s="456"/>
      <c r="AT60" s="456"/>
      <c r="AU60" s="456"/>
      <c r="AV60" s="456"/>
      <c r="AW60" s="456"/>
      <c r="AX60" s="456"/>
      <c r="AY60" s="456"/>
      <c r="AZ60" s="456"/>
      <c r="BA60" s="456"/>
      <c r="BB60" s="456"/>
      <c r="BC60" s="456"/>
      <c r="BD60" s="456"/>
      <c r="BE60" s="456"/>
      <c r="BF60" s="456"/>
      <c r="BG60" s="456"/>
      <c r="BH60" s="456"/>
      <c r="BI60" s="456"/>
      <c r="BJ60" s="456"/>
      <c r="BK60" s="456"/>
      <c r="BL60" s="456"/>
      <c r="BM60" s="456"/>
      <c r="BN60" s="456"/>
      <c r="BO60" s="456"/>
      <c r="BP60" s="456"/>
      <c r="BQ60" s="456"/>
      <c r="BR60" s="456"/>
      <c r="BS60" s="456"/>
      <c r="BT60" s="456"/>
      <c r="BU60" s="456"/>
      <c r="BV60" s="456"/>
      <c r="BW60" s="456"/>
      <c r="BX60" s="456"/>
      <c r="BY60" s="456"/>
      <c r="BZ60" s="456"/>
      <c r="CA60" s="456"/>
      <c r="CB60" s="456"/>
      <c r="CC60" s="456"/>
      <c r="CD60" s="456"/>
      <c r="CE60" s="456"/>
      <c r="CF60" s="456"/>
      <c r="CG60" s="456"/>
      <c r="CH60" s="456"/>
      <c r="CI60" s="456"/>
      <c r="CJ60" s="456"/>
      <c r="CK60" s="456"/>
      <c r="CL60" s="456"/>
      <c r="CM60" s="456"/>
      <c r="CN60" s="456"/>
      <c r="CO60" s="456"/>
      <c r="CP60" s="456"/>
      <c r="CQ60" s="456"/>
      <c r="CR60" s="456"/>
      <c r="CS60" s="456"/>
      <c r="CT60" s="456"/>
      <c r="CU60" s="456"/>
      <c r="CV60" s="456"/>
      <c r="CW60" s="456"/>
      <c r="CX60" s="456"/>
      <c r="CY60" s="456"/>
      <c r="CZ60" s="456"/>
      <c r="DA60" s="456"/>
      <c r="DB60" s="456"/>
      <c r="DC60" s="456"/>
      <c r="DD60" s="456"/>
      <c r="DE60" s="455"/>
      <c r="DF60" s="456"/>
    </row>
    <row r="61" spans="1:110" ht="12.75" hidden="1" customHeight="1">
      <c r="A61" s="337" t="s">
        <v>348</v>
      </c>
      <c r="B61" s="334"/>
      <c r="C61" s="263">
        <v>7031</v>
      </c>
      <c r="D61" s="263">
        <v>7225</v>
      </c>
      <c r="E61" s="263">
        <v>7031</v>
      </c>
      <c r="F61" s="263">
        <v>7225</v>
      </c>
      <c r="G61" s="263">
        <v>8128</v>
      </c>
      <c r="H61" s="263">
        <v>7802</v>
      </c>
      <c r="I61" s="263">
        <v>7700</v>
      </c>
      <c r="J61" s="263">
        <v>7955</v>
      </c>
      <c r="K61" s="263">
        <v>7939</v>
      </c>
      <c r="L61" s="263">
        <v>7347</v>
      </c>
      <c r="M61" s="263">
        <v>7319</v>
      </c>
      <c r="N61" s="263">
        <v>7423</v>
      </c>
      <c r="O61" s="268">
        <v>90125</v>
      </c>
      <c r="P61" s="247">
        <f t="shared" si="1"/>
        <v>0</v>
      </c>
      <c r="Q61" s="247">
        <f t="shared" si="2"/>
        <v>0</v>
      </c>
      <c r="R61" s="229"/>
      <c r="S61" s="455"/>
      <c r="T61" s="456"/>
      <c r="U61" s="456"/>
      <c r="V61" s="456"/>
      <c r="W61" s="456"/>
      <c r="X61" s="456"/>
      <c r="Y61" s="456"/>
      <c r="Z61" s="456"/>
      <c r="AA61" s="456"/>
      <c r="AB61" s="456"/>
      <c r="AC61" s="456"/>
      <c r="AD61" s="456"/>
      <c r="AE61" s="456"/>
      <c r="AF61" s="456"/>
      <c r="AG61" s="456"/>
      <c r="AH61" s="456"/>
      <c r="AI61" s="456"/>
      <c r="AJ61" s="456"/>
      <c r="AK61" s="456"/>
      <c r="AL61" s="456"/>
      <c r="AM61" s="456"/>
      <c r="AN61" s="456"/>
      <c r="AO61" s="456"/>
      <c r="AP61" s="456"/>
      <c r="AQ61" s="456"/>
      <c r="AR61" s="456"/>
      <c r="AS61" s="456"/>
      <c r="AT61" s="456"/>
      <c r="AU61" s="456"/>
      <c r="AV61" s="456"/>
      <c r="AW61" s="456"/>
      <c r="AX61" s="456"/>
      <c r="AY61" s="456"/>
      <c r="AZ61" s="456"/>
      <c r="BA61" s="456"/>
      <c r="BB61" s="456"/>
      <c r="BC61" s="456"/>
      <c r="BD61" s="456"/>
      <c r="BE61" s="456"/>
      <c r="BF61" s="456"/>
      <c r="BG61" s="456"/>
      <c r="BH61" s="456"/>
      <c r="BI61" s="456"/>
      <c r="BJ61" s="456"/>
      <c r="BK61" s="456"/>
      <c r="BL61" s="456"/>
      <c r="BM61" s="456"/>
      <c r="BN61" s="456"/>
      <c r="BO61" s="456"/>
      <c r="BP61" s="456"/>
      <c r="BQ61" s="456"/>
      <c r="BR61" s="456"/>
      <c r="BS61" s="456"/>
      <c r="BT61" s="456"/>
      <c r="BU61" s="456"/>
      <c r="BV61" s="456"/>
      <c r="BW61" s="456"/>
      <c r="BX61" s="456"/>
      <c r="BY61" s="456"/>
      <c r="BZ61" s="456"/>
      <c r="CA61" s="456"/>
      <c r="CB61" s="456"/>
      <c r="CC61" s="456"/>
      <c r="CD61" s="456"/>
      <c r="CE61" s="456"/>
      <c r="CF61" s="456"/>
      <c r="CG61" s="456"/>
      <c r="CH61" s="456"/>
      <c r="CI61" s="456"/>
      <c r="CJ61" s="456"/>
      <c r="CK61" s="456"/>
      <c r="CL61" s="456"/>
      <c r="CM61" s="456"/>
      <c r="CN61" s="456"/>
      <c r="CO61" s="456"/>
      <c r="CP61" s="456"/>
      <c r="CQ61" s="456"/>
      <c r="CR61" s="456"/>
      <c r="CS61" s="456"/>
      <c r="CT61" s="456"/>
      <c r="CU61" s="456"/>
      <c r="CV61" s="456"/>
      <c r="CW61" s="456"/>
      <c r="CX61" s="456"/>
      <c r="CY61" s="456"/>
      <c r="CZ61" s="456"/>
      <c r="DA61" s="456"/>
      <c r="DB61" s="456"/>
      <c r="DC61" s="456"/>
      <c r="DD61" s="456"/>
      <c r="DE61" s="455"/>
      <c r="DF61" s="456"/>
    </row>
    <row r="62" spans="1:110" ht="12.75" hidden="1" customHeight="1">
      <c r="A62" s="337" t="s">
        <v>349</v>
      </c>
      <c r="B62" s="334"/>
      <c r="C62" s="263">
        <v>23243.5</v>
      </c>
      <c r="D62" s="263">
        <v>23243.5</v>
      </c>
      <c r="E62" s="263">
        <v>23243.5</v>
      </c>
      <c r="F62" s="263">
        <v>23243.5</v>
      </c>
      <c r="G62" s="263">
        <v>23243.5</v>
      </c>
      <c r="H62" s="263">
        <v>23243.5</v>
      </c>
      <c r="I62" s="263">
        <v>23243.5</v>
      </c>
      <c r="J62" s="263">
        <v>23243.5</v>
      </c>
      <c r="K62" s="263">
        <v>23243.5</v>
      </c>
      <c r="L62" s="263">
        <v>23243.5</v>
      </c>
      <c r="M62" s="263">
        <v>23243.5</v>
      </c>
      <c r="N62" s="263">
        <v>23243.5</v>
      </c>
      <c r="O62" s="268">
        <v>278922</v>
      </c>
      <c r="P62" s="247">
        <f t="shared" si="1"/>
        <v>0</v>
      </c>
      <c r="Q62" s="247">
        <f t="shared" si="2"/>
        <v>0</v>
      </c>
      <c r="R62" s="229"/>
      <c r="S62" s="455"/>
      <c r="T62" s="456"/>
      <c r="U62" s="456"/>
      <c r="V62" s="456"/>
      <c r="W62" s="456"/>
      <c r="X62" s="456"/>
      <c r="Y62" s="456"/>
      <c r="Z62" s="456"/>
      <c r="AA62" s="456"/>
      <c r="AB62" s="456"/>
      <c r="AC62" s="456"/>
      <c r="AD62" s="456"/>
      <c r="AE62" s="456"/>
      <c r="AF62" s="456"/>
      <c r="AG62" s="456"/>
      <c r="AH62" s="456"/>
      <c r="AI62" s="456"/>
      <c r="AJ62" s="456"/>
      <c r="AK62" s="456"/>
      <c r="AL62" s="456"/>
      <c r="AM62" s="456"/>
      <c r="AN62" s="456"/>
      <c r="AO62" s="456"/>
      <c r="AP62" s="456"/>
      <c r="AQ62" s="456"/>
      <c r="AR62" s="456"/>
      <c r="AS62" s="456"/>
      <c r="AT62" s="456"/>
      <c r="AU62" s="456"/>
      <c r="AV62" s="456"/>
      <c r="AW62" s="456"/>
      <c r="AX62" s="456"/>
      <c r="AY62" s="456"/>
      <c r="AZ62" s="456"/>
      <c r="BA62" s="456"/>
      <c r="BB62" s="456"/>
      <c r="BC62" s="456"/>
      <c r="BD62" s="456"/>
      <c r="BE62" s="456"/>
      <c r="BF62" s="456"/>
      <c r="BG62" s="456"/>
      <c r="BH62" s="456"/>
      <c r="BI62" s="456"/>
      <c r="BJ62" s="456"/>
      <c r="BK62" s="456"/>
      <c r="BL62" s="456"/>
      <c r="BM62" s="456"/>
      <c r="BN62" s="456"/>
      <c r="BO62" s="456"/>
      <c r="BP62" s="456"/>
      <c r="BQ62" s="456"/>
      <c r="BR62" s="456"/>
      <c r="BS62" s="456"/>
      <c r="BT62" s="456"/>
      <c r="BU62" s="456"/>
      <c r="BV62" s="456"/>
      <c r="BW62" s="456"/>
      <c r="BX62" s="456"/>
      <c r="BY62" s="456"/>
      <c r="BZ62" s="456"/>
      <c r="CA62" s="456"/>
      <c r="CB62" s="456"/>
      <c r="CC62" s="456"/>
      <c r="CD62" s="456"/>
      <c r="CE62" s="456"/>
      <c r="CF62" s="456"/>
      <c r="CG62" s="456"/>
      <c r="CH62" s="456"/>
      <c r="CI62" s="456"/>
      <c r="CJ62" s="456"/>
      <c r="CK62" s="456"/>
      <c r="CL62" s="456"/>
      <c r="CM62" s="456"/>
      <c r="CN62" s="456"/>
      <c r="CO62" s="456"/>
      <c r="CP62" s="456"/>
      <c r="CQ62" s="456"/>
      <c r="CR62" s="456"/>
      <c r="CS62" s="456"/>
      <c r="CT62" s="456"/>
      <c r="CU62" s="456"/>
      <c r="CV62" s="456"/>
      <c r="CW62" s="456"/>
      <c r="CX62" s="456"/>
      <c r="CY62" s="456"/>
      <c r="CZ62" s="456"/>
      <c r="DA62" s="456"/>
      <c r="DB62" s="456"/>
      <c r="DC62" s="456"/>
      <c r="DD62" s="456"/>
      <c r="DE62" s="455"/>
      <c r="DF62" s="456"/>
    </row>
    <row r="63" spans="1:110" ht="17.25" customHeight="1" thickBot="1">
      <c r="A63" s="340" t="s">
        <v>350</v>
      </c>
      <c r="B63" s="315"/>
      <c r="C63" s="370">
        <v>341532.7</v>
      </c>
      <c r="D63" s="370">
        <v>345440.64</v>
      </c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>
        <f>SUM(C63:N63)</f>
        <v>686973.34000000008</v>
      </c>
      <c r="P63" s="247">
        <f t="shared" si="1"/>
        <v>0</v>
      </c>
      <c r="Q63" s="247">
        <f t="shared" si="2"/>
        <v>0</v>
      </c>
      <c r="R63" s="229"/>
      <c r="S63" s="455">
        <v>40452</v>
      </c>
      <c r="T63" s="456"/>
      <c r="U63" s="456"/>
      <c r="V63" s="456"/>
      <c r="W63" s="456"/>
      <c r="X63" s="456"/>
      <c r="Y63" s="456"/>
      <c r="Z63" s="456"/>
      <c r="AA63" s="456"/>
      <c r="AB63" s="456"/>
      <c r="AC63" s="456"/>
      <c r="AD63" s="456"/>
      <c r="AE63" s="456"/>
      <c r="AF63" s="456"/>
      <c r="AG63" s="456"/>
      <c r="AH63" s="456"/>
      <c r="AI63" s="456"/>
      <c r="AJ63" s="456"/>
      <c r="AK63" s="456"/>
      <c r="AL63" s="456"/>
      <c r="AM63" s="456"/>
      <c r="AN63" s="456"/>
      <c r="AO63" s="456"/>
      <c r="AP63" s="456"/>
      <c r="AQ63" s="456"/>
      <c r="AR63" s="456"/>
      <c r="AS63" s="456"/>
      <c r="AT63" s="456"/>
      <c r="AU63" s="456"/>
      <c r="AV63" s="456"/>
      <c r="AW63" s="456"/>
      <c r="AX63" s="456"/>
      <c r="AY63" s="456"/>
      <c r="AZ63" s="456"/>
      <c r="BA63" s="456"/>
      <c r="BB63" s="456"/>
      <c r="BC63" s="456"/>
      <c r="BD63" s="456"/>
      <c r="BE63" s="456"/>
      <c r="BF63" s="456"/>
      <c r="BG63" s="456"/>
      <c r="BH63" s="456"/>
      <c r="BI63" s="456"/>
      <c r="BJ63" s="456"/>
      <c r="BK63" s="456"/>
      <c r="BL63" s="456"/>
      <c r="BM63" s="456"/>
      <c r="BN63" s="456"/>
      <c r="BO63" s="456"/>
      <c r="BP63" s="456"/>
      <c r="BQ63" s="456"/>
      <c r="BR63" s="456"/>
      <c r="BS63" s="456"/>
      <c r="BT63" s="456"/>
      <c r="BU63" s="456"/>
      <c r="BV63" s="456"/>
      <c r="BW63" s="456"/>
      <c r="BX63" s="456"/>
      <c r="BY63" s="456"/>
      <c r="BZ63" s="456"/>
      <c r="CA63" s="456"/>
      <c r="CB63" s="456"/>
      <c r="CC63" s="456"/>
      <c r="CD63" s="456"/>
      <c r="CE63" s="456"/>
      <c r="CF63" s="456"/>
      <c r="CG63" s="456"/>
      <c r="CH63" s="456"/>
      <c r="CI63" s="456"/>
      <c r="CJ63" s="456"/>
      <c r="CK63" s="456"/>
      <c r="CL63" s="456"/>
      <c r="CM63" s="456"/>
      <c r="CN63" s="456"/>
      <c r="CO63" s="456"/>
      <c r="CP63" s="456"/>
      <c r="CQ63" s="456"/>
      <c r="CR63" s="456"/>
      <c r="CS63" s="456"/>
      <c r="CT63" s="456"/>
      <c r="CU63" s="456"/>
      <c r="CV63" s="456"/>
      <c r="CW63" s="456"/>
      <c r="CX63" s="456"/>
      <c r="CY63" s="456"/>
      <c r="CZ63" s="456"/>
      <c r="DA63" s="456"/>
      <c r="DB63" s="456"/>
      <c r="DC63" s="456"/>
      <c r="DD63" s="456"/>
      <c r="DE63" s="455">
        <v>10</v>
      </c>
      <c r="DF63" s="456"/>
    </row>
    <row r="64" spans="1:110" s="230" customFormat="1" ht="23.25">
      <c r="A64" s="368" t="s">
        <v>351</v>
      </c>
      <c r="B64" s="369"/>
      <c r="C64" s="269">
        <v>341533</v>
      </c>
      <c r="D64" s="269">
        <v>345441</v>
      </c>
      <c r="E64" s="269"/>
      <c r="F64" s="269"/>
      <c r="G64" s="269"/>
      <c r="H64" s="269"/>
      <c r="I64" s="269"/>
      <c r="J64" s="269"/>
      <c r="K64" s="269"/>
      <c r="L64" s="269"/>
      <c r="M64" s="269"/>
      <c r="N64" s="269"/>
      <c r="O64" s="270">
        <f>SUM(C64:N64)</f>
        <v>686974</v>
      </c>
      <c r="P64" s="247">
        <f t="shared" si="1"/>
        <v>0</v>
      </c>
      <c r="Q64" s="247">
        <f t="shared" si="2"/>
        <v>0</v>
      </c>
      <c r="R64" s="227"/>
      <c r="S64" s="457">
        <v>40483</v>
      </c>
      <c r="T64" s="453"/>
      <c r="U64" s="453"/>
      <c r="V64" s="453"/>
      <c r="W64" s="453"/>
      <c r="X64" s="453"/>
      <c r="Y64" s="453"/>
      <c r="Z64" s="453"/>
      <c r="AA64" s="458"/>
      <c r="AB64" s="458"/>
      <c r="AC64" s="458"/>
      <c r="AD64" s="458"/>
      <c r="AE64" s="458"/>
      <c r="AF64" s="458"/>
      <c r="AG64" s="458"/>
      <c r="AH64" s="458"/>
      <c r="AI64" s="458"/>
      <c r="AJ64" s="458"/>
      <c r="AK64" s="458"/>
      <c r="AL64" s="458"/>
      <c r="AM64" s="458"/>
      <c r="AN64" s="458"/>
      <c r="AO64" s="458"/>
      <c r="AP64" s="458"/>
      <c r="AQ64" s="458"/>
      <c r="AR64" s="458"/>
      <c r="AS64" s="458"/>
      <c r="AT64" s="458"/>
      <c r="AU64" s="458"/>
      <c r="AV64" s="458"/>
      <c r="AW64" s="458"/>
      <c r="AX64" s="458"/>
      <c r="AY64" s="458"/>
      <c r="AZ64" s="458"/>
      <c r="BA64" s="458"/>
      <c r="BB64" s="458"/>
      <c r="BC64" s="458"/>
      <c r="BD64" s="458"/>
      <c r="BE64" s="458"/>
      <c r="BF64" s="458"/>
      <c r="BG64" s="458"/>
      <c r="BH64" s="458"/>
      <c r="BI64" s="458"/>
      <c r="BJ64" s="458"/>
      <c r="BK64" s="458"/>
      <c r="BL64" s="458"/>
      <c r="BM64" s="458"/>
      <c r="BN64" s="458"/>
      <c r="BO64" s="458"/>
      <c r="BP64" s="458"/>
      <c r="BQ64" s="458"/>
      <c r="BR64" s="458"/>
      <c r="BS64" s="458"/>
      <c r="BT64" s="458"/>
      <c r="BU64" s="458"/>
      <c r="BV64" s="458"/>
      <c r="BW64" s="458"/>
      <c r="BX64" s="458"/>
      <c r="BY64" s="458"/>
      <c r="BZ64" s="458"/>
      <c r="CA64" s="458"/>
      <c r="CB64" s="458"/>
      <c r="CC64" s="458"/>
      <c r="CD64" s="458"/>
      <c r="CE64" s="458"/>
      <c r="CF64" s="458"/>
      <c r="CG64" s="458"/>
      <c r="CH64" s="458"/>
      <c r="CI64" s="458"/>
      <c r="CJ64" s="458"/>
      <c r="CK64" s="458"/>
      <c r="CL64" s="458"/>
      <c r="CM64" s="458"/>
      <c r="CN64" s="458"/>
      <c r="CO64" s="458"/>
      <c r="CP64" s="458"/>
      <c r="CQ64" s="458"/>
      <c r="CR64" s="458"/>
      <c r="CS64" s="458"/>
      <c r="CT64" s="458"/>
      <c r="CU64" s="458"/>
      <c r="CV64" s="458"/>
      <c r="CW64" s="458"/>
      <c r="CX64" s="458"/>
      <c r="CY64" s="458"/>
      <c r="CZ64" s="458"/>
      <c r="DA64" s="458"/>
      <c r="DB64" s="458"/>
      <c r="DC64" s="458"/>
      <c r="DD64" s="458"/>
      <c r="DE64" s="457">
        <v>11</v>
      </c>
      <c r="DF64" s="458"/>
    </row>
    <row r="65" spans="1:110" s="230" customFormat="1" ht="24" thickBot="1">
      <c r="A65" s="338" t="s">
        <v>352</v>
      </c>
      <c r="B65" s="339"/>
      <c r="C65" s="271">
        <f t="shared" ref="C65:H65" si="4">C14+C64</f>
        <v>489365.83999999997</v>
      </c>
      <c r="D65" s="271">
        <f t="shared" si="4"/>
        <v>504065</v>
      </c>
      <c r="E65" s="271">
        <f t="shared" si="4"/>
        <v>0</v>
      </c>
      <c r="F65" s="271">
        <f t="shared" si="4"/>
        <v>0</v>
      </c>
      <c r="G65" s="271">
        <f t="shared" si="4"/>
        <v>0</v>
      </c>
      <c r="H65" s="271">
        <f t="shared" si="4"/>
        <v>0</v>
      </c>
      <c r="I65" s="271">
        <f t="shared" ref="I65:O65" si="5">I14+I64</f>
        <v>0</v>
      </c>
      <c r="J65" s="271">
        <f t="shared" si="5"/>
        <v>0</v>
      </c>
      <c r="K65" s="271">
        <f t="shared" si="5"/>
        <v>0</v>
      </c>
      <c r="L65" s="271">
        <f t="shared" si="5"/>
        <v>0</v>
      </c>
      <c r="M65" s="271">
        <f t="shared" si="5"/>
        <v>0</v>
      </c>
      <c r="N65" s="271">
        <f t="shared" si="5"/>
        <v>0</v>
      </c>
      <c r="O65" s="254">
        <f t="shared" si="5"/>
        <v>993430.84</v>
      </c>
      <c r="P65" s="247">
        <f t="shared" si="1"/>
        <v>0</v>
      </c>
      <c r="Q65" s="247">
        <f t="shared" si="2"/>
        <v>0</v>
      </c>
      <c r="R65" s="227"/>
      <c r="S65" s="457">
        <v>40513</v>
      </c>
      <c r="T65" s="453"/>
      <c r="U65" s="453"/>
      <c r="V65" s="453"/>
      <c r="W65" s="453"/>
      <c r="X65" s="453"/>
      <c r="Y65" s="453"/>
      <c r="Z65" s="453"/>
      <c r="AA65" s="458"/>
      <c r="AB65" s="458"/>
      <c r="AC65" s="458"/>
      <c r="AD65" s="458"/>
      <c r="AE65" s="458"/>
      <c r="AF65" s="458"/>
      <c r="AG65" s="458"/>
      <c r="AH65" s="458"/>
      <c r="AI65" s="458"/>
      <c r="AJ65" s="458"/>
      <c r="AK65" s="458"/>
      <c r="AL65" s="458"/>
      <c r="AM65" s="458"/>
      <c r="AN65" s="458"/>
      <c r="AO65" s="458"/>
      <c r="AP65" s="458"/>
      <c r="AQ65" s="458"/>
      <c r="AR65" s="458"/>
      <c r="AS65" s="458"/>
      <c r="AT65" s="458"/>
      <c r="AU65" s="458"/>
      <c r="AV65" s="458"/>
      <c r="AW65" s="458"/>
      <c r="AX65" s="458"/>
      <c r="AY65" s="458"/>
      <c r="AZ65" s="458"/>
      <c r="BA65" s="458"/>
      <c r="BB65" s="458"/>
      <c r="BC65" s="458"/>
      <c r="BD65" s="458"/>
      <c r="BE65" s="458"/>
      <c r="BF65" s="458"/>
      <c r="BG65" s="458"/>
      <c r="BH65" s="458"/>
      <c r="BI65" s="458"/>
      <c r="BJ65" s="458"/>
      <c r="BK65" s="458"/>
      <c r="BL65" s="458"/>
      <c r="BM65" s="458"/>
      <c r="BN65" s="458"/>
      <c r="BO65" s="458"/>
      <c r="BP65" s="458"/>
      <c r="BQ65" s="458"/>
      <c r="BR65" s="458"/>
      <c r="BS65" s="458"/>
      <c r="BT65" s="458"/>
      <c r="BU65" s="458"/>
      <c r="BV65" s="458"/>
      <c r="BW65" s="458"/>
      <c r="BX65" s="458"/>
      <c r="BY65" s="458"/>
      <c r="BZ65" s="458"/>
      <c r="CA65" s="458"/>
      <c r="CB65" s="458"/>
      <c r="CC65" s="458"/>
      <c r="CD65" s="458"/>
      <c r="CE65" s="458"/>
      <c r="CF65" s="458"/>
      <c r="CG65" s="458"/>
      <c r="CH65" s="458"/>
      <c r="CI65" s="458"/>
      <c r="CJ65" s="458"/>
      <c r="CK65" s="458"/>
      <c r="CL65" s="458"/>
      <c r="CM65" s="458"/>
      <c r="CN65" s="458"/>
      <c r="CO65" s="458"/>
      <c r="CP65" s="458"/>
      <c r="CQ65" s="458"/>
      <c r="CR65" s="458"/>
      <c r="CS65" s="458"/>
      <c r="CT65" s="458"/>
      <c r="CU65" s="458"/>
      <c r="CV65" s="458"/>
      <c r="CW65" s="458"/>
      <c r="CX65" s="458"/>
      <c r="CY65" s="458"/>
      <c r="CZ65" s="458"/>
      <c r="DA65" s="458"/>
      <c r="DB65" s="458"/>
      <c r="DC65" s="458"/>
      <c r="DD65" s="458"/>
      <c r="DE65" s="457">
        <v>12</v>
      </c>
      <c r="DF65" s="458"/>
    </row>
    <row r="66" spans="1:110" s="230" customFormat="1" ht="17.25" customHeight="1" thickBot="1">
      <c r="A66" s="340" t="s">
        <v>353</v>
      </c>
      <c r="B66" s="315"/>
      <c r="C66" s="272">
        <f t="shared" ref="C66:L66" si="6">C19+C65</f>
        <v>1018116.93</v>
      </c>
      <c r="D66" s="272">
        <f t="shared" si="6"/>
        <v>1130359.7</v>
      </c>
      <c r="E66" s="272">
        <f t="shared" si="6"/>
        <v>0</v>
      </c>
      <c r="F66" s="272">
        <f t="shared" si="6"/>
        <v>0</v>
      </c>
      <c r="G66" s="272">
        <f t="shared" si="6"/>
        <v>0</v>
      </c>
      <c r="H66" s="272">
        <f t="shared" si="6"/>
        <v>0</v>
      </c>
      <c r="I66" s="272">
        <f t="shared" si="6"/>
        <v>0</v>
      </c>
      <c r="J66" s="272">
        <f t="shared" si="6"/>
        <v>0</v>
      </c>
      <c r="K66" s="272">
        <f t="shared" si="6"/>
        <v>0</v>
      </c>
      <c r="L66" s="272">
        <f t="shared" si="6"/>
        <v>0</v>
      </c>
      <c r="M66" s="272">
        <f>M19+M65</f>
        <v>0</v>
      </c>
      <c r="N66" s="272">
        <f>N19+N65</f>
        <v>0</v>
      </c>
      <c r="O66" s="272">
        <f>O19+O65</f>
        <v>2148476.63</v>
      </c>
      <c r="P66" s="247">
        <f t="shared" si="1"/>
        <v>0</v>
      </c>
      <c r="Q66" s="247">
        <f t="shared" si="2"/>
        <v>0</v>
      </c>
      <c r="R66" s="227"/>
      <c r="S66" s="227"/>
      <c r="T66" s="227"/>
      <c r="U66" s="227"/>
      <c r="V66" s="227"/>
      <c r="W66" s="227"/>
      <c r="X66" s="227"/>
      <c r="Y66" s="1095"/>
      <c r="Z66" s="1095"/>
    </row>
    <row r="67" spans="1:110" s="230" customFormat="1" ht="15.75" hidden="1">
      <c r="A67" s="341" t="s">
        <v>354</v>
      </c>
      <c r="B67" s="342"/>
      <c r="C67" s="273">
        <v>-9127696.8399999999</v>
      </c>
      <c r="D67" s="273">
        <v>-8962592.3699999992</v>
      </c>
      <c r="E67" s="273">
        <v>-11948019.4</v>
      </c>
      <c r="F67" s="273">
        <v>-11262665.174999999</v>
      </c>
      <c r="G67" s="273">
        <v>-10044680.58</v>
      </c>
      <c r="H67" s="273">
        <v>-8495470.4600000009</v>
      </c>
      <c r="I67" s="273">
        <v>-10251811.559999999</v>
      </c>
      <c r="J67" s="273">
        <v>-12532072.59</v>
      </c>
      <c r="K67" s="273">
        <v>-10857055.420000002</v>
      </c>
      <c r="L67" s="273">
        <v>-12330933.434999999</v>
      </c>
      <c r="M67" s="273">
        <v>-11053212.440000003</v>
      </c>
      <c r="N67" s="273">
        <v>-9652677.5000000019</v>
      </c>
      <c r="O67" s="274">
        <v>-126518887.77</v>
      </c>
      <c r="P67" s="274">
        <v>-126518886.77</v>
      </c>
      <c r="Q67" s="247">
        <f t="shared" si="2"/>
        <v>0</v>
      </c>
      <c r="R67" s="227"/>
      <c r="S67" s="227"/>
      <c r="T67" s="227"/>
      <c r="U67" s="227"/>
      <c r="V67" s="227"/>
      <c r="W67" s="227"/>
      <c r="X67" s="227"/>
      <c r="Y67" s="1095"/>
      <c r="Z67" s="1095"/>
    </row>
    <row r="68" spans="1:110" ht="15.75" hidden="1">
      <c r="A68" s="343"/>
      <c r="B68" s="344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4"/>
      <c r="P68" s="274"/>
      <c r="Q68" s="247">
        <f t="shared" si="2"/>
        <v>0</v>
      </c>
      <c r="R68" s="229"/>
      <c r="S68" s="229"/>
      <c r="T68" s="229"/>
      <c r="U68" s="229"/>
      <c r="V68" s="229"/>
      <c r="W68" s="229"/>
      <c r="X68" s="229"/>
      <c r="Y68" s="912"/>
      <c r="Z68" s="912"/>
      <c r="AA68" s="912"/>
      <c r="AB68" s="912"/>
      <c r="AC68" s="912"/>
      <c r="AD68" s="912"/>
      <c r="AE68" s="912"/>
      <c r="AF68" s="912"/>
      <c r="AG68" s="912"/>
      <c r="AH68" s="912"/>
      <c r="AI68" s="912"/>
      <c r="AJ68" s="912"/>
      <c r="AK68" s="912"/>
      <c r="AL68" s="912"/>
      <c r="AM68" s="912"/>
      <c r="AN68" s="912"/>
      <c r="AO68" s="912"/>
      <c r="AP68" s="912"/>
      <c r="AQ68" s="912"/>
      <c r="AR68" s="912"/>
      <c r="AS68" s="912"/>
      <c r="AT68" s="912"/>
      <c r="AU68" s="912"/>
      <c r="AV68" s="912"/>
      <c r="AW68" s="912"/>
      <c r="AX68" s="912"/>
      <c r="AY68" s="912"/>
      <c r="AZ68" s="912"/>
      <c r="BA68" s="912"/>
      <c r="BB68" s="912"/>
      <c r="BC68" s="912"/>
      <c r="BD68" s="912"/>
      <c r="BE68" s="912"/>
      <c r="BF68" s="912"/>
      <c r="BG68" s="912"/>
      <c r="BH68" s="912"/>
      <c r="BI68" s="912"/>
      <c r="BJ68" s="912"/>
      <c r="BK68" s="912"/>
      <c r="BL68" s="912"/>
      <c r="BM68" s="912"/>
      <c r="BN68" s="912"/>
      <c r="BO68" s="912"/>
      <c r="BP68" s="912"/>
      <c r="BQ68" s="912"/>
      <c r="BR68" s="912"/>
      <c r="BS68" s="912"/>
      <c r="BT68" s="912"/>
      <c r="BU68" s="912"/>
      <c r="BV68" s="912"/>
      <c r="BW68" s="912"/>
      <c r="BX68" s="912"/>
      <c r="BY68" s="912"/>
      <c r="BZ68" s="912"/>
      <c r="CA68" s="912"/>
      <c r="CB68" s="912"/>
      <c r="CC68" s="912"/>
      <c r="CD68" s="912"/>
      <c r="CE68" s="912"/>
      <c r="CF68" s="912"/>
      <c r="CG68" s="912"/>
      <c r="CH68" s="912"/>
      <c r="CI68" s="912"/>
      <c r="CJ68" s="912"/>
      <c r="CK68" s="912"/>
      <c r="CL68" s="912"/>
      <c r="CM68" s="912"/>
      <c r="CN68" s="912"/>
      <c r="CO68" s="912"/>
      <c r="CP68" s="912"/>
      <c r="CQ68" s="912"/>
      <c r="CR68" s="912"/>
      <c r="CS68" s="912"/>
      <c r="CT68" s="912"/>
      <c r="CU68" s="912"/>
      <c r="CV68" s="912"/>
      <c r="CW68" s="912"/>
      <c r="CX68" s="912"/>
      <c r="CY68" s="912"/>
      <c r="CZ68" s="912"/>
      <c r="DA68" s="912"/>
      <c r="DB68" s="912"/>
      <c r="DC68" s="912"/>
      <c r="DD68" s="912"/>
      <c r="DE68" s="912"/>
      <c r="DF68" s="912"/>
    </row>
    <row r="69" spans="1:110" ht="15.75" hidden="1">
      <c r="A69" s="343"/>
      <c r="B69" s="344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4"/>
      <c r="P69" s="274"/>
      <c r="Q69" s="247">
        <f t="shared" si="2"/>
        <v>0</v>
      </c>
      <c r="R69" s="229"/>
      <c r="S69" s="229"/>
      <c r="T69" s="229"/>
      <c r="U69" s="229"/>
      <c r="V69" s="229"/>
      <c r="W69" s="229"/>
      <c r="X69" s="229"/>
      <c r="Y69" s="912"/>
      <c r="Z69" s="912"/>
      <c r="AA69" s="912"/>
      <c r="AB69" s="912"/>
      <c r="AC69" s="912"/>
      <c r="AD69" s="912"/>
      <c r="AE69" s="912"/>
      <c r="AF69" s="912"/>
      <c r="AG69" s="912"/>
      <c r="AH69" s="912"/>
      <c r="AI69" s="912"/>
      <c r="AJ69" s="912"/>
      <c r="AK69" s="912"/>
      <c r="AL69" s="912"/>
      <c r="AM69" s="912"/>
      <c r="AN69" s="912"/>
      <c r="AO69" s="912"/>
      <c r="AP69" s="912"/>
      <c r="AQ69" s="912"/>
      <c r="AR69" s="912"/>
      <c r="AS69" s="912"/>
      <c r="AT69" s="912"/>
      <c r="AU69" s="912"/>
      <c r="AV69" s="912"/>
      <c r="AW69" s="912"/>
      <c r="AX69" s="912"/>
      <c r="AY69" s="912"/>
      <c r="AZ69" s="912"/>
      <c r="BA69" s="912"/>
      <c r="BB69" s="912"/>
      <c r="BC69" s="912"/>
      <c r="BD69" s="912"/>
      <c r="BE69" s="912"/>
      <c r="BF69" s="912"/>
      <c r="BG69" s="912"/>
      <c r="BH69" s="912"/>
      <c r="BI69" s="912"/>
      <c r="BJ69" s="912"/>
      <c r="BK69" s="912"/>
      <c r="BL69" s="912"/>
      <c r="BM69" s="912"/>
      <c r="BN69" s="912"/>
      <c r="BO69" s="912"/>
      <c r="BP69" s="912"/>
      <c r="BQ69" s="912"/>
      <c r="BR69" s="912"/>
      <c r="BS69" s="912"/>
      <c r="BT69" s="912"/>
      <c r="BU69" s="912"/>
      <c r="BV69" s="912"/>
      <c r="BW69" s="912"/>
      <c r="BX69" s="912"/>
      <c r="BY69" s="912"/>
      <c r="BZ69" s="912"/>
      <c r="CA69" s="912"/>
      <c r="CB69" s="912"/>
      <c r="CC69" s="912"/>
      <c r="CD69" s="912"/>
      <c r="CE69" s="912"/>
      <c r="CF69" s="912"/>
      <c r="CG69" s="912"/>
      <c r="CH69" s="912"/>
      <c r="CI69" s="912"/>
      <c r="CJ69" s="912"/>
      <c r="CK69" s="912"/>
      <c r="CL69" s="912"/>
      <c r="CM69" s="912"/>
      <c r="CN69" s="912"/>
      <c r="CO69" s="912"/>
      <c r="CP69" s="912"/>
      <c r="CQ69" s="912"/>
      <c r="CR69" s="912"/>
      <c r="CS69" s="912"/>
      <c r="CT69" s="912"/>
      <c r="CU69" s="912"/>
      <c r="CV69" s="912"/>
      <c r="CW69" s="912"/>
      <c r="CX69" s="912"/>
      <c r="CY69" s="912"/>
      <c r="CZ69" s="912"/>
      <c r="DA69" s="912"/>
      <c r="DB69" s="912"/>
      <c r="DC69" s="912"/>
      <c r="DD69" s="912"/>
      <c r="DE69" s="912"/>
      <c r="DF69" s="912"/>
    </row>
    <row r="70" spans="1:110" s="10" customFormat="1" ht="15.75" hidden="1">
      <c r="A70" s="343" t="s">
        <v>355</v>
      </c>
      <c r="B70" s="344"/>
      <c r="C70" s="273">
        <v>4339688.7093512779</v>
      </c>
      <c r="D70" s="273">
        <v>4402174.5598728796</v>
      </c>
      <c r="E70" s="273">
        <v>4820027.0560352039</v>
      </c>
      <c r="F70" s="273">
        <v>4798444.3998221643</v>
      </c>
      <c r="G70" s="273">
        <v>4801586.5187897636</v>
      </c>
      <c r="H70" s="273">
        <v>4583696.2479699655</v>
      </c>
      <c r="I70" s="273">
        <v>5079828.78971426</v>
      </c>
      <c r="J70" s="273">
        <v>5224780.9589389302</v>
      </c>
      <c r="K70" s="273">
        <v>5108244.5232776124</v>
      </c>
      <c r="L70" s="273">
        <v>5240588.485879465</v>
      </c>
      <c r="M70" s="273">
        <v>5121633.1374825742</v>
      </c>
      <c r="N70" s="273">
        <v>5022738.658698299</v>
      </c>
      <c r="O70" s="274">
        <v>58543432.045832396</v>
      </c>
      <c r="P70" s="274">
        <v>58543433.045832403</v>
      </c>
      <c r="Q70" s="247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9"/>
      <c r="S70" s="229"/>
      <c r="T70" s="229"/>
      <c r="U70" s="229"/>
      <c r="V70" s="229"/>
      <c r="W70" s="229"/>
      <c r="X70" s="229"/>
      <c r="Y70" s="912"/>
      <c r="Z70" s="912"/>
    </row>
    <row r="71" spans="1:110" ht="15.75" hidden="1">
      <c r="A71" s="343"/>
      <c r="B71" s="344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4"/>
      <c r="P71" s="274"/>
      <c r="Q71" s="247">
        <f t="shared" si="7"/>
        <v>0</v>
      </c>
      <c r="R71" s="229"/>
      <c r="S71" s="229"/>
      <c r="T71" s="229"/>
      <c r="U71" s="229"/>
      <c r="V71" s="229"/>
      <c r="W71" s="229"/>
      <c r="X71" s="229"/>
      <c r="Y71" s="912"/>
      <c r="Z71" s="912"/>
      <c r="AA71" s="912"/>
      <c r="AB71" s="912"/>
      <c r="AC71" s="912"/>
      <c r="AD71" s="912"/>
      <c r="AE71" s="912"/>
      <c r="AF71" s="912"/>
      <c r="AG71" s="912"/>
      <c r="AH71" s="912"/>
      <c r="AI71" s="912"/>
      <c r="AJ71" s="912"/>
      <c r="AK71" s="912"/>
      <c r="AL71" s="912"/>
      <c r="AM71" s="912"/>
      <c r="AN71" s="912"/>
      <c r="AO71" s="912"/>
      <c r="AP71" s="912"/>
      <c r="AQ71" s="912"/>
      <c r="AR71" s="912"/>
      <c r="AS71" s="912"/>
      <c r="AT71" s="912"/>
      <c r="AU71" s="912"/>
      <c r="AV71" s="912"/>
      <c r="AW71" s="912"/>
      <c r="AX71" s="912"/>
      <c r="AY71" s="912"/>
      <c r="AZ71" s="912"/>
      <c r="BA71" s="912"/>
      <c r="BB71" s="912"/>
      <c r="BC71" s="912"/>
      <c r="BD71" s="912"/>
      <c r="BE71" s="912"/>
      <c r="BF71" s="912"/>
      <c r="BG71" s="912"/>
      <c r="BH71" s="912"/>
      <c r="BI71" s="912"/>
      <c r="BJ71" s="912"/>
      <c r="BK71" s="912"/>
      <c r="BL71" s="912"/>
      <c r="BM71" s="912"/>
      <c r="BN71" s="912"/>
      <c r="BO71" s="912"/>
      <c r="BP71" s="912"/>
      <c r="BQ71" s="912"/>
      <c r="BR71" s="912"/>
      <c r="BS71" s="912"/>
      <c r="BT71" s="912"/>
      <c r="BU71" s="912"/>
      <c r="BV71" s="912"/>
      <c r="BW71" s="912"/>
      <c r="BX71" s="912"/>
      <c r="BY71" s="912"/>
      <c r="BZ71" s="912"/>
      <c r="CA71" s="912"/>
      <c r="CB71" s="912"/>
      <c r="CC71" s="912"/>
      <c r="CD71" s="912"/>
      <c r="CE71" s="912"/>
      <c r="CF71" s="912"/>
      <c r="CG71" s="912"/>
      <c r="CH71" s="912"/>
      <c r="CI71" s="912"/>
      <c r="CJ71" s="912"/>
      <c r="CK71" s="912"/>
      <c r="CL71" s="912"/>
      <c r="CM71" s="912"/>
      <c r="CN71" s="912"/>
      <c r="CO71" s="912"/>
      <c r="CP71" s="912"/>
      <c r="CQ71" s="912"/>
      <c r="CR71" s="912"/>
      <c r="CS71" s="912"/>
      <c r="CT71" s="912"/>
      <c r="CU71" s="912"/>
      <c r="CV71" s="912"/>
      <c r="CW71" s="912"/>
      <c r="CX71" s="912"/>
      <c r="CY71" s="912"/>
      <c r="CZ71" s="912"/>
      <c r="DA71" s="912"/>
      <c r="DB71" s="912"/>
      <c r="DC71" s="912"/>
      <c r="DD71" s="912"/>
      <c r="DE71" s="912"/>
      <c r="DF71" s="912"/>
    </row>
    <row r="72" spans="1:110" s="10" customFormat="1" ht="16.5" hidden="1" thickBot="1">
      <c r="A72" s="345" t="s">
        <v>356</v>
      </c>
      <c r="B72" s="346"/>
      <c r="C72" s="277">
        <v>-4788008.1306487219</v>
      </c>
      <c r="D72" s="277">
        <v>-4560417.8101271195</v>
      </c>
      <c r="E72" s="277">
        <v>-7127992.3439647965</v>
      </c>
      <c r="F72" s="277">
        <v>-6464220.7751778346</v>
      </c>
      <c r="G72" s="277">
        <v>-5243094.0612102365</v>
      </c>
      <c r="H72" s="277">
        <v>-3911774.2120300354</v>
      </c>
      <c r="I72" s="277">
        <v>-5170982.7702857386</v>
      </c>
      <c r="J72" s="277">
        <v>-7307291.6310610697</v>
      </c>
      <c r="K72" s="277">
        <v>-5748810.8967223894</v>
      </c>
      <c r="L72" s="277">
        <v>-7090344.9491205337</v>
      </c>
      <c r="M72" s="277">
        <v>-5931579.302517429</v>
      </c>
      <c r="N72" s="277">
        <v>-4629938.8413017029</v>
      </c>
      <c r="O72" s="278">
        <v>-67974455.724167615</v>
      </c>
      <c r="P72" s="278">
        <v>-67974454.7241676</v>
      </c>
      <c r="Q72" s="247">
        <f t="shared" si="7"/>
        <v>0</v>
      </c>
      <c r="R72" s="229"/>
      <c r="S72" s="229"/>
      <c r="T72" s="229"/>
      <c r="U72" s="229"/>
      <c r="V72" s="229"/>
      <c r="W72" s="229"/>
      <c r="X72" s="229"/>
      <c r="Y72" s="912"/>
      <c r="Z72" s="912"/>
    </row>
    <row r="73" spans="1:110" ht="15.75" hidden="1">
      <c r="A73" s="347"/>
      <c r="B73" s="348"/>
      <c r="C73" s="279"/>
      <c r="D73" s="279"/>
      <c r="E73" s="279"/>
      <c r="F73" s="279"/>
      <c r="G73" s="279"/>
      <c r="H73" s="279"/>
      <c r="I73" s="279"/>
      <c r="J73" s="279"/>
      <c r="K73" s="279"/>
      <c r="L73" s="279"/>
      <c r="M73" s="279"/>
      <c r="N73" s="279"/>
      <c r="O73" s="280"/>
      <c r="P73" s="280"/>
      <c r="Q73" s="247">
        <f t="shared" si="7"/>
        <v>0</v>
      </c>
      <c r="R73" s="229"/>
      <c r="S73" s="229"/>
      <c r="T73" s="229"/>
      <c r="U73" s="229"/>
      <c r="V73" s="229"/>
      <c r="W73" s="229"/>
      <c r="X73" s="229"/>
      <c r="Y73" s="912"/>
      <c r="Z73" s="912"/>
      <c r="AA73" s="912"/>
      <c r="AB73" s="912"/>
      <c r="AC73" s="912"/>
      <c r="AD73" s="912"/>
      <c r="AE73" s="912"/>
      <c r="AF73" s="912"/>
      <c r="AG73" s="912"/>
      <c r="AH73" s="912"/>
      <c r="AI73" s="912"/>
      <c r="AJ73" s="912"/>
      <c r="AK73" s="912"/>
      <c r="AL73" s="912"/>
      <c r="AM73" s="912"/>
      <c r="AN73" s="912"/>
      <c r="AO73" s="912"/>
      <c r="AP73" s="912"/>
      <c r="AQ73" s="912"/>
      <c r="AR73" s="912"/>
      <c r="AS73" s="912"/>
      <c r="AT73" s="912"/>
      <c r="AU73" s="912"/>
      <c r="AV73" s="912"/>
      <c r="AW73" s="912"/>
      <c r="AX73" s="912"/>
      <c r="AY73" s="912"/>
      <c r="AZ73" s="912"/>
      <c r="BA73" s="912"/>
      <c r="BB73" s="912"/>
      <c r="BC73" s="912"/>
      <c r="BD73" s="912"/>
      <c r="BE73" s="912"/>
      <c r="BF73" s="912"/>
      <c r="BG73" s="912"/>
      <c r="BH73" s="912"/>
      <c r="BI73" s="912"/>
      <c r="BJ73" s="912"/>
      <c r="BK73" s="912"/>
      <c r="BL73" s="912"/>
      <c r="BM73" s="912"/>
      <c r="BN73" s="912"/>
      <c r="BO73" s="912"/>
      <c r="BP73" s="912"/>
      <c r="BQ73" s="912"/>
      <c r="BR73" s="912"/>
      <c r="BS73" s="912"/>
      <c r="BT73" s="912"/>
      <c r="BU73" s="912"/>
      <c r="BV73" s="912"/>
      <c r="BW73" s="912"/>
      <c r="BX73" s="912"/>
      <c r="BY73" s="912"/>
      <c r="BZ73" s="912"/>
      <c r="CA73" s="912"/>
      <c r="CB73" s="912"/>
      <c r="CC73" s="912"/>
      <c r="CD73" s="912"/>
      <c r="CE73" s="912"/>
      <c r="CF73" s="912"/>
      <c r="CG73" s="912"/>
      <c r="CH73" s="912"/>
      <c r="CI73" s="912"/>
      <c r="CJ73" s="912"/>
      <c r="CK73" s="912"/>
      <c r="CL73" s="912"/>
      <c r="CM73" s="912"/>
      <c r="CN73" s="912"/>
      <c r="CO73" s="912"/>
      <c r="CP73" s="912"/>
      <c r="CQ73" s="912"/>
      <c r="CR73" s="912"/>
      <c r="CS73" s="912"/>
      <c r="CT73" s="912"/>
      <c r="CU73" s="912"/>
      <c r="CV73" s="912"/>
      <c r="CW73" s="912"/>
      <c r="CX73" s="912"/>
      <c r="CY73" s="912"/>
      <c r="CZ73" s="912"/>
      <c r="DA73" s="912"/>
      <c r="DB73" s="912"/>
      <c r="DC73" s="912"/>
      <c r="DD73" s="912"/>
      <c r="DE73" s="912"/>
      <c r="DF73" s="912"/>
    </row>
    <row r="74" spans="1:110" ht="15.75" hidden="1">
      <c r="A74" s="347"/>
      <c r="B74" s="348"/>
      <c r="C74" s="273">
        <v>20636</v>
      </c>
      <c r="D74" s="273">
        <v>22021</v>
      </c>
      <c r="E74" s="273">
        <v>26749</v>
      </c>
      <c r="F74" s="273">
        <v>25138</v>
      </c>
      <c r="G74" s="273">
        <v>24918</v>
      </c>
      <c r="H74" s="273">
        <v>22301</v>
      </c>
      <c r="I74" s="273">
        <v>25454</v>
      </c>
      <c r="J74" s="273">
        <v>26051</v>
      </c>
      <c r="K74" s="273">
        <v>25783</v>
      </c>
      <c r="L74" s="273">
        <v>26115</v>
      </c>
      <c r="M74" s="273">
        <v>25686</v>
      </c>
      <c r="N74" s="273">
        <v>19055</v>
      </c>
      <c r="O74" s="281">
        <v>289907</v>
      </c>
      <c r="P74" s="281">
        <v>289908</v>
      </c>
      <c r="Q74" s="247">
        <f t="shared" si="7"/>
        <v>0</v>
      </c>
      <c r="R74" s="229"/>
      <c r="S74" s="229"/>
      <c r="T74" s="229"/>
      <c r="U74" s="229"/>
      <c r="V74" s="229"/>
      <c r="W74" s="229"/>
      <c r="X74" s="229"/>
      <c r="Y74" s="912"/>
      <c r="Z74" s="912"/>
      <c r="AA74" s="912"/>
      <c r="AB74" s="912"/>
      <c r="AC74" s="912"/>
      <c r="AD74" s="912"/>
      <c r="AE74" s="912"/>
      <c r="AF74" s="912"/>
      <c r="AG74" s="912"/>
      <c r="AH74" s="912"/>
      <c r="AI74" s="912"/>
      <c r="AJ74" s="912"/>
      <c r="AK74" s="912"/>
      <c r="AL74" s="912"/>
      <c r="AM74" s="912"/>
      <c r="AN74" s="912"/>
      <c r="AO74" s="912"/>
      <c r="AP74" s="912"/>
      <c r="AQ74" s="912"/>
      <c r="AR74" s="912"/>
      <c r="AS74" s="912"/>
      <c r="AT74" s="912"/>
      <c r="AU74" s="912"/>
      <c r="AV74" s="912"/>
      <c r="AW74" s="912"/>
      <c r="AX74" s="912"/>
      <c r="AY74" s="912"/>
      <c r="AZ74" s="912"/>
      <c r="BA74" s="912"/>
      <c r="BB74" s="912"/>
      <c r="BC74" s="912"/>
      <c r="BD74" s="912"/>
      <c r="BE74" s="912"/>
      <c r="BF74" s="912"/>
      <c r="BG74" s="912"/>
      <c r="BH74" s="912"/>
      <c r="BI74" s="912"/>
      <c r="BJ74" s="912"/>
      <c r="BK74" s="912"/>
      <c r="BL74" s="912"/>
      <c r="BM74" s="912"/>
      <c r="BN74" s="912"/>
      <c r="BO74" s="912"/>
      <c r="BP74" s="912"/>
      <c r="BQ74" s="912"/>
      <c r="BR74" s="912"/>
      <c r="BS74" s="912"/>
      <c r="BT74" s="912"/>
      <c r="BU74" s="912"/>
      <c r="BV74" s="912"/>
      <c r="BW74" s="912"/>
      <c r="BX74" s="912"/>
      <c r="BY74" s="912"/>
      <c r="BZ74" s="912"/>
      <c r="CA74" s="912"/>
      <c r="CB74" s="912"/>
      <c r="CC74" s="912"/>
      <c r="CD74" s="912"/>
      <c r="CE74" s="912"/>
      <c r="CF74" s="912"/>
      <c r="CG74" s="912"/>
      <c r="CH74" s="912"/>
      <c r="CI74" s="912"/>
      <c r="CJ74" s="912"/>
      <c r="CK74" s="912"/>
      <c r="CL74" s="912"/>
      <c r="CM74" s="912"/>
      <c r="CN74" s="912"/>
      <c r="CO74" s="912"/>
      <c r="CP74" s="912"/>
      <c r="CQ74" s="912"/>
      <c r="CR74" s="912"/>
      <c r="CS74" s="912"/>
      <c r="CT74" s="912"/>
      <c r="CU74" s="912"/>
      <c r="CV74" s="912"/>
      <c r="CW74" s="912"/>
      <c r="CX74" s="912"/>
      <c r="CY74" s="912"/>
      <c r="CZ74" s="912"/>
      <c r="DA74" s="912"/>
      <c r="DB74" s="912"/>
      <c r="DC74" s="912"/>
      <c r="DD74" s="912"/>
      <c r="DE74" s="912"/>
      <c r="DF74" s="912"/>
    </row>
    <row r="75" spans="1:110" ht="15.75" hidden="1">
      <c r="A75" s="347"/>
      <c r="B75" s="348"/>
      <c r="C75" s="279">
        <v>11.586233527696008</v>
      </c>
      <c r="D75" s="279">
        <v>10.630652265915456</v>
      </c>
      <c r="E75" s="279">
        <v>9.1936995135525628</v>
      </c>
      <c r="F75" s="279">
        <v>9.7899650452610807</v>
      </c>
      <c r="G75" s="279">
        <v>13.270515657774578</v>
      </c>
      <c r="H75" s="279">
        <v>16.399436657788218</v>
      </c>
      <c r="I75" s="279">
        <v>17.267994600766137</v>
      </c>
      <c r="J75" s="279">
        <v>16.028577789720167</v>
      </c>
      <c r="K75" s="279"/>
      <c r="L75" s="279"/>
      <c r="M75" s="279"/>
      <c r="N75" s="279"/>
      <c r="O75" s="280"/>
      <c r="P75" s="280"/>
      <c r="Q75" s="247">
        <f t="shared" si="7"/>
        <v>0</v>
      </c>
      <c r="R75" s="229"/>
      <c r="S75" s="229"/>
      <c r="T75" s="229"/>
      <c r="U75" s="229"/>
      <c r="V75" s="229"/>
      <c r="W75" s="229"/>
      <c r="X75" s="229"/>
      <c r="Y75" s="912"/>
      <c r="Z75" s="912"/>
      <c r="AA75" s="912"/>
      <c r="AB75" s="912"/>
      <c r="AC75" s="912"/>
      <c r="AD75" s="912"/>
      <c r="AE75" s="912"/>
      <c r="AF75" s="912"/>
      <c r="AG75" s="912"/>
      <c r="AH75" s="912"/>
      <c r="AI75" s="912"/>
      <c r="AJ75" s="912"/>
      <c r="AK75" s="912"/>
      <c r="AL75" s="912"/>
      <c r="AM75" s="912"/>
      <c r="AN75" s="912"/>
      <c r="AO75" s="912"/>
      <c r="AP75" s="912"/>
      <c r="AQ75" s="912"/>
      <c r="AR75" s="912"/>
      <c r="AS75" s="912"/>
      <c r="AT75" s="912"/>
      <c r="AU75" s="912"/>
      <c r="AV75" s="912"/>
      <c r="AW75" s="912"/>
      <c r="AX75" s="912"/>
      <c r="AY75" s="912"/>
      <c r="AZ75" s="912"/>
      <c r="BA75" s="912"/>
      <c r="BB75" s="912"/>
      <c r="BC75" s="912"/>
      <c r="BD75" s="912"/>
      <c r="BE75" s="912"/>
      <c r="BF75" s="912"/>
      <c r="BG75" s="912"/>
      <c r="BH75" s="912"/>
      <c r="BI75" s="912"/>
      <c r="BJ75" s="912"/>
      <c r="BK75" s="912"/>
      <c r="BL75" s="912"/>
      <c r="BM75" s="912"/>
      <c r="BN75" s="912"/>
      <c r="BO75" s="912"/>
      <c r="BP75" s="912"/>
      <c r="BQ75" s="912"/>
      <c r="BR75" s="912"/>
      <c r="BS75" s="912"/>
      <c r="BT75" s="912"/>
      <c r="BU75" s="912"/>
      <c r="BV75" s="912"/>
      <c r="BW75" s="912"/>
      <c r="BX75" s="912"/>
      <c r="BY75" s="912"/>
      <c r="BZ75" s="912"/>
      <c r="CA75" s="912"/>
      <c r="CB75" s="912"/>
      <c r="CC75" s="912"/>
      <c r="CD75" s="912"/>
      <c r="CE75" s="912"/>
      <c r="CF75" s="912"/>
      <c r="CG75" s="912"/>
      <c r="CH75" s="912"/>
      <c r="CI75" s="912"/>
      <c r="CJ75" s="912"/>
      <c r="CK75" s="912"/>
      <c r="CL75" s="912"/>
      <c r="CM75" s="912"/>
      <c r="CN75" s="912"/>
      <c r="CO75" s="912"/>
      <c r="CP75" s="912"/>
      <c r="CQ75" s="912"/>
      <c r="CR75" s="912"/>
      <c r="CS75" s="912"/>
      <c r="CT75" s="912"/>
      <c r="CU75" s="912"/>
      <c r="CV75" s="912"/>
      <c r="CW75" s="912"/>
      <c r="CX75" s="912"/>
      <c r="CY75" s="912"/>
      <c r="CZ75" s="912"/>
      <c r="DA75" s="912"/>
      <c r="DB75" s="912"/>
      <c r="DC75" s="912"/>
      <c r="DD75" s="912"/>
      <c r="DE75" s="912"/>
      <c r="DF75" s="912"/>
    </row>
    <row r="76" spans="1:110" ht="15.75" hidden="1">
      <c r="A76" s="347"/>
      <c r="B76" s="348"/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80"/>
      <c r="P76" s="280"/>
      <c r="Q76" s="247">
        <f t="shared" si="7"/>
        <v>0</v>
      </c>
      <c r="R76" s="229"/>
      <c r="S76" s="229"/>
      <c r="T76" s="229"/>
      <c r="U76" s="229"/>
      <c r="V76" s="229"/>
      <c r="W76" s="229"/>
      <c r="X76" s="229"/>
      <c r="Y76" s="912"/>
      <c r="Z76" s="912"/>
      <c r="AA76" s="912"/>
      <c r="AB76" s="912"/>
      <c r="AC76" s="912"/>
      <c r="AD76" s="912"/>
      <c r="AE76" s="912"/>
      <c r="AF76" s="912"/>
      <c r="AG76" s="912"/>
      <c r="AH76" s="912"/>
      <c r="AI76" s="912"/>
      <c r="AJ76" s="912"/>
      <c r="AK76" s="912"/>
      <c r="AL76" s="912"/>
      <c r="AM76" s="912"/>
      <c r="AN76" s="912"/>
      <c r="AO76" s="912"/>
      <c r="AP76" s="912"/>
      <c r="AQ76" s="912"/>
      <c r="AR76" s="912"/>
      <c r="AS76" s="912"/>
      <c r="AT76" s="912"/>
      <c r="AU76" s="912"/>
      <c r="AV76" s="912"/>
      <c r="AW76" s="912"/>
      <c r="AX76" s="912"/>
      <c r="AY76" s="912"/>
      <c r="AZ76" s="912"/>
      <c r="BA76" s="912"/>
      <c r="BB76" s="912"/>
      <c r="BC76" s="912"/>
      <c r="BD76" s="912"/>
      <c r="BE76" s="912"/>
      <c r="BF76" s="912"/>
      <c r="BG76" s="912"/>
      <c r="BH76" s="912"/>
      <c r="BI76" s="912"/>
      <c r="BJ76" s="912"/>
      <c r="BK76" s="912"/>
      <c r="BL76" s="912"/>
      <c r="BM76" s="912"/>
      <c r="BN76" s="912"/>
      <c r="BO76" s="912"/>
      <c r="BP76" s="912"/>
      <c r="BQ76" s="912"/>
      <c r="BR76" s="912"/>
      <c r="BS76" s="912"/>
      <c r="BT76" s="912"/>
      <c r="BU76" s="912"/>
      <c r="BV76" s="912"/>
      <c r="BW76" s="912"/>
      <c r="BX76" s="912"/>
      <c r="BY76" s="912"/>
      <c r="BZ76" s="912"/>
      <c r="CA76" s="912"/>
      <c r="CB76" s="912"/>
      <c r="CC76" s="912"/>
      <c r="CD76" s="912"/>
      <c r="CE76" s="912"/>
      <c r="CF76" s="912"/>
      <c r="CG76" s="912"/>
      <c r="CH76" s="912"/>
      <c r="CI76" s="912"/>
      <c r="CJ76" s="912"/>
      <c r="CK76" s="912"/>
      <c r="CL76" s="912"/>
      <c r="CM76" s="912"/>
      <c r="CN76" s="912"/>
      <c r="CO76" s="912"/>
      <c r="CP76" s="912"/>
      <c r="CQ76" s="912"/>
      <c r="CR76" s="912"/>
      <c r="CS76" s="912"/>
      <c r="CT76" s="912"/>
      <c r="CU76" s="912"/>
      <c r="CV76" s="912"/>
      <c r="CW76" s="912"/>
      <c r="CX76" s="912"/>
      <c r="CY76" s="912"/>
      <c r="CZ76" s="912"/>
      <c r="DA76" s="912"/>
      <c r="DB76" s="912"/>
      <c r="DC76" s="912"/>
      <c r="DD76" s="912"/>
      <c r="DE76" s="912"/>
      <c r="DF76" s="912"/>
    </row>
    <row r="77" spans="1:110" ht="15.75" hidden="1">
      <c r="A77" s="347" t="s">
        <v>357</v>
      </c>
      <c r="B77" s="348" t="s">
        <v>358</v>
      </c>
      <c r="C77" s="279">
        <v>25.912451237718098</v>
      </c>
      <c r="D77" s="279">
        <v>23.814305175887956</v>
      </c>
      <c r="E77" s="279">
        <v>19.967275055788139</v>
      </c>
      <c r="F77" s="279">
        <v>21.979437423041851</v>
      </c>
      <c r="G77" s="279">
        <v>22.787269502339505</v>
      </c>
      <c r="H77" s="279">
        <v>27.077185285897059</v>
      </c>
      <c r="I77" s="279">
        <v>26.680466626017839</v>
      </c>
      <c r="J77" s="279">
        <v>28.146047974104363</v>
      </c>
      <c r="K77" s="279">
        <v>26.264429488422603</v>
      </c>
      <c r="L77" s="279">
        <v>26.002223626268425</v>
      </c>
      <c r="M77" s="279">
        <v>23.993502709647281</v>
      </c>
      <c r="N77" s="279">
        <v>28.932985594332198</v>
      </c>
      <c r="O77" s="282">
        <v>25.020526192260348</v>
      </c>
      <c r="P77" s="282">
        <v>26.020526192260299</v>
      </c>
      <c r="Q77" s="247">
        <f t="shared" si="7"/>
        <v>0</v>
      </c>
      <c r="R77" s="229"/>
      <c r="S77" s="229"/>
      <c r="T77" s="229"/>
      <c r="U77" s="229"/>
      <c r="V77" s="229"/>
      <c r="W77" s="229"/>
      <c r="X77" s="229"/>
      <c r="Y77" s="912"/>
      <c r="Z77" s="912"/>
      <c r="AA77" s="912"/>
      <c r="AB77" s="912"/>
      <c r="AC77" s="912"/>
      <c r="AD77" s="912"/>
      <c r="AE77" s="912"/>
      <c r="AF77" s="912"/>
      <c r="AG77" s="912"/>
      <c r="AH77" s="912"/>
      <c r="AI77" s="912"/>
      <c r="AJ77" s="912"/>
      <c r="AK77" s="912"/>
      <c r="AL77" s="912"/>
      <c r="AM77" s="912"/>
      <c r="AN77" s="912"/>
      <c r="AO77" s="912"/>
      <c r="AP77" s="912"/>
      <c r="AQ77" s="912"/>
      <c r="AR77" s="912"/>
      <c r="AS77" s="912"/>
      <c r="AT77" s="912"/>
      <c r="AU77" s="912"/>
      <c r="AV77" s="912"/>
      <c r="AW77" s="912"/>
      <c r="AX77" s="912"/>
      <c r="AY77" s="912"/>
      <c r="AZ77" s="912"/>
      <c r="BA77" s="912"/>
      <c r="BB77" s="912"/>
      <c r="BC77" s="912"/>
      <c r="BD77" s="912"/>
      <c r="BE77" s="912"/>
      <c r="BF77" s="912"/>
      <c r="BG77" s="912"/>
      <c r="BH77" s="912"/>
      <c r="BI77" s="912"/>
      <c r="BJ77" s="912"/>
      <c r="BK77" s="912"/>
      <c r="BL77" s="912"/>
      <c r="BM77" s="912"/>
      <c r="BN77" s="912"/>
      <c r="BO77" s="912"/>
      <c r="BP77" s="912"/>
      <c r="BQ77" s="912"/>
      <c r="BR77" s="912"/>
      <c r="BS77" s="912"/>
      <c r="BT77" s="912"/>
      <c r="BU77" s="912"/>
      <c r="BV77" s="912"/>
      <c r="BW77" s="912"/>
      <c r="BX77" s="912"/>
      <c r="BY77" s="912"/>
      <c r="BZ77" s="912"/>
      <c r="CA77" s="912"/>
      <c r="CB77" s="912"/>
      <c r="CC77" s="912"/>
      <c r="CD77" s="912"/>
      <c r="CE77" s="912"/>
      <c r="CF77" s="912"/>
      <c r="CG77" s="912"/>
      <c r="CH77" s="912"/>
      <c r="CI77" s="912"/>
      <c r="CJ77" s="912"/>
      <c r="CK77" s="912"/>
      <c r="CL77" s="912"/>
      <c r="CM77" s="912"/>
      <c r="CN77" s="912"/>
      <c r="CO77" s="912"/>
      <c r="CP77" s="912"/>
      <c r="CQ77" s="912"/>
      <c r="CR77" s="912"/>
      <c r="CS77" s="912"/>
      <c r="CT77" s="912"/>
      <c r="CU77" s="912"/>
      <c r="CV77" s="912"/>
      <c r="CW77" s="912"/>
      <c r="CX77" s="912"/>
      <c r="CY77" s="912"/>
      <c r="CZ77" s="912"/>
      <c r="DA77" s="912"/>
      <c r="DB77" s="912"/>
      <c r="DC77" s="912"/>
      <c r="DD77" s="912"/>
      <c r="DE77" s="912"/>
      <c r="DF77" s="912"/>
    </row>
    <row r="78" spans="1:110" ht="15.75" hidden="1">
      <c r="A78" s="347" t="s">
        <v>359</v>
      </c>
      <c r="B78" s="348"/>
      <c r="C78" s="279">
        <v>31.709013412139125</v>
      </c>
      <c r="D78" s="279">
        <v>31.669964530022803</v>
      </c>
      <c r="E78" s="279">
        <v>31.737434882267141</v>
      </c>
      <c r="F78" s="279">
        <v>31.750688416641726</v>
      </c>
      <c r="G78" s="279">
        <v>31.701567944250872</v>
      </c>
      <c r="H78" s="279">
        <v>31.669723665863863</v>
      </c>
      <c r="I78" s="279">
        <v>30.90248561734769</v>
      </c>
      <c r="J78" s="279">
        <v>30.917957746478873</v>
      </c>
      <c r="K78" s="279">
        <v>31.877764381674137</v>
      </c>
      <c r="L78" s="279">
        <v>31.892453523789516</v>
      </c>
      <c r="M78" s="279">
        <v>31.893063402385433</v>
      </c>
      <c r="N78" s="279">
        <v>30.86489479854384</v>
      </c>
      <c r="O78" s="282">
        <v>31.4817753441653</v>
      </c>
      <c r="P78" s="282">
        <v>32.4817753441653</v>
      </c>
      <c r="Q78" s="247">
        <f t="shared" si="7"/>
        <v>0</v>
      </c>
      <c r="R78" s="229"/>
      <c r="S78" s="229"/>
      <c r="T78" s="229"/>
      <c r="U78" s="229"/>
      <c r="V78" s="229"/>
      <c r="W78" s="229"/>
      <c r="X78" s="229"/>
      <c r="Y78" s="912"/>
      <c r="Z78" s="912"/>
      <c r="AA78" s="912"/>
      <c r="AB78" s="912"/>
      <c r="AC78" s="912"/>
      <c r="AD78" s="912"/>
      <c r="AE78" s="912"/>
      <c r="AF78" s="912"/>
      <c r="AG78" s="912"/>
      <c r="AH78" s="912"/>
      <c r="AI78" s="912"/>
      <c r="AJ78" s="912"/>
      <c r="AK78" s="912"/>
      <c r="AL78" s="912"/>
      <c r="AM78" s="912"/>
      <c r="AN78" s="912"/>
      <c r="AO78" s="912"/>
      <c r="AP78" s="912"/>
      <c r="AQ78" s="912"/>
      <c r="AR78" s="912"/>
      <c r="AS78" s="912"/>
      <c r="AT78" s="912"/>
      <c r="AU78" s="912"/>
      <c r="AV78" s="912"/>
      <c r="AW78" s="912"/>
      <c r="AX78" s="912"/>
      <c r="AY78" s="912"/>
      <c r="AZ78" s="912"/>
      <c r="BA78" s="912"/>
      <c r="BB78" s="912"/>
      <c r="BC78" s="912"/>
      <c r="BD78" s="912"/>
      <c r="BE78" s="912"/>
      <c r="BF78" s="912"/>
      <c r="BG78" s="912"/>
      <c r="BH78" s="912"/>
      <c r="BI78" s="912"/>
      <c r="BJ78" s="912"/>
      <c r="BK78" s="912"/>
      <c r="BL78" s="912"/>
      <c r="BM78" s="912"/>
      <c r="BN78" s="912"/>
      <c r="BO78" s="912"/>
      <c r="BP78" s="912"/>
      <c r="BQ78" s="912"/>
      <c r="BR78" s="912"/>
      <c r="BS78" s="912"/>
      <c r="BT78" s="912"/>
      <c r="BU78" s="912"/>
      <c r="BV78" s="912"/>
      <c r="BW78" s="912"/>
      <c r="BX78" s="912"/>
      <c r="BY78" s="912"/>
      <c r="BZ78" s="912"/>
      <c r="CA78" s="912"/>
      <c r="CB78" s="912"/>
      <c r="CC78" s="912"/>
      <c r="CD78" s="912"/>
      <c r="CE78" s="912"/>
      <c r="CF78" s="912"/>
      <c r="CG78" s="912"/>
      <c r="CH78" s="912"/>
      <c r="CI78" s="912"/>
      <c r="CJ78" s="912"/>
      <c r="CK78" s="912"/>
      <c r="CL78" s="912"/>
      <c r="CM78" s="912"/>
      <c r="CN78" s="912"/>
      <c r="CO78" s="912"/>
      <c r="CP78" s="912"/>
      <c r="CQ78" s="912"/>
      <c r="CR78" s="912"/>
      <c r="CS78" s="912"/>
      <c r="CT78" s="912"/>
      <c r="CU78" s="912"/>
      <c r="CV78" s="912"/>
      <c r="CW78" s="912"/>
      <c r="CX78" s="912"/>
      <c r="CY78" s="912"/>
      <c r="CZ78" s="912"/>
      <c r="DA78" s="912"/>
      <c r="DB78" s="912"/>
      <c r="DC78" s="912"/>
      <c r="DD78" s="912"/>
      <c r="DE78" s="912"/>
      <c r="DF78" s="912"/>
    </row>
    <row r="79" spans="1:110" ht="15.75" hidden="1">
      <c r="A79" s="347"/>
      <c r="B79" s="348"/>
      <c r="C79" s="279"/>
      <c r="D79" s="279"/>
      <c r="E79" s="279"/>
      <c r="F79" s="279"/>
      <c r="G79" s="279"/>
      <c r="H79" s="279"/>
      <c r="I79" s="279">
        <v>33.077811613987187</v>
      </c>
      <c r="J79" s="279">
        <v>21.968968831525469</v>
      </c>
      <c r="K79" s="279">
        <v>21.467505241090148</v>
      </c>
      <c r="L79" s="279">
        <v>18.13230129721207</v>
      </c>
      <c r="M79" s="279">
        <v>22.328024954851418</v>
      </c>
      <c r="N79" s="279">
        <v>29.02246508803886</v>
      </c>
      <c r="O79" s="280"/>
      <c r="P79" s="280"/>
      <c r="Q79" s="247">
        <f t="shared" si="7"/>
        <v>0</v>
      </c>
      <c r="R79" s="229"/>
      <c r="S79" s="229"/>
      <c r="T79" s="229"/>
      <c r="U79" s="229"/>
      <c r="V79" s="229"/>
      <c r="W79" s="229"/>
      <c r="X79" s="229"/>
      <c r="Y79" s="912"/>
      <c r="Z79" s="912"/>
      <c r="AA79" s="912"/>
      <c r="AB79" s="912"/>
      <c r="AC79" s="912"/>
      <c r="AD79" s="912"/>
      <c r="AE79" s="912"/>
      <c r="AF79" s="912"/>
      <c r="AG79" s="912"/>
      <c r="AH79" s="912"/>
      <c r="AI79" s="912"/>
      <c r="AJ79" s="912"/>
      <c r="AK79" s="912"/>
      <c r="AL79" s="912"/>
      <c r="AM79" s="912"/>
      <c r="AN79" s="912"/>
      <c r="AO79" s="912"/>
      <c r="AP79" s="912"/>
      <c r="AQ79" s="912"/>
      <c r="AR79" s="912"/>
      <c r="AS79" s="912"/>
      <c r="AT79" s="912"/>
      <c r="AU79" s="912"/>
      <c r="AV79" s="912"/>
      <c r="AW79" s="912"/>
      <c r="AX79" s="912"/>
      <c r="AY79" s="912"/>
      <c r="AZ79" s="912"/>
      <c r="BA79" s="912"/>
      <c r="BB79" s="912"/>
      <c r="BC79" s="912"/>
      <c r="BD79" s="912"/>
      <c r="BE79" s="912"/>
      <c r="BF79" s="912"/>
      <c r="BG79" s="912"/>
      <c r="BH79" s="912"/>
      <c r="BI79" s="912"/>
      <c r="BJ79" s="912"/>
      <c r="BK79" s="912"/>
      <c r="BL79" s="912"/>
      <c r="BM79" s="912"/>
      <c r="BN79" s="912"/>
      <c r="BO79" s="912"/>
      <c r="BP79" s="912"/>
      <c r="BQ79" s="912"/>
      <c r="BR79" s="912"/>
      <c r="BS79" s="912"/>
      <c r="BT79" s="912"/>
      <c r="BU79" s="912"/>
      <c r="BV79" s="912"/>
      <c r="BW79" s="912"/>
      <c r="BX79" s="912"/>
      <c r="BY79" s="912"/>
      <c r="BZ79" s="912"/>
      <c r="CA79" s="912"/>
      <c r="CB79" s="912"/>
      <c r="CC79" s="912"/>
      <c r="CD79" s="912"/>
      <c r="CE79" s="912"/>
      <c r="CF79" s="912"/>
      <c r="CG79" s="912"/>
      <c r="CH79" s="912"/>
      <c r="CI79" s="912"/>
      <c r="CJ79" s="912"/>
      <c r="CK79" s="912"/>
      <c r="CL79" s="912"/>
      <c r="CM79" s="912"/>
      <c r="CN79" s="912"/>
      <c r="CO79" s="912"/>
      <c r="CP79" s="912"/>
      <c r="CQ79" s="912"/>
      <c r="CR79" s="912"/>
      <c r="CS79" s="912"/>
      <c r="CT79" s="912"/>
      <c r="CU79" s="912"/>
      <c r="CV79" s="912"/>
      <c r="CW79" s="912"/>
      <c r="CX79" s="912"/>
      <c r="CY79" s="912"/>
      <c r="CZ79" s="912"/>
      <c r="DA79" s="912"/>
      <c r="DB79" s="912"/>
      <c r="DC79" s="912"/>
      <c r="DD79" s="912"/>
      <c r="DE79" s="912"/>
      <c r="DF79" s="912"/>
    </row>
    <row r="80" spans="1:110" ht="15.75" hidden="1">
      <c r="A80" s="347"/>
      <c r="B80" s="348"/>
      <c r="C80" s="279"/>
      <c r="D80" s="283">
        <v>0</v>
      </c>
      <c r="E80" s="279"/>
      <c r="F80" s="279"/>
      <c r="G80" s="279"/>
      <c r="H80" s="279"/>
      <c r="I80" s="283">
        <v>7.4792984572466734</v>
      </c>
      <c r="J80" s="279"/>
      <c r="K80" s="279"/>
      <c r="L80" s="279"/>
      <c r="M80" s="279"/>
      <c r="N80" s="279"/>
      <c r="O80" s="280"/>
      <c r="P80" s="280"/>
      <c r="Q80" s="247">
        <f t="shared" si="7"/>
        <v>0</v>
      </c>
      <c r="R80" s="229"/>
      <c r="S80" s="229"/>
      <c r="T80" s="229"/>
      <c r="U80" s="229"/>
      <c r="V80" s="229"/>
      <c r="W80" s="229"/>
      <c r="X80" s="229"/>
      <c r="Y80" s="912"/>
      <c r="Z80" s="912"/>
      <c r="AA80" s="912"/>
      <c r="AB80" s="912"/>
      <c r="AC80" s="912"/>
      <c r="AD80" s="912"/>
      <c r="AE80" s="912"/>
      <c r="AF80" s="912"/>
      <c r="AG80" s="912"/>
      <c r="AH80" s="912"/>
      <c r="AI80" s="912"/>
      <c r="AJ80" s="912"/>
      <c r="AK80" s="912"/>
      <c r="AL80" s="912"/>
      <c r="AM80" s="912"/>
      <c r="AN80" s="912"/>
      <c r="AO80" s="912"/>
      <c r="AP80" s="912"/>
      <c r="AQ80" s="912"/>
      <c r="AR80" s="912"/>
      <c r="AS80" s="912"/>
      <c r="AT80" s="912"/>
      <c r="AU80" s="912"/>
      <c r="AV80" s="912"/>
      <c r="AW80" s="912"/>
      <c r="AX80" s="912"/>
      <c r="AY80" s="912"/>
      <c r="AZ80" s="912"/>
      <c r="BA80" s="912"/>
      <c r="BB80" s="912"/>
      <c r="BC80" s="912"/>
      <c r="BD80" s="912"/>
      <c r="BE80" s="912"/>
      <c r="BF80" s="912"/>
      <c r="BG80" s="912"/>
      <c r="BH80" s="912"/>
      <c r="BI80" s="912"/>
      <c r="BJ80" s="912"/>
      <c r="BK80" s="912"/>
      <c r="BL80" s="912"/>
      <c r="BM80" s="912"/>
      <c r="BN80" s="912"/>
      <c r="BO80" s="912"/>
      <c r="BP80" s="912"/>
      <c r="BQ80" s="912"/>
      <c r="BR80" s="912"/>
      <c r="BS80" s="912"/>
      <c r="BT80" s="912"/>
      <c r="BU80" s="912"/>
      <c r="BV80" s="912"/>
      <c r="BW80" s="912"/>
      <c r="BX80" s="912"/>
      <c r="BY80" s="912"/>
      <c r="BZ80" s="912"/>
      <c r="CA80" s="912"/>
      <c r="CB80" s="912"/>
      <c r="CC80" s="912"/>
      <c r="CD80" s="912"/>
      <c r="CE80" s="912"/>
      <c r="CF80" s="912"/>
      <c r="CG80" s="912"/>
      <c r="CH80" s="912"/>
      <c r="CI80" s="912"/>
      <c r="CJ80" s="912"/>
      <c r="CK80" s="912"/>
      <c r="CL80" s="912"/>
      <c r="CM80" s="912"/>
      <c r="CN80" s="912"/>
      <c r="CO80" s="912"/>
      <c r="CP80" s="912"/>
      <c r="CQ80" s="912"/>
      <c r="CR80" s="912"/>
      <c r="CS80" s="912"/>
      <c r="CT80" s="912"/>
      <c r="CU80" s="912"/>
      <c r="CV80" s="912"/>
      <c r="CW80" s="912"/>
      <c r="CX80" s="912"/>
      <c r="CY80" s="912"/>
      <c r="CZ80" s="912"/>
      <c r="DA80" s="912"/>
      <c r="DB80" s="912"/>
      <c r="DC80" s="912"/>
      <c r="DD80" s="912"/>
      <c r="DE80" s="912"/>
      <c r="DF80" s="912"/>
    </row>
    <row r="81" spans="1:24" ht="15.75" hidden="1">
      <c r="A81" s="347"/>
      <c r="B81" s="348"/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279"/>
      <c r="N81" s="279"/>
      <c r="O81" s="280"/>
      <c r="P81" s="280"/>
      <c r="Q81" s="247">
        <f t="shared" si="7"/>
        <v>0</v>
      </c>
      <c r="R81" s="229"/>
      <c r="S81" s="229"/>
      <c r="T81" s="229"/>
      <c r="U81" s="229"/>
      <c r="V81" s="229"/>
      <c r="W81" s="229"/>
      <c r="X81" s="229"/>
    </row>
    <row r="82" spans="1:24" ht="15.75" hidden="1">
      <c r="A82" s="347" t="s">
        <v>357</v>
      </c>
      <c r="B82" s="348"/>
      <c r="C82" s="283">
        <v>17.389221566041837</v>
      </c>
      <c r="D82" s="283">
        <v>15.836901771817178</v>
      </c>
      <c r="E82" s="283">
        <v>12.879108286031071</v>
      </c>
      <c r="F82" s="283">
        <v>14.233446861679745</v>
      </c>
      <c r="G82" s="283">
        <v>16.169199858283989</v>
      </c>
      <c r="H82" s="283">
        <v>18.324235603825695</v>
      </c>
      <c r="I82" s="283">
        <v>19.379726316044959</v>
      </c>
      <c r="J82" s="283">
        <v>18.779651961148488</v>
      </c>
      <c r="K82" s="283">
        <v>19.045552256085561</v>
      </c>
      <c r="L82" s="283">
        <v>18.731174063014404</v>
      </c>
      <c r="M82" s="283">
        <v>18.22501802486169</v>
      </c>
      <c r="N82" s="283">
        <v>21.10839973383003</v>
      </c>
      <c r="O82" s="282">
        <v>17.435003868320202</v>
      </c>
      <c r="P82" s="282">
        <v>18.435003868320202</v>
      </c>
      <c r="Q82" s="247">
        <f t="shared" si="7"/>
        <v>0</v>
      </c>
      <c r="R82" s="229"/>
      <c r="S82" s="229"/>
      <c r="T82" s="229"/>
      <c r="U82" s="229"/>
      <c r="V82" s="229"/>
      <c r="W82" s="229"/>
      <c r="X82" s="229"/>
    </row>
    <row r="83" spans="1:24" ht="15.75" hidden="1">
      <c r="A83" s="347" t="s">
        <v>359</v>
      </c>
      <c r="B83" s="348"/>
      <c r="C83" s="283">
        <v>19.980274670288747</v>
      </c>
      <c r="D83" s="283">
        <v>22.122904336820667</v>
      </c>
      <c r="E83" s="283">
        <v>18.397990073061518</v>
      </c>
      <c r="F83" s="283">
        <v>17.685320057019801</v>
      </c>
      <c r="G83" s="283">
        <v>20.373270292095881</v>
      </c>
      <c r="H83" s="283">
        <v>22.127221807751212</v>
      </c>
      <c r="I83" s="283">
        <v>11.774944307296709</v>
      </c>
      <c r="J83" s="283">
        <v>10.699441241240917</v>
      </c>
      <c r="K83" s="283">
        <v>13.703178625285148</v>
      </c>
      <c r="L83" s="283">
        <v>12.648051470633506</v>
      </c>
      <c r="M83" s="283">
        <v>12.574183291138004</v>
      </c>
      <c r="N83" s="283">
        <v>14.697917843935187</v>
      </c>
      <c r="O83" s="282">
        <v>14.881455611389486</v>
      </c>
      <c r="P83" s="282">
        <v>15.8814556113895</v>
      </c>
      <c r="Q83" s="247">
        <f t="shared" si="7"/>
        <v>0</v>
      </c>
      <c r="R83" s="229"/>
      <c r="S83" s="229"/>
      <c r="T83" s="229"/>
      <c r="U83" s="229"/>
      <c r="V83" s="229"/>
      <c r="W83" s="229"/>
      <c r="X83" s="229"/>
    </row>
    <row r="84" spans="1:24" ht="15.75" hidden="1">
      <c r="A84" s="347"/>
      <c r="B84" s="348"/>
      <c r="C84" s="279"/>
      <c r="D84" s="279"/>
      <c r="E84" s="279"/>
      <c r="F84" s="279"/>
      <c r="G84" s="279"/>
      <c r="H84" s="279"/>
      <c r="I84" s="283">
        <v>9.9758479470755006</v>
      </c>
      <c r="J84" s="283">
        <v>6.7279967046546751</v>
      </c>
      <c r="K84" s="283">
        <v>12.9979035639413</v>
      </c>
      <c r="L84" s="283">
        <v>12.470436465276284</v>
      </c>
      <c r="M84" s="283">
        <v>22.081759973731735</v>
      </c>
      <c r="N84" s="283">
        <v>29.386763812993323</v>
      </c>
      <c r="O84" s="280"/>
      <c r="P84" s="280"/>
      <c r="Q84" s="247">
        <f t="shared" si="7"/>
        <v>0</v>
      </c>
      <c r="R84" s="229"/>
      <c r="S84" s="229"/>
      <c r="T84" s="229"/>
      <c r="U84" s="229"/>
      <c r="V84" s="229"/>
      <c r="W84" s="229"/>
      <c r="X84" s="229"/>
    </row>
    <row r="85" spans="1:24" ht="15.75" hidden="1">
      <c r="A85" s="347"/>
      <c r="B85" s="348"/>
      <c r="C85" s="279"/>
      <c r="D85" s="279"/>
      <c r="E85" s="279"/>
      <c r="F85" s="279"/>
      <c r="G85" s="279"/>
      <c r="H85" s="279"/>
      <c r="I85" s="279"/>
      <c r="J85" s="279"/>
      <c r="K85" s="279"/>
      <c r="L85" s="279"/>
      <c r="M85" s="279"/>
      <c r="N85" s="279"/>
      <c r="O85" s="280"/>
      <c r="P85" s="280"/>
      <c r="Q85" s="247">
        <f t="shared" si="7"/>
        <v>0</v>
      </c>
      <c r="R85" s="229"/>
      <c r="S85" s="229"/>
      <c r="T85" s="229"/>
      <c r="U85" s="229"/>
      <c r="V85" s="229"/>
      <c r="W85" s="229"/>
      <c r="X85" s="229"/>
    </row>
    <row r="86" spans="1:24" ht="15.75" hidden="1">
      <c r="A86" s="347" t="s">
        <v>357</v>
      </c>
      <c r="B86" s="348"/>
      <c r="C86" s="279">
        <v>43.301672803759942</v>
      </c>
      <c r="D86" s="279">
        <v>39.651206947705134</v>
      </c>
      <c r="E86" s="279">
        <v>32.846383341819212</v>
      </c>
      <c r="F86" s="279">
        <v>36.212884284721596</v>
      </c>
      <c r="G86" s="279">
        <v>38.956469360623494</v>
      </c>
      <c r="H86" s="279">
        <v>45.401420889722758</v>
      </c>
      <c r="I86" s="279">
        <v>46.060192942062798</v>
      </c>
      <c r="J86" s="279">
        <v>46.925699935252851</v>
      </c>
      <c r="K86" s="279">
        <v>45.309981744508164</v>
      </c>
      <c r="L86" s="279">
        <v>44.733397689282825</v>
      </c>
      <c r="M86" s="279">
        <v>42.218520734508971</v>
      </c>
      <c r="N86" s="279">
        <v>50.041385328162221</v>
      </c>
      <c r="O86" s="282">
        <v>42.45553006058055</v>
      </c>
      <c r="P86" s="282">
        <v>43.4555300605805</v>
      </c>
      <c r="Q86" s="247">
        <f t="shared" si="7"/>
        <v>0</v>
      </c>
      <c r="R86" s="229"/>
      <c r="S86" s="229"/>
      <c r="T86" s="229"/>
      <c r="U86" s="229"/>
      <c r="V86" s="229"/>
      <c r="W86" s="229"/>
      <c r="X86" s="229"/>
    </row>
    <row r="87" spans="1:24" ht="15.75" hidden="1">
      <c r="A87" s="347" t="s">
        <v>359</v>
      </c>
      <c r="B87" s="348"/>
      <c r="C87" s="279">
        <v>51.689288082427872</v>
      </c>
      <c r="D87" s="279">
        <v>53.79286886684347</v>
      </c>
      <c r="E87" s="279">
        <v>50.135424955328659</v>
      </c>
      <c r="F87" s="279">
        <v>49.436008473661531</v>
      </c>
      <c r="G87" s="279">
        <v>52.07483823634675</v>
      </c>
      <c r="H87" s="279">
        <v>53.796945473615075</v>
      </c>
      <c r="I87" s="279">
        <v>42.6774299246444</v>
      </c>
      <c r="J87" s="279">
        <v>41.617398987719788</v>
      </c>
      <c r="K87" s="279">
        <v>45.580943006959288</v>
      </c>
      <c r="L87" s="279">
        <v>44.540504994423024</v>
      </c>
      <c r="M87" s="279">
        <v>44.467246693523435</v>
      </c>
      <c r="N87" s="279">
        <v>45.562812642479031</v>
      </c>
      <c r="O87" s="282">
        <v>46.363230955554783</v>
      </c>
      <c r="P87" s="282">
        <v>47.363230955554798</v>
      </c>
      <c r="Q87" s="247">
        <f t="shared" si="7"/>
        <v>0</v>
      </c>
      <c r="R87" s="229"/>
      <c r="S87" s="229"/>
      <c r="T87" s="229"/>
      <c r="U87" s="229"/>
      <c r="V87" s="229"/>
      <c r="W87" s="229"/>
      <c r="X87" s="229"/>
    </row>
    <row r="88" spans="1:24" ht="15.75" hidden="1">
      <c r="A88" s="347" t="s">
        <v>360</v>
      </c>
      <c r="B88" s="348"/>
      <c r="C88" s="279"/>
      <c r="D88" s="279"/>
      <c r="E88" s="279"/>
      <c r="F88" s="279"/>
      <c r="G88" s="279"/>
      <c r="H88" s="279"/>
      <c r="I88" s="275">
        <v>43.053659561062688</v>
      </c>
      <c r="J88" s="275">
        <v>28.696965536180144</v>
      </c>
      <c r="K88" s="275">
        <v>34.465408805031444</v>
      </c>
      <c r="L88" s="275">
        <v>30.602737762488353</v>
      </c>
      <c r="M88" s="275">
        <v>44.40978492858315</v>
      </c>
      <c r="N88" s="275">
        <v>58.409228901032179</v>
      </c>
      <c r="O88" s="284"/>
      <c r="P88" s="284"/>
      <c r="Q88" s="247">
        <f t="shared" si="7"/>
        <v>0</v>
      </c>
      <c r="R88" s="229"/>
      <c r="S88" s="229"/>
      <c r="T88" s="229"/>
      <c r="U88" s="229"/>
      <c r="V88" s="229"/>
      <c r="W88" s="229"/>
      <c r="X88" s="229"/>
    </row>
    <row r="89" spans="1:24" ht="15.75" hidden="1">
      <c r="A89" s="347"/>
      <c r="B89" s="348"/>
      <c r="C89" s="279"/>
      <c r="D89" s="279"/>
      <c r="E89" s="279"/>
      <c r="F89" s="279"/>
      <c r="G89" s="279"/>
      <c r="H89" s="279"/>
      <c r="I89" s="279"/>
      <c r="J89" s="279"/>
      <c r="K89" s="279"/>
      <c r="L89" s="279"/>
      <c r="M89" s="279"/>
      <c r="N89" s="279"/>
      <c r="O89" s="280"/>
      <c r="P89" s="280"/>
      <c r="Q89" s="247">
        <f t="shared" si="7"/>
        <v>0</v>
      </c>
      <c r="R89" s="229"/>
      <c r="S89" s="229"/>
      <c r="T89" s="229"/>
      <c r="U89" s="229"/>
      <c r="V89" s="229"/>
      <c r="W89" s="229"/>
      <c r="X89" s="229"/>
    </row>
    <row r="90" spans="1:24" ht="15.75" hidden="1">
      <c r="A90" s="347"/>
      <c r="B90" s="348"/>
      <c r="C90" s="279"/>
      <c r="D90" s="279"/>
      <c r="E90" s="279"/>
      <c r="F90" s="279"/>
      <c r="G90" s="279"/>
      <c r="H90" s="279"/>
      <c r="I90" s="285">
        <v>9523</v>
      </c>
      <c r="J90" s="285">
        <v>14566</v>
      </c>
      <c r="K90" s="285">
        <v>11925</v>
      </c>
      <c r="L90" s="285">
        <v>13953</v>
      </c>
      <c r="M90" s="285">
        <v>12182</v>
      </c>
      <c r="N90" s="285">
        <v>8235</v>
      </c>
      <c r="O90" s="280"/>
      <c r="P90" s="280"/>
      <c r="Q90" s="247">
        <f t="shared" si="7"/>
        <v>0</v>
      </c>
      <c r="R90" s="229"/>
      <c r="S90" s="229"/>
      <c r="T90" s="229"/>
      <c r="U90" s="229"/>
      <c r="V90" s="229"/>
      <c r="W90" s="229"/>
      <c r="X90" s="229"/>
    </row>
    <row r="91" spans="1:24" ht="15.75" hidden="1">
      <c r="A91" s="347"/>
      <c r="B91" s="348"/>
      <c r="C91" s="279"/>
      <c r="D91" s="279"/>
      <c r="E91" s="279"/>
      <c r="F91" s="279"/>
      <c r="G91" s="279"/>
      <c r="H91" s="279"/>
      <c r="I91" s="285"/>
      <c r="J91" s="285"/>
      <c r="K91" s="285"/>
      <c r="L91" s="285"/>
      <c r="M91" s="285"/>
      <c r="N91" s="285"/>
      <c r="O91" s="280"/>
      <c r="P91" s="280"/>
      <c r="Q91" s="247">
        <f t="shared" si="7"/>
        <v>0</v>
      </c>
      <c r="R91" s="229"/>
      <c r="S91" s="229"/>
      <c r="T91" s="229"/>
      <c r="U91" s="229"/>
      <c r="V91" s="229"/>
      <c r="W91" s="229"/>
      <c r="X91" s="229"/>
    </row>
    <row r="92" spans="1:24" ht="15.75" hidden="1">
      <c r="A92" s="343" t="s">
        <v>361</v>
      </c>
      <c r="B92" s="348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2">
        <v>13.283240251027786</v>
      </c>
      <c r="P92" s="282">
        <v>14.2832402510278</v>
      </c>
      <c r="Q92" s="247">
        <f t="shared" si="7"/>
        <v>0</v>
      </c>
      <c r="R92" s="229"/>
      <c r="S92" s="229"/>
      <c r="T92" s="229"/>
      <c r="U92" s="229"/>
      <c r="V92" s="229"/>
      <c r="W92" s="229"/>
      <c r="X92" s="229"/>
    </row>
    <row r="93" spans="1:24" ht="15.75" hidden="1">
      <c r="A93" s="343" t="s">
        <v>362</v>
      </c>
      <c r="B93" s="348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2"/>
      <c r="P93" s="282"/>
      <c r="Q93" s="247">
        <f t="shared" si="7"/>
        <v>0</v>
      </c>
      <c r="R93" s="229"/>
      <c r="S93" s="229"/>
      <c r="T93" s="229"/>
      <c r="U93" s="229"/>
      <c r="V93" s="229"/>
      <c r="W93" s="229"/>
      <c r="X93" s="229"/>
    </row>
    <row r="94" spans="1:24" ht="15.75" hidden="1">
      <c r="A94" s="343" t="s">
        <v>302</v>
      </c>
      <c r="B94" s="348"/>
      <c r="C94" s="283">
        <v>9.3027833001988078</v>
      </c>
      <c r="D94" s="283">
        <v>8.3311928490701739</v>
      </c>
      <c r="E94" s="283">
        <v>9.678644623582457</v>
      </c>
      <c r="F94" s="283">
        <v>8.8408988595438167</v>
      </c>
      <c r="G94" s="283">
        <v>11.40847538633105</v>
      </c>
      <c r="H94" s="283">
        <v>13.925292135323209</v>
      </c>
      <c r="I94" s="283">
        <v>14.083570750237417</v>
      </c>
      <c r="J94" s="283">
        <v>14</v>
      </c>
      <c r="K94" s="283">
        <v>12.55</v>
      </c>
      <c r="L94" s="283">
        <v>11</v>
      </c>
      <c r="M94" s="283">
        <v>9.73</v>
      </c>
      <c r="N94" s="283">
        <v>9.85</v>
      </c>
      <c r="O94" s="282">
        <v>11.079543965896768</v>
      </c>
      <c r="P94" s="282">
        <v>12.0795439658968</v>
      </c>
      <c r="Q94" s="247">
        <f t="shared" si="7"/>
        <v>0</v>
      </c>
      <c r="R94" s="229"/>
      <c r="S94" s="229"/>
      <c r="T94" s="229"/>
      <c r="U94" s="229"/>
      <c r="V94" s="229"/>
      <c r="W94" s="229"/>
      <c r="X94" s="229"/>
    </row>
    <row r="95" spans="1:24" ht="15.75" hidden="1">
      <c r="A95" s="349" t="s">
        <v>303</v>
      </c>
      <c r="B95" s="348"/>
      <c r="C95" s="283">
        <v>6.7445825049701789</v>
      </c>
      <c r="D95" s="283">
        <v>5.8947395458748586</v>
      </c>
      <c r="E95" s="283">
        <v>5.8752561825385978</v>
      </c>
      <c r="F95" s="283">
        <v>5.9011104441776707</v>
      </c>
      <c r="G95" s="283">
        <v>5.7837342679624024</v>
      </c>
      <c r="H95" s="283">
        <v>6.5260624097334672</v>
      </c>
      <c r="I95" s="283">
        <v>5.9452908873198727</v>
      </c>
      <c r="J95" s="283">
        <v>8.7330287939491527</v>
      </c>
      <c r="K95" s="283">
        <v>9.5</v>
      </c>
      <c r="L95" s="283">
        <v>7.4</v>
      </c>
      <c r="M95" s="283">
        <v>6.8</v>
      </c>
      <c r="N95" s="283">
        <v>6.88</v>
      </c>
      <c r="O95" s="282">
        <v>6.8012938325691596</v>
      </c>
      <c r="P95" s="282">
        <v>7.8012938325691596</v>
      </c>
      <c r="Q95" s="247">
        <f t="shared" si="7"/>
        <v>0</v>
      </c>
      <c r="R95" s="229"/>
      <c r="S95" s="229"/>
      <c r="T95" s="229"/>
      <c r="U95" s="229"/>
      <c r="V95" s="229"/>
      <c r="W95" s="229"/>
      <c r="X95" s="229"/>
    </row>
    <row r="96" spans="1:24" ht="15.75" hidden="1">
      <c r="A96" s="347" t="s">
        <v>304</v>
      </c>
      <c r="B96" s="348"/>
      <c r="C96" s="283">
        <v>2.3654572564612324</v>
      </c>
      <c r="D96" s="283">
        <v>2.4605465940614399</v>
      </c>
      <c r="E96" s="283">
        <v>1.8873252265792231</v>
      </c>
      <c r="F96" s="283">
        <v>1.9050120048019208</v>
      </c>
      <c r="G96" s="283">
        <v>1.5736816950772663</v>
      </c>
      <c r="H96" s="283">
        <v>1.7856361328723358</v>
      </c>
      <c r="I96" s="283">
        <v>1.8119245220694495</v>
      </c>
      <c r="J96" s="283">
        <v>1.6</v>
      </c>
      <c r="K96" s="283">
        <v>1.6</v>
      </c>
      <c r="L96" s="283">
        <v>2.5</v>
      </c>
      <c r="M96" s="283">
        <v>2.5299999999999998</v>
      </c>
      <c r="N96" s="283">
        <v>2.7</v>
      </c>
      <c r="O96" s="282">
        <v>2.1710695200564092</v>
      </c>
      <c r="P96" s="282">
        <v>3.1710695200564101</v>
      </c>
      <c r="Q96" s="247">
        <f t="shared" si="7"/>
        <v>0</v>
      </c>
      <c r="R96" s="229"/>
      <c r="S96" s="229"/>
      <c r="T96" s="229"/>
      <c r="U96" s="229"/>
      <c r="V96" s="229"/>
      <c r="W96" s="229"/>
      <c r="X96" s="229"/>
    </row>
    <row r="97" spans="1:24" ht="15.75" hidden="1">
      <c r="A97" s="343" t="s">
        <v>305</v>
      </c>
      <c r="B97" s="348"/>
      <c r="C97" s="283">
        <v>0.2</v>
      </c>
      <c r="D97" s="283">
        <v>0.2</v>
      </c>
      <c r="E97" s="283">
        <v>0.2</v>
      </c>
      <c r="F97" s="283">
        <v>0.2</v>
      </c>
      <c r="G97" s="283">
        <v>0.2</v>
      </c>
      <c r="H97" s="283">
        <v>0.2</v>
      </c>
      <c r="I97" s="283">
        <v>0.41038027994549736</v>
      </c>
      <c r="J97" s="283">
        <v>0.11981877410416744</v>
      </c>
      <c r="K97" s="283">
        <v>0.15165876777251186</v>
      </c>
      <c r="L97" s="283">
        <v>0.22091902313624678</v>
      </c>
      <c r="M97" s="283">
        <v>0.21409108602569094</v>
      </c>
      <c r="N97" s="283">
        <v>0.28555111364934321</v>
      </c>
      <c r="O97" s="282">
        <v>0.11753947034042386</v>
      </c>
      <c r="P97" s="282">
        <v>1.11753947034042</v>
      </c>
      <c r="Q97" s="247">
        <f t="shared" si="7"/>
        <v>0</v>
      </c>
      <c r="R97" s="229"/>
      <c r="S97" s="229"/>
      <c r="T97" s="229"/>
      <c r="U97" s="229"/>
      <c r="V97" s="229"/>
      <c r="W97" s="229"/>
      <c r="X97" s="229"/>
    </row>
    <row r="98" spans="1:24" ht="15.75" hidden="1">
      <c r="A98" s="343" t="s">
        <v>306</v>
      </c>
      <c r="B98" s="348"/>
      <c r="C98" s="283">
        <v>18.41282306163022</v>
      </c>
      <c r="D98" s="283">
        <v>18.686478989006474</v>
      </c>
      <c r="E98" s="283">
        <v>17.441226032700278</v>
      </c>
      <c r="F98" s="283">
        <v>16.64702130852341</v>
      </c>
      <c r="G98" s="283">
        <v>18.765891349370719</v>
      </c>
      <c r="H98" s="283">
        <v>22.236990677929011</v>
      </c>
      <c r="I98" s="283">
        <v>22.251166439572238</v>
      </c>
      <c r="J98" s="283">
        <v>24.452847568053318</v>
      </c>
      <c r="K98" s="283">
        <v>23.801658767772512</v>
      </c>
      <c r="L98" s="283">
        <v>21.120919023136249</v>
      </c>
      <c r="M98" s="283">
        <v>19.274091086025692</v>
      </c>
      <c r="N98" s="283">
        <v>19.715551113649344</v>
      </c>
      <c r="O98" s="282">
        <v>20.169446788862764</v>
      </c>
      <c r="P98" s="282">
        <v>21.1694467888628</v>
      </c>
      <c r="Q98" s="247">
        <f t="shared" si="7"/>
        <v>0</v>
      </c>
      <c r="R98" s="229"/>
      <c r="S98" s="229"/>
      <c r="T98" s="229"/>
      <c r="U98" s="229"/>
      <c r="V98" s="229"/>
      <c r="W98" s="229"/>
      <c r="X98" s="229"/>
    </row>
    <row r="99" spans="1:24" ht="15.75" hidden="1">
      <c r="A99" s="343" t="s">
        <v>307</v>
      </c>
      <c r="B99" s="348"/>
      <c r="C99" s="283"/>
      <c r="D99" s="283"/>
      <c r="E99" s="283"/>
      <c r="F99" s="283"/>
      <c r="G99" s="283"/>
      <c r="H99" s="283"/>
      <c r="I99" s="283"/>
      <c r="J99" s="283"/>
      <c r="K99" s="283"/>
      <c r="L99" s="283"/>
      <c r="M99" s="283"/>
      <c r="N99" s="283"/>
      <c r="O99" s="282"/>
      <c r="P99" s="282"/>
      <c r="Q99" s="247">
        <f t="shared" si="7"/>
        <v>0</v>
      </c>
      <c r="R99" s="229"/>
      <c r="S99" s="229"/>
      <c r="T99" s="229"/>
      <c r="U99" s="229"/>
      <c r="V99" s="229"/>
      <c r="W99" s="229"/>
      <c r="X99" s="229"/>
    </row>
    <row r="100" spans="1:24" ht="15.75" hidden="1">
      <c r="A100" s="343" t="s">
        <v>308</v>
      </c>
      <c r="B100" s="348"/>
      <c r="C100" s="283">
        <v>0.05</v>
      </c>
      <c r="D100" s="283">
        <v>7.0000000000000007E-2</v>
      </c>
      <c r="E100" s="283">
        <v>5.8887826205765818E-2</v>
      </c>
      <c r="F100" s="283">
        <v>0.11682172869147658</v>
      </c>
      <c r="G100" s="283">
        <v>0.11255376772343476</v>
      </c>
      <c r="H100" s="283">
        <v>7.0112477570134363E-2</v>
      </c>
      <c r="I100" s="283">
        <v>9.0011974069945086E-2</v>
      </c>
      <c r="J100" s="283">
        <v>0.15</v>
      </c>
      <c r="K100" s="283">
        <v>0.15</v>
      </c>
      <c r="L100" s="283">
        <v>0.15</v>
      </c>
      <c r="M100" s="283">
        <v>0.15</v>
      </c>
      <c r="N100" s="283">
        <v>0.15</v>
      </c>
      <c r="O100" s="282">
        <v>0.1148410627552463</v>
      </c>
      <c r="P100" s="282">
        <v>1.1148410627552501</v>
      </c>
      <c r="Q100" s="247">
        <f t="shared" si="7"/>
        <v>0</v>
      </c>
      <c r="R100" s="229"/>
      <c r="S100" s="229"/>
      <c r="T100" s="229"/>
      <c r="U100" s="229"/>
      <c r="V100" s="229"/>
      <c r="W100" s="229"/>
      <c r="X100" s="229"/>
    </row>
    <row r="101" spans="1:24" ht="15.75" hidden="1">
      <c r="A101" s="343" t="s">
        <v>309</v>
      </c>
      <c r="B101" s="348"/>
      <c r="C101" s="283">
        <v>0</v>
      </c>
      <c r="D101" s="283">
        <v>0</v>
      </c>
      <c r="E101" s="283">
        <v>0</v>
      </c>
      <c r="F101" s="283">
        <v>0</v>
      </c>
      <c r="G101" s="283">
        <v>0</v>
      </c>
      <c r="H101" s="283">
        <v>0</v>
      </c>
      <c r="I101" s="283">
        <v>0</v>
      </c>
      <c r="J101" s="283">
        <v>0</v>
      </c>
      <c r="K101" s="283">
        <v>0</v>
      </c>
      <c r="L101" s="283">
        <v>0</v>
      </c>
      <c r="M101" s="283">
        <v>0</v>
      </c>
      <c r="N101" s="283">
        <v>0</v>
      </c>
      <c r="O101" s="282">
        <v>0</v>
      </c>
      <c r="P101" s="282">
        <v>1</v>
      </c>
      <c r="Q101" s="247">
        <f t="shared" si="7"/>
        <v>0</v>
      </c>
      <c r="R101" s="229"/>
      <c r="S101" s="229"/>
      <c r="T101" s="229"/>
      <c r="U101" s="229"/>
      <c r="V101" s="229"/>
      <c r="W101" s="229"/>
      <c r="X101" s="229"/>
    </row>
    <row r="102" spans="1:24" ht="15.75" hidden="1">
      <c r="A102" s="343" t="s">
        <v>310</v>
      </c>
      <c r="B102" s="348"/>
      <c r="C102" s="283">
        <v>0.22</v>
      </c>
      <c r="D102" s="283">
        <v>0.24</v>
      </c>
      <c r="E102" s="283">
        <v>0.22</v>
      </c>
      <c r="F102" s="283">
        <v>0.25735294117647056</v>
      </c>
      <c r="G102" s="283">
        <v>0.33805958260315438</v>
      </c>
      <c r="H102" s="283">
        <v>0.3179132565976629</v>
      </c>
      <c r="I102" s="283">
        <v>0.2530244849085429</v>
      </c>
      <c r="J102" s="283">
        <v>0.33</v>
      </c>
      <c r="K102" s="283">
        <v>0.33</v>
      </c>
      <c r="L102" s="283">
        <v>0.33</v>
      </c>
      <c r="M102" s="283">
        <v>0.33</v>
      </c>
      <c r="N102" s="283">
        <v>0.33</v>
      </c>
      <c r="O102" s="282">
        <v>0.29221051802696613</v>
      </c>
      <c r="P102" s="282">
        <v>1.2922105180269701</v>
      </c>
      <c r="Q102" s="247">
        <f t="shared" si="7"/>
        <v>0</v>
      </c>
      <c r="R102" s="229"/>
      <c r="S102" s="229"/>
      <c r="T102" s="229"/>
      <c r="U102" s="229"/>
      <c r="V102" s="229"/>
      <c r="W102" s="229"/>
      <c r="X102" s="229"/>
    </row>
    <row r="103" spans="1:24" ht="15.75" hidden="1">
      <c r="A103" s="343" t="s">
        <v>311</v>
      </c>
      <c r="B103" s="348"/>
      <c r="C103" s="283">
        <v>0</v>
      </c>
      <c r="D103" s="283">
        <v>0</v>
      </c>
      <c r="E103" s="283">
        <v>0</v>
      </c>
      <c r="F103" s="283">
        <v>0</v>
      </c>
      <c r="G103" s="283">
        <v>0</v>
      </c>
      <c r="H103" s="283">
        <v>0</v>
      </c>
      <c r="I103" s="283">
        <v>0</v>
      </c>
      <c r="J103" s="283">
        <v>0</v>
      </c>
      <c r="K103" s="283">
        <v>0</v>
      </c>
      <c r="L103" s="283">
        <v>0</v>
      </c>
      <c r="M103" s="283">
        <v>0</v>
      </c>
      <c r="N103" s="283">
        <v>0</v>
      </c>
      <c r="O103" s="282">
        <v>0</v>
      </c>
      <c r="P103" s="282">
        <v>1</v>
      </c>
      <c r="Q103" s="247">
        <f t="shared" si="7"/>
        <v>0</v>
      </c>
      <c r="R103" s="229"/>
      <c r="S103" s="229"/>
      <c r="T103" s="229"/>
      <c r="U103" s="229"/>
      <c r="V103" s="229"/>
      <c r="W103" s="229"/>
      <c r="X103" s="229"/>
    </row>
    <row r="104" spans="1:24" ht="15.75" hidden="1">
      <c r="A104" s="343" t="s">
        <v>312</v>
      </c>
      <c r="B104" s="348"/>
      <c r="C104" s="283">
        <v>7.0000000000000007E-2</v>
      </c>
      <c r="D104" s="283">
        <v>7.0000000000000007E-2</v>
      </c>
      <c r="E104" s="283">
        <v>7.0000000000000007E-2</v>
      </c>
      <c r="F104" s="283">
        <v>7.0000000000000007E-2</v>
      </c>
      <c r="G104" s="283">
        <v>7.0000000000000007E-2</v>
      </c>
      <c r="H104" s="283">
        <v>7.0000000000000007E-2</v>
      </c>
      <c r="I104" s="283">
        <v>7.0000000000000007E-2</v>
      </c>
      <c r="J104" s="283">
        <v>7.0000000000000007E-2</v>
      </c>
      <c r="K104" s="283">
        <v>7.0000000000000007E-2</v>
      </c>
      <c r="L104" s="283">
        <v>7.0000000000000007E-2</v>
      </c>
      <c r="M104" s="283">
        <v>7.0000000000000007E-2</v>
      </c>
      <c r="N104" s="283">
        <v>7.0000000000000007E-2</v>
      </c>
      <c r="O104" s="282">
        <v>6.4126104650538501E-2</v>
      </c>
      <c r="P104" s="282">
        <v>1.0641261046505399</v>
      </c>
      <c r="Q104" s="247">
        <f t="shared" si="7"/>
        <v>0</v>
      </c>
      <c r="R104" s="229"/>
      <c r="S104" s="229"/>
      <c r="T104" s="229"/>
      <c r="U104" s="229"/>
      <c r="V104" s="229"/>
      <c r="W104" s="229"/>
      <c r="X104" s="229"/>
    </row>
    <row r="105" spans="1:24" ht="15.75" hidden="1">
      <c r="A105" s="343" t="s">
        <v>313</v>
      </c>
      <c r="B105" s="348"/>
      <c r="C105" s="283">
        <v>0.21</v>
      </c>
      <c r="D105" s="283">
        <v>0.26</v>
      </c>
      <c r="E105" s="283">
        <v>0.08</v>
      </c>
      <c r="F105" s="283">
        <v>0.34543817527010806</v>
      </c>
      <c r="G105" s="283">
        <v>0.19332483670543252</v>
      </c>
      <c r="H105" s="283">
        <v>0.41463521379491441</v>
      </c>
      <c r="I105" s="283">
        <v>0.43672323382468309</v>
      </c>
      <c r="J105" s="283">
        <v>0.65</v>
      </c>
      <c r="K105" s="283">
        <v>0.53</v>
      </c>
      <c r="L105" s="283">
        <v>0.55000000000000004</v>
      </c>
      <c r="M105" s="283">
        <v>0.6</v>
      </c>
      <c r="N105" s="283">
        <v>0.55000000000000004</v>
      </c>
      <c r="O105" s="282">
        <v>0.40816823975346028</v>
      </c>
      <c r="P105" s="282">
        <v>1.4081682397534601</v>
      </c>
      <c r="Q105" s="247">
        <f t="shared" si="7"/>
        <v>0</v>
      </c>
      <c r="R105" s="229"/>
      <c r="S105" s="229"/>
      <c r="T105" s="229"/>
      <c r="U105" s="229"/>
      <c r="V105" s="229"/>
      <c r="W105" s="229"/>
      <c r="X105" s="229"/>
    </row>
    <row r="106" spans="1:24" ht="15.75" hidden="1">
      <c r="A106" s="343" t="s">
        <v>314</v>
      </c>
      <c r="B106" s="348"/>
      <c r="C106" s="283">
        <v>0.08</v>
      </c>
      <c r="D106" s="283">
        <v>0.14000000000000001</v>
      </c>
      <c r="E106" s="283">
        <v>0.04</v>
      </c>
      <c r="F106" s="283">
        <v>0</v>
      </c>
      <c r="G106" s="283">
        <v>0.26461685518559824</v>
      </c>
      <c r="H106" s="283">
        <v>5.0330430215764367E-2</v>
      </c>
      <c r="I106" s="283">
        <v>0.45410628019323673</v>
      </c>
      <c r="J106" s="283">
        <v>0.24</v>
      </c>
      <c r="K106" s="283">
        <v>0.24</v>
      </c>
      <c r="L106" s="283">
        <v>0.24</v>
      </c>
      <c r="M106" s="283">
        <v>0.17</v>
      </c>
      <c r="N106" s="283">
        <v>0.24</v>
      </c>
      <c r="O106" s="282">
        <v>0.1810880964397055</v>
      </c>
      <c r="P106" s="282">
        <v>1.1810880964397099</v>
      </c>
      <c r="Q106" s="247">
        <f t="shared" si="7"/>
        <v>0</v>
      </c>
      <c r="R106" s="229"/>
      <c r="S106" s="229"/>
      <c r="T106" s="229"/>
      <c r="U106" s="229"/>
      <c r="V106" s="229"/>
      <c r="W106" s="229"/>
      <c r="X106" s="229"/>
    </row>
    <row r="107" spans="1:24" ht="15.75" hidden="1">
      <c r="A107" s="343" t="s">
        <v>315</v>
      </c>
      <c r="B107" s="348"/>
      <c r="C107" s="283">
        <v>0</v>
      </c>
      <c r="D107" s="283">
        <v>0</v>
      </c>
      <c r="E107" s="283">
        <v>0</v>
      </c>
      <c r="F107" s="283">
        <v>0</v>
      </c>
      <c r="G107" s="283">
        <v>0</v>
      </c>
      <c r="H107" s="283">
        <v>0</v>
      </c>
      <c r="I107" s="283">
        <v>0</v>
      </c>
      <c r="J107" s="283">
        <v>0</v>
      </c>
      <c r="K107" s="283">
        <v>0</v>
      </c>
      <c r="L107" s="283">
        <v>0</v>
      </c>
      <c r="M107" s="283">
        <v>0</v>
      </c>
      <c r="N107" s="283">
        <v>0</v>
      </c>
      <c r="O107" s="282">
        <v>0</v>
      </c>
      <c r="P107" s="282">
        <v>1</v>
      </c>
      <c r="Q107" s="247">
        <f t="shared" si="7"/>
        <v>0</v>
      </c>
      <c r="R107" s="229"/>
      <c r="S107" s="229"/>
      <c r="T107" s="229"/>
      <c r="U107" s="229"/>
      <c r="V107" s="229"/>
      <c r="W107" s="229"/>
      <c r="X107" s="229"/>
    </row>
    <row r="108" spans="1:24" ht="15.75" hidden="1">
      <c r="A108" s="343" t="s">
        <v>316</v>
      </c>
      <c r="B108" s="348"/>
      <c r="C108" s="283">
        <v>0</v>
      </c>
      <c r="D108" s="283">
        <v>0.10274324463166547</v>
      </c>
      <c r="E108" s="283">
        <v>2.28173247711436E-2</v>
      </c>
      <c r="F108" s="283">
        <v>0</v>
      </c>
      <c r="G108" s="283">
        <v>0.36255376772343478</v>
      </c>
      <c r="H108" s="283">
        <v>0</v>
      </c>
      <c r="I108" s="283">
        <v>0.21801065279326148</v>
      </c>
      <c r="J108" s="283">
        <v>0.12</v>
      </c>
      <c r="K108" s="283">
        <v>0.12</v>
      </c>
      <c r="L108" s="283">
        <v>0.12</v>
      </c>
      <c r="M108" s="283">
        <v>0.12</v>
      </c>
      <c r="N108" s="283">
        <v>0.12</v>
      </c>
      <c r="O108" s="282">
        <v>0.1109660793093451</v>
      </c>
      <c r="P108" s="282">
        <v>1.1109660793093501</v>
      </c>
      <c r="Q108" s="247">
        <f t="shared" si="7"/>
        <v>0</v>
      </c>
      <c r="R108" s="229"/>
      <c r="S108" s="229"/>
      <c r="T108" s="229"/>
      <c r="U108" s="229"/>
      <c r="V108" s="229"/>
      <c r="W108" s="229"/>
      <c r="X108" s="229"/>
    </row>
    <row r="109" spans="1:24" ht="15.75" hidden="1">
      <c r="A109" s="343" t="s">
        <v>317</v>
      </c>
      <c r="B109" s="348"/>
      <c r="C109" s="283">
        <v>0</v>
      </c>
      <c r="D109" s="283">
        <v>0</v>
      </c>
      <c r="E109" s="283">
        <v>0</v>
      </c>
      <c r="F109" s="283">
        <v>0</v>
      </c>
      <c r="G109" s="283">
        <v>0</v>
      </c>
      <c r="H109" s="283">
        <v>0</v>
      </c>
      <c r="I109" s="283">
        <v>0</v>
      </c>
      <c r="J109" s="283">
        <v>1.8721683453776162E-2</v>
      </c>
      <c r="K109" s="283">
        <v>2.3696682464454975E-2</v>
      </c>
      <c r="L109" s="283">
        <v>2.0083547557840618E-2</v>
      </c>
      <c r="M109" s="283">
        <v>1.9462826002335541E-2</v>
      </c>
      <c r="N109" s="283">
        <v>2.5959192149940295E-2</v>
      </c>
      <c r="O109" s="282">
        <v>8.9481615107360035E-3</v>
      </c>
      <c r="P109" s="282">
        <v>1.0089481615107401</v>
      </c>
      <c r="Q109" s="247">
        <f t="shared" si="7"/>
        <v>0</v>
      </c>
      <c r="R109" s="229"/>
      <c r="S109" s="229"/>
      <c r="T109" s="229"/>
      <c r="U109" s="229"/>
      <c r="V109" s="229"/>
      <c r="W109" s="229"/>
      <c r="X109" s="229"/>
    </row>
    <row r="110" spans="1:24" ht="15.75" hidden="1">
      <c r="A110" s="343" t="s">
        <v>363</v>
      </c>
      <c r="B110" s="348"/>
      <c r="C110" s="283">
        <v>0.73</v>
      </c>
      <c r="D110" s="283">
        <v>0.71</v>
      </c>
      <c r="E110" s="283">
        <v>0.73</v>
      </c>
      <c r="F110" s="283">
        <v>0.69927971188475391</v>
      </c>
      <c r="G110" s="283">
        <v>0.73</v>
      </c>
      <c r="H110" s="283">
        <v>0.73</v>
      </c>
      <c r="I110" s="283">
        <v>0.70147404930013624</v>
      </c>
      <c r="J110" s="283">
        <v>0.9</v>
      </c>
      <c r="K110" s="283">
        <v>0.95</v>
      </c>
      <c r="L110" s="283">
        <v>0.9234</v>
      </c>
      <c r="M110" s="283">
        <v>0.92100000000000004</v>
      </c>
      <c r="N110" s="283">
        <v>0.96775868334977411</v>
      </c>
      <c r="O110" s="282">
        <v>0.8158065922895481</v>
      </c>
      <c r="P110" s="282">
        <v>1.8158065922895501</v>
      </c>
      <c r="Q110" s="247">
        <f t="shared" si="7"/>
        <v>0</v>
      </c>
      <c r="R110" s="229"/>
      <c r="S110" s="229"/>
      <c r="T110" s="229"/>
      <c r="U110" s="229"/>
      <c r="V110" s="229"/>
      <c r="W110" s="229"/>
      <c r="X110" s="229"/>
    </row>
    <row r="111" spans="1:24" ht="15.75" hidden="1">
      <c r="A111" s="343" t="s">
        <v>319</v>
      </c>
      <c r="B111" s="348"/>
      <c r="C111" s="283">
        <v>0.19</v>
      </c>
      <c r="D111" s="283">
        <v>0.55000000000000004</v>
      </c>
      <c r="E111" s="283">
        <v>0.25</v>
      </c>
      <c r="F111" s="283">
        <v>0.29104141656662663</v>
      </c>
      <c r="G111" s="283">
        <v>0.30328978811534174</v>
      </c>
      <c r="H111" s="283">
        <v>0.72025033918333403</v>
      </c>
      <c r="I111" s="283">
        <v>0.86659234485321446</v>
      </c>
      <c r="J111" s="283">
        <v>0.95</v>
      </c>
      <c r="K111" s="283">
        <v>0.95</v>
      </c>
      <c r="L111" s="283">
        <v>0.9</v>
      </c>
      <c r="M111" s="283">
        <v>0.9</v>
      </c>
      <c r="N111" s="283">
        <v>0.9</v>
      </c>
      <c r="O111" s="282">
        <v>0.65198076503201641</v>
      </c>
      <c r="P111" s="282">
        <v>1.65198076503202</v>
      </c>
      <c r="Q111" s="247">
        <f t="shared" si="7"/>
        <v>0</v>
      </c>
      <c r="R111" s="229"/>
      <c r="S111" s="229"/>
      <c r="T111" s="229"/>
      <c r="U111" s="229"/>
      <c r="V111" s="229"/>
      <c r="W111" s="229"/>
      <c r="X111" s="229"/>
    </row>
    <row r="112" spans="1:24" ht="15.75" hidden="1">
      <c r="A112" s="343" t="s">
        <v>320</v>
      </c>
      <c r="B112" s="348"/>
      <c r="C112" s="283">
        <v>0.15</v>
      </c>
      <c r="D112" s="283">
        <v>0.35</v>
      </c>
      <c r="E112" s="283">
        <v>0</v>
      </c>
      <c r="F112" s="283">
        <v>0.23653211284513806</v>
      </c>
      <c r="G112" s="283">
        <v>0.2132388083479369</v>
      </c>
      <c r="H112" s="283">
        <v>0.31554991465709659</v>
      </c>
      <c r="I112" s="283">
        <v>6.5568355423427885E-2</v>
      </c>
      <c r="J112" s="283">
        <v>0.67</v>
      </c>
      <c r="K112" s="283">
        <v>0.65</v>
      </c>
      <c r="L112" s="283">
        <v>0.7</v>
      </c>
      <c r="M112" s="283">
        <v>0.63</v>
      </c>
      <c r="N112" s="283">
        <v>0.6</v>
      </c>
      <c r="O112" s="282">
        <v>0.40579980457215259</v>
      </c>
      <c r="P112" s="282">
        <v>1.40579980457215</v>
      </c>
      <c r="Q112" s="247">
        <f t="shared" si="7"/>
        <v>0</v>
      </c>
      <c r="R112" s="229"/>
      <c r="S112" s="229"/>
      <c r="T112" s="229"/>
      <c r="U112" s="229"/>
      <c r="V112" s="229"/>
      <c r="W112" s="229"/>
      <c r="X112" s="229"/>
    </row>
    <row r="113" spans="1:24" ht="15.75" hidden="1">
      <c r="A113" s="343" t="s">
        <v>321</v>
      </c>
      <c r="B113" s="348"/>
      <c r="C113" s="283">
        <v>0</v>
      </c>
      <c r="D113" s="283">
        <v>0</v>
      </c>
      <c r="E113" s="283">
        <v>0</v>
      </c>
      <c r="F113" s="283">
        <v>0</v>
      </c>
      <c r="G113" s="283">
        <v>0</v>
      </c>
      <c r="H113" s="283">
        <v>0</v>
      </c>
      <c r="I113" s="283">
        <v>0</v>
      </c>
      <c r="J113" s="283">
        <v>2.8082525180664245E-2</v>
      </c>
      <c r="K113" s="283">
        <v>3.5545023696682464E-2</v>
      </c>
      <c r="L113" s="283">
        <v>3.0125321336760925E-2</v>
      </c>
      <c r="M113" s="283">
        <v>2.9194239003503309E-2</v>
      </c>
      <c r="N113" s="283">
        <v>3.8938788224910439E-2</v>
      </c>
      <c r="O113" s="282">
        <v>1.3422242266104006E-2</v>
      </c>
      <c r="P113" s="282">
        <v>1.0134222422660999</v>
      </c>
      <c r="Q113" s="247">
        <f t="shared" si="7"/>
        <v>0</v>
      </c>
      <c r="R113" s="229"/>
      <c r="S113" s="229"/>
      <c r="T113" s="229"/>
      <c r="U113" s="229"/>
      <c r="V113" s="229"/>
      <c r="W113" s="229"/>
      <c r="X113" s="229"/>
    </row>
    <row r="114" spans="1:24" ht="15.75" hidden="1">
      <c r="A114" s="343" t="s">
        <v>322</v>
      </c>
      <c r="B114" s="348"/>
      <c r="C114" s="283">
        <v>0.20531809145129223</v>
      </c>
      <c r="D114" s="283">
        <v>0.33</v>
      </c>
      <c r="E114" s="283">
        <v>0.17115270756478571</v>
      </c>
      <c r="F114" s="283">
        <v>0.27502250900360142</v>
      </c>
      <c r="G114" s="283">
        <v>0.12677234347618288</v>
      </c>
      <c r="H114" s="283">
        <v>0.44085080309860386</v>
      </c>
      <c r="I114" s="283">
        <v>0.59630868326520503</v>
      </c>
      <c r="J114" s="283">
        <v>0.65</v>
      </c>
      <c r="K114" s="283">
        <v>0.79</v>
      </c>
      <c r="L114" s="283">
        <v>0.79</v>
      </c>
      <c r="M114" s="283">
        <v>0.76</v>
      </c>
      <c r="N114" s="283">
        <v>0.45</v>
      </c>
      <c r="O114" s="282">
        <v>0.47760361076213287</v>
      </c>
      <c r="P114" s="282">
        <v>1.47760361076213</v>
      </c>
      <c r="Q114" s="247">
        <f t="shared" si="7"/>
        <v>0</v>
      </c>
      <c r="R114" s="229"/>
      <c r="S114" s="229"/>
      <c r="T114" s="229"/>
      <c r="U114" s="229"/>
      <c r="V114" s="229"/>
      <c r="W114" s="229"/>
      <c r="X114" s="229"/>
    </row>
    <row r="115" spans="1:24" ht="15.75" hidden="1">
      <c r="A115" s="343" t="s">
        <v>323</v>
      </c>
      <c r="B115" s="348"/>
      <c r="C115" s="283">
        <v>0.05</v>
      </c>
      <c r="D115" s="283">
        <v>0.05</v>
      </c>
      <c r="E115" s="283">
        <v>3.7573438994398141E-2</v>
      </c>
      <c r="F115" s="283">
        <v>3.0949879951980792E-2</v>
      </c>
      <c r="G115" s="283">
        <v>5.2572885136211563E-2</v>
      </c>
      <c r="H115" s="283">
        <v>3.6106612980874433E-2</v>
      </c>
      <c r="I115" s="283">
        <v>3.4064164498947107E-2</v>
      </c>
      <c r="J115" s="283">
        <v>0.25</v>
      </c>
      <c r="K115" s="283">
        <v>0.22</v>
      </c>
      <c r="L115" s="283">
        <v>0.27</v>
      </c>
      <c r="M115" s="283">
        <v>0.27</v>
      </c>
      <c r="N115" s="283">
        <v>0.27</v>
      </c>
      <c r="O115" s="282">
        <v>0.13228403612193837</v>
      </c>
      <c r="P115" s="282">
        <v>1.13228403612194</v>
      </c>
      <c r="Q115" s="247">
        <f t="shared" si="7"/>
        <v>0</v>
      </c>
      <c r="R115" s="229"/>
      <c r="S115" s="229"/>
      <c r="T115" s="229"/>
      <c r="U115" s="229"/>
      <c r="V115" s="229"/>
      <c r="W115" s="229"/>
      <c r="X115" s="229"/>
    </row>
    <row r="116" spans="1:24" ht="15.75" hidden="1">
      <c r="A116" s="343" t="s">
        <v>324</v>
      </c>
      <c r="B116" s="348"/>
      <c r="C116" s="283">
        <v>0.29821073558648109</v>
      </c>
      <c r="D116" s="283">
        <v>0.30822973389499642</v>
      </c>
      <c r="E116" s="283">
        <v>0.27326137450471377</v>
      </c>
      <c r="F116" s="283">
        <v>0.22509003601440578</v>
      </c>
      <c r="G116" s="283">
        <v>0.23896765971005257</v>
      </c>
      <c r="H116" s="283">
        <v>0.26259354895181408</v>
      </c>
      <c r="I116" s="283">
        <v>0.24773937817416078</v>
      </c>
      <c r="J116" s="283">
        <v>0.2621035683528663</v>
      </c>
      <c r="K116" s="283">
        <v>0.33175355450236965</v>
      </c>
      <c r="L116" s="283">
        <v>0.28116966580976865</v>
      </c>
      <c r="M116" s="283">
        <v>0.27247956403269757</v>
      </c>
      <c r="N116" s="283">
        <v>0.36342869009916412</v>
      </c>
      <c r="O116" s="282">
        <v>0.27560337453066891</v>
      </c>
      <c r="P116" s="282">
        <v>1.2756033745306701</v>
      </c>
      <c r="Q116" s="247">
        <f t="shared" si="7"/>
        <v>0</v>
      </c>
      <c r="R116" s="229"/>
      <c r="S116" s="229"/>
      <c r="T116" s="229"/>
      <c r="U116" s="229"/>
      <c r="V116" s="229"/>
      <c r="W116" s="229"/>
      <c r="X116" s="229"/>
    </row>
    <row r="117" spans="1:24" ht="15.75" hidden="1">
      <c r="A117" s="343" t="s">
        <v>325</v>
      </c>
      <c r="B117" s="348"/>
      <c r="C117" s="283">
        <v>1.7544731610337972E-2</v>
      </c>
      <c r="D117" s="283">
        <v>0.15</v>
      </c>
      <c r="E117" s="283">
        <v>0.19</v>
      </c>
      <c r="F117" s="283">
        <v>2.3746998799519806E-2</v>
      </c>
      <c r="G117" s="283">
        <v>8.8258722319579416E-2</v>
      </c>
      <c r="H117" s="283">
        <v>0.11190861744496478</v>
      </c>
      <c r="I117" s="283">
        <v>0.22275899087493289</v>
      </c>
      <c r="J117" s="283">
        <v>0.85</v>
      </c>
      <c r="K117" s="283">
        <v>0.7</v>
      </c>
      <c r="L117" s="283">
        <v>0.7</v>
      </c>
      <c r="M117" s="283">
        <v>0.65</v>
      </c>
      <c r="N117" s="283">
        <v>0.68</v>
      </c>
      <c r="O117" s="282">
        <v>0.36863608542988752</v>
      </c>
      <c r="P117" s="282">
        <v>1.36863608542989</v>
      </c>
      <c r="Q117" s="247">
        <f t="shared" si="7"/>
        <v>0</v>
      </c>
      <c r="R117" s="229"/>
      <c r="S117" s="229"/>
      <c r="T117" s="229"/>
      <c r="U117" s="229"/>
      <c r="V117" s="229"/>
      <c r="W117" s="229"/>
      <c r="X117" s="229"/>
    </row>
    <row r="118" spans="1:24" ht="15.75" hidden="1">
      <c r="A118" s="343" t="s">
        <v>326</v>
      </c>
      <c r="B118" s="348"/>
      <c r="C118" s="283">
        <v>7.0000000000000007E-2</v>
      </c>
      <c r="D118" s="283">
        <v>0.13</v>
      </c>
      <c r="E118" s="283">
        <v>0.13</v>
      </c>
      <c r="F118" s="283">
        <v>9.5438175270108047E-2</v>
      </c>
      <c r="G118" s="283">
        <v>8.4554723594073608E-2</v>
      </c>
      <c r="H118" s="283">
        <v>0.5468948312836448</v>
      </c>
      <c r="I118" s="283">
        <v>0.58829844337090709</v>
      </c>
      <c r="J118" s="283">
        <v>0.95</v>
      </c>
      <c r="K118" s="283">
        <v>0.94</v>
      </c>
      <c r="L118" s="283">
        <v>0.93</v>
      </c>
      <c r="M118" s="283">
        <v>0.92</v>
      </c>
      <c r="N118" s="283">
        <v>0.95</v>
      </c>
      <c r="O118" s="282">
        <v>0.5379623246607752</v>
      </c>
      <c r="P118" s="282">
        <v>1.5379623246607801</v>
      </c>
      <c r="Q118" s="247">
        <f t="shared" si="7"/>
        <v>0</v>
      </c>
      <c r="R118" s="229"/>
      <c r="S118" s="229"/>
      <c r="T118" s="229"/>
      <c r="U118" s="229"/>
      <c r="V118" s="229"/>
      <c r="W118" s="229"/>
      <c r="X118" s="229"/>
    </row>
    <row r="119" spans="1:24" ht="15.75" hidden="1">
      <c r="A119" s="343" t="s">
        <v>327</v>
      </c>
      <c r="B119" s="348"/>
      <c r="C119" s="283">
        <v>0.35</v>
      </c>
      <c r="D119" s="283">
        <v>0.8</v>
      </c>
      <c r="E119" s="283">
        <v>0.45</v>
      </c>
      <c r="F119" s="283">
        <v>0.21248499399759904</v>
      </c>
      <c r="G119" s="283">
        <v>5.5121873506452125E-2</v>
      </c>
      <c r="H119" s="283">
        <v>0.47932075802004465</v>
      </c>
      <c r="I119" s="283">
        <v>0.15669515669515668</v>
      </c>
      <c r="J119" s="283">
        <v>0.27</v>
      </c>
      <c r="K119" s="283">
        <v>0.27</v>
      </c>
      <c r="L119" s="283">
        <v>0.27</v>
      </c>
      <c r="M119" s="283">
        <v>0.26</v>
      </c>
      <c r="N119" s="283">
        <v>0.27</v>
      </c>
      <c r="O119" s="282">
        <v>0.31262972149742113</v>
      </c>
      <c r="P119" s="282">
        <v>1.3126297214974201</v>
      </c>
      <c r="Q119" s="247">
        <f t="shared" si="7"/>
        <v>0</v>
      </c>
      <c r="R119" s="229"/>
      <c r="S119" s="229"/>
      <c r="T119" s="229"/>
      <c r="U119" s="229"/>
      <c r="V119" s="229"/>
      <c r="W119" s="229"/>
      <c r="X119" s="229"/>
    </row>
    <row r="120" spans="1:24" ht="15.75" hidden="1">
      <c r="A120" s="343" t="s">
        <v>328</v>
      </c>
      <c r="B120" s="348"/>
      <c r="C120" s="283">
        <v>0.14000000000000001</v>
      </c>
      <c r="D120" s="283">
        <v>1</v>
      </c>
      <c r="E120" s="283">
        <v>1</v>
      </c>
      <c r="F120" s="283">
        <v>0.75889105642256904</v>
      </c>
      <c r="G120" s="283">
        <v>0.6607057511550104</v>
      </c>
      <c r="H120" s="283">
        <v>0.98862094621208807</v>
      </c>
      <c r="I120" s="283">
        <v>1.0738676245922623</v>
      </c>
      <c r="J120" s="283">
        <v>1.1000000000000001</v>
      </c>
      <c r="K120" s="283">
        <v>1.1000000000000001</v>
      </c>
      <c r="L120" s="283">
        <v>1</v>
      </c>
      <c r="M120" s="283">
        <v>1.05</v>
      </c>
      <c r="N120" s="283">
        <v>1</v>
      </c>
      <c r="O120" s="282">
        <v>0.91983950577514351</v>
      </c>
      <c r="P120" s="282">
        <v>1.9198395057751401</v>
      </c>
      <c r="Q120" s="247">
        <f t="shared" si="7"/>
        <v>0</v>
      </c>
      <c r="R120" s="229"/>
      <c r="S120" s="229"/>
      <c r="T120" s="229"/>
      <c r="U120" s="229"/>
      <c r="V120" s="229"/>
      <c r="W120" s="229"/>
      <c r="X120" s="229"/>
    </row>
    <row r="121" spans="1:24" ht="15.75" hidden="1">
      <c r="A121" s="343" t="s">
        <v>329</v>
      </c>
      <c r="B121" s="348"/>
      <c r="C121" s="283">
        <v>0</v>
      </c>
      <c r="D121" s="283">
        <v>4.6028973594986131E-2</v>
      </c>
      <c r="E121" s="283">
        <v>1.5029375597759256E-2</v>
      </c>
      <c r="F121" s="283">
        <v>2.663565426170468E-2</v>
      </c>
      <c r="G121" s="283">
        <v>0</v>
      </c>
      <c r="H121" s="283">
        <v>2.844763446977986E-2</v>
      </c>
      <c r="I121" s="283">
        <v>0</v>
      </c>
      <c r="J121" s="283">
        <v>2.8082525180664245E-2</v>
      </c>
      <c r="K121" s="283">
        <v>3.5545023696682464E-2</v>
      </c>
      <c r="L121" s="283">
        <v>3.0125321336760925E-2</v>
      </c>
      <c r="M121" s="283">
        <v>2.9194239003503309E-2</v>
      </c>
      <c r="N121" s="283">
        <v>3.8938788224910439E-2</v>
      </c>
      <c r="O121" s="282">
        <v>2.267822053280933E-2</v>
      </c>
      <c r="P121" s="282">
        <v>1.02267822053281</v>
      </c>
      <c r="Q121" s="247">
        <f t="shared" si="7"/>
        <v>0</v>
      </c>
      <c r="R121" s="229"/>
      <c r="S121" s="229"/>
      <c r="T121" s="229"/>
      <c r="U121" s="229"/>
      <c r="V121" s="229"/>
      <c r="W121" s="229"/>
      <c r="X121" s="229"/>
    </row>
    <row r="122" spans="1:24" ht="15.75" hidden="1">
      <c r="A122" s="343" t="s">
        <v>330</v>
      </c>
      <c r="B122" s="348"/>
      <c r="C122" s="283">
        <v>0.22</v>
      </c>
      <c r="D122" s="283">
        <v>0.6</v>
      </c>
      <c r="E122" s="283">
        <v>0.36147925490731886</v>
      </c>
      <c r="F122" s="283">
        <v>0.71454831932773111</v>
      </c>
      <c r="G122" s="283">
        <v>0.60646009240082843</v>
      </c>
      <c r="H122" s="283">
        <v>0.85679898463827742</v>
      </c>
      <c r="I122" s="283">
        <v>1.228498286469301</v>
      </c>
      <c r="J122" s="283">
        <v>0.75</v>
      </c>
      <c r="K122" s="283">
        <v>0.75</v>
      </c>
      <c r="L122" s="283">
        <v>0.7</v>
      </c>
      <c r="M122" s="283">
        <v>0.7</v>
      </c>
      <c r="N122" s="283">
        <v>0.75</v>
      </c>
      <c r="O122" s="282">
        <v>0.68144974533532343</v>
      </c>
      <c r="P122" s="282">
        <v>1.6814497453353201</v>
      </c>
      <c r="Q122" s="247">
        <f t="shared" si="7"/>
        <v>0</v>
      </c>
      <c r="R122" s="229"/>
      <c r="S122" s="229"/>
      <c r="T122" s="229"/>
      <c r="U122" s="229"/>
      <c r="V122" s="229"/>
      <c r="W122" s="229"/>
      <c r="X122" s="229"/>
    </row>
    <row r="123" spans="1:24" ht="15.75" hidden="1">
      <c r="A123" s="350" t="s">
        <v>331</v>
      </c>
      <c r="B123" s="348"/>
      <c r="C123" s="283">
        <v>0.15805168986083498</v>
      </c>
      <c r="D123" s="283">
        <v>0.21036679338333505</v>
      </c>
      <c r="E123" s="283">
        <v>0.23249988614109396</v>
      </c>
      <c r="F123" s="283">
        <v>4.0216086434573826E-2</v>
      </c>
      <c r="G123" s="283">
        <v>0.18894376294408158</v>
      </c>
      <c r="H123" s="283">
        <v>5.3569083986170073E-2</v>
      </c>
      <c r="I123" s="283">
        <v>0.2575663735084025</v>
      </c>
      <c r="J123" s="283">
        <v>0.6</v>
      </c>
      <c r="K123" s="283">
        <v>0.55000000000000004</v>
      </c>
      <c r="L123" s="283">
        <v>0.5</v>
      </c>
      <c r="M123" s="283">
        <v>0.55000000000000004</v>
      </c>
      <c r="N123" s="283">
        <v>0.45</v>
      </c>
      <c r="O123" s="282">
        <v>0.31687999083708257</v>
      </c>
      <c r="P123" s="282">
        <v>1.3168799908370801</v>
      </c>
      <c r="Q123" s="247">
        <f t="shared" si="7"/>
        <v>0</v>
      </c>
      <c r="R123" s="229"/>
      <c r="S123" s="229"/>
      <c r="T123" s="229"/>
      <c r="U123" s="229"/>
      <c r="V123" s="229"/>
      <c r="W123" s="229"/>
      <c r="X123" s="229"/>
    </row>
    <row r="124" spans="1:24" ht="15.75" hidden="1">
      <c r="A124" s="343" t="s">
        <v>332</v>
      </c>
      <c r="B124" s="348"/>
      <c r="C124" s="283">
        <v>1.7892644135188867E-3</v>
      </c>
      <c r="D124" s="283">
        <v>4.3665878968457824E-3</v>
      </c>
      <c r="E124" s="283">
        <v>4.7365304914150381E-3</v>
      </c>
      <c r="F124" s="283">
        <v>2.0258103241296518E-3</v>
      </c>
      <c r="G124" s="283">
        <v>6.9698900748765332E-3</v>
      </c>
      <c r="H124" s="283">
        <v>1.2604490349687076E-2</v>
      </c>
      <c r="I124" s="283">
        <v>4.8722077707584951E-3</v>
      </c>
      <c r="J124" s="283">
        <v>0.06</v>
      </c>
      <c r="K124" s="283">
        <v>0.06</v>
      </c>
      <c r="L124" s="283">
        <v>0.06</v>
      </c>
      <c r="M124" s="283">
        <v>0.06</v>
      </c>
      <c r="N124" s="283">
        <v>0.06</v>
      </c>
      <c r="O124" s="282">
        <v>2.8345055424912398E-2</v>
      </c>
      <c r="P124" s="282">
        <v>1.0283450554249101</v>
      </c>
      <c r="Q124" s="247">
        <f t="shared" si="7"/>
        <v>0</v>
      </c>
      <c r="R124" s="229"/>
      <c r="S124" s="229"/>
      <c r="T124" s="229"/>
      <c r="U124" s="229"/>
      <c r="V124" s="229"/>
      <c r="W124" s="229"/>
      <c r="X124" s="229"/>
    </row>
    <row r="125" spans="1:24" ht="15.75" hidden="1">
      <c r="A125" s="343" t="s">
        <v>333</v>
      </c>
      <c r="B125" s="348"/>
      <c r="C125" s="283">
        <v>5.8896620278330022E-2</v>
      </c>
      <c r="D125" s="283">
        <v>6.6628994143635059E-2</v>
      </c>
      <c r="E125" s="283">
        <v>3.2472560003643486E-2</v>
      </c>
      <c r="F125" s="283">
        <v>2.7010804321728692E-2</v>
      </c>
      <c r="G125" s="283">
        <v>4.8669746694280709E-2</v>
      </c>
      <c r="H125" s="283">
        <v>6.9149634557311046E-2</v>
      </c>
      <c r="I125" s="283">
        <v>3.8977662166067961E-2</v>
      </c>
      <c r="J125" s="283">
        <v>0.15</v>
      </c>
      <c r="K125" s="283">
        <v>0.14000000000000001</v>
      </c>
      <c r="L125" s="283">
        <v>0.14000000000000001</v>
      </c>
      <c r="M125" s="283">
        <v>0.14000000000000001</v>
      </c>
      <c r="N125" s="283">
        <v>0.14000000000000001</v>
      </c>
      <c r="O125" s="282">
        <v>8.7332732016879799E-2</v>
      </c>
      <c r="P125" s="282">
        <v>1.08733273201688</v>
      </c>
      <c r="Q125" s="247">
        <f t="shared" si="7"/>
        <v>0</v>
      </c>
      <c r="R125" s="229"/>
      <c r="S125" s="229"/>
      <c r="T125" s="229"/>
      <c r="U125" s="229"/>
      <c r="V125" s="229"/>
      <c r="W125" s="229"/>
      <c r="X125" s="229"/>
    </row>
    <row r="126" spans="1:24" ht="15.75" hidden="1">
      <c r="A126" s="343" t="s">
        <v>334</v>
      </c>
      <c r="B126" s="348"/>
      <c r="C126" s="283">
        <v>0</v>
      </c>
      <c r="D126" s="283">
        <v>0</v>
      </c>
      <c r="E126" s="283">
        <v>0</v>
      </c>
      <c r="F126" s="283">
        <v>0</v>
      </c>
      <c r="G126" s="283">
        <v>0</v>
      </c>
      <c r="H126" s="283">
        <v>0</v>
      </c>
      <c r="I126" s="283">
        <v>0</v>
      </c>
      <c r="J126" s="283">
        <v>0</v>
      </c>
      <c r="K126" s="283">
        <v>0</v>
      </c>
      <c r="L126" s="283">
        <v>0</v>
      </c>
      <c r="M126" s="283">
        <v>0</v>
      </c>
      <c r="N126" s="283">
        <v>0</v>
      </c>
      <c r="O126" s="282">
        <v>0</v>
      </c>
      <c r="P126" s="282">
        <v>1</v>
      </c>
      <c r="Q126" s="247">
        <f t="shared" si="7"/>
        <v>0</v>
      </c>
      <c r="R126" s="229"/>
      <c r="S126" s="229"/>
      <c r="T126" s="229"/>
      <c r="U126" s="229"/>
      <c r="V126" s="229"/>
      <c r="W126" s="229"/>
      <c r="X126" s="229"/>
    </row>
    <row r="127" spans="1:24" ht="15.75" hidden="1">
      <c r="A127" s="341" t="s">
        <v>335</v>
      </c>
      <c r="B127" s="348"/>
      <c r="C127" s="283">
        <v>8.0119284294234594E-2</v>
      </c>
      <c r="D127" s="283">
        <v>8.4917291688071508E-2</v>
      </c>
      <c r="E127" s="283">
        <v>1.3162089538643713E-2</v>
      </c>
      <c r="F127" s="283">
        <v>1.1254501800720289E-2</v>
      </c>
      <c r="G127" s="283">
        <v>8.7302851680739202E-2</v>
      </c>
      <c r="H127" s="283">
        <v>0</v>
      </c>
      <c r="I127" s="283">
        <v>8.8649407489987203E-2</v>
      </c>
      <c r="J127" s="283">
        <v>0.09</v>
      </c>
      <c r="K127" s="283">
        <v>0.09</v>
      </c>
      <c r="L127" s="283">
        <v>0.09</v>
      </c>
      <c r="M127" s="283">
        <v>0.09</v>
      </c>
      <c r="N127" s="283">
        <v>0.09</v>
      </c>
      <c r="O127" s="282">
        <v>6.6427070694055207E-2</v>
      </c>
      <c r="P127" s="282">
        <v>1.06642707069406</v>
      </c>
      <c r="Q127" s="247">
        <f t="shared" si="7"/>
        <v>0</v>
      </c>
      <c r="R127" s="229"/>
      <c r="S127" s="229"/>
      <c r="T127" s="229"/>
      <c r="U127" s="229"/>
      <c r="V127" s="229"/>
      <c r="W127" s="229"/>
      <c r="X127" s="229"/>
    </row>
    <row r="128" spans="1:24" ht="15.75" hidden="1">
      <c r="A128" s="343" t="s">
        <v>336</v>
      </c>
      <c r="B128" s="348"/>
      <c r="C128" s="283">
        <v>3.6729622266401592E-2</v>
      </c>
      <c r="D128" s="283">
        <v>0</v>
      </c>
      <c r="E128" s="283">
        <v>0</v>
      </c>
      <c r="F128" s="283">
        <v>0</v>
      </c>
      <c r="G128" s="283">
        <v>0</v>
      </c>
      <c r="H128" s="283">
        <v>0</v>
      </c>
      <c r="I128" s="283">
        <v>0</v>
      </c>
      <c r="J128" s="283">
        <v>1.8721683453776162E-2</v>
      </c>
      <c r="K128" s="283">
        <v>2.3696682464454975E-2</v>
      </c>
      <c r="L128" s="283">
        <v>2.0083547557840618E-2</v>
      </c>
      <c r="M128" s="283">
        <v>1.9462826002335541E-2</v>
      </c>
      <c r="N128" s="283">
        <v>2.5959192149940295E-2</v>
      </c>
      <c r="O128" s="282">
        <v>1.1593238053309567E-2</v>
      </c>
      <c r="P128" s="282">
        <v>1.0115932380533099</v>
      </c>
      <c r="Q128" s="247">
        <f t="shared" si="7"/>
        <v>0</v>
      </c>
      <c r="R128" s="229"/>
      <c r="S128" s="229"/>
      <c r="T128" s="229"/>
      <c r="U128" s="229"/>
      <c r="V128" s="229"/>
      <c r="W128" s="229"/>
      <c r="X128" s="229"/>
    </row>
    <row r="129" spans="1:24" ht="15.75" hidden="1">
      <c r="A129" s="343" t="s">
        <v>337</v>
      </c>
      <c r="B129" s="348"/>
      <c r="C129" s="283">
        <v>0</v>
      </c>
      <c r="D129" s="283">
        <v>0</v>
      </c>
      <c r="E129" s="283">
        <v>0</v>
      </c>
      <c r="F129" s="283">
        <v>0</v>
      </c>
      <c r="G129" s="283">
        <v>0</v>
      </c>
      <c r="H129" s="283">
        <v>0</v>
      </c>
      <c r="I129" s="283">
        <v>0</v>
      </c>
      <c r="J129" s="283">
        <v>0</v>
      </c>
      <c r="K129" s="283">
        <v>0</v>
      </c>
      <c r="L129" s="283">
        <v>0</v>
      </c>
      <c r="M129" s="283">
        <v>0</v>
      </c>
      <c r="N129" s="283">
        <v>0</v>
      </c>
      <c r="O129" s="282">
        <v>0</v>
      </c>
      <c r="P129" s="282">
        <v>1</v>
      </c>
      <c r="Q129" s="247">
        <f t="shared" si="7"/>
        <v>0</v>
      </c>
      <c r="R129" s="229"/>
      <c r="S129" s="229"/>
      <c r="T129" s="229"/>
      <c r="U129" s="229"/>
      <c r="V129" s="229"/>
      <c r="W129" s="229"/>
      <c r="X129" s="229"/>
    </row>
    <row r="130" spans="1:24" ht="15.75" hidden="1">
      <c r="A130" s="343" t="s">
        <v>339</v>
      </c>
      <c r="B130" s="348"/>
      <c r="C130" s="283">
        <v>0.10462226640159046</v>
      </c>
      <c r="D130" s="283">
        <v>0.11574026507757115</v>
      </c>
      <c r="E130" s="283">
        <v>0.11408662385571799</v>
      </c>
      <c r="F130" s="283">
        <v>9.164915966386554E-2</v>
      </c>
      <c r="G130" s="283">
        <v>0.10466783495300302</v>
      </c>
      <c r="H130" s="283">
        <v>0.11575998949625804</v>
      </c>
      <c r="I130" s="283">
        <v>0.11866716214542301</v>
      </c>
      <c r="J130" s="283">
        <v>0.12877756381245106</v>
      </c>
      <c r="K130" s="283">
        <v>0.15059511951370286</v>
      </c>
      <c r="L130" s="283">
        <v>0.13942229762769642</v>
      </c>
      <c r="M130" s="283">
        <v>0.12379927099023473</v>
      </c>
      <c r="N130" s="283">
        <v>0.1502865581610057</v>
      </c>
      <c r="O130" s="282">
        <v>0.12032037857414861</v>
      </c>
      <c r="P130" s="282">
        <v>1.12032037857415</v>
      </c>
      <c r="Q130" s="247">
        <f t="shared" si="7"/>
        <v>0</v>
      </c>
      <c r="R130" s="229"/>
      <c r="S130" s="229"/>
      <c r="T130" s="229"/>
      <c r="U130" s="229"/>
      <c r="V130" s="229"/>
      <c r="W130" s="229"/>
      <c r="X130" s="229"/>
    </row>
    <row r="131" spans="1:24" ht="15.75" hidden="1">
      <c r="A131" s="343" t="s">
        <v>340</v>
      </c>
      <c r="B131" s="348"/>
      <c r="C131" s="283">
        <v>0</v>
      </c>
      <c r="D131" s="283">
        <v>0</v>
      </c>
      <c r="E131" s="283">
        <v>0</v>
      </c>
      <c r="F131" s="283">
        <v>0</v>
      </c>
      <c r="G131" s="283">
        <v>0</v>
      </c>
      <c r="H131" s="283">
        <v>0</v>
      </c>
      <c r="I131" s="283">
        <v>0</v>
      </c>
      <c r="J131" s="283">
        <v>0.15</v>
      </c>
      <c r="K131" s="283">
        <v>0.15</v>
      </c>
      <c r="L131" s="283">
        <v>0.15</v>
      </c>
      <c r="M131" s="283">
        <v>0.15</v>
      </c>
      <c r="N131" s="283">
        <v>0.1</v>
      </c>
      <c r="O131" s="282">
        <v>5.9720208885882302E-2</v>
      </c>
      <c r="P131" s="282">
        <v>1.0597202088858799</v>
      </c>
      <c r="Q131" s="247">
        <f t="shared" si="7"/>
        <v>0</v>
      </c>
      <c r="R131" s="229"/>
      <c r="S131" s="229"/>
      <c r="T131" s="229"/>
      <c r="U131" s="229"/>
      <c r="V131" s="229"/>
      <c r="W131" s="229"/>
      <c r="X131" s="229"/>
    </row>
    <row r="132" spans="1:24" ht="15.75" hidden="1">
      <c r="A132" s="343" t="s">
        <v>341</v>
      </c>
      <c r="B132" s="348"/>
      <c r="C132" s="283">
        <v>0</v>
      </c>
      <c r="D132" s="283">
        <v>0</v>
      </c>
      <c r="E132" s="283">
        <v>0</v>
      </c>
      <c r="F132" s="283">
        <v>0.37515006002400958</v>
      </c>
      <c r="G132" s="283">
        <v>0.3982794328500876</v>
      </c>
      <c r="H132" s="283">
        <v>0.43765591491969014</v>
      </c>
      <c r="I132" s="283">
        <v>0</v>
      </c>
      <c r="J132" s="283">
        <v>0</v>
      </c>
      <c r="K132" s="283">
        <v>0</v>
      </c>
      <c r="L132" s="283">
        <v>0.20083547557840617</v>
      </c>
      <c r="M132" s="283">
        <v>0.1946282600233554</v>
      </c>
      <c r="N132" s="283">
        <v>0.25959192149940291</v>
      </c>
      <c r="O132" s="282">
        <v>0.16106690719324807</v>
      </c>
      <c r="P132" s="282">
        <v>1.16106690719325</v>
      </c>
      <c r="Q132" s="247">
        <f t="shared" si="7"/>
        <v>0</v>
      </c>
      <c r="R132" s="229"/>
      <c r="S132" s="229"/>
      <c r="T132" s="229"/>
      <c r="U132" s="229"/>
      <c r="V132" s="229"/>
      <c r="W132" s="229"/>
      <c r="X132" s="229"/>
    </row>
    <row r="133" spans="1:24" ht="15.75" hidden="1">
      <c r="A133" s="343" t="s">
        <v>342</v>
      </c>
      <c r="B133" s="348"/>
      <c r="C133" s="283">
        <v>0.02</v>
      </c>
      <c r="D133" s="283">
        <v>0.24</v>
      </c>
      <c r="E133" s="283">
        <v>0.21</v>
      </c>
      <c r="F133" s="283">
        <v>0.18311074429771909</v>
      </c>
      <c r="G133" s="283">
        <v>0.19069619244862196</v>
      </c>
      <c r="H133" s="283">
        <v>0.20845551227624842</v>
      </c>
      <c r="I133" s="283">
        <v>0.19608571782484827</v>
      </c>
      <c r="J133" s="283">
        <v>0.35</v>
      </c>
      <c r="K133" s="283">
        <v>0.35</v>
      </c>
      <c r="L133" s="283">
        <v>0.35</v>
      </c>
      <c r="M133" s="283">
        <v>0.35</v>
      </c>
      <c r="N133" s="283">
        <v>0.35</v>
      </c>
      <c r="O133" s="282">
        <v>0.26318296842730693</v>
      </c>
      <c r="P133" s="282">
        <v>1.2631829684273099</v>
      </c>
      <c r="Q133" s="247">
        <f t="shared" si="7"/>
        <v>0</v>
      </c>
      <c r="R133" s="229"/>
      <c r="S133" s="229"/>
      <c r="T133" s="229"/>
      <c r="U133" s="229"/>
      <c r="V133" s="229"/>
      <c r="W133" s="229"/>
      <c r="X133" s="229"/>
    </row>
    <row r="134" spans="1:24" ht="15.75" hidden="1">
      <c r="A134" s="343" t="s">
        <v>343</v>
      </c>
      <c r="B134" s="348"/>
      <c r="C134" s="283">
        <v>4.4731610337972169E-2</v>
      </c>
      <c r="D134" s="283">
        <v>0.25</v>
      </c>
      <c r="E134" s="283">
        <v>6.2804572573666714E-2</v>
      </c>
      <c r="F134" s="283">
        <v>7.874399759903962E-2</v>
      </c>
      <c r="G134" s="283">
        <v>5.7989485422972754E-2</v>
      </c>
      <c r="H134" s="283">
        <v>0.11304652282375596</v>
      </c>
      <c r="I134" s="283">
        <v>0.22701185020025599</v>
      </c>
      <c r="J134" s="283">
        <v>0.09</v>
      </c>
      <c r="K134" s="283">
        <v>0.09</v>
      </c>
      <c r="L134" s="283">
        <v>0.09</v>
      </c>
      <c r="M134" s="283">
        <v>0.09</v>
      </c>
      <c r="N134" s="283">
        <v>0.09</v>
      </c>
      <c r="O134" s="282">
        <v>0.10567370708014331</v>
      </c>
      <c r="P134" s="282">
        <v>1.1056737070801399</v>
      </c>
      <c r="Q134" s="247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9"/>
      <c r="S134" s="229"/>
      <c r="T134" s="229"/>
      <c r="U134" s="229"/>
      <c r="V134" s="229"/>
      <c r="W134" s="229"/>
      <c r="X134" s="229"/>
    </row>
    <row r="135" spans="1:24" ht="15.75" hidden="1">
      <c r="A135" s="343" t="s">
        <v>364</v>
      </c>
      <c r="B135" s="348"/>
      <c r="C135" s="283">
        <v>0.46</v>
      </c>
      <c r="D135" s="283">
        <v>0.5</v>
      </c>
      <c r="E135" s="283">
        <v>0.4</v>
      </c>
      <c r="F135" s="283">
        <v>0.25296368547418968</v>
      </c>
      <c r="G135" s="283">
        <v>0.18109765811693485</v>
      </c>
      <c r="H135" s="283">
        <v>0.33069280931331785</v>
      </c>
      <c r="I135" s="283">
        <v>0.46591519055287173</v>
      </c>
      <c r="J135" s="283">
        <v>0.68</v>
      </c>
      <c r="K135" s="283">
        <v>0.65</v>
      </c>
      <c r="L135" s="283">
        <v>0.6</v>
      </c>
      <c r="M135" s="283">
        <v>0.65</v>
      </c>
      <c r="N135" s="283">
        <v>0.67</v>
      </c>
      <c r="O135" s="282">
        <v>0.48217966476607721</v>
      </c>
      <c r="P135" s="282">
        <v>1.4821796647660801</v>
      </c>
      <c r="Q135" s="247">
        <f t="shared" si="8"/>
        <v>0</v>
      </c>
      <c r="R135" s="229"/>
      <c r="S135" s="229"/>
      <c r="T135" s="229"/>
      <c r="U135" s="229"/>
      <c r="V135" s="229"/>
      <c r="W135" s="229"/>
      <c r="X135" s="229"/>
    </row>
    <row r="136" spans="1:24" ht="15.75" hidden="1">
      <c r="A136" s="347" t="s">
        <v>345</v>
      </c>
      <c r="B136" s="348"/>
      <c r="C136" s="283">
        <v>0.25</v>
      </c>
      <c r="D136" s="283">
        <v>0.21</v>
      </c>
      <c r="E136" s="283">
        <v>0.16</v>
      </c>
      <c r="F136" s="283">
        <v>0.19594087635054022</v>
      </c>
      <c r="G136" s="283">
        <v>0.21311932451808188</v>
      </c>
      <c r="H136" s="283">
        <v>0.3005820823668432</v>
      </c>
      <c r="I136" s="283">
        <v>0.13472893183038109</v>
      </c>
      <c r="J136" s="283">
        <v>0.15</v>
      </c>
      <c r="K136" s="283">
        <v>0.15</v>
      </c>
      <c r="L136" s="283">
        <v>0.15</v>
      </c>
      <c r="M136" s="283">
        <v>0.15</v>
      </c>
      <c r="N136" s="283">
        <v>0.15</v>
      </c>
      <c r="O136" s="282">
        <v>0.18351283345323871</v>
      </c>
      <c r="P136" s="282">
        <v>1.1835128334532401</v>
      </c>
      <c r="Q136" s="247">
        <f t="shared" si="8"/>
        <v>0</v>
      </c>
      <c r="R136" s="229"/>
      <c r="S136" s="229"/>
      <c r="T136" s="229"/>
      <c r="U136" s="229"/>
      <c r="V136" s="229"/>
      <c r="W136" s="229"/>
      <c r="X136" s="229"/>
    </row>
    <row r="137" spans="1:24" ht="15.75" hidden="1">
      <c r="A137" s="347" t="s">
        <v>346</v>
      </c>
      <c r="B137" s="348"/>
      <c r="C137" s="283">
        <v>0</v>
      </c>
      <c r="D137" s="283">
        <v>0</v>
      </c>
      <c r="E137" s="283">
        <v>0</v>
      </c>
      <c r="F137" s="283">
        <v>1.8007202881152461E-3</v>
      </c>
      <c r="G137" s="283">
        <v>0</v>
      </c>
      <c r="H137" s="283">
        <v>0</v>
      </c>
      <c r="I137" s="283">
        <v>0</v>
      </c>
      <c r="J137" s="283">
        <v>0.02</v>
      </c>
      <c r="K137" s="283">
        <v>0.02</v>
      </c>
      <c r="L137" s="283">
        <v>0.02</v>
      </c>
      <c r="M137" s="283">
        <v>0.02</v>
      </c>
      <c r="N137" s="283">
        <v>0.02</v>
      </c>
      <c r="O137" s="282">
        <v>8.5941006560792017E-3</v>
      </c>
      <c r="P137" s="282">
        <v>1.0085941006560799</v>
      </c>
      <c r="Q137" s="247">
        <f t="shared" si="8"/>
        <v>0</v>
      </c>
      <c r="R137" s="229"/>
      <c r="S137" s="229"/>
      <c r="T137" s="229"/>
      <c r="U137" s="229"/>
      <c r="V137" s="229"/>
      <c r="W137" s="229"/>
      <c r="X137" s="229"/>
    </row>
    <row r="138" spans="1:24" ht="15.75" hidden="1">
      <c r="A138" s="347" t="s">
        <v>347</v>
      </c>
      <c r="B138" s="348"/>
      <c r="C138" s="283">
        <v>0.26292246520874751</v>
      </c>
      <c r="D138" s="279">
        <v>0.34865920065755679</v>
      </c>
      <c r="E138" s="279">
        <v>0.44523386619301364</v>
      </c>
      <c r="F138" s="279">
        <v>0.38164015606242496</v>
      </c>
      <c r="G138" s="279">
        <v>0.46570814083160744</v>
      </c>
      <c r="H138" s="279">
        <v>0.51249507637095715</v>
      </c>
      <c r="I138" s="279">
        <v>0.59081712704901113</v>
      </c>
      <c r="J138" s="279">
        <v>0.75</v>
      </c>
      <c r="K138" s="279">
        <v>0.75</v>
      </c>
      <c r="L138" s="279">
        <v>0.75</v>
      </c>
      <c r="M138" s="279">
        <v>0.75</v>
      </c>
      <c r="N138" s="279">
        <v>0.7</v>
      </c>
      <c r="O138" s="280">
        <v>0.56199984251235746</v>
      </c>
      <c r="P138" s="280">
        <v>1.56199984251236</v>
      </c>
      <c r="Q138" s="247">
        <f t="shared" si="8"/>
        <v>0</v>
      </c>
      <c r="R138" s="229"/>
      <c r="S138" s="229"/>
      <c r="T138" s="229"/>
      <c r="U138" s="229"/>
      <c r="V138" s="229"/>
      <c r="W138" s="229"/>
      <c r="X138" s="229"/>
    </row>
    <row r="139" spans="1:24" ht="15.75" hidden="1">
      <c r="A139" s="347" t="s">
        <v>351</v>
      </c>
      <c r="B139" s="348"/>
      <c r="C139" s="283">
        <v>4.8605864811133204</v>
      </c>
      <c r="D139" s="279">
        <v>8.3373574437480737</v>
      </c>
      <c r="E139" s="279">
        <v>5.9052238466092817</v>
      </c>
      <c r="F139" s="279">
        <v>5.9529936974789912</v>
      </c>
      <c r="G139" s="279">
        <v>6.426756412298869</v>
      </c>
      <c r="H139" s="279">
        <v>8.5921046872948494</v>
      </c>
      <c r="I139" s="279">
        <v>9.3624840001651588</v>
      </c>
      <c r="J139" s="279">
        <v>12.528052660229122</v>
      </c>
      <c r="K139" s="279">
        <v>12.447230190603751</v>
      </c>
      <c r="L139" s="279">
        <v>12.327796590686821</v>
      </c>
      <c r="M139" s="279">
        <v>12.247675876673378</v>
      </c>
      <c r="N139" s="279">
        <v>12.122192482048655</v>
      </c>
      <c r="O139" s="280">
        <v>9.252872989826642</v>
      </c>
      <c r="P139" s="280">
        <v>10.252872989826599</v>
      </c>
      <c r="Q139" s="247">
        <f t="shared" si="8"/>
        <v>0</v>
      </c>
      <c r="R139" s="229"/>
      <c r="S139" s="229"/>
      <c r="T139" s="229"/>
      <c r="U139" s="229"/>
      <c r="V139" s="229"/>
      <c r="W139" s="229"/>
      <c r="X139" s="229"/>
    </row>
    <row r="140" spans="1:24" ht="15.75" hidden="1">
      <c r="A140" s="347" t="s">
        <v>352</v>
      </c>
      <c r="B140" s="348"/>
      <c r="C140" s="279">
        <v>10.635984095427435</v>
      </c>
      <c r="D140" s="279">
        <v>13.575362169937327</v>
      </c>
      <c r="E140" s="279">
        <v>10.734207769731748</v>
      </c>
      <c r="F140" s="279">
        <v>10.10811824729892</v>
      </c>
      <c r="G140" s="279">
        <v>11.396765971005257</v>
      </c>
      <c r="H140" s="279">
        <v>12.553590966781917</v>
      </c>
      <c r="I140" s="279">
        <v>13.837937156777736</v>
      </c>
      <c r="J140" s="279">
        <v>17.530080755052904</v>
      </c>
      <c r="K140" s="279">
        <v>17.981959499917771</v>
      </c>
      <c r="L140" s="279">
        <v>17.372575821963004</v>
      </c>
      <c r="M140" s="279">
        <v>17.09831608425586</v>
      </c>
      <c r="N140" s="279">
        <v>18.384779493091855</v>
      </c>
      <c r="O140" s="280">
        <v>14.191722728180013</v>
      </c>
      <c r="P140" s="280">
        <v>15.19172272818</v>
      </c>
      <c r="Q140" s="247">
        <f t="shared" si="8"/>
        <v>0</v>
      </c>
      <c r="R140" s="229"/>
      <c r="S140" s="229"/>
      <c r="T140" s="229"/>
      <c r="U140" s="229"/>
      <c r="V140" s="229"/>
      <c r="W140" s="229"/>
      <c r="X140" s="229"/>
    </row>
    <row r="141" spans="1:24" ht="15.75" hidden="1">
      <c r="A141" s="343"/>
      <c r="B141" s="348"/>
      <c r="C141" s="283"/>
      <c r="D141" s="283"/>
      <c r="E141" s="283"/>
      <c r="F141" s="283"/>
      <c r="G141" s="283"/>
      <c r="H141" s="283"/>
      <c r="I141" s="283"/>
      <c r="J141" s="283"/>
      <c r="K141" s="283"/>
      <c r="L141" s="283"/>
      <c r="M141" s="283"/>
      <c r="N141" s="283"/>
      <c r="O141" s="282"/>
      <c r="P141" s="282"/>
      <c r="Q141" s="247">
        <f t="shared" si="8"/>
        <v>0</v>
      </c>
      <c r="R141" s="229"/>
      <c r="S141" s="229"/>
      <c r="T141" s="229"/>
      <c r="U141" s="229"/>
      <c r="V141" s="229"/>
      <c r="W141" s="229"/>
      <c r="X141" s="229"/>
    </row>
    <row r="142" spans="1:24" ht="15.75" hidden="1">
      <c r="A142" s="343" t="s">
        <v>365</v>
      </c>
      <c r="B142" s="348"/>
      <c r="C142" s="283"/>
      <c r="D142" s="283"/>
      <c r="E142" s="283"/>
      <c r="F142" s="283"/>
      <c r="G142" s="283"/>
      <c r="H142" s="283"/>
      <c r="I142" s="283"/>
      <c r="J142" s="283"/>
      <c r="K142" s="283"/>
      <c r="L142" s="283"/>
      <c r="M142" s="283"/>
      <c r="N142" s="283"/>
      <c r="O142" s="282"/>
      <c r="P142" s="282"/>
      <c r="Q142" s="247">
        <f t="shared" si="8"/>
        <v>0</v>
      </c>
      <c r="R142" s="229"/>
      <c r="S142" s="229"/>
      <c r="T142" s="229"/>
      <c r="U142" s="229"/>
      <c r="V142" s="229"/>
      <c r="W142" s="229"/>
      <c r="X142" s="229"/>
    </row>
    <row r="143" spans="1:24" ht="15.75" hidden="1">
      <c r="A143" s="343" t="s">
        <v>362</v>
      </c>
      <c r="B143" s="348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2"/>
      <c r="P143" s="282"/>
      <c r="Q143" s="247">
        <f t="shared" si="8"/>
        <v>0</v>
      </c>
      <c r="R143" s="229"/>
      <c r="S143" s="229"/>
      <c r="T143" s="229"/>
      <c r="U143" s="229"/>
      <c r="V143" s="229"/>
      <c r="W143" s="229"/>
      <c r="X143" s="229"/>
    </row>
    <row r="144" spans="1:24" ht="15.75" hidden="1">
      <c r="A144" s="349" t="s">
        <v>302</v>
      </c>
      <c r="B144" s="348"/>
      <c r="C144" s="283">
        <v>4.7716310610309485</v>
      </c>
      <c r="D144" s="283">
        <v>4.2624911293925933</v>
      </c>
      <c r="E144" s="283">
        <v>5.0004470693428082</v>
      </c>
      <c r="F144" s="283">
        <v>4.5152223478244213</v>
      </c>
      <c r="G144" s="283">
        <v>5.868671761355488</v>
      </c>
      <c r="H144" s="283">
        <v>7.302205494228077</v>
      </c>
      <c r="I144" s="283">
        <v>7.103082049146189</v>
      </c>
      <c r="J144" s="283">
        <v>6.8965784377017432</v>
      </c>
      <c r="K144" s="283">
        <v>6.2128712871287126</v>
      </c>
      <c r="L144" s="283">
        <v>5.5837700071363034</v>
      </c>
      <c r="M144" s="283">
        <v>4.889456800266025</v>
      </c>
      <c r="N144" s="283">
        <v>4.7129760278226307</v>
      </c>
      <c r="O144" s="282">
        <v>5.5331374543296565</v>
      </c>
      <c r="P144" s="282">
        <v>6.5331374543296601</v>
      </c>
      <c r="Q144" s="247">
        <f t="shared" si="8"/>
        <v>0</v>
      </c>
      <c r="R144" s="229"/>
      <c r="S144" s="229"/>
      <c r="T144" s="229"/>
      <c r="U144" s="229"/>
      <c r="V144" s="229"/>
      <c r="W144" s="229"/>
      <c r="X144" s="229"/>
    </row>
    <row r="145" spans="1:24" ht="15.75" hidden="1">
      <c r="A145" s="347" t="s">
        <v>303</v>
      </c>
      <c r="B145" s="348"/>
      <c r="C145" s="279">
        <v>3.4594656605312801</v>
      </c>
      <c r="D145" s="279">
        <v>3.0159276684101242</v>
      </c>
      <c r="E145" s="279">
        <v>3.0354361279088922</v>
      </c>
      <c r="F145" s="279">
        <v>3.0138141130036593</v>
      </c>
      <c r="G145" s="279">
        <v>2.9752299780778135</v>
      </c>
      <c r="H145" s="279">
        <v>3.4221651022422144</v>
      </c>
      <c r="I145" s="279">
        <v>2.998521449396085</v>
      </c>
      <c r="J145" s="279">
        <v>4.3020012911555838</v>
      </c>
      <c r="K145" s="279">
        <v>4.7029702970297027</v>
      </c>
      <c r="L145" s="279">
        <v>3.7563543684371501</v>
      </c>
      <c r="M145" s="279">
        <v>3.4170921111828334</v>
      </c>
      <c r="N145" s="279">
        <v>3.2919060986212889</v>
      </c>
      <c r="O145" s="280">
        <v>3.3965742415684139</v>
      </c>
      <c r="P145" s="280">
        <v>4.3965742415684099</v>
      </c>
      <c r="Q145" s="247">
        <f t="shared" si="8"/>
        <v>0</v>
      </c>
      <c r="R145" s="229"/>
      <c r="S145" s="229"/>
      <c r="T145" s="229"/>
      <c r="U145" s="229"/>
      <c r="V145" s="229"/>
      <c r="W145" s="229"/>
      <c r="X145" s="229"/>
    </row>
    <row r="146" spans="1:24" ht="15.75" hidden="1">
      <c r="A146" s="343" t="s">
        <v>304</v>
      </c>
      <c r="B146" s="348"/>
      <c r="C146" s="283">
        <v>1.2133024014684137</v>
      </c>
      <c r="D146" s="283">
        <v>2.2821510237338027</v>
      </c>
      <c r="E146" s="283">
        <v>0.97508176662980306</v>
      </c>
      <c r="F146" s="283">
        <v>0.97292740405801548</v>
      </c>
      <c r="G146" s="283">
        <v>0.80952283390358337</v>
      </c>
      <c r="H146" s="283">
        <v>0.93635967227411465</v>
      </c>
      <c r="I146" s="283">
        <v>0.91384839650145777</v>
      </c>
      <c r="J146" s="283">
        <v>0.78818039288019925</v>
      </c>
      <c r="K146" s="283">
        <v>0.79207920792079212</v>
      </c>
      <c r="L146" s="283">
        <v>1.2690386379855234</v>
      </c>
      <c r="M146" s="283">
        <v>1.271359270778319</v>
      </c>
      <c r="N146" s="283">
        <v>1.2918817538194014</v>
      </c>
      <c r="O146" s="282">
        <v>1.0842347044565674</v>
      </c>
      <c r="P146" s="282">
        <v>2.0842347044565699</v>
      </c>
      <c r="Q146" s="247">
        <f t="shared" si="8"/>
        <v>0</v>
      </c>
      <c r="R146" s="229"/>
      <c r="S146" s="229"/>
      <c r="T146" s="229"/>
      <c r="U146" s="229"/>
      <c r="V146" s="229"/>
      <c r="W146" s="229"/>
      <c r="X146" s="229"/>
    </row>
    <row r="147" spans="1:24" ht="15.75" hidden="1">
      <c r="A147" s="343" t="s">
        <v>305</v>
      </c>
      <c r="B147" s="348"/>
      <c r="C147" s="283">
        <v>0</v>
      </c>
      <c r="D147" s="283">
        <v>0</v>
      </c>
      <c r="E147" s="283">
        <v>0</v>
      </c>
      <c r="F147" s="283">
        <v>0</v>
      </c>
      <c r="G147" s="283">
        <v>0</v>
      </c>
      <c r="H147" s="283">
        <v>0</v>
      </c>
      <c r="I147" s="283">
        <v>0.20697625989171178</v>
      </c>
      <c r="J147" s="283">
        <v>5.9024255279904084E-2</v>
      </c>
      <c r="K147" s="283">
        <v>7.5078597907184089E-2</v>
      </c>
      <c r="L147" s="283">
        <v>0.112141910490366</v>
      </c>
      <c r="M147" s="283">
        <v>0.10758367075484615</v>
      </c>
      <c r="N147" s="283">
        <v>0.13662899018755434</v>
      </c>
      <c r="O147" s="282">
        <v>5.8699351498988278E-2</v>
      </c>
      <c r="P147" s="282">
        <v>1.05869935149899</v>
      </c>
      <c r="Q147" s="247">
        <f t="shared" si="8"/>
        <v>0</v>
      </c>
      <c r="R147" s="229"/>
      <c r="S147" s="229"/>
      <c r="T147" s="229"/>
      <c r="U147" s="229"/>
      <c r="V147" s="229"/>
      <c r="W147" s="229"/>
      <c r="X147" s="229"/>
    </row>
    <row r="148" spans="1:24" ht="15.75" hidden="1">
      <c r="A148" s="343" t="s">
        <v>306</v>
      </c>
      <c r="B148" s="348"/>
      <c r="C148" s="283">
        <v>9.4443991230306423</v>
      </c>
      <c r="D148" s="283">
        <v>9.5605698215365198</v>
      </c>
      <c r="E148" s="283">
        <v>9.0109649638815039</v>
      </c>
      <c r="F148" s="283">
        <v>8.5019638648860951</v>
      </c>
      <c r="G148" s="283">
        <v>9.6534245733368849</v>
      </c>
      <c r="H148" s="283">
        <v>11.660730268744405</v>
      </c>
      <c r="I148" s="283">
        <v>11.222428154935443</v>
      </c>
      <c r="J148" s="283">
        <v>12.04578437701743</v>
      </c>
      <c r="K148" s="283">
        <v>11.782999389986392</v>
      </c>
      <c r="L148" s="283">
        <v>10.721304924049344</v>
      </c>
      <c r="M148" s="283">
        <v>9.6854918529820235</v>
      </c>
      <c r="N148" s="283">
        <v>9.4333928704508772</v>
      </c>
      <c r="O148" s="282">
        <v>10.072645751853628</v>
      </c>
      <c r="P148" s="282">
        <v>11.072645751853599</v>
      </c>
      <c r="Q148" s="247">
        <f t="shared" si="8"/>
        <v>0</v>
      </c>
      <c r="R148" s="229"/>
      <c r="S148" s="229"/>
      <c r="T148" s="229"/>
      <c r="U148" s="229"/>
      <c r="V148" s="229"/>
      <c r="W148" s="229"/>
      <c r="X148" s="229"/>
    </row>
    <row r="149" spans="1:24" ht="15.75" hidden="1">
      <c r="A149" s="343"/>
      <c r="B149" s="348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2"/>
      <c r="P149" s="282"/>
      <c r="Q149" s="247">
        <f t="shared" si="8"/>
        <v>0</v>
      </c>
      <c r="R149" s="229"/>
      <c r="S149" s="229"/>
      <c r="T149" s="229"/>
      <c r="U149" s="229"/>
      <c r="V149" s="229"/>
      <c r="W149" s="229"/>
      <c r="X149" s="229"/>
    </row>
    <row r="150" spans="1:24" ht="15.75" hidden="1">
      <c r="A150" s="343" t="s">
        <v>307</v>
      </c>
      <c r="B150" s="348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2"/>
      <c r="P150" s="282"/>
      <c r="Q150" s="247">
        <f t="shared" si="8"/>
        <v>0</v>
      </c>
      <c r="R150" s="229"/>
      <c r="S150" s="229"/>
      <c r="T150" s="229"/>
      <c r="U150" s="229"/>
      <c r="V150" s="229"/>
      <c r="W150" s="229"/>
      <c r="X150" s="229"/>
    </row>
    <row r="151" spans="1:24" ht="15.75" hidden="1">
      <c r="A151" s="343" t="s">
        <v>308</v>
      </c>
      <c r="B151" s="348"/>
      <c r="C151" s="283">
        <v>5.5E-2</v>
      </c>
      <c r="D151" s="283">
        <v>5.2277446316398142E-2</v>
      </c>
      <c r="E151" s="283">
        <v>3.0424245276359445E-2</v>
      </c>
      <c r="F151" s="283">
        <v>5.9663173222462784E-2</v>
      </c>
      <c r="G151" s="283">
        <v>5.7899157942182797E-2</v>
      </c>
      <c r="H151" s="283">
        <v>3.6765887131939505E-2</v>
      </c>
      <c r="I151" s="283">
        <v>4.5397750937109536E-2</v>
      </c>
      <c r="J151" s="283">
        <v>7.389191183251867E-2</v>
      </c>
      <c r="K151" s="283">
        <v>7.4257425742574254E-2</v>
      </c>
      <c r="L151" s="283">
        <v>7.6142318279131399E-2</v>
      </c>
      <c r="M151" s="283">
        <v>7.5377031864327204E-2</v>
      </c>
      <c r="N151" s="283">
        <v>7.1771208545522297E-2</v>
      </c>
      <c r="O151" s="282">
        <v>5.7351763536654249E-2</v>
      </c>
      <c r="P151" s="282">
        <v>1.0573517635366501</v>
      </c>
      <c r="Q151" s="247">
        <f t="shared" si="8"/>
        <v>0</v>
      </c>
      <c r="R151" s="229"/>
      <c r="S151" s="229"/>
      <c r="T151" s="229"/>
      <c r="U151" s="229"/>
      <c r="V151" s="229"/>
      <c r="W151" s="229"/>
      <c r="X151" s="229"/>
    </row>
    <row r="152" spans="1:24" ht="15.75" hidden="1">
      <c r="A152" s="343" t="s">
        <v>309</v>
      </c>
      <c r="B152" s="348"/>
      <c r="C152" s="283">
        <v>0</v>
      </c>
      <c r="D152" s="283">
        <v>0</v>
      </c>
      <c r="E152" s="283">
        <v>0</v>
      </c>
      <c r="F152" s="283">
        <v>0</v>
      </c>
      <c r="G152" s="283">
        <v>0</v>
      </c>
      <c r="H152" s="283">
        <v>0</v>
      </c>
      <c r="I152" s="283">
        <v>0</v>
      </c>
      <c r="J152" s="283">
        <v>0</v>
      </c>
      <c r="K152" s="283">
        <v>0</v>
      </c>
      <c r="L152" s="283">
        <v>0</v>
      </c>
      <c r="M152" s="283">
        <v>0</v>
      </c>
      <c r="N152" s="283">
        <v>0</v>
      </c>
      <c r="O152" s="282">
        <v>0</v>
      </c>
      <c r="P152" s="282">
        <v>1</v>
      </c>
      <c r="Q152" s="247">
        <f t="shared" si="8"/>
        <v>0</v>
      </c>
      <c r="R152" s="229"/>
      <c r="S152" s="229"/>
      <c r="T152" s="229"/>
      <c r="U152" s="229"/>
      <c r="V152" s="229"/>
      <c r="W152" s="229"/>
      <c r="X152" s="229"/>
    </row>
    <row r="153" spans="1:24" ht="15.75" hidden="1">
      <c r="A153" s="343" t="s">
        <v>310</v>
      </c>
      <c r="B153" s="348"/>
      <c r="C153" s="283">
        <v>0.24199999999999999</v>
      </c>
      <c r="D153" s="283">
        <v>0.12623859962677741</v>
      </c>
      <c r="E153" s="283">
        <v>0.11348502317701593</v>
      </c>
      <c r="F153" s="283">
        <v>0.13143524993773112</v>
      </c>
      <c r="G153" s="283">
        <v>0.17390235407404372</v>
      </c>
      <c r="H153" s="283">
        <v>0.16670874165194041</v>
      </c>
      <c r="I153" s="283">
        <v>0.12761349437734276</v>
      </c>
      <c r="J153" s="283">
        <v>0.16256220603154112</v>
      </c>
      <c r="K153" s="283">
        <v>0.16336633663366337</v>
      </c>
      <c r="L153" s="283">
        <v>0.16751310021408911</v>
      </c>
      <c r="M153" s="283">
        <v>0.16582947010151988</v>
      </c>
      <c r="N153" s="283">
        <v>0.15789665880014905</v>
      </c>
      <c r="O153" s="282">
        <v>0.14593028077877321</v>
      </c>
      <c r="P153" s="282">
        <v>1.1459302807787699</v>
      </c>
      <c r="Q153" s="247">
        <f t="shared" si="8"/>
        <v>0</v>
      </c>
      <c r="R153" s="229"/>
      <c r="S153" s="229"/>
      <c r="T153" s="229"/>
      <c r="U153" s="229"/>
      <c r="V153" s="229"/>
      <c r="W153" s="229"/>
      <c r="X153" s="229"/>
    </row>
    <row r="154" spans="1:24" ht="15.75" hidden="1">
      <c r="A154" s="343" t="s">
        <v>311</v>
      </c>
      <c r="B154" s="348"/>
      <c r="C154" s="283">
        <v>0</v>
      </c>
      <c r="D154" s="283">
        <v>0</v>
      </c>
      <c r="E154" s="283">
        <v>0</v>
      </c>
      <c r="F154" s="283">
        <v>0</v>
      </c>
      <c r="G154" s="283">
        <v>0</v>
      </c>
      <c r="H154" s="283">
        <v>0</v>
      </c>
      <c r="I154" s="283">
        <v>0</v>
      </c>
      <c r="J154" s="283">
        <v>0</v>
      </c>
      <c r="K154" s="283">
        <v>0</v>
      </c>
      <c r="L154" s="283">
        <v>0</v>
      </c>
      <c r="M154" s="283">
        <v>0</v>
      </c>
      <c r="N154" s="283">
        <v>0</v>
      </c>
      <c r="O154" s="282">
        <v>0</v>
      </c>
      <c r="P154" s="282">
        <v>1</v>
      </c>
      <c r="Q154" s="247">
        <f t="shared" si="8"/>
        <v>0</v>
      </c>
      <c r="R154" s="229"/>
      <c r="S154" s="229"/>
      <c r="T154" s="229"/>
      <c r="U154" s="229"/>
      <c r="V154" s="229"/>
      <c r="W154" s="229"/>
      <c r="X154" s="229"/>
    </row>
    <row r="155" spans="1:24" ht="15.75" hidden="1">
      <c r="A155" s="343" t="s">
        <v>312</v>
      </c>
      <c r="B155" s="348"/>
      <c r="C155" s="283">
        <v>7.7000000000000013E-2</v>
      </c>
      <c r="D155" s="283">
        <v>7.3593187373511713E-4</v>
      </c>
      <c r="E155" s="283">
        <v>7.2942892773947623E-4</v>
      </c>
      <c r="F155" s="283">
        <v>1.1304197880941888E-3</v>
      </c>
      <c r="G155" s="283">
        <v>2.306951586797517E-2</v>
      </c>
      <c r="H155" s="283">
        <v>5.5079980722006752E-4</v>
      </c>
      <c r="I155" s="283">
        <v>2.7488546438983758E-3</v>
      </c>
      <c r="J155" s="283">
        <v>6.0868763257401086E-2</v>
      </c>
      <c r="K155" s="283">
        <v>7.7424804091783581E-2</v>
      </c>
      <c r="L155" s="283">
        <v>6.7285146294219597E-2</v>
      </c>
      <c r="M155" s="283">
        <v>6.4550202452907698E-2</v>
      </c>
      <c r="N155" s="283">
        <v>8.1977394112532603E-2</v>
      </c>
      <c r="O155" s="282">
        <v>3.2024653048383755E-2</v>
      </c>
      <c r="P155" s="282">
        <v>1.0320246530483801</v>
      </c>
      <c r="Q155" s="247">
        <f t="shared" si="8"/>
        <v>0</v>
      </c>
      <c r="R155" s="229"/>
      <c r="S155" s="229"/>
      <c r="T155" s="229"/>
      <c r="U155" s="229"/>
      <c r="V155" s="229"/>
      <c r="W155" s="229"/>
      <c r="X155" s="229"/>
    </row>
    <row r="156" spans="1:24" ht="15.75" hidden="1">
      <c r="A156" s="343" t="s">
        <v>313</v>
      </c>
      <c r="B156" s="348"/>
      <c r="C156" s="283">
        <v>0.23099999999999998</v>
      </c>
      <c r="D156" s="283">
        <v>0.14271821694220307</v>
      </c>
      <c r="E156" s="283">
        <v>4.1412739123273486E-2</v>
      </c>
      <c r="F156" s="283">
        <v>0.17642212557239476</v>
      </c>
      <c r="G156" s="283">
        <v>9.9448872134237531E-2</v>
      </c>
      <c r="H156" s="283">
        <v>0.21742822390012165</v>
      </c>
      <c r="I156" s="283">
        <v>0.22026239067055395</v>
      </c>
      <c r="J156" s="283">
        <v>0.32019828460758093</v>
      </c>
      <c r="K156" s="283">
        <v>0.26237623762376239</v>
      </c>
      <c r="L156" s="283">
        <v>0.27918850035681519</v>
      </c>
      <c r="M156" s="283">
        <v>0.30150812745730882</v>
      </c>
      <c r="N156" s="283">
        <v>0.26316109800024845</v>
      </c>
      <c r="O156" s="282">
        <v>0.20383970513581343</v>
      </c>
      <c r="P156" s="282">
        <v>1.2038397051358101</v>
      </c>
      <c r="Q156" s="247">
        <f t="shared" si="8"/>
        <v>0</v>
      </c>
      <c r="R156" s="229"/>
      <c r="S156" s="229"/>
      <c r="T156" s="229"/>
      <c r="U156" s="229"/>
      <c r="V156" s="229"/>
      <c r="W156" s="229"/>
      <c r="X156" s="229"/>
    </row>
    <row r="157" spans="1:24" ht="15.75" hidden="1">
      <c r="A157" s="343" t="s">
        <v>314</v>
      </c>
      <c r="B157" s="348"/>
      <c r="C157" s="283">
        <v>8.7999999999999995E-2</v>
      </c>
      <c r="D157" s="283">
        <v>7.3803453623150314E-2</v>
      </c>
      <c r="E157" s="283">
        <v>2.1294618696910517E-2</v>
      </c>
      <c r="F157" s="283">
        <v>0</v>
      </c>
      <c r="G157" s="283">
        <v>0.13612243643590322</v>
      </c>
      <c r="H157" s="283">
        <v>2.6392490762628232E-2</v>
      </c>
      <c r="I157" s="283">
        <v>0.2290295710120783</v>
      </c>
      <c r="J157" s="283">
        <v>0.11822705893202987</v>
      </c>
      <c r="K157" s="283">
        <v>0.11881188118811881</v>
      </c>
      <c r="L157" s="283">
        <v>0.12182770924661025</v>
      </c>
      <c r="M157" s="283">
        <v>8.5427302779570849E-2</v>
      </c>
      <c r="N157" s="283">
        <v>0.11483393367283566</v>
      </c>
      <c r="O157" s="282">
        <v>9.043561107099192E-2</v>
      </c>
      <c r="P157" s="282">
        <v>1.0904356110709901</v>
      </c>
      <c r="Q157" s="247">
        <f t="shared" si="8"/>
        <v>0</v>
      </c>
      <c r="R157" s="229"/>
      <c r="S157" s="229"/>
      <c r="T157" s="229"/>
      <c r="U157" s="229"/>
      <c r="V157" s="229"/>
      <c r="W157" s="229"/>
      <c r="X157" s="229"/>
    </row>
    <row r="158" spans="1:24" ht="15.75" hidden="1">
      <c r="A158" s="343" t="s">
        <v>315</v>
      </c>
      <c r="B158" s="348"/>
      <c r="C158" s="283">
        <v>0</v>
      </c>
      <c r="D158" s="283">
        <v>0</v>
      </c>
      <c r="E158" s="283">
        <v>0</v>
      </c>
      <c r="F158" s="283">
        <v>0</v>
      </c>
      <c r="G158" s="283">
        <v>0</v>
      </c>
      <c r="H158" s="283">
        <v>0</v>
      </c>
      <c r="I158" s="283">
        <v>0</v>
      </c>
      <c r="J158" s="283">
        <v>0</v>
      </c>
      <c r="K158" s="283">
        <v>0</v>
      </c>
      <c r="L158" s="283">
        <v>0</v>
      </c>
      <c r="M158" s="283">
        <v>0</v>
      </c>
      <c r="N158" s="283">
        <v>0</v>
      </c>
      <c r="O158" s="282">
        <v>0</v>
      </c>
      <c r="P158" s="282">
        <v>1</v>
      </c>
      <c r="Q158" s="247">
        <f t="shared" si="8"/>
        <v>0</v>
      </c>
      <c r="R158" s="229"/>
      <c r="S158" s="229"/>
      <c r="T158" s="229"/>
      <c r="U158" s="229"/>
      <c r="V158" s="229"/>
      <c r="W158" s="229"/>
      <c r="X158" s="229"/>
    </row>
    <row r="159" spans="1:24" ht="15.75" hidden="1">
      <c r="A159" s="343" t="s">
        <v>316</v>
      </c>
      <c r="B159" s="348"/>
      <c r="C159" s="283">
        <v>0</v>
      </c>
      <c r="D159" s="283">
        <v>5.256656240965122E-2</v>
      </c>
      <c r="E159" s="283">
        <v>1.1788512670886373E-2</v>
      </c>
      <c r="F159" s="283">
        <v>0</v>
      </c>
      <c r="G159" s="283">
        <v>0.18650248929500707</v>
      </c>
      <c r="H159" s="283">
        <v>0</v>
      </c>
      <c r="I159" s="283">
        <v>0.10995418575593503</v>
      </c>
      <c r="J159" s="283">
        <v>5.9113529466014933E-2</v>
      </c>
      <c r="K159" s="283">
        <v>5.9405940594059403E-2</v>
      </c>
      <c r="L159" s="283">
        <v>6.0913854623305126E-2</v>
      </c>
      <c r="M159" s="283">
        <v>6.0301625491461765E-2</v>
      </c>
      <c r="N159" s="283">
        <v>5.7416966836417831E-2</v>
      </c>
      <c r="O159" s="282">
        <v>5.5416592187958046E-2</v>
      </c>
      <c r="P159" s="282">
        <v>1.0554165921879599</v>
      </c>
      <c r="Q159" s="247">
        <f t="shared" si="8"/>
        <v>0</v>
      </c>
      <c r="R159" s="229"/>
      <c r="S159" s="229"/>
      <c r="T159" s="229"/>
      <c r="U159" s="229"/>
      <c r="V159" s="229"/>
      <c r="W159" s="229"/>
      <c r="X159" s="229"/>
    </row>
    <row r="160" spans="1:24" ht="15.75" hidden="1">
      <c r="A160" s="343" t="s">
        <v>317</v>
      </c>
      <c r="B160" s="348"/>
      <c r="C160" s="283">
        <v>0</v>
      </c>
      <c r="D160" s="283">
        <v>0</v>
      </c>
      <c r="E160" s="283">
        <v>0</v>
      </c>
      <c r="F160" s="283">
        <v>0</v>
      </c>
      <c r="G160" s="283">
        <v>0</v>
      </c>
      <c r="H160" s="283">
        <v>0</v>
      </c>
      <c r="I160" s="283">
        <v>0</v>
      </c>
      <c r="J160" s="283">
        <v>9.2225398874850126E-3</v>
      </c>
      <c r="K160" s="283">
        <v>1.1731030922997513E-2</v>
      </c>
      <c r="L160" s="283">
        <v>1.0194719135487817E-2</v>
      </c>
      <c r="M160" s="283">
        <v>9.7803337049860144E-3</v>
      </c>
      <c r="N160" s="283">
        <v>1.2420817289777668E-2</v>
      </c>
      <c r="O160" s="282">
        <v>4.4687225173565184E-3</v>
      </c>
      <c r="P160" s="282">
        <v>1.0044687225173601</v>
      </c>
      <c r="Q160" s="247">
        <f t="shared" si="8"/>
        <v>0</v>
      </c>
      <c r="R160" s="229"/>
      <c r="S160" s="229"/>
      <c r="T160" s="229"/>
      <c r="U160" s="229"/>
      <c r="V160" s="229"/>
      <c r="W160" s="229"/>
      <c r="X160" s="229"/>
    </row>
    <row r="161" spans="1:24" ht="15.75" hidden="1">
      <c r="A161" s="343" t="s">
        <v>363</v>
      </c>
      <c r="B161" s="348"/>
      <c r="C161" s="283">
        <v>0.80299999999999994</v>
      </c>
      <c r="D161" s="283">
        <v>0.37096223092490865</v>
      </c>
      <c r="E161" s="283">
        <v>0.39852702416527447</v>
      </c>
      <c r="F161" s="283">
        <v>0.35713601440806236</v>
      </c>
      <c r="G161" s="283">
        <v>0.3793357782376201</v>
      </c>
      <c r="H161" s="283">
        <v>0.42289950198517429</v>
      </c>
      <c r="I161" s="283">
        <v>0.35379008746355683</v>
      </c>
      <c r="J161" s="283">
        <v>0.44335147099511202</v>
      </c>
      <c r="K161" s="283">
        <v>0.47029702970297027</v>
      </c>
      <c r="L161" s="283">
        <v>0.46873211132633297</v>
      </c>
      <c r="M161" s="283">
        <v>0.46281497564696911</v>
      </c>
      <c r="N161" s="283">
        <v>0.46304806856291142</v>
      </c>
      <c r="O161" s="282">
        <v>0.4074147839640786</v>
      </c>
      <c r="P161" s="282">
        <v>1.40741478396408</v>
      </c>
      <c r="Q161" s="247">
        <f t="shared" si="8"/>
        <v>0</v>
      </c>
      <c r="R161" s="229"/>
      <c r="S161" s="229"/>
      <c r="T161" s="229"/>
      <c r="U161" s="229"/>
      <c r="V161" s="229"/>
      <c r="W161" s="229"/>
      <c r="X161" s="229"/>
    </row>
    <row r="162" spans="1:24" ht="15.75" hidden="1">
      <c r="A162" s="343" t="s">
        <v>319</v>
      </c>
      <c r="B162" s="348"/>
      <c r="C162" s="283">
        <v>0.20900000000000002</v>
      </c>
      <c r="D162" s="283">
        <v>0.30409756353983231</v>
      </c>
      <c r="E162" s="283">
        <v>0.13200310595543424</v>
      </c>
      <c r="F162" s="283">
        <v>0.14864062230567318</v>
      </c>
      <c r="G162" s="283">
        <v>0.15601630846770062</v>
      </c>
      <c r="H162" s="283">
        <v>0.37768801780919375</v>
      </c>
      <c r="I162" s="283">
        <v>0.43706788837984173</v>
      </c>
      <c r="J162" s="283">
        <v>0.46798210827261821</v>
      </c>
      <c r="K162" s="283">
        <v>0.47029702970297027</v>
      </c>
      <c r="L162" s="283">
        <v>0.45685390967478851</v>
      </c>
      <c r="M162" s="283">
        <v>0.45226219118596328</v>
      </c>
      <c r="N162" s="283">
        <v>0.43062725127313378</v>
      </c>
      <c r="O162" s="282">
        <v>0.32559997068518026</v>
      </c>
      <c r="P162" s="282">
        <v>1.32559997068518</v>
      </c>
      <c r="Q162" s="247">
        <f t="shared" si="8"/>
        <v>0</v>
      </c>
      <c r="R162" s="229"/>
      <c r="S162" s="229"/>
      <c r="T162" s="229"/>
      <c r="U162" s="229"/>
      <c r="V162" s="229"/>
      <c r="W162" s="229"/>
      <c r="X162" s="229"/>
    </row>
    <row r="163" spans="1:24" ht="15.75" hidden="1">
      <c r="A163" s="343" t="s">
        <v>320</v>
      </c>
      <c r="B163" s="348"/>
      <c r="C163" s="283">
        <v>0.16500000000000001</v>
      </c>
      <c r="D163" s="283">
        <v>0.18679527952269562</v>
      </c>
      <c r="E163" s="283">
        <v>0</v>
      </c>
      <c r="F163" s="283">
        <v>0.12080164006667561</v>
      </c>
      <c r="G163" s="283">
        <v>0.10969288450900448</v>
      </c>
      <c r="H163" s="283">
        <v>0.16546944208569528</v>
      </c>
      <c r="I163" s="283">
        <v>3.3069554352353189E-2</v>
      </c>
      <c r="J163" s="283">
        <v>0.33005053951858349</v>
      </c>
      <c r="K163" s="283">
        <v>0.32178217821782179</v>
      </c>
      <c r="L163" s="283">
        <v>0.35533081863594651</v>
      </c>
      <c r="M163" s="283">
        <v>0.31658353383017429</v>
      </c>
      <c r="N163" s="283">
        <v>0.28708483418208919</v>
      </c>
      <c r="O163" s="282">
        <v>0.20265690578502943</v>
      </c>
      <c r="P163" s="282">
        <v>1.20265690578503</v>
      </c>
      <c r="Q163" s="247">
        <f t="shared" si="8"/>
        <v>0</v>
      </c>
      <c r="R163" s="229"/>
      <c r="S163" s="229"/>
      <c r="T163" s="229"/>
      <c r="U163" s="229"/>
      <c r="V163" s="229"/>
      <c r="W163" s="229"/>
      <c r="X163" s="229"/>
    </row>
    <row r="164" spans="1:24" ht="15.75" hidden="1">
      <c r="A164" s="343" t="s">
        <v>321</v>
      </c>
      <c r="B164" s="348"/>
      <c r="C164" s="283">
        <v>0</v>
      </c>
      <c r="D164" s="283">
        <v>0</v>
      </c>
      <c r="E164" s="283">
        <v>0</v>
      </c>
      <c r="F164" s="283">
        <v>0</v>
      </c>
      <c r="G164" s="283">
        <v>0</v>
      </c>
      <c r="H164" s="283">
        <v>0</v>
      </c>
      <c r="I164" s="283">
        <v>0</v>
      </c>
      <c r="J164" s="283">
        <v>1.383380983122752E-2</v>
      </c>
      <c r="K164" s="283">
        <v>1.7596546384496269E-2</v>
      </c>
      <c r="L164" s="283">
        <v>1.5292078703231725E-2</v>
      </c>
      <c r="M164" s="283">
        <v>1.4670500557479021E-2</v>
      </c>
      <c r="N164" s="283">
        <v>1.8631225934666502E-2</v>
      </c>
      <c r="O164" s="282">
        <v>6.7030837760347775E-3</v>
      </c>
      <c r="P164" s="282">
        <v>1.00670308377603</v>
      </c>
      <c r="Q164" s="247">
        <f t="shared" si="8"/>
        <v>0</v>
      </c>
      <c r="R164" s="229"/>
      <c r="S164" s="229"/>
      <c r="T164" s="229"/>
      <c r="U164" s="229"/>
      <c r="V164" s="229"/>
      <c r="W164" s="229"/>
      <c r="X164" s="229"/>
    </row>
    <row r="165" spans="1:24" ht="15.75" hidden="1">
      <c r="A165" s="343" t="s">
        <v>322</v>
      </c>
      <c r="B165" s="348"/>
      <c r="C165" s="283">
        <v>0.22584990059642146</v>
      </c>
      <c r="D165" s="283">
        <v>0.22682471679764502</v>
      </c>
      <c r="E165" s="283">
        <v>8.8425610014353284E-2</v>
      </c>
      <c r="F165" s="283">
        <v>0.14045944858505929</v>
      </c>
      <c r="G165" s="283">
        <v>6.5213382777766393E-2</v>
      </c>
      <c r="H165" s="283">
        <v>0.23117526908865582</v>
      </c>
      <c r="I165" s="283">
        <v>0.30074968763015408</v>
      </c>
      <c r="J165" s="283">
        <v>0.32019828460758093</v>
      </c>
      <c r="K165" s="283">
        <v>0.3910891089108911</v>
      </c>
      <c r="L165" s="283">
        <v>0.40101620960342543</v>
      </c>
      <c r="M165" s="283">
        <v>0.38191029477925792</v>
      </c>
      <c r="N165" s="283">
        <v>0.21531362563656689</v>
      </c>
      <c r="O165" s="282">
        <v>0.23851581212775544</v>
      </c>
      <c r="P165" s="282">
        <v>1.23851581212776</v>
      </c>
      <c r="Q165" s="247">
        <f t="shared" si="8"/>
        <v>0</v>
      </c>
      <c r="R165" s="229"/>
      <c r="S165" s="229"/>
      <c r="T165" s="229"/>
      <c r="U165" s="229"/>
      <c r="V165" s="229"/>
      <c r="W165" s="229"/>
      <c r="X165" s="229"/>
    </row>
    <row r="166" spans="1:24" ht="15.75" hidden="1">
      <c r="A166" s="343" t="s">
        <v>323</v>
      </c>
      <c r="B166" s="348"/>
      <c r="C166" s="283">
        <v>5.5E-2</v>
      </c>
      <c r="D166" s="283">
        <v>3.0514889478802532E-2</v>
      </c>
      <c r="E166" s="283">
        <v>1.9412221464034447E-2</v>
      </c>
      <c r="F166" s="283">
        <v>1.5806717375893318E-2</v>
      </c>
      <c r="G166" s="283">
        <v>2.7044192669384744E-2</v>
      </c>
      <c r="H166" s="283">
        <v>1.8933743373189819E-2</v>
      </c>
      <c r="I166" s="283">
        <v>1.7180341524364848E-2</v>
      </c>
      <c r="J166" s="283">
        <v>0.12315318638753113</v>
      </c>
      <c r="K166" s="283">
        <v>0.10891089108910891</v>
      </c>
      <c r="L166" s="283">
        <v>0.13705617290243655</v>
      </c>
      <c r="M166" s="283">
        <v>0.13567865735578899</v>
      </c>
      <c r="N166" s="283">
        <v>0.12918817538194013</v>
      </c>
      <c r="O166" s="282">
        <v>6.6062805213747924E-2</v>
      </c>
      <c r="P166" s="282">
        <v>1.06606280521375</v>
      </c>
      <c r="Q166" s="247">
        <f t="shared" si="8"/>
        <v>0</v>
      </c>
      <c r="R166" s="229"/>
      <c r="S166" s="229"/>
      <c r="T166" s="229"/>
      <c r="U166" s="229"/>
      <c r="V166" s="229"/>
      <c r="W166" s="229"/>
      <c r="X166" s="229"/>
    </row>
    <row r="167" spans="1:24" ht="15.75" hidden="1">
      <c r="A167" s="343" t="s">
        <v>324</v>
      </c>
      <c r="B167" s="348"/>
      <c r="C167" s="283">
        <v>0.32803180914512919</v>
      </c>
      <c r="D167" s="283">
        <v>0.15769968722895367</v>
      </c>
      <c r="E167" s="283">
        <v>0.14117979246570508</v>
      </c>
      <c r="F167" s="283">
        <v>0.11495794455195141</v>
      </c>
      <c r="G167" s="283">
        <v>0.12292814849720339</v>
      </c>
      <c r="H167" s="283">
        <v>0.13769995180501687</v>
      </c>
      <c r="I167" s="283">
        <v>0.12494793835901707</v>
      </c>
      <c r="J167" s="283">
        <v>0.12911555842479019</v>
      </c>
      <c r="K167" s="283">
        <v>0.16423443292196518</v>
      </c>
      <c r="L167" s="283">
        <v>0.14272606789682946</v>
      </c>
      <c r="M167" s="283">
        <v>0.1369246718698042</v>
      </c>
      <c r="N167" s="283">
        <v>0.17389144205688734</v>
      </c>
      <c r="O167" s="282">
        <v>0.13763665353458077</v>
      </c>
      <c r="P167" s="282">
        <v>1.1376366535345801</v>
      </c>
      <c r="Q167" s="247">
        <f t="shared" si="8"/>
        <v>0</v>
      </c>
      <c r="R167" s="229"/>
      <c r="S167" s="229"/>
      <c r="T167" s="229"/>
      <c r="U167" s="229"/>
      <c r="V167" s="229"/>
      <c r="W167" s="229"/>
      <c r="X167" s="229"/>
    </row>
    <row r="168" spans="1:24" ht="15.75" hidden="1">
      <c r="A168" s="343" t="s">
        <v>325</v>
      </c>
      <c r="B168" s="348"/>
      <c r="C168" s="283">
        <v>1.9299204771371769E-2</v>
      </c>
      <c r="D168" s="283">
        <v>7.7640812679054858E-2</v>
      </c>
      <c r="E168" s="283">
        <v>9.8590555071884051E-2</v>
      </c>
      <c r="F168" s="283">
        <v>1.2128063150230874E-2</v>
      </c>
      <c r="G168" s="283">
        <v>4.5401462844967114E-2</v>
      </c>
      <c r="H168" s="283">
        <v>5.868312946090469E-2</v>
      </c>
      <c r="I168" s="283">
        <v>0.11234902124114952</v>
      </c>
      <c r="J168" s="283">
        <v>0.41872083371760582</v>
      </c>
      <c r="K168" s="283">
        <v>0.34653465346534651</v>
      </c>
      <c r="L168" s="283">
        <v>0.35533081863594651</v>
      </c>
      <c r="M168" s="283">
        <v>0.32663380474541792</v>
      </c>
      <c r="N168" s="283">
        <v>0.32536281207303441</v>
      </c>
      <c r="O168" s="282">
        <v>0.18409730017660389</v>
      </c>
      <c r="P168" s="282">
        <v>1.1840973001766</v>
      </c>
      <c r="Q168" s="247">
        <f t="shared" si="8"/>
        <v>0</v>
      </c>
      <c r="R168" s="229"/>
      <c r="S168" s="229"/>
      <c r="T168" s="229"/>
      <c r="U168" s="229"/>
      <c r="V168" s="229"/>
      <c r="W168" s="229"/>
      <c r="X168" s="229"/>
    </row>
    <row r="169" spans="1:24" ht="15.75" hidden="1">
      <c r="A169" s="343" t="s">
        <v>326</v>
      </c>
      <c r="B169" s="348"/>
      <c r="C169" s="283">
        <v>7.7000000000000013E-2</v>
      </c>
      <c r="D169" s="283">
        <v>8.2135253765080032E-2</v>
      </c>
      <c r="E169" s="283">
        <v>8.5813783853737738E-2</v>
      </c>
      <c r="F169" s="283">
        <v>4.8742168490027396E-2</v>
      </c>
      <c r="G169" s="283">
        <v>4.3496076543260466E-2</v>
      </c>
      <c r="H169" s="283">
        <v>0.28678309962591514</v>
      </c>
      <c r="I169" s="283">
        <v>0.29670970428987919</v>
      </c>
      <c r="J169" s="283">
        <v>0.46798210827261821</v>
      </c>
      <c r="K169" s="283">
        <v>0.46534653465346537</v>
      </c>
      <c r="L169" s="283">
        <v>0.47208237333061481</v>
      </c>
      <c r="M169" s="283">
        <v>0.46231246210120686</v>
      </c>
      <c r="N169" s="283">
        <v>0.45455098745497458</v>
      </c>
      <c r="O169" s="282">
        <v>0.26865902574699163</v>
      </c>
      <c r="P169" s="282">
        <v>1.2686590257469901</v>
      </c>
      <c r="Q169" s="247">
        <f t="shared" si="8"/>
        <v>0</v>
      </c>
      <c r="R169" s="229"/>
      <c r="S169" s="229"/>
      <c r="T169" s="229"/>
      <c r="U169" s="229"/>
      <c r="V169" s="229"/>
      <c r="W169" s="229"/>
      <c r="X169" s="229"/>
    </row>
    <row r="170" spans="1:24" ht="15.75" hidden="1">
      <c r="A170" s="343" t="s">
        <v>327</v>
      </c>
      <c r="B170" s="348"/>
      <c r="C170" s="283">
        <v>0.38500000000000001</v>
      </c>
      <c r="D170" s="283">
        <v>0.42011196677793256</v>
      </c>
      <c r="E170" s="283">
        <v>0.24301748276430032</v>
      </c>
      <c r="F170" s="283">
        <v>0.10852029965704213</v>
      </c>
      <c r="G170" s="283">
        <v>2.8355426253354913E-2</v>
      </c>
      <c r="H170" s="283">
        <v>0.25134831202809077</v>
      </c>
      <c r="I170" s="283">
        <v>7.9029571012078303E-2</v>
      </c>
      <c r="J170" s="283">
        <v>0.13300544129853362</v>
      </c>
      <c r="K170" s="283">
        <v>0.13366336633663367</v>
      </c>
      <c r="L170" s="283">
        <v>0.13705617290243655</v>
      </c>
      <c r="M170" s="283">
        <v>0.13065352189816717</v>
      </c>
      <c r="N170" s="283">
        <v>0.12918817538194013</v>
      </c>
      <c r="O170" s="282">
        <v>0.15612765531491979</v>
      </c>
      <c r="P170" s="282">
        <v>1.15612765531492</v>
      </c>
      <c r="Q170" s="247">
        <f t="shared" si="8"/>
        <v>0</v>
      </c>
      <c r="R170" s="229"/>
      <c r="S170" s="229"/>
      <c r="T170" s="229"/>
      <c r="U170" s="229"/>
      <c r="V170" s="229"/>
      <c r="W170" s="229"/>
      <c r="X170" s="229"/>
    </row>
    <row r="171" spans="1:24" ht="15.75" hidden="1">
      <c r="A171" s="343" t="s">
        <v>328</v>
      </c>
      <c r="B171" s="348"/>
      <c r="C171" s="283">
        <v>0.15400000000000003</v>
      </c>
      <c r="D171" s="283">
        <v>0.55081872420953026</v>
      </c>
      <c r="E171" s="283">
        <v>0.56528388903268312</v>
      </c>
      <c r="F171" s="283">
        <v>0.3875807100569042</v>
      </c>
      <c r="G171" s="283">
        <v>0.33987584257001785</v>
      </c>
      <c r="H171" s="283">
        <v>0.51841736855392095</v>
      </c>
      <c r="I171" s="283">
        <v>0.54160766347355271</v>
      </c>
      <c r="J171" s="283">
        <v>0.54187402010513697</v>
      </c>
      <c r="K171" s="283">
        <v>0.54455445544554459</v>
      </c>
      <c r="L171" s="283">
        <v>0.50761545519420936</v>
      </c>
      <c r="M171" s="283">
        <v>0.52763922305029043</v>
      </c>
      <c r="N171" s="283">
        <v>0.47847472363681531</v>
      </c>
      <c r="O171" s="282">
        <v>0.45936894488098901</v>
      </c>
      <c r="P171" s="282">
        <v>1.4593689448809899</v>
      </c>
      <c r="Q171" s="247">
        <f t="shared" si="8"/>
        <v>0</v>
      </c>
      <c r="R171" s="229"/>
      <c r="S171" s="229"/>
      <c r="T171" s="229"/>
      <c r="U171" s="229"/>
      <c r="V171" s="229"/>
      <c r="W171" s="229"/>
      <c r="X171" s="229"/>
    </row>
    <row r="172" spans="1:24" ht="15.75" hidden="1">
      <c r="A172" s="350" t="s">
        <v>329</v>
      </c>
      <c r="B172" s="348"/>
      <c r="C172" s="283">
        <v>0</v>
      </c>
      <c r="D172" s="283">
        <v>2.3549819959523748E-2</v>
      </c>
      <c r="E172" s="283">
        <v>7.764888585613779E-3</v>
      </c>
      <c r="F172" s="283">
        <v>1.3603356771980917E-2</v>
      </c>
      <c r="G172" s="283">
        <v>0</v>
      </c>
      <c r="H172" s="283">
        <v>1.4917494778876828E-2</v>
      </c>
      <c r="I172" s="283">
        <v>0</v>
      </c>
      <c r="J172" s="283">
        <v>1.383380983122752E-2</v>
      </c>
      <c r="K172" s="283">
        <v>1.7596546384496269E-2</v>
      </c>
      <c r="L172" s="283">
        <v>1.5292078703231725E-2</v>
      </c>
      <c r="M172" s="283">
        <v>1.4670500557479021E-2</v>
      </c>
      <c r="N172" s="283">
        <v>1.8631225934666502E-2</v>
      </c>
      <c r="O172" s="282">
        <v>1.1325530347988361E-2</v>
      </c>
      <c r="P172" s="282">
        <v>1.01132553034799</v>
      </c>
      <c r="Q172" s="247">
        <f t="shared" si="8"/>
        <v>0</v>
      </c>
      <c r="R172" s="229"/>
      <c r="S172" s="229"/>
      <c r="T172" s="229"/>
      <c r="U172" s="229"/>
      <c r="V172" s="229"/>
      <c r="W172" s="229"/>
      <c r="X172" s="229"/>
    </row>
    <row r="173" spans="1:24" ht="15.75" hidden="1">
      <c r="A173" s="343" t="s">
        <v>330</v>
      </c>
      <c r="B173" s="348"/>
      <c r="C173" s="283">
        <v>0.24199999999999999</v>
      </c>
      <c r="D173" s="283">
        <v>0.33311430598995978</v>
      </c>
      <c r="E173" s="283">
        <v>0.18675733546671686</v>
      </c>
      <c r="F173" s="283">
        <v>0.36493399498016976</v>
      </c>
      <c r="G173" s="283">
        <v>0.31197115286115268</v>
      </c>
      <c r="H173" s="283">
        <v>0.44929199274780252</v>
      </c>
      <c r="I173" s="283">
        <v>0.37</v>
      </c>
      <c r="J173" s="283">
        <v>0.36945955916259338</v>
      </c>
      <c r="K173" s="283">
        <v>0.37128712871287128</v>
      </c>
      <c r="L173" s="283">
        <v>0.35533081863594651</v>
      </c>
      <c r="M173" s="283">
        <v>0.35175948203352697</v>
      </c>
      <c r="N173" s="283">
        <v>0.35885604272761146</v>
      </c>
      <c r="O173" s="282">
        <v>0.34031681455159052</v>
      </c>
      <c r="P173" s="282">
        <v>1.34031681455159</v>
      </c>
      <c r="Q173" s="247">
        <f t="shared" si="8"/>
        <v>0</v>
      </c>
      <c r="R173" s="229"/>
      <c r="S173" s="229"/>
      <c r="T173" s="229"/>
      <c r="U173" s="229"/>
      <c r="V173" s="229"/>
      <c r="W173" s="229"/>
      <c r="X173" s="229"/>
    </row>
    <row r="174" spans="1:24" ht="15.75" hidden="1">
      <c r="A174" s="343" t="s">
        <v>331</v>
      </c>
      <c r="B174" s="348"/>
      <c r="C174" s="283">
        <v>0.17385685884691848</v>
      </c>
      <c r="D174" s="283">
        <v>0.10763003653376088</v>
      </c>
      <c r="E174" s="283">
        <v>0.12012047342290406</v>
      </c>
      <c r="F174" s="283">
        <v>2.0539152759948651E-2</v>
      </c>
      <c r="G174" s="283">
        <v>9.7195189411788813E-2</v>
      </c>
      <c r="H174" s="283">
        <v>2.809079016822344E-2</v>
      </c>
      <c r="I174" s="283">
        <v>0.12990420658059143</v>
      </c>
      <c r="J174" s="283">
        <v>0.29556764733007468</v>
      </c>
      <c r="K174" s="283">
        <v>0.2722772277227723</v>
      </c>
      <c r="L174" s="283">
        <v>0.25380772759710468</v>
      </c>
      <c r="M174" s="283">
        <v>0.27638245016919982</v>
      </c>
      <c r="N174" s="283">
        <v>0.21531362563656689</v>
      </c>
      <c r="O174" s="282">
        <v>0.15825024488599393</v>
      </c>
      <c r="P174" s="282">
        <v>1.1582502448859899</v>
      </c>
      <c r="Q174" s="247">
        <f t="shared" si="8"/>
        <v>0</v>
      </c>
      <c r="R174" s="229"/>
      <c r="S174" s="229"/>
      <c r="T174" s="229"/>
      <c r="U174" s="229"/>
      <c r="V174" s="229"/>
      <c r="W174" s="229"/>
      <c r="X174" s="229"/>
    </row>
    <row r="175" spans="1:24" ht="15.75" hidden="1">
      <c r="A175" s="343" t="s">
        <v>332</v>
      </c>
      <c r="B175" s="348"/>
      <c r="C175" s="283">
        <v>1.9681908548707756E-3</v>
      </c>
      <c r="D175" s="283">
        <v>2.234078902410177E-3</v>
      </c>
      <c r="E175" s="283">
        <v>2.4471164027388879E-3</v>
      </c>
      <c r="F175" s="283">
        <v>1.0346215009675627E-3</v>
      </c>
      <c r="G175" s="283">
        <v>3.585404331168432E-3</v>
      </c>
      <c r="H175" s="283">
        <v>6.6095976866408094E-3</v>
      </c>
      <c r="I175" s="283">
        <v>2.4573094543940024E-3</v>
      </c>
      <c r="J175" s="283">
        <v>2.9556764733007466E-2</v>
      </c>
      <c r="K175" s="283">
        <v>2.9702970297029702E-2</v>
      </c>
      <c r="L175" s="283">
        <v>3.0456927311652563E-2</v>
      </c>
      <c r="M175" s="283">
        <v>3.0150812745730882E-2</v>
      </c>
      <c r="N175" s="283">
        <v>2.8708483418208915E-2</v>
      </c>
      <c r="O175" s="282">
        <v>1.4155554443340173E-2</v>
      </c>
      <c r="P175" s="282">
        <v>1.01415555444334</v>
      </c>
      <c r="Q175" s="247">
        <f t="shared" si="8"/>
        <v>0</v>
      </c>
      <c r="R175" s="229"/>
      <c r="S175" s="229"/>
      <c r="T175" s="229"/>
      <c r="U175" s="229"/>
      <c r="V175" s="229"/>
      <c r="W175" s="229"/>
      <c r="X175" s="229"/>
    </row>
    <row r="176" spans="1:24" ht="15.75" hidden="1">
      <c r="A176" s="341" t="s">
        <v>333</v>
      </c>
      <c r="B176" s="348"/>
      <c r="C176" s="283">
        <v>6.4786282306163026E-2</v>
      </c>
      <c r="D176" s="283">
        <v>3.408941572265882E-2</v>
      </c>
      <c r="E176" s="283">
        <v>1.6776865338007953E-2</v>
      </c>
      <c r="F176" s="283">
        <v>1.3794953346234168E-2</v>
      </c>
      <c r="G176" s="283">
        <v>2.5036366243930422E-2</v>
      </c>
      <c r="H176" s="283">
        <v>3.6260987308654444E-2</v>
      </c>
      <c r="I176" s="283">
        <v>1.9658475635152019E-2</v>
      </c>
      <c r="J176" s="283">
        <v>7.389191183251867E-2</v>
      </c>
      <c r="K176" s="283">
        <v>6.9306930693069313E-2</v>
      </c>
      <c r="L176" s="283">
        <v>7.1066163727189324E-2</v>
      </c>
      <c r="M176" s="283">
        <v>7.0351896406705403E-2</v>
      </c>
      <c r="N176" s="283">
        <v>6.6986461309154158E-2</v>
      </c>
      <c r="O176" s="282">
        <v>4.3614070398467042E-2</v>
      </c>
      <c r="P176" s="282">
        <v>1.04361407039847</v>
      </c>
      <c r="Q176" s="247">
        <f t="shared" si="8"/>
        <v>0</v>
      </c>
      <c r="R176" s="229"/>
      <c r="S176" s="229"/>
      <c r="T176" s="229"/>
      <c r="U176" s="229"/>
      <c r="V176" s="229"/>
      <c r="W176" s="229"/>
      <c r="X176" s="229"/>
    </row>
    <row r="177" spans="1:24" ht="15.75" hidden="1">
      <c r="A177" s="343" t="s">
        <v>334</v>
      </c>
      <c r="B177" s="348"/>
      <c r="C177" s="283">
        <v>0</v>
      </c>
      <c r="D177" s="283">
        <v>0</v>
      </c>
      <c r="E177" s="283">
        <v>0</v>
      </c>
      <c r="F177" s="283">
        <v>0</v>
      </c>
      <c r="G177" s="283">
        <v>0</v>
      </c>
      <c r="H177" s="283">
        <v>0</v>
      </c>
      <c r="I177" s="283">
        <v>0</v>
      </c>
      <c r="J177" s="283">
        <v>0</v>
      </c>
      <c r="K177" s="283">
        <v>0</v>
      </c>
      <c r="L177" s="283">
        <v>0</v>
      </c>
      <c r="M177" s="283">
        <v>0</v>
      </c>
      <c r="N177" s="283">
        <v>0</v>
      </c>
      <c r="O177" s="282">
        <v>0</v>
      </c>
      <c r="P177" s="282">
        <v>1</v>
      </c>
      <c r="Q177" s="247">
        <f t="shared" si="8"/>
        <v>0</v>
      </c>
      <c r="R177" s="229"/>
      <c r="S177" s="229"/>
      <c r="T177" s="229"/>
      <c r="U177" s="229"/>
      <c r="V177" s="229"/>
      <c r="W177" s="229"/>
      <c r="X177" s="229"/>
    </row>
    <row r="178" spans="1:24" ht="15.75" hidden="1">
      <c r="A178" s="343" t="s">
        <v>335</v>
      </c>
      <c r="B178" s="348"/>
      <c r="C178" s="283">
        <v>8.8131212723658051E-2</v>
      </c>
      <c r="D178" s="283">
        <v>4.3446263831576737E-2</v>
      </c>
      <c r="E178" s="283">
        <v>6.8001600037647944E-3</v>
      </c>
      <c r="F178" s="283">
        <v>5.7478972275975702E-3</v>
      </c>
      <c r="G178" s="283">
        <v>4.4909750250978306E-2</v>
      </c>
      <c r="H178" s="283">
        <v>0</v>
      </c>
      <c r="I178" s="283">
        <v>4.4710537276134943E-2</v>
      </c>
      <c r="J178" s="283">
        <v>4.433514709951121E-2</v>
      </c>
      <c r="K178" s="283">
        <v>4.4554455445544552E-2</v>
      </c>
      <c r="L178" s="283">
        <v>4.5685390967478846E-2</v>
      </c>
      <c r="M178" s="283">
        <v>4.5226219118596325E-2</v>
      </c>
      <c r="N178" s="283">
        <v>4.3062725127313378E-2</v>
      </c>
      <c r="O178" s="282">
        <v>3.317375823138688E-2</v>
      </c>
      <c r="P178" s="282">
        <v>1.03317375823139</v>
      </c>
      <c r="Q178" s="247">
        <f t="shared" si="8"/>
        <v>0</v>
      </c>
      <c r="R178" s="229"/>
      <c r="S178" s="229"/>
      <c r="T178" s="229"/>
      <c r="U178" s="229"/>
      <c r="V178" s="229"/>
      <c r="W178" s="229"/>
      <c r="X178" s="229"/>
    </row>
    <row r="179" spans="1:24" ht="15.75" hidden="1">
      <c r="A179" s="343" t="s">
        <v>336</v>
      </c>
      <c r="B179" s="348"/>
      <c r="C179" s="283">
        <v>4.0402584493041752E-2</v>
      </c>
      <c r="D179" s="283">
        <v>0</v>
      </c>
      <c r="E179" s="283">
        <v>0</v>
      </c>
      <c r="F179" s="283">
        <v>0</v>
      </c>
      <c r="G179" s="283">
        <v>0</v>
      </c>
      <c r="H179" s="283">
        <v>0</v>
      </c>
      <c r="I179" s="283">
        <v>0</v>
      </c>
      <c r="J179" s="283">
        <v>9.2225398874850126E-3</v>
      </c>
      <c r="K179" s="283">
        <v>1.1731030922997513E-2</v>
      </c>
      <c r="L179" s="283">
        <v>1.0194719135487817E-2</v>
      </c>
      <c r="M179" s="283">
        <v>9.7803337049860144E-3</v>
      </c>
      <c r="N179" s="283">
        <v>1.2420817289777668E-2</v>
      </c>
      <c r="O179" s="282">
        <v>5.7896768934871052E-3</v>
      </c>
      <c r="P179" s="282">
        <v>1.00578967689349</v>
      </c>
      <c r="Q179" s="247">
        <f t="shared" si="8"/>
        <v>0</v>
      </c>
      <c r="R179" s="229"/>
      <c r="S179" s="229"/>
      <c r="T179" s="229"/>
      <c r="U179" s="229"/>
      <c r="V179" s="229"/>
      <c r="W179" s="229"/>
      <c r="X179" s="229"/>
    </row>
    <row r="180" spans="1:24" ht="15.75" hidden="1">
      <c r="A180" s="343" t="s">
        <v>337</v>
      </c>
      <c r="B180" s="348"/>
      <c r="C180" s="283">
        <v>0</v>
      </c>
      <c r="D180" s="283">
        <v>0</v>
      </c>
      <c r="E180" s="283">
        <v>0</v>
      </c>
      <c r="F180" s="283">
        <v>0</v>
      </c>
      <c r="G180" s="283">
        <v>0</v>
      </c>
      <c r="H180" s="283">
        <v>0</v>
      </c>
      <c r="I180" s="283">
        <v>0</v>
      </c>
      <c r="J180" s="283">
        <v>0</v>
      </c>
      <c r="K180" s="283">
        <v>0</v>
      </c>
      <c r="L180" s="283">
        <v>0</v>
      </c>
      <c r="M180" s="283">
        <v>0</v>
      </c>
      <c r="N180" s="283">
        <v>0</v>
      </c>
      <c r="O180" s="282">
        <v>0</v>
      </c>
      <c r="P180" s="282">
        <v>1</v>
      </c>
      <c r="Q180" s="247">
        <f t="shared" si="8"/>
        <v>0</v>
      </c>
      <c r="R180" s="229"/>
      <c r="S180" s="229"/>
      <c r="T180" s="229"/>
      <c r="U180" s="229"/>
      <c r="V180" s="229"/>
      <c r="W180" s="229"/>
      <c r="X180" s="229"/>
    </row>
    <row r="181" spans="1:24" ht="15.75" hidden="1">
      <c r="A181" s="343" t="s">
        <v>339</v>
      </c>
      <c r="B181" s="348"/>
      <c r="C181" s="283">
        <v>0.1150844930417495</v>
      </c>
      <c r="D181" s="283">
        <v>5.9216232554472101E-2</v>
      </c>
      <c r="E181" s="283">
        <v>5.8942563354431869E-2</v>
      </c>
      <c r="F181" s="283">
        <v>4.6807043090069549E-2</v>
      </c>
      <c r="G181" s="283">
        <v>5.3842529041775083E-2</v>
      </c>
      <c r="H181" s="283">
        <v>6.0702728754044935E-2</v>
      </c>
      <c r="I181" s="283">
        <v>5.9850062473969179E-2</v>
      </c>
      <c r="J181" s="283">
        <v>6.3437469274907871E-2</v>
      </c>
      <c r="K181" s="283">
        <v>7.4552039363219247E-2</v>
      </c>
      <c r="L181" s="283">
        <v>7.0772913074505658E-2</v>
      </c>
      <c r="M181" s="283">
        <v>6.2210810628076013E-2</v>
      </c>
      <c r="N181" s="283">
        <v>7.1908319382415375E-2</v>
      </c>
      <c r="O181" s="282">
        <v>6.0088140383480128E-2</v>
      </c>
      <c r="P181" s="282">
        <v>1.0600881403834801</v>
      </c>
      <c r="Q181" s="247">
        <f t="shared" si="8"/>
        <v>0</v>
      </c>
      <c r="R181" s="229"/>
      <c r="S181" s="229"/>
      <c r="T181" s="229"/>
      <c r="U181" s="229"/>
      <c r="V181" s="229"/>
      <c r="W181" s="229"/>
      <c r="X181" s="229"/>
    </row>
    <row r="182" spans="1:24" ht="15.75" hidden="1">
      <c r="A182" s="343" t="s">
        <v>340</v>
      </c>
      <c r="B182" s="348"/>
      <c r="C182" s="283">
        <v>0</v>
      </c>
      <c r="D182" s="283">
        <v>0</v>
      </c>
      <c r="E182" s="283">
        <v>0</v>
      </c>
      <c r="F182" s="283">
        <v>0</v>
      </c>
      <c r="G182" s="283">
        <v>0</v>
      </c>
      <c r="H182" s="283">
        <v>0</v>
      </c>
      <c r="I182" s="283">
        <v>0</v>
      </c>
      <c r="J182" s="283">
        <v>7.389191183251867E-2</v>
      </c>
      <c r="K182" s="283">
        <v>7.4257425742574254E-2</v>
      </c>
      <c r="L182" s="283">
        <v>7.6142318279131399E-2</v>
      </c>
      <c r="M182" s="283">
        <v>7.5377031864327204E-2</v>
      </c>
      <c r="N182" s="283">
        <v>4.7847472363681531E-2</v>
      </c>
      <c r="O182" s="282">
        <v>2.9824343455287748E-2</v>
      </c>
      <c r="P182" s="282">
        <v>1.0298243434552901</v>
      </c>
      <c r="Q182" s="247">
        <f t="shared" si="8"/>
        <v>0</v>
      </c>
      <c r="R182" s="229"/>
      <c r="S182" s="229"/>
      <c r="T182" s="229"/>
      <c r="U182" s="229"/>
      <c r="V182" s="229"/>
      <c r="W182" s="229"/>
      <c r="X182" s="229"/>
    </row>
    <row r="183" spans="1:24" ht="15.75" hidden="1">
      <c r="A183" s="343" t="s">
        <v>341</v>
      </c>
      <c r="B183" s="348"/>
      <c r="C183" s="283">
        <v>0</v>
      </c>
      <c r="D183" s="283">
        <v>0</v>
      </c>
      <c r="E183" s="283">
        <v>0</v>
      </c>
      <c r="F183" s="283">
        <v>0.19159657425325236</v>
      </c>
      <c r="G183" s="283">
        <v>0.20488024749533898</v>
      </c>
      <c r="H183" s="283">
        <v>0.22949991967502811</v>
      </c>
      <c r="I183" s="283">
        <v>0</v>
      </c>
      <c r="J183" s="283">
        <v>0</v>
      </c>
      <c r="K183" s="283">
        <v>0</v>
      </c>
      <c r="L183" s="283">
        <v>0.10194719135487817</v>
      </c>
      <c r="M183" s="283">
        <v>9.7803337049860148E-2</v>
      </c>
      <c r="N183" s="283">
        <v>0.12420817289777668</v>
      </c>
      <c r="O183" s="282">
        <v>8.0437005312417334E-2</v>
      </c>
      <c r="P183" s="282">
        <v>1.0804370053124199</v>
      </c>
      <c r="Q183" s="247">
        <f t="shared" si="8"/>
        <v>0</v>
      </c>
      <c r="R183" s="229"/>
      <c r="S183" s="229"/>
      <c r="T183" s="229"/>
      <c r="U183" s="229"/>
      <c r="V183" s="229"/>
      <c r="W183" s="229"/>
      <c r="X183" s="229"/>
    </row>
    <row r="184" spans="1:24" ht="15.75" hidden="1">
      <c r="A184" s="343" t="s">
        <v>342</v>
      </c>
      <c r="B184" s="348"/>
      <c r="C184" s="283">
        <v>2.1999999999999999E-2</v>
      </c>
      <c r="D184" s="283">
        <v>0.12584435040870504</v>
      </c>
      <c r="E184" s="283">
        <v>0.1127791242146874</v>
      </c>
      <c r="F184" s="283">
        <v>9.3518287893012475E-2</v>
      </c>
      <c r="G184" s="283">
        <v>9.8096662500768303E-2</v>
      </c>
      <c r="H184" s="283">
        <v>0.10931081174121589</v>
      </c>
      <c r="I184" s="283">
        <v>9.8896293211162015E-2</v>
      </c>
      <c r="J184" s="283">
        <v>0.17241446094254356</v>
      </c>
      <c r="K184" s="283">
        <v>0.17326732673267325</v>
      </c>
      <c r="L184" s="283">
        <v>0.17766540931797326</v>
      </c>
      <c r="M184" s="283">
        <v>0.17587974101676349</v>
      </c>
      <c r="N184" s="283">
        <v>0.16746615327288533</v>
      </c>
      <c r="O184" s="282">
        <v>0.13143388793158922</v>
      </c>
      <c r="P184" s="282">
        <v>1.1314338879315899</v>
      </c>
      <c r="Q184" s="247">
        <f t="shared" si="8"/>
        <v>0</v>
      </c>
      <c r="R184" s="229"/>
      <c r="S184" s="229"/>
      <c r="T184" s="229"/>
      <c r="U184" s="229"/>
      <c r="V184" s="229"/>
      <c r="W184" s="229"/>
      <c r="X184" s="229"/>
    </row>
    <row r="185" spans="1:24" ht="15.75" hidden="1">
      <c r="A185" s="347" t="s">
        <v>343</v>
      </c>
      <c r="B185" s="348"/>
      <c r="C185" s="283">
        <v>4.9204771371769387E-2</v>
      </c>
      <c r="D185" s="279">
        <v>0.13194207164822455</v>
      </c>
      <c r="E185" s="279">
        <v>3.2447822301701214E-2</v>
      </c>
      <c r="F185" s="279">
        <v>4.0216120935757667E-2</v>
      </c>
      <c r="G185" s="279">
        <v>2.9830564035321354E-2</v>
      </c>
      <c r="H185" s="279">
        <v>5.9279829252059761E-2</v>
      </c>
      <c r="I185" s="279">
        <v>0.11449396084964598</v>
      </c>
      <c r="J185" s="279">
        <v>4.433514709951121E-2</v>
      </c>
      <c r="K185" s="279">
        <v>4.4554455445544552E-2</v>
      </c>
      <c r="L185" s="279">
        <v>4.5685390967478846E-2</v>
      </c>
      <c r="M185" s="279">
        <v>4.5226219118596325E-2</v>
      </c>
      <c r="N185" s="279">
        <v>4.3062725127313378E-2</v>
      </c>
      <c r="O185" s="282">
        <v>5.2773575192512565E-2</v>
      </c>
      <c r="P185" s="282">
        <v>1.05277357519251</v>
      </c>
      <c r="Q185" s="247">
        <f t="shared" si="8"/>
        <v>0</v>
      </c>
      <c r="R185" s="229"/>
      <c r="S185" s="229"/>
      <c r="T185" s="229"/>
      <c r="U185" s="229"/>
      <c r="V185" s="229"/>
      <c r="W185" s="229"/>
      <c r="X185" s="229"/>
    </row>
    <row r="186" spans="1:24" ht="15.75" hidden="1">
      <c r="A186" s="347" t="s">
        <v>364</v>
      </c>
      <c r="B186" s="348"/>
      <c r="C186" s="283">
        <v>0.50600000000000001</v>
      </c>
      <c r="D186" s="279">
        <v>0.2588114700239178</v>
      </c>
      <c r="E186" s="279">
        <v>0.21214616814513282</v>
      </c>
      <c r="F186" s="279">
        <v>0.12919357001896806</v>
      </c>
      <c r="G186" s="279">
        <v>9.3159048536130634E-2</v>
      </c>
      <c r="H186" s="279">
        <v>0.17341013930645124</v>
      </c>
      <c r="I186" s="279">
        <v>0.23498542274052478</v>
      </c>
      <c r="J186" s="279">
        <v>0.33497666697408468</v>
      </c>
      <c r="K186" s="279">
        <v>0.32178217821782179</v>
      </c>
      <c r="L186" s="279">
        <v>0.3045692731165256</v>
      </c>
      <c r="M186" s="279">
        <v>0.32663380474541792</v>
      </c>
      <c r="N186" s="279">
        <v>0.32057806483666629</v>
      </c>
      <c r="O186" s="282">
        <v>0.24080109894824148</v>
      </c>
      <c r="P186" s="282">
        <v>1.2408010989482401</v>
      </c>
      <c r="Q186" s="247">
        <f t="shared" si="8"/>
        <v>0</v>
      </c>
      <c r="R186" s="229"/>
      <c r="S186" s="229"/>
      <c r="T186" s="229"/>
      <c r="U186" s="229"/>
      <c r="V186" s="229"/>
      <c r="W186" s="229"/>
      <c r="X186" s="229"/>
    </row>
    <row r="187" spans="1:24" ht="15.75" hidden="1">
      <c r="A187" s="347" t="s">
        <v>345</v>
      </c>
      <c r="B187" s="348"/>
      <c r="C187" s="283">
        <v>0.27500000000000002</v>
      </c>
      <c r="D187" s="279">
        <v>0.11144111230846059</v>
      </c>
      <c r="E187" s="279">
        <v>8.5743193957504876E-2</v>
      </c>
      <c r="F187" s="279">
        <v>0.1000708907324737</v>
      </c>
      <c r="G187" s="279">
        <v>0.10963142043475589</v>
      </c>
      <c r="H187" s="279">
        <v>0.1576205448328093</v>
      </c>
      <c r="I187" s="279">
        <v>6.7950853810912121E-2</v>
      </c>
      <c r="J187" s="279">
        <v>7.389191183251867E-2</v>
      </c>
      <c r="K187" s="279">
        <v>7.4257425742574254E-2</v>
      </c>
      <c r="L187" s="279">
        <v>7.6142318279131399E-2</v>
      </c>
      <c r="M187" s="279">
        <v>7.5377031864327204E-2</v>
      </c>
      <c r="N187" s="279">
        <v>7.1771208545522297E-2</v>
      </c>
      <c r="O187" s="280">
        <v>9.1646527623855126E-2</v>
      </c>
      <c r="P187" s="280">
        <v>1.0916465276238601</v>
      </c>
      <c r="Q187" s="247">
        <f t="shared" si="8"/>
        <v>0</v>
      </c>
      <c r="R187" s="229"/>
      <c r="S187" s="229"/>
      <c r="T187" s="229"/>
      <c r="U187" s="229"/>
      <c r="V187" s="229"/>
      <c r="W187" s="229"/>
      <c r="X187" s="229"/>
    </row>
    <row r="188" spans="1:24" ht="15.75" hidden="1">
      <c r="A188" s="347" t="s">
        <v>346</v>
      </c>
      <c r="B188" s="348"/>
      <c r="C188" s="283">
        <v>0</v>
      </c>
      <c r="D188" s="279">
        <v>0</v>
      </c>
      <c r="E188" s="279">
        <v>0</v>
      </c>
      <c r="F188" s="279">
        <v>9.1966355641561132E-4</v>
      </c>
      <c r="G188" s="279">
        <v>0</v>
      </c>
      <c r="H188" s="279">
        <v>0</v>
      </c>
      <c r="I188" s="279">
        <v>0</v>
      </c>
      <c r="J188" s="279">
        <v>9.85225491100249E-3</v>
      </c>
      <c r="K188" s="279">
        <v>9.9009900990099011E-3</v>
      </c>
      <c r="L188" s="279">
        <v>1.0152309103884188E-2</v>
      </c>
      <c r="M188" s="279">
        <v>1.0050270915243627E-2</v>
      </c>
      <c r="N188" s="279">
        <v>9.5694944727363063E-3</v>
      </c>
      <c r="O188" s="280">
        <v>4.291904104789755E-3</v>
      </c>
      <c r="P188" s="280">
        <v>1.00429190410479</v>
      </c>
      <c r="Q188" s="247">
        <f t="shared" si="8"/>
        <v>0</v>
      </c>
      <c r="R188" s="229"/>
      <c r="S188" s="229"/>
      <c r="T188" s="229"/>
      <c r="U188" s="229"/>
      <c r="V188" s="229"/>
      <c r="W188" s="229"/>
      <c r="X188" s="229"/>
    </row>
    <row r="189" spans="1:24" ht="15.75" hidden="1">
      <c r="A189" s="347" t="s">
        <v>347</v>
      </c>
      <c r="B189" s="348"/>
      <c r="C189" s="283">
        <v>0.28921471172962226</v>
      </c>
      <c r="D189" s="279">
        <v>0.17838462953715142</v>
      </c>
      <c r="E189" s="279">
        <v>0.23002894185745548</v>
      </c>
      <c r="F189" s="279">
        <v>0.19491119498783363</v>
      </c>
      <c r="G189" s="279">
        <v>0.23956647339629986</v>
      </c>
      <c r="H189" s="279">
        <v>0.26874440593945792</v>
      </c>
      <c r="I189" s="279">
        <v>0.29798000832986254</v>
      </c>
      <c r="J189" s="279">
        <v>0.36945955916259338</v>
      </c>
      <c r="K189" s="279">
        <v>0.37128712871287128</v>
      </c>
      <c r="L189" s="279">
        <v>0.38071159139565702</v>
      </c>
      <c r="M189" s="279">
        <v>0.37688515932163608</v>
      </c>
      <c r="N189" s="279">
        <v>0.33493230654577066</v>
      </c>
      <c r="O189" s="280">
        <v>0.28066339079514663</v>
      </c>
      <c r="P189" s="280">
        <v>1.2806633907951499</v>
      </c>
      <c r="Q189" s="247">
        <f t="shared" si="8"/>
        <v>0</v>
      </c>
      <c r="R189" s="229"/>
      <c r="S189" s="229"/>
      <c r="T189" s="229"/>
      <c r="U189" s="229"/>
      <c r="V189" s="229"/>
      <c r="W189" s="229"/>
      <c r="X189" s="229"/>
    </row>
    <row r="190" spans="1:24" ht="15.75" hidden="1">
      <c r="A190" s="347" t="s">
        <v>351</v>
      </c>
      <c r="B190" s="348"/>
      <c r="C190" s="283">
        <v>5.3466451292246528</v>
      </c>
      <c r="D190" s="279">
        <v>4.2656451231371726</v>
      </c>
      <c r="E190" s="279">
        <v>3.0509188451492975</v>
      </c>
      <c r="F190" s="279">
        <v>3.0403119192228845</v>
      </c>
      <c r="G190" s="279">
        <v>3.3060091376590384</v>
      </c>
      <c r="H190" s="279">
        <v>4.5055653730521197</v>
      </c>
      <c r="I190" s="279">
        <v>4.7219908371511874</v>
      </c>
      <c r="J190" s="279">
        <v>6.1714784173520085</v>
      </c>
      <c r="K190" s="279">
        <v>6.1619951438632432</v>
      </c>
      <c r="L190" s="279">
        <v>6.2577800779231136</v>
      </c>
      <c r="M190" s="279">
        <v>6.154623032133073</v>
      </c>
      <c r="N190" s="279">
        <v>5.800162697720511</v>
      </c>
      <c r="O190" s="280">
        <v>4.6208957929814174</v>
      </c>
      <c r="P190" s="280">
        <v>5.6208957929814201</v>
      </c>
      <c r="Q190" s="247">
        <f t="shared" si="8"/>
        <v>0</v>
      </c>
      <c r="R190" s="229"/>
      <c r="S190" s="229"/>
      <c r="T190" s="229"/>
      <c r="U190" s="229"/>
      <c r="V190" s="229"/>
      <c r="W190" s="229"/>
      <c r="X190" s="229"/>
    </row>
    <row r="191" spans="1:24" ht="15.75" hidden="1">
      <c r="A191" s="347" t="s">
        <v>352</v>
      </c>
      <c r="B191" s="348"/>
      <c r="C191" s="279">
        <v>5.4554632131749354</v>
      </c>
      <c r="D191" s="279">
        <v>6.9455673246248057</v>
      </c>
      <c r="E191" s="279">
        <v>5.545801077672416</v>
      </c>
      <c r="F191" s="279">
        <v>5.1624164159944819</v>
      </c>
      <c r="G191" s="279">
        <v>5.8626482820791246</v>
      </c>
      <c r="H191" s="279">
        <v>6.5829068459826043</v>
      </c>
      <c r="I191" s="279">
        <v>6.9791961682632238</v>
      </c>
      <c r="J191" s="279">
        <v>8.6355412104620104</v>
      </c>
      <c r="K191" s="279">
        <v>8.901960148474144</v>
      </c>
      <c r="L191" s="279">
        <v>8.8185879837616667</v>
      </c>
      <c r="M191" s="279">
        <v>8.5921354420619487</v>
      </c>
      <c r="N191" s="279">
        <v>8.7966522870809136</v>
      </c>
      <c r="O191" s="280">
        <v>7.0873632353873299</v>
      </c>
      <c r="P191" s="280">
        <v>8.0873632353873308</v>
      </c>
      <c r="Q191" s="247">
        <f t="shared" si="8"/>
        <v>0</v>
      </c>
      <c r="R191" s="229"/>
      <c r="S191" s="229"/>
      <c r="T191" s="229"/>
      <c r="U191" s="229"/>
      <c r="V191" s="229"/>
      <c r="W191" s="229"/>
      <c r="X191" s="229"/>
    </row>
    <row r="192" spans="1:24" ht="15.75" hidden="1">
      <c r="A192" s="347"/>
      <c r="B192" s="348"/>
      <c r="C192" s="279"/>
      <c r="D192" s="279"/>
      <c r="E192" s="279"/>
      <c r="F192" s="279"/>
      <c r="G192" s="279"/>
      <c r="H192" s="279"/>
      <c r="I192" s="279"/>
      <c r="J192" s="279"/>
      <c r="K192" s="279"/>
      <c r="L192" s="279"/>
      <c r="M192" s="279"/>
      <c r="N192" s="279"/>
      <c r="O192" s="280"/>
      <c r="P192" s="280"/>
      <c r="Q192" s="247">
        <f t="shared" si="8"/>
        <v>0</v>
      </c>
      <c r="R192" s="229"/>
      <c r="S192" s="229"/>
      <c r="T192" s="229"/>
      <c r="U192" s="229"/>
      <c r="V192" s="229"/>
      <c r="W192" s="229"/>
      <c r="X192" s="229"/>
    </row>
    <row r="193" spans="1:24" ht="15.75" hidden="1">
      <c r="A193" s="347"/>
      <c r="B193" s="348"/>
      <c r="C193" s="279"/>
      <c r="D193" s="279"/>
      <c r="E193" s="279"/>
      <c r="F193" s="279"/>
      <c r="G193" s="279"/>
      <c r="H193" s="279"/>
      <c r="I193" s="279"/>
      <c r="J193" s="279"/>
      <c r="K193" s="279"/>
      <c r="L193" s="279"/>
      <c r="M193" s="279"/>
      <c r="N193" s="279"/>
      <c r="O193" s="280"/>
      <c r="P193" s="280"/>
      <c r="Q193" s="247">
        <f t="shared" si="8"/>
        <v>0</v>
      </c>
      <c r="R193" s="229"/>
      <c r="S193" s="229"/>
      <c r="T193" s="229"/>
      <c r="U193" s="229"/>
      <c r="V193" s="229"/>
      <c r="W193" s="229"/>
      <c r="X193" s="229"/>
    </row>
    <row r="194" spans="1:24" ht="15.75" hidden="1">
      <c r="A194" s="347" t="s">
        <v>366</v>
      </c>
      <c r="B194" s="348"/>
      <c r="C194" s="283">
        <v>0.74422266401590464</v>
      </c>
      <c r="D194" s="283">
        <v>0.66649542792561389</v>
      </c>
      <c r="E194" s="283">
        <v>0.48393223117912287</v>
      </c>
      <c r="F194" s="283">
        <v>0.44204494297719088</v>
      </c>
      <c r="G194" s="283">
        <v>0.57042376931655248</v>
      </c>
      <c r="H194" s="283">
        <v>0.69626460676616053</v>
      </c>
      <c r="I194" s="283">
        <v>0.98584995251661933</v>
      </c>
      <c r="J194" s="283">
        <v>0.98</v>
      </c>
      <c r="K194" s="283">
        <v>0.87850000000000017</v>
      </c>
      <c r="L194" s="283">
        <v>0.77</v>
      </c>
      <c r="M194" s="283">
        <v>0.68110000000000015</v>
      </c>
      <c r="N194" s="283">
        <v>0.6895</v>
      </c>
      <c r="O194" s="282">
        <v>13.283240251027786</v>
      </c>
      <c r="P194" s="282">
        <v>14.2832402510278</v>
      </c>
      <c r="Q194" s="247">
        <f t="shared" si="8"/>
        <v>0</v>
      </c>
      <c r="R194" s="229"/>
      <c r="S194" s="229"/>
      <c r="T194" s="229"/>
      <c r="U194" s="229"/>
      <c r="V194" s="229"/>
      <c r="W194" s="229"/>
      <c r="X194" s="229"/>
    </row>
    <row r="195" spans="1:24" ht="15.75" hidden="1">
      <c r="A195" s="347"/>
      <c r="B195" s="348"/>
      <c r="C195" s="286">
        <v>10.047005964214712</v>
      </c>
      <c r="D195" s="286">
        <v>8.9976882769957882</v>
      </c>
      <c r="E195" s="286">
        <v>10.16257685476158</v>
      </c>
      <c r="F195" s="286">
        <v>9.2829438025210074</v>
      </c>
      <c r="G195" s="286">
        <v>11.978899155647602</v>
      </c>
      <c r="H195" s="286">
        <v>14.62155674208937</v>
      </c>
      <c r="I195" s="286">
        <v>15.069420702754037</v>
      </c>
      <c r="J195" s="286">
        <v>14.98</v>
      </c>
      <c r="K195" s="286">
        <v>13.428500000000001</v>
      </c>
      <c r="L195" s="286">
        <v>11.77</v>
      </c>
      <c r="M195" s="286">
        <v>10.411100000000001</v>
      </c>
      <c r="N195" s="286">
        <v>10.5395</v>
      </c>
      <c r="O195" s="280"/>
      <c r="P195" s="280"/>
      <c r="Q195" s="247">
        <f t="shared" si="8"/>
        <v>0</v>
      </c>
      <c r="R195" s="229"/>
      <c r="S195" s="229"/>
      <c r="T195" s="229"/>
      <c r="U195" s="229"/>
      <c r="V195" s="229"/>
      <c r="W195" s="229"/>
      <c r="X195" s="229"/>
    </row>
    <row r="196" spans="1:24" ht="15.75" hidden="1">
      <c r="A196" s="347"/>
      <c r="B196" s="348"/>
      <c r="C196" s="279"/>
      <c r="D196" s="279"/>
      <c r="E196" s="279"/>
      <c r="F196" s="279"/>
      <c r="G196" s="279"/>
      <c r="H196" s="279"/>
      <c r="I196" s="279"/>
      <c r="J196" s="279"/>
      <c r="K196" s="279"/>
      <c r="L196" s="279"/>
      <c r="M196" s="279"/>
      <c r="N196" s="279"/>
      <c r="O196" s="280"/>
      <c r="P196" s="280"/>
      <c r="Q196" s="247">
        <f t="shared" si="8"/>
        <v>0</v>
      </c>
      <c r="R196" s="229"/>
      <c r="S196" s="229"/>
      <c r="T196" s="229"/>
      <c r="U196" s="229"/>
      <c r="V196" s="229"/>
      <c r="W196" s="229"/>
      <c r="X196" s="229"/>
    </row>
    <row r="197" spans="1:24" ht="15.75" hidden="1">
      <c r="A197" s="347" t="s">
        <v>367</v>
      </c>
      <c r="B197" s="348"/>
      <c r="C197" s="283">
        <v>0.13489165009940357</v>
      </c>
      <c r="D197" s="283">
        <v>0.11789479091749717</v>
      </c>
      <c r="E197" s="283">
        <v>0.11750512365077195</v>
      </c>
      <c r="F197" s="283">
        <v>0.11802220888355341</v>
      </c>
      <c r="G197" s="283">
        <v>0.11567468535924805</v>
      </c>
      <c r="H197" s="283">
        <v>0.13052124819466934</v>
      </c>
      <c r="I197" s="283">
        <v>0.11890581774639745</v>
      </c>
      <c r="J197" s="283">
        <v>0.17466057587898307</v>
      </c>
      <c r="K197" s="283">
        <v>0.19</v>
      </c>
      <c r="L197" s="283">
        <v>0.14800000000000002</v>
      </c>
      <c r="M197" s="283">
        <v>0.13600000000000001</v>
      </c>
      <c r="N197" s="283">
        <v>0.1376</v>
      </c>
      <c r="O197" s="280"/>
      <c r="P197" s="280"/>
      <c r="Q197" s="247">
        <f t="shared" si="8"/>
        <v>0</v>
      </c>
      <c r="R197" s="229"/>
      <c r="S197" s="229"/>
      <c r="T197" s="229"/>
      <c r="U197" s="229"/>
      <c r="V197" s="229"/>
      <c r="W197" s="229"/>
      <c r="X197" s="229"/>
    </row>
    <row r="198" spans="1:24" ht="15.75" hidden="1">
      <c r="A198" s="347"/>
      <c r="B198" s="348"/>
      <c r="C198" s="283">
        <v>6.8794741550695822</v>
      </c>
      <c r="D198" s="283">
        <v>6.012634336792356</v>
      </c>
      <c r="E198" s="283">
        <v>5.9927613061893696</v>
      </c>
      <c r="F198" s="283">
        <v>6.0191326530612237</v>
      </c>
      <c r="G198" s="283">
        <v>5.8994089533216503</v>
      </c>
      <c r="H198" s="283">
        <v>6.6565836579281363</v>
      </c>
      <c r="I198" s="283">
        <v>6.0641967050662702</v>
      </c>
      <c r="J198" s="283">
        <v>8.9076893698281356</v>
      </c>
      <c r="K198" s="283">
        <v>9.69</v>
      </c>
      <c r="L198" s="283">
        <v>7.548</v>
      </c>
      <c r="M198" s="283">
        <v>6.9359999999999999</v>
      </c>
      <c r="N198" s="283">
        <v>7.0175999999999998</v>
      </c>
      <c r="O198" s="280"/>
      <c r="P198" s="280"/>
      <c r="Q198" s="247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9"/>
      <c r="S198" s="229"/>
      <c r="T198" s="229"/>
      <c r="U198" s="229"/>
      <c r="V198" s="229"/>
      <c r="W198" s="229"/>
      <c r="X198" s="229"/>
    </row>
    <row r="199" spans="1:24" ht="15.75" hidden="1">
      <c r="A199" s="347"/>
      <c r="B199" s="348"/>
      <c r="C199" s="279"/>
      <c r="D199" s="279"/>
      <c r="E199" s="279"/>
      <c r="F199" s="279"/>
      <c r="G199" s="279"/>
      <c r="H199" s="279"/>
      <c r="I199" s="279"/>
      <c r="J199" s="279"/>
      <c r="K199" s="279"/>
      <c r="L199" s="279"/>
      <c r="M199" s="279"/>
      <c r="N199" s="279"/>
      <c r="O199" s="280"/>
      <c r="P199" s="280"/>
      <c r="Q199" s="247">
        <f t="shared" si="9"/>
        <v>0</v>
      </c>
      <c r="R199" s="229"/>
      <c r="S199" s="229"/>
      <c r="T199" s="229"/>
      <c r="U199" s="229"/>
      <c r="V199" s="229"/>
      <c r="W199" s="229"/>
      <c r="X199" s="229"/>
    </row>
    <row r="200" spans="1:24" ht="15.75" hidden="1">
      <c r="A200" s="347"/>
      <c r="B200" s="348"/>
      <c r="C200" s="283">
        <v>0.4730914512922465</v>
      </c>
      <c r="D200" s="283">
        <v>0.49210931881228803</v>
      </c>
      <c r="E200" s="283">
        <v>0.37746504531584463</v>
      </c>
      <c r="F200" s="283">
        <v>0.38100240096038418</v>
      </c>
      <c r="G200" s="283">
        <v>0.31473633901545328</v>
      </c>
      <c r="H200" s="283">
        <v>0.35712722657446716</v>
      </c>
      <c r="I200" s="283">
        <v>0.36238490441388993</v>
      </c>
      <c r="J200" s="283">
        <v>0.32</v>
      </c>
      <c r="K200" s="283">
        <v>0.32</v>
      </c>
      <c r="L200" s="283">
        <v>0.5</v>
      </c>
      <c r="M200" s="283">
        <v>0.50600000000000001</v>
      </c>
      <c r="N200" s="283">
        <v>0.54</v>
      </c>
      <c r="O200" s="280"/>
      <c r="P200" s="280"/>
      <c r="Q200" s="247">
        <f t="shared" si="9"/>
        <v>0</v>
      </c>
      <c r="R200" s="229"/>
      <c r="S200" s="229"/>
      <c r="T200" s="229"/>
      <c r="U200" s="229"/>
      <c r="V200" s="229"/>
      <c r="W200" s="229"/>
      <c r="X200" s="229"/>
    </row>
    <row r="201" spans="1:24" ht="15.75" hidden="1">
      <c r="A201" s="347"/>
      <c r="B201" s="348"/>
      <c r="C201" s="283">
        <v>2.8385487077534788</v>
      </c>
      <c r="D201" s="283">
        <v>2.9526559128737278</v>
      </c>
      <c r="E201" s="283">
        <v>2.2647902718950679</v>
      </c>
      <c r="F201" s="283">
        <v>2.2860144057623049</v>
      </c>
      <c r="G201" s="283">
        <v>1.8884180340927195</v>
      </c>
      <c r="H201" s="283">
        <v>2.142763359446803</v>
      </c>
      <c r="I201" s="283">
        <v>2.1743094264833394</v>
      </c>
      <c r="J201" s="283">
        <v>1.92</v>
      </c>
      <c r="K201" s="283">
        <v>1.92</v>
      </c>
      <c r="L201" s="283">
        <v>3</v>
      </c>
      <c r="M201" s="283">
        <v>3.0359999999999996</v>
      </c>
      <c r="N201" s="283">
        <v>3.24</v>
      </c>
      <c r="O201" s="280"/>
      <c r="P201" s="280"/>
      <c r="Q201" s="247">
        <f t="shared" si="9"/>
        <v>0</v>
      </c>
      <c r="R201" s="229"/>
      <c r="S201" s="229"/>
      <c r="T201" s="229"/>
      <c r="U201" s="229"/>
      <c r="V201" s="229"/>
      <c r="W201" s="229"/>
      <c r="X201" s="229"/>
    </row>
    <row r="202" spans="1:24" ht="15.75" hidden="1">
      <c r="A202" s="347"/>
      <c r="B202" s="348"/>
      <c r="C202" s="279"/>
      <c r="D202" s="279"/>
      <c r="E202" s="279"/>
      <c r="F202" s="279"/>
      <c r="G202" s="279"/>
      <c r="H202" s="279"/>
      <c r="I202" s="279"/>
      <c r="J202" s="279"/>
      <c r="K202" s="279"/>
      <c r="L202" s="279"/>
      <c r="M202" s="279"/>
      <c r="N202" s="279"/>
      <c r="O202" s="280"/>
      <c r="P202" s="280"/>
      <c r="Q202" s="247">
        <f t="shared" si="9"/>
        <v>0</v>
      </c>
      <c r="R202" s="229"/>
      <c r="S202" s="229"/>
      <c r="T202" s="229"/>
      <c r="U202" s="229"/>
      <c r="V202" s="229"/>
      <c r="W202" s="229"/>
      <c r="X202" s="229"/>
    </row>
    <row r="203" spans="1:24" ht="15.75" hidden="1">
      <c r="A203" s="347"/>
      <c r="B203" s="348"/>
      <c r="C203" s="279"/>
      <c r="D203" s="279"/>
      <c r="E203" s="279"/>
      <c r="F203" s="279"/>
      <c r="G203" s="279"/>
      <c r="H203" s="279"/>
      <c r="I203" s="279"/>
      <c r="J203" s="279"/>
      <c r="K203" s="279"/>
      <c r="L203" s="279"/>
      <c r="M203" s="279"/>
      <c r="N203" s="279"/>
      <c r="O203" s="280"/>
      <c r="P203" s="280"/>
      <c r="Q203" s="247">
        <f t="shared" si="9"/>
        <v>0</v>
      </c>
      <c r="R203" s="229"/>
      <c r="S203" s="229"/>
      <c r="T203" s="229"/>
      <c r="U203" s="229"/>
      <c r="V203" s="229"/>
      <c r="W203" s="229"/>
      <c r="X203" s="229"/>
    </row>
    <row r="204" spans="1:24" ht="15.75" hidden="1">
      <c r="A204" s="347"/>
      <c r="B204" s="348"/>
      <c r="C204" s="279"/>
      <c r="D204" s="279"/>
      <c r="E204" s="279"/>
      <c r="F204" s="279"/>
      <c r="G204" s="279"/>
      <c r="H204" s="279"/>
      <c r="I204" s="279"/>
      <c r="J204" s="279"/>
      <c r="K204" s="279"/>
      <c r="L204" s="279"/>
      <c r="M204" s="279"/>
      <c r="N204" s="279"/>
      <c r="O204" s="280"/>
      <c r="P204" s="280"/>
      <c r="Q204" s="247">
        <f t="shared" si="9"/>
        <v>0</v>
      </c>
      <c r="R204" s="229"/>
      <c r="S204" s="229"/>
      <c r="T204" s="229"/>
      <c r="U204" s="229"/>
      <c r="V204" s="229"/>
      <c r="W204" s="229"/>
      <c r="X204" s="229"/>
    </row>
    <row r="205" spans="1:24" ht="15.75" hidden="1">
      <c r="A205" s="347"/>
      <c r="B205" s="348"/>
      <c r="C205" s="283">
        <v>3.7499999999999999E-3</v>
      </c>
      <c r="D205" s="283">
        <v>5.2500000000000003E-3</v>
      </c>
      <c r="E205" s="283">
        <v>4.4165869654324364E-3</v>
      </c>
      <c r="F205" s="283">
        <v>8.7616296518607441E-3</v>
      </c>
      <c r="G205" s="283">
        <v>8.441532579257607E-3</v>
      </c>
      <c r="H205" s="283">
        <v>5.2584358177600772E-3</v>
      </c>
      <c r="I205" s="283">
        <v>6.7508980552458816E-3</v>
      </c>
      <c r="J205" s="283">
        <v>1.125E-2</v>
      </c>
      <c r="K205" s="283">
        <v>1.125E-2</v>
      </c>
      <c r="L205" s="283">
        <v>1.125E-2</v>
      </c>
      <c r="M205" s="283">
        <v>1.125E-2</v>
      </c>
      <c r="N205" s="283">
        <v>1.125E-2</v>
      </c>
      <c r="O205" s="280"/>
      <c r="P205" s="280"/>
      <c r="Q205" s="247">
        <f t="shared" si="9"/>
        <v>0</v>
      </c>
      <c r="R205" s="229"/>
      <c r="S205" s="229"/>
      <c r="T205" s="229"/>
      <c r="U205" s="229"/>
      <c r="V205" s="229"/>
      <c r="W205" s="229"/>
      <c r="X205" s="229"/>
    </row>
    <row r="206" spans="1:24" ht="15.75" hidden="1">
      <c r="A206" s="347"/>
      <c r="B206" s="348"/>
      <c r="C206" s="283">
        <v>5.3749999999999999E-2</v>
      </c>
      <c r="D206" s="283">
        <v>7.5250000000000011E-2</v>
      </c>
      <c r="E206" s="283">
        <v>6.3304413171198254E-2</v>
      </c>
      <c r="F206" s="283">
        <v>0.12558335834333734</v>
      </c>
      <c r="G206" s="283">
        <v>0.12099530030269236</v>
      </c>
      <c r="H206" s="283">
        <v>7.5370913387894437E-2</v>
      </c>
      <c r="I206" s="283">
        <v>9.6762872125190968E-2</v>
      </c>
      <c r="J206" s="283">
        <v>0.16125</v>
      </c>
      <c r="K206" s="283">
        <v>0.16125</v>
      </c>
      <c r="L206" s="283">
        <v>0.16125</v>
      </c>
      <c r="M206" s="283">
        <v>0.16125</v>
      </c>
      <c r="N206" s="283">
        <v>0.16125</v>
      </c>
      <c r="O206" s="280"/>
      <c r="P206" s="280"/>
      <c r="Q206" s="247">
        <f t="shared" si="9"/>
        <v>0</v>
      </c>
      <c r="R206" s="229"/>
      <c r="S206" s="229"/>
      <c r="T206" s="229"/>
      <c r="U206" s="229"/>
      <c r="V206" s="229"/>
      <c r="W206" s="229"/>
      <c r="X206" s="229"/>
    </row>
    <row r="207" spans="1:24" ht="15.75" hidden="1">
      <c r="A207" s="347"/>
      <c r="B207" s="348"/>
      <c r="C207" s="279"/>
      <c r="D207" s="279"/>
      <c r="E207" s="279"/>
      <c r="F207" s="279"/>
      <c r="G207" s="279"/>
      <c r="H207" s="279"/>
      <c r="I207" s="279"/>
      <c r="J207" s="279"/>
      <c r="K207" s="279"/>
      <c r="L207" s="279"/>
      <c r="M207" s="279"/>
      <c r="N207" s="279"/>
      <c r="O207" s="280"/>
      <c r="P207" s="280"/>
      <c r="Q207" s="247">
        <f t="shared" si="9"/>
        <v>0</v>
      </c>
      <c r="R207" s="229"/>
      <c r="S207" s="229"/>
      <c r="T207" s="229"/>
      <c r="U207" s="229"/>
      <c r="V207" s="229"/>
      <c r="W207" s="229"/>
      <c r="X207" s="229"/>
    </row>
    <row r="208" spans="1:24" ht="15.75" hidden="1">
      <c r="A208" s="347"/>
      <c r="B208" s="348"/>
      <c r="C208" s="279"/>
      <c r="D208" s="279"/>
      <c r="E208" s="279"/>
      <c r="F208" s="279"/>
      <c r="G208" s="279"/>
      <c r="H208" s="279"/>
      <c r="I208" s="279">
        <v>0</v>
      </c>
      <c r="J208" s="279">
        <v>0</v>
      </c>
      <c r="K208" s="279">
        <v>0</v>
      </c>
      <c r="L208" s="279">
        <v>0</v>
      </c>
      <c r="M208" s="279">
        <v>0</v>
      </c>
      <c r="N208" s="279">
        <v>0</v>
      </c>
      <c r="O208" s="280"/>
      <c r="P208" s="280"/>
      <c r="Q208" s="247">
        <f t="shared" si="9"/>
        <v>0</v>
      </c>
      <c r="R208" s="229"/>
      <c r="S208" s="229"/>
      <c r="T208" s="229"/>
      <c r="U208" s="229"/>
      <c r="V208" s="229"/>
      <c r="W208" s="229"/>
      <c r="X208" s="229"/>
    </row>
    <row r="209" spans="1:24" ht="15.75" hidden="1">
      <c r="A209" s="347"/>
      <c r="B209" s="348"/>
      <c r="C209" s="279"/>
      <c r="D209" s="279"/>
      <c r="E209" s="279"/>
      <c r="F209" s="279"/>
      <c r="G209" s="279"/>
      <c r="H209" s="279"/>
      <c r="I209" s="279">
        <v>0</v>
      </c>
      <c r="J209" s="279">
        <v>0</v>
      </c>
      <c r="K209" s="279">
        <v>0</v>
      </c>
      <c r="L209" s="279">
        <v>0</v>
      </c>
      <c r="M209" s="279">
        <v>0</v>
      </c>
      <c r="N209" s="279">
        <v>0</v>
      </c>
      <c r="O209" s="280"/>
      <c r="P209" s="280"/>
      <c r="Q209" s="247">
        <f t="shared" si="9"/>
        <v>0</v>
      </c>
      <c r="R209" s="229"/>
      <c r="S209" s="229"/>
      <c r="T209" s="229"/>
      <c r="U209" s="229"/>
      <c r="V209" s="229"/>
      <c r="W209" s="229"/>
      <c r="X209" s="229"/>
    </row>
    <row r="210" spans="1:24" ht="15.75" hidden="1">
      <c r="A210" s="347"/>
      <c r="B210" s="348"/>
      <c r="C210" s="279"/>
      <c r="D210" s="279"/>
      <c r="E210" s="279"/>
      <c r="F210" s="279"/>
      <c r="G210" s="279"/>
      <c r="H210" s="279"/>
      <c r="I210" s="279"/>
      <c r="J210" s="279"/>
      <c r="K210" s="279"/>
      <c r="L210" s="279"/>
      <c r="M210" s="279"/>
      <c r="N210" s="279"/>
      <c r="O210" s="280"/>
      <c r="P210" s="280"/>
      <c r="Q210" s="247">
        <f t="shared" si="9"/>
        <v>0</v>
      </c>
      <c r="R210" s="229"/>
      <c r="S210" s="229"/>
      <c r="T210" s="229"/>
      <c r="U210" s="229"/>
      <c r="V210" s="229"/>
      <c r="W210" s="229"/>
      <c r="X210" s="229"/>
    </row>
    <row r="211" spans="1:24" ht="15.75" hidden="1">
      <c r="A211" s="347"/>
      <c r="B211" s="348"/>
      <c r="C211" s="283">
        <v>1.6500000000000001E-2</v>
      </c>
      <c r="D211" s="283">
        <v>1.7999999999999999E-2</v>
      </c>
      <c r="E211" s="283">
        <v>1.6500000000000001E-2</v>
      </c>
      <c r="F211" s="283">
        <v>1.9301470588235291E-2</v>
      </c>
      <c r="G211" s="283">
        <v>2.5354468695236578E-2</v>
      </c>
      <c r="H211" s="283">
        <v>2.3843494244824716E-2</v>
      </c>
      <c r="I211" s="283">
        <v>1.8976836368140716E-2</v>
      </c>
      <c r="J211" s="283">
        <v>2.4750000000000001E-2</v>
      </c>
      <c r="K211" s="283">
        <v>2.4750000000000001E-2</v>
      </c>
      <c r="L211" s="283">
        <v>2.4750000000000001E-2</v>
      </c>
      <c r="M211" s="283">
        <v>2.4750000000000001E-2</v>
      </c>
      <c r="N211" s="283">
        <v>2.4750000000000001E-2</v>
      </c>
      <c r="O211" s="280"/>
      <c r="P211" s="280"/>
      <c r="Q211" s="247">
        <f t="shared" si="9"/>
        <v>0</v>
      </c>
      <c r="R211" s="229"/>
      <c r="S211" s="229"/>
      <c r="T211" s="229"/>
      <c r="U211" s="229"/>
      <c r="V211" s="229"/>
      <c r="W211" s="229"/>
      <c r="X211" s="229"/>
    </row>
    <row r="212" spans="1:24" ht="15.75" hidden="1">
      <c r="A212" s="347"/>
      <c r="B212" s="348"/>
      <c r="C212" s="283">
        <v>0.23649999999999999</v>
      </c>
      <c r="D212" s="283">
        <v>0.25800000000000001</v>
      </c>
      <c r="E212" s="283">
        <v>0.23649999999999999</v>
      </c>
      <c r="F212" s="283">
        <v>0.27665441176470584</v>
      </c>
      <c r="G212" s="283">
        <v>0.36341405129839094</v>
      </c>
      <c r="H212" s="283">
        <v>0.34175675084248763</v>
      </c>
      <c r="I212" s="283">
        <v>0.27200132127668364</v>
      </c>
      <c r="J212" s="283">
        <v>0.35475000000000001</v>
      </c>
      <c r="K212" s="283">
        <v>0.35475000000000001</v>
      </c>
      <c r="L212" s="283">
        <v>0.35475000000000001</v>
      </c>
      <c r="M212" s="283">
        <v>0.35475000000000001</v>
      </c>
      <c r="N212" s="283">
        <v>0.35475000000000001</v>
      </c>
      <c r="O212" s="280"/>
      <c r="P212" s="280"/>
      <c r="Q212" s="247">
        <f t="shared" si="9"/>
        <v>0</v>
      </c>
      <c r="R212" s="229"/>
      <c r="S212" s="229"/>
      <c r="T212" s="229"/>
      <c r="U212" s="229"/>
      <c r="V212" s="229"/>
      <c r="W212" s="229"/>
      <c r="X212" s="229"/>
    </row>
    <row r="213" spans="1:24" ht="15.75" hidden="1">
      <c r="A213" s="347"/>
      <c r="B213" s="348"/>
      <c r="C213" s="279"/>
      <c r="D213" s="279"/>
      <c r="E213" s="279"/>
      <c r="F213" s="279"/>
      <c r="G213" s="279"/>
      <c r="H213" s="279"/>
      <c r="I213" s="279"/>
      <c r="J213" s="279"/>
      <c r="K213" s="279"/>
      <c r="L213" s="279"/>
      <c r="M213" s="279"/>
      <c r="N213" s="279"/>
      <c r="O213" s="280"/>
      <c r="P213" s="280"/>
      <c r="Q213" s="247">
        <f t="shared" si="9"/>
        <v>0</v>
      </c>
      <c r="R213" s="229"/>
      <c r="S213" s="229"/>
      <c r="T213" s="229"/>
      <c r="U213" s="229"/>
      <c r="V213" s="229"/>
      <c r="W213" s="229"/>
      <c r="X213" s="229"/>
    </row>
    <row r="214" spans="1:24" ht="15.75" hidden="1">
      <c r="A214" s="347"/>
      <c r="B214" s="348"/>
      <c r="C214" s="283">
        <v>5.2500000000000003E-3</v>
      </c>
      <c r="D214" s="283">
        <v>5.2500000000000003E-3</v>
      </c>
      <c r="E214" s="283">
        <v>5.2500000000000003E-3</v>
      </c>
      <c r="F214" s="283">
        <v>5.2500000000000003E-3</v>
      </c>
      <c r="G214" s="283">
        <v>5.2500000000000003E-3</v>
      </c>
      <c r="H214" s="283">
        <v>5.2500000000000003E-3</v>
      </c>
      <c r="I214" s="283">
        <v>5.2500000000000003E-3</v>
      </c>
      <c r="J214" s="283">
        <v>5.2500000000000003E-3</v>
      </c>
      <c r="K214" s="283">
        <v>5.2500000000000003E-3</v>
      </c>
      <c r="L214" s="283">
        <v>5.2500000000000003E-3</v>
      </c>
      <c r="M214" s="283">
        <v>5.2500000000000003E-3</v>
      </c>
      <c r="N214" s="283">
        <v>5.2500000000000003E-3</v>
      </c>
      <c r="O214" s="280"/>
      <c r="P214" s="280"/>
      <c r="Q214" s="247">
        <f t="shared" si="9"/>
        <v>0</v>
      </c>
      <c r="R214" s="229"/>
      <c r="S214" s="229"/>
      <c r="T214" s="229"/>
      <c r="U214" s="229"/>
      <c r="V214" s="229"/>
      <c r="W214" s="229"/>
      <c r="X214" s="229"/>
    </row>
    <row r="215" spans="1:24" ht="15.75" hidden="1">
      <c r="A215" s="347"/>
      <c r="B215" s="348"/>
      <c r="C215" s="283">
        <v>7.5250000000000011E-2</v>
      </c>
      <c r="D215" s="283">
        <v>7.5250000000000011E-2</v>
      </c>
      <c r="E215" s="283">
        <v>7.5250000000000011E-2</v>
      </c>
      <c r="F215" s="283">
        <v>7.5250000000000011E-2</v>
      </c>
      <c r="G215" s="283">
        <v>7.5250000000000011E-2</v>
      </c>
      <c r="H215" s="283">
        <v>7.5250000000000011E-2</v>
      </c>
      <c r="I215" s="283">
        <v>7.5250000000000011E-2</v>
      </c>
      <c r="J215" s="283">
        <v>7.5250000000000011E-2</v>
      </c>
      <c r="K215" s="283">
        <v>7.5250000000000011E-2</v>
      </c>
      <c r="L215" s="283">
        <v>7.5250000000000011E-2</v>
      </c>
      <c r="M215" s="283">
        <v>7.5250000000000011E-2</v>
      </c>
      <c r="N215" s="283">
        <v>7.5250000000000011E-2</v>
      </c>
      <c r="O215" s="280"/>
      <c r="P215" s="280"/>
      <c r="Q215" s="247">
        <f t="shared" si="9"/>
        <v>0</v>
      </c>
      <c r="R215" s="229"/>
      <c r="S215" s="229"/>
      <c r="T215" s="229"/>
      <c r="U215" s="229"/>
      <c r="V215" s="229"/>
      <c r="W215" s="229"/>
      <c r="X215" s="229"/>
    </row>
    <row r="216" spans="1:24" ht="15.75" hidden="1">
      <c r="A216" s="347"/>
      <c r="B216" s="348"/>
      <c r="C216" s="279"/>
      <c r="D216" s="279"/>
      <c r="E216" s="279"/>
      <c r="F216" s="279"/>
      <c r="G216" s="279"/>
      <c r="H216" s="279"/>
      <c r="I216" s="279"/>
      <c r="J216" s="279"/>
      <c r="K216" s="279"/>
      <c r="L216" s="279"/>
      <c r="M216" s="279"/>
      <c r="N216" s="279"/>
      <c r="O216" s="280"/>
      <c r="P216" s="280"/>
      <c r="Q216" s="247">
        <f t="shared" si="9"/>
        <v>0</v>
      </c>
      <c r="R216" s="229"/>
      <c r="S216" s="229"/>
      <c r="T216" s="229"/>
      <c r="U216" s="229"/>
      <c r="V216" s="229"/>
      <c r="W216" s="229"/>
      <c r="X216" s="229"/>
    </row>
    <row r="217" spans="1:24" ht="15.75" hidden="1">
      <c r="A217" s="347"/>
      <c r="B217" s="348"/>
      <c r="C217" s="283">
        <v>1.575E-2</v>
      </c>
      <c r="D217" s="283">
        <v>1.95E-2</v>
      </c>
      <c r="E217" s="283">
        <v>6.0000000000000001E-3</v>
      </c>
      <c r="F217" s="283">
        <v>2.5907863145258104E-2</v>
      </c>
      <c r="G217" s="283">
        <v>1.4499362752907438E-2</v>
      </c>
      <c r="H217" s="283">
        <v>3.1097641034618581E-2</v>
      </c>
      <c r="I217" s="283">
        <v>3.2754242536851233E-2</v>
      </c>
      <c r="J217" s="283">
        <v>4.8750000000000002E-2</v>
      </c>
      <c r="K217" s="283">
        <v>3.9750000000000001E-2</v>
      </c>
      <c r="L217" s="283">
        <v>4.1250000000000002E-2</v>
      </c>
      <c r="M217" s="283">
        <v>4.4999999999999998E-2</v>
      </c>
      <c r="N217" s="283">
        <v>4.1250000000000002E-2</v>
      </c>
      <c r="O217" s="280"/>
      <c r="P217" s="280"/>
      <c r="Q217" s="247">
        <f t="shared" si="9"/>
        <v>0</v>
      </c>
      <c r="R217" s="229"/>
      <c r="S217" s="229"/>
      <c r="T217" s="229"/>
      <c r="U217" s="229"/>
      <c r="V217" s="229"/>
      <c r="W217" s="229"/>
      <c r="X217" s="229"/>
    </row>
    <row r="218" spans="1:24" ht="15.75" hidden="1">
      <c r="A218" s="347"/>
      <c r="B218" s="348"/>
      <c r="C218" s="283">
        <v>0.22575000000000001</v>
      </c>
      <c r="D218" s="283">
        <v>0.27950000000000003</v>
      </c>
      <c r="E218" s="283">
        <v>8.6000000000000007E-2</v>
      </c>
      <c r="F218" s="283">
        <v>0.37134603841536618</v>
      </c>
      <c r="G218" s="283">
        <v>0.20782419945833996</v>
      </c>
      <c r="H218" s="283">
        <v>0.44573285482953301</v>
      </c>
      <c r="I218" s="283">
        <v>0.46947747636153431</v>
      </c>
      <c r="J218" s="283">
        <v>0.69874999999999998</v>
      </c>
      <c r="K218" s="283">
        <v>0.56974999999999998</v>
      </c>
      <c r="L218" s="283">
        <v>0.59125000000000005</v>
      </c>
      <c r="M218" s="283">
        <v>0.64500000000000002</v>
      </c>
      <c r="N218" s="283">
        <v>0.59125000000000005</v>
      </c>
      <c r="O218" s="280"/>
      <c r="P218" s="280"/>
      <c r="Q218" s="247">
        <f t="shared" si="9"/>
        <v>0</v>
      </c>
      <c r="R218" s="229"/>
      <c r="S218" s="229"/>
      <c r="T218" s="229"/>
      <c r="U218" s="229"/>
      <c r="V218" s="229"/>
      <c r="W218" s="229"/>
      <c r="X218" s="229"/>
    </row>
    <row r="219" spans="1:24" ht="15.75" hidden="1">
      <c r="A219" s="347"/>
      <c r="B219" s="348"/>
      <c r="C219" s="279"/>
      <c r="D219" s="279"/>
      <c r="E219" s="279"/>
      <c r="F219" s="279"/>
      <c r="G219" s="279"/>
      <c r="H219" s="279"/>
      <c r="I219" s="279"/>
      <c r="J219" s="279"/>
      <c r="K219" s="279"/>
      <c r="L219" s="279"/>
      <c r="M219" s="279"/>
      <c r="N219" s="279"/>
      <c r="O219" s="280"/>
      <c r="P219" s="280"/>
      <c r="Q219" s="247">
        <f t="shared" si="9"/>
        <v>0</v>
      </c>
      <c r="R219" s="229"/>
      <c r="S219" s="229"/>
      <c r="T219" s="229"/>
      <c r="U219" s="229"/>
      <c r="V219" s="229"/>
      <c r="W219" s="229"/>
      <c r="X219" s="229"/>
    </row>
    <row r="220" spans="1:24" ht="15.75" hidden="1">
      <c r="A220" s="347"/>
      <c r="B220" s="348"/>
      <c r="C220" s="283">
        <v>6.0000000000000001E-3</v>
      </c>
      <c r="D220" s="283">
        <v>1.0500000000000001E-2</v>
      </c>
      <c r="E220" s="283">
        <v>3.0000000000000001E-3</v>
      </c>
      <c r="F220" s="283">
        <v>0</v>
      </c>
      <c r="G220" s="283">
        <v>1.9846264138919868E-2</v>
      </c>
      <c r="H220" s="283">
        <v>3.7747822661823274E-3</v>
      </c>
      <c r="I220" s="283">
        <v>3.4057971014492754E-2</v>
      </c>
      <c r="J220" s="283">
        <v>1.7999999999999999E-2</v>
      </c>
      <c r="K220" s="283">
        <v>1.7999999999999999E-2</v>
      </c>
      <c r="L220" s="283">
        <v>1.7999999999999999E-2</v>
      </c>
      <c r="M220" s="283">
        <v>1.2750000000000001E-2</v>
      </c>
      <c r="N220" s="283">
        <v>1.7999999999999999E-2</v>
      </c>
      <c r="O220" s="280"/>
      <c r="P220" s="280"/>
      <c r="Q220" s="247">
        <f t="shared" si="9"/>
        <v>0</v>
      </c>
      <c r="R220" s="229"/>
      <c r="S220" s="229"/>
      <c r="T220" s="229"/>
      <c r="U220" s="229"/>
      <c r="V220" s="229"/>
      <c r="W220" s="229"/>
      <c r="X220" s="229"/>
    </row>
    <row r="221" spans="1:24" ht="15.75" hidden="1">
      <c r="A221" s="347"/>
      <c r="B221" s="348"/>
      <c r="C221" s="283">
        <v>8.6000000000000007E-2</v>
      </c>
      <c r="D221" s="283">
        <v>0.15050000000000002</v>
      </c>
      <c r="E221" s="283">
        <v>4.3000000000000003E-2</v>
      </c>
      <c r="F221" s="283">
        <v>0</v>
      </c>
      <c r="G221" s="283">
        <v>0.28446311932451812</v>
      </c>
      <c r="H221" s="283">
        <v>5.4105212481946698E-2</v>
      </c>
      <c r="I221" s="283">
        <v>0.48816425120772949</v>
      </c>
      <c r="J221" s="283">
        <v>0.25800000000000001</v>
      </c>
      <c r="K221" s="283">
        <v>0.25800000000000001</v>
      </c>
      <c r="L221" s="283">
        <v>0.25800000000000001</v>
      </c>
      <c r="M221" s="283">
        <v>0.18275000000000002</v>
      </c>
      <c r="N221" s="283">
        <v>0.25800000000000001</v>
      </c>
      <c r="O221" s="280"/>
      <c r="P221" s="280"/>
      <c r="Q221" s="247">
        <f t="shared" si="9"/>
        <v>0</v>
      </c>
      <c r="R221" s="229"/>
      <c r="S221" s="229"/>
      <c r="T221" s="229"/>
      <c r="U221" s="229"/>
      <c r="V221" s="229"/>
      <c r="W221" s="229"/>
      <c r="X221" s="229"/>
    </row>
    <row r="222" spans="1:24" ht="15.75" hidden="1">
      <c r="A222" s="347"/>
      <c r="B222" s="348"/>
      <c r="C222" s="279"/>
      <c r="D222" s="279"/>
      <c r="E222" s="279"/>
      <c r="F222" s="279"/>
      <c r="G222" s="279"/>
      <c r="H222" s="279"/>
      <c r="I222" s="279"/>
      <c r="J222" s="279"/>
      <c r="K222" s="279"/>
      <c r="L222" s="279"/>
      <c r="M222" s="279"/>
      <c r="N222" s="279"/>
      <c r="O222" s="280"/>
      <c r="P222" s="280"/>
      <c r="Q222" s="247">
        <f t="shared" si="9"/>
        <v>0</v>
      </c>
      <c r="R222" s="229"/>
      <c r="S222" s="229"/>
      <c r="T222" s="229"/>
      <c r="U222" s="229"/>
      <c r="V222" s="229"/>
      <c r="W222" s="229"/>
      <c r="X222" s="229"/>
    </row>
    <row r="223" spans="1:24" ht="15.75" hidden="1">
      <c r="A223" s="347"/>
      <c r="B223" s="348"/>
      <c r="C223" s="283">
        <v>0</v>
      </c>
      <c r="D223" s="283">
        <v>7.7057433473749094E-3</v>
      </c>
      <c r="E223" s="283">
        <v>1.71129935783577E-3</v>
      </c>
      <c r="F223" s="283">
        <v>0</v>
      </c>
      <c r="G223" s="283">
        <v>2.7191532579257608E-2</v>
      </c>
      <c r="H223" s="283">
        <v>0</v>
      </c>
      <c r="I223" s="283">
        <v>1.6350798959494612E-2</v>
      </c>
      <c r="J223" s="283">
        <v>8.9999999999999993E-3</v>
      </c>
      <c r="K223" s="283">
        <v>8.9999999999999993E-3</v>
      </c>
      <c r="L223" s="283">
        <v>8.9999999999999993E-3</v>
      </c>
      <c r="M223" s="283">
        <v>8.9999999999999993E-3</v>
      </c>
      <c r="N223" s="283">
        <v>8.9999999999999993E-3</v>
      </c>
      <c r="O223" s="280"/>
      <c r="P223" s="280"/>
      <c r="Q223" s="247">
        <f t="shared" si="9"/>
        <v>0</v>
      </c>
      <c r="R223" s="229"/>
      <c r="S223" s="229"/>
      <c r="T223" s="229"/>
      <c r="U223" s="229"/>
      <c r="V223" s="229"/>
      <c r="W223" s="229"/>
      <c r="X223" s="229"/>
    </row>
    <row r="224" spans="1:24" ht="15.75" hidden="1">
      <c r="A224" s="347"/>
      <c r="B224" s="348"/>
      <c r="C224" s="283">
        <v>0</v>
      </c>
      <c r="D224" s="283">
        <v>0.11044898797904038</v>
      </c>
      <c r="E224" s="283">
        <v>2.4528624128979371E-2</v>
      </c>
      <c r="F224" s="283">
        <v>0</v>
      </c>
      <c r="G224" s="283">
        <v>0.38974530030269239</v>
      </c>
      <c r="H224" s="283">
        <v>0</v>
      </c>
      <c r="I224" s="283">
        <v>0.23436145175275611</v>
      </c>
      <c r="J224" s="283">
        <v>0.129</v>
      </c>
      <c r="K224" s="283">
        <v>0.129</v>
      </c>
      <c r="L224" s="283">
        <v>0.129</v>
      </c>
      <c r="M224" s="283">
        <v>0.129</v>
      </c>
      <c r="N224" s="283">
        <v>0.129</v>
      </c>
      <c r="O224" s="280"/>
      <c r="P224" s="280"/>
      <c r="Q224" s="247">
        <f t="shared" si="9"/>
        <v>0</v>
      </c>
      <c r="R224" s="229"/>
      <c r="S224" s="229"/>
      <c r="T224" s="229"/>
      <c r="U224" s="229"/>
      <c r="V224" s="229"/>
      <c r="W224" s="229"/>
      <c r="X224" s="229"/>
    </row>
    <row r="225" spans="1:24" ht="15.75" hidden="1">
      <c r="A225" s="347"/>
      <c r="B225" s="348"/>
      <c r="C225" s="279"/>
      <c r="D225" s="279"/>
      <c r="E225" s="279"/>
      <c r="F225" s="279"/>
      <c r="G225" s="279"/>
      <c r="H225" s="279"/>
      <c r="I225" s="279"/>
      <c r="J225" s="279"/>
      <c r="K225" s="279"/>
      <c r="L225" s="279"/>
      <c r="M225" s="279"/>
      <c r="N225" s="279"/>
      <c r="O225" s="280"/>
      <c r="P225" s="280"/>
      <c r="Q225" s="247">
        <f t="shared" si="9"/>
        <v>0</v>
      </c>
      <c r="R225" s="229"/>
      <c r="S225" s="229"/>
      <c r="T225" s="229"/>
      <c r="U225" s="229"/>
      <c r="V225" s="229"/>
      <c r="W225" s="229"/>
      <c r="X225" s="229"/>
    </row>
    <row r="226" spans="1:24" ht="15.75" hidden="1">
      <c r="A226" s="347"/>
      <c r="B226" s="348"/>
      <c r="C226" s="279"/>
      <c r="D226" s="279"/>
      <c r="E226" s="279"/>
      <c r="F226" s="279"/>
      <c r="G226" s="279"/>
      <c r="H226" s="279"/>
      <c r="I226" s="279"/>
      <c r="J226" s="279"/>
      <c r="K226" s="279"/>
      <c r="L226" s="279"/>
      <c r="M226" s="279"/>
      <c r="N226" s="279"/>
      <c r="O226" s="280"/>
      <c r="P226" s="280"/>
      <c r="Q226" s="247">
        <f t="shared" si="9"/>
        <v>0</v>
      </c>
      <c r="R226" s="229"/>
      <c r="S226" s="229"/>
      <c r="T226" s="229"/>
      <c r="U226" s="229"/>
      <c r="V226" s="229"/>
      <c r="W226" s="229"/>
      <c r="X226" s="229"/>
    </row>
    <row r="227" spans="1:24" ht="15.75" hidden="1">
      <c r="A227" s="347"/>
      <c r="B227" s="348"/>
      <c r="C227" s="279"/>
      <c r="D227" s="279"/>
      <c r="E227" s="279"/>
      <c r="F227" s="279"/>
      <c r="G227" s="279"/>
      <c r="H227" s="279"/>
      <c r="I227" s="279"/>
      <c r="J227" s="279"/>
      <c r="K227" s="279"/>
      <c r="L227" s="279"/>
      <c r="M227" s="279"/>
      <c r="N227" s="279"/>
      <c r="O227" s="280"/>
      <c r="P227" s="280"/>
      <c r="Q227" s="247">
        <f t="shared" si="9"/>
        <v>0</v>
      </c>
      <c r="R227" s="229"/>
      <c r="S227" s="229"/>
      <c r="T227" s="229"/>
      <c r="U227" s="229"/>
      <c r="V227" s="229"/>
      <c r="W227" s="229"/>
      <c r="X227" s="229"/>
    </row>
    <row r="228" spans="1:24" ht="15.75" hidden="1">
      <c r="A228" s="347"/>
      <c r="B228" s="348"/>
      <c r="C228" s="283">
        <v>2.1899999999999999E-2</v>
      </c>
      <c r="D228" s="283">
        <v>1.4199999999999999E-2</v>
      </c>
      <c r="E228" s="283">
        <v>1.46E-2</v>
      </c>
      <c r="F228" s="283">
        <v>1.3985594237695078E-2</v>
      </c>
      <c r="G228" s="283">
        <v>1.46E-2</v>
      </c>
      <c r="H228" s="283">
        <v>1.46E-2</v>
      </c>
      <c r="I228" s="283">
        <v>1.4029480986002724E-2</v>
      </c>
      <c r="J228" s="283">
        <v>1.8000000000000002E-2</v>
      </c>
      <c r="K228" s="283">
        <v>1.9E-2</v>
      </c>
      <c r="L228" s="283">
        <v>1.8468000000000002E-2</v>
      </c>
      <c r="M228" s="283">
        <v>1.8420000000000002E-2</v>
      </c>
      <c r="N228" s="283">
        <v>1.9355173666995483E-2</v>
      </c>
      <c r="O228" s="280"/>
      <c r="P228" s="280"/>
      <c r="Q228" s="247">
        <f t="shared" si="9"/>
        <v>0</v>
      </c>
      <c r="R228" s="229"/>
      <c r="S228" s="229"/>
      <c r="T228" s="229"/>
      <c r="U228" s="229"/>
      <c r="V228" s="229"/>
      <c r="W228" s="229"/>
      <c r="X228" s="229"/>
    </row>
    <row r="229" spans="1:24" ht="15.75" hidden="1">
      <c r="A229" s="347"/>
      <c r="B229" s="348"/>
      <c r="C229" s="283">
        <v>0.75190000000000001</v>
      </c>
      <c r="D229" s="283">
        <v>0.72419999999999995</v>
      </c>
      <c r="E229" s="283">
        <v>0.74459999999999993</v>
      </c>
      <c r="F229" s="283">
        <v>0.71326530612244898</v>
      </c>
      <c r="G229" s="283">
        <v>0.74459999999999993</v>
      </c>
      <c r="H229" s="283">
        <v>0.74459999999999993</v>
      </c>
      <c r="I229" s="283">
        <v>0.715503530286139</v>
      </c>
      <c r="J229" s="283">
        <v>0.91800000000000004</v>
      </c>
      <c r="K229" s="283">
        <v>0.96899999999999997</v>
      </c>
      <c r="L229" s="283">
        <v>0.94186800000000004</v>
      </c>
      <c r="M229" s="283">
        <v>0.93942000000000003</v>
      </c>
      <c r="N229" s="283">
        <v>0.98711385701676957</v>
      </c>
      <c r="O229" s="280"/>
      <c r="P229" s="280"/>
      <c r="Q229" s="247">
        <f t="shared" si="9"/>
        <v>0</v>
      </c>
      <c r="R229" s="229"/>
      <c r="S229" s="229"/>
      <c r="T229" s="229"/>
      <c r="U229" s="229"/>
      <c r="V229" s="229"/>
      <c r="W229" s="229"/>
      <c r="X229" s="229"/>
    </row>
    <row r="230" spans="1:24" ht="15.75" hidden="1">
      <c r="A230" s="347"/>
      <c r="B230" s="348"/>
      <c r="C230" s="279"/>
      <c r="D230" s="279"/>
      <c r="E230" s="279"/>
      <c r="F230" s="279"/>
      <c r="G230" s="279"/>
      <c r="H230" s="279"/>
      <c r="I230" s="279"/>
      <c r="J230" s="279"/>
      <c r="K230" s="279"/>
      <c r="L230" s="279"/>
      <c r="M230" s="279"/>
      <c r="N230" s="279"/>
      <c r="O230" s="280"/>
      <c r="P230" s="280"/>
      <c r="Q230" s="247">
        <f t="shared" si="9"/>
        <v>0</v>
      </c>
      <c r="R230" s="229"/>
      <c r="S230" s="229"/>
      <c r="T230" s="229"/>
      <c r="U230" s="229"/>
      <c r="V230" s="229"/>
      <c r="W230" s="229"/>
      <c r="X230" s="229"/>
    </row>
    <row r="231" spans="1:24" ht="15.75" hidden="1">
      <c r="A231" s="347"/>
      <c r="B231" s="348"/>
      <c r="C231" s="283">
        <v>1.0450000000000001E-2</v>
      </c>
      <c r="D231" s="283">
        <v>3.0250000000000003E-2</v>
      </c>
      <c r="E231" s="283">
        <v>1.375E-2</v>
      </c>
      <c r="F231" s="283">
        <v>1.6007277911164464E-2</v>
      </c>
      <c r="G231" s="283">
        <v>1.6680938346343797E-2</v>
      </c>
      <c r="H231" s="283">
        <v>3.961376865508337E-2</v>
      </c>
      <c r="I231" s="283">
        <v>6.4994425863991082E-2</v>
      </c>
      <c r="J231" s="283">
        <v>7.1249999999999994E-2</v>
      </c>
      <c r="K231" s="283">
        <v>7.1249999999999994E-2</v>
      </c>
      <c r="L231" s="283">
        <v>4.9500000000000002E-2</v>
      </c>
      <c r="M231" s="283">
        <v>4.9500000000000002E-2</v>
      </c>
      <c r="N231" s="283">
        <v>4.9500000000000002E-2</v>
      </c>
      <c r="O231" s="280"/>
      <c r="P231" s="280"/>
      <c r="Q231" s="247">
        <f t="shared" si="9"/>
        <v>0</v>
      </c>
      <c r="R231" s="229"/>
      <c r="S231" s="229"/>
      <c r="T231" s="229"/>
      <c r="U231" s="229"/>
      <c r="V231" s="229"/>
      <c r="W231" s="229"/>
      <c r="X231" s="229"/>
    </row>
    <row r="232" spans="1:24" ht="15.75" hidden="1">
      <c r="A232" s="347"/>
      <c r="B232" s="348"/>
      <c r="C232" s="283">
        <v>0.20045000000000002</v>
      </c>
      <c r="D232" s="283">
        <v>0.58025000000000004</v>
      </c>
      <c r="E232" s="283">
        <v>0.26374999999999998</v>
      </c>
      <c r="F232" s="283">
        <v>0.3070486944777911</v>
      </c>
      <c r="G232" s="283">
        <v>0.31997072646168556</v>
      </c>
      <c r="H232" s="283">
        <v>0.7598641078384174</v>
      </c>
      <c r="I232" s="283">
        <v>0.93158677071720553</v>
      </c>
      <c r="J232" s="283">
        <v>1.02125</v>
      </c>
      <c r="K232" s="283">
        <v>1.02125</v>
      </c>
      <c r="L232" s="283">
        <v>0.94950000000000001</v>
      </c>
      <c r="M232" s="283">
        <v>0.94950000000000001</v>
      </c>
      <c r="N232" s="283">
        <v>0.94950000000000001</v>
      </c>
      <c r="O232" s="280"/>
      <c r="P232" s="280"/>
      <c r="Q232" s="247">
        <f t="shared" si="9"/>
        <v>0</v>
      </c>
      <c r="R232" s="229"/>
      <c r="S232" s="229"/>
      <c r="T232" s="229"/>
      <c r="U232" s="229"/>
      <c r="V232" s="229"/>
      <c r="W232" s="229"/>
      <c r="X232" s="229"/>
    </row>
    <row r="233" spans="1:24" ht="15.75" hidden="1">
      <c r="A233" s="347"/>
      <c r="B233" s="348"/>
      <c r="C233" s="279"/>
      <c r="D233" s="279"/>
      <c r="E233" s="279"/>
      <c r="F233" s="279"/>
      <c r="G233" s="279"/>
      <c r="H233" s="279"/>
      <c r="I233" s="279"/>
      <c r="J233" s="279"/>
      <c r="K233" s="279"/>
      <c r="L233" s="279"/>
      <c r="M233" s="279"/>
      <c r="N233" s="279"/>
      <c r="O233" s="280"/>
      <c r="P233" s="280"/>
      <c r="Q233" s="247">
        <f t="shared" si="9"/>
        <v>0</v>
      </c>
      <c r="R233" s="229"/>
      <c r="S233" s="229"/>
      <c r="T233" s="229"/>
      <c r="U233" s="229"/>
      <c r="V233" s="229"/>
      <c r="W233" s="229"/>
      <c r="X233" s="229"/>
    </row>
    <row r="234" spans="1:24" ht="15.75" hidden="1">
      <c r="A234" s="347"/>
      <c r="B234" s="348"/>
      <c r="C234" s="279"/>
      <c r="D234" s="279"/>
      <c r="E234" s="279"/>
      <c r="F234" s="279"/>
      <c r="G234" s="279"/>
      <c r="H234" s="279"/>
      <c r="I234" s="279"/>
      <c r="J234" s="279"/>
      <c r="K234" s="279"/>
      <c r="L234" s="279"/>
      <c r="M234" s="279"/>
      <c r="N234" s="279"/>
      <c r="O234" s="280"/>
      <c r="P234" s="280"/>
      <c r="Q234" s="247">
        <f t="shared" si="9"/>
        <v>0</v>
      </c>
      <c r="R234" s="229"/>
      <c r="S234" s="229"/>
      <c r="T234" s="229"/>
      <c r="U234" s="229"/>
      <c r="V234" s="229"/>
      <c r="W234" s="229"/>
      <c r="X234" s="229"/>
    </row>
    <row r="235" spans="1:24" ht="15.75" hidden="1">
      <c r="A235" s="347" t="s">
        <v>368</v>
      </c>
      <c r="B235" s="348"/>
      <c r="C235" s="283">
        <v>1.0500000000000001E-2</v>
      </c>
      <c r="D235" s="283">
        <v>2.4500000000000001E-2</v>
      </c>
      <c r="E235" s="283">
        <v>0</v>
      </c>
      <c r="F235" s="283">
        <v>1.6557247899159664E-2</v>
      </c>
      <c r="G235" s="283">
        <v>1.4926716584355584E-2</v>
      </c>
      <c r="H235" s="283">
        <v>2.2088494025996764E-2</v>
      </c>
      <c r="I235" s="283">
        <v>4.5897848796399524E-3</v>
      </c>
      <c r="J235" s="283">
        <v>4.6900000000000004E-2</v>
      </c>
      <c r="K235" s="283">
        <v>4.5500000000000006E-2</v>
      </c>
      <c r="L235" s="283">
        <v>4.9000000000000002E-2</v>
      </c>
      <c r="M235" s="283">
        <v>4.4100000000000007E-2</v>
      </c>
      <c r="N235" s="283">
        <v>4.2000000000000003E-2</v>
      </c>
      <c r="O235" s="280"/>
      <c r="P235" s="280"/>
      <c r="Q235" s="247">
        <f t="shared" si="9"/>
        <v>0</v>
      </c>
      <c r="R235" s="229"/>
      <c r="S235" s="229"/>
      <c r="T235" s="229"/>
      <c r="U235" s="229"/>
      <c r="V235" s="229"/>
      <c r="W235" s="229"/>
      <c r="X235" s="229"/>
    </row>
    <row r="236" spans="1:24" ht="15.75" hidden="1">
      <c r="A236" s="347"/>
      <c r="B236" s="348"/>
      <c r="C236" s="283">
        <v>0.1605</v>
      </c>
      <c r="D236" s="283">
        <v>0.3745</v>
      </c>
      <c r="E236" s="283">
        <v>0</v>
      </c>
      <c r="F236" s="283">
        <v>0.25308936074429772</v>
      </c>
      <c r="G236" s="283">
        <v>0.22816552493229247</v>
      </c>
      <c r="H236" s="283">
        <v>0.33763840868309336</v>
      </c>
      <c r="I236" s="283">
        <v>7.0158140303067842E-2</v>
      </c>
      <c r="J236" s="283">
        <v>0.71690000000000009</v>
      </c>
      <c r="K236" s="283">
        <v>0.69550000000000001</v>
      </c>
      <c r="L236" s="283">
        <v>0.749</v>
      </c>
      <c r="M236" s="283">
        <v>0.67410000000000003</v>
      </c>
      <c r="N236" s="283">
        <v>0.64200000000000002</v>
      </c>
      <c r="O236" s="280"/>
      <c r="P236" s="280"/>
      <c r="Q236" s="247">
        <f t="shared" si="9"/>
        <v>0</v>
      </c>
      <c r="R236" s="229"/>
      <c r="S236" s="229"/>
      <c r="T236" s="229"/>
      <c r="U236" s="229"/>
      <c r="V236" s="229"/>
      <c r="W236" s="229"/>
      <c r="X236" s="229"/>
    </row>
    <row r="237" spans="1:24" ht="15.75" hidden="1">
      <c r="A237" s="347"/>
      <c r="B237" s="348"/>
      <c r="C237" s="279"/>
      <c r="D237" s="279"/>
      <c r="E237" s="279"/>
      <c r="F237" s="279"/>
      <c r="G237" s="279"/>
      <c r="H237" s="279"/>
      <c r="I237" s="279"/>
      <c r="J237" s="279"/>
      <c r="K237" s="279"/>
      <c r="L237" s="279"/>
      <c r="M237" s="279"/>
      <c r="N237" s="279"/>
      <c r="O237" s="280"/>
      <c r="P237" s="280"/>
      <c r="Q237" s="247">
        <f t="shared" si="9"/>
        <v>0</v>
      </c>
      <c r="R237" s="229"/>
      <c r="S237" s="229"/>
      <c r="T237" s="229"/>
      <c r="U237" s="229"/>
      <c r="V237" s="229"/>
      <c r="W237" s="229"/>
      <c r="X237" s="229"/>
    </row>
    <row r="238" spans="1:24" ht="15.75" hidden="1">
      <c r="A238" s="347" t="s">
        <v>369</v>
      </c>
      <c r="B238" s="348"/>
      <c r="C238" s="283">
        <v>1.5398856858846916E-2</v>
      </c>
      <c r="D238" s="283">
        <v>2.4750000000000001E-2</v>
      </c>
      <c r="E238" s="283">
        <v>1.2836453067358927E-2</v>
      </c>
      <c r="F238" s="283">
        <v>2.0626688175270105E-2</v>
      </c>
      <c r="G238" s="283">
        <v>9.5079257607137164E-3</v>
      </c>
      <c r="H238" s="283">
        <v>3.306381023239529E-2</v>
      </c>
      <c r="I238" s="283">
        <v>4.4723151244890375E-2</v>
      </c>
      <c r="J238" s="283">
        <v>4.8750000000000002E-2</v>
      </c>
      <c r="K238" s="283">
        <v>5.9249999999999997E-2</v>
      </c>
      <c r="L238" s="283">
        <v>5.9249999999999997E-2</v>
      </c>
      <c r="M238" s="283">
        <v>5.6999999999999995E-2</v>
      </c>
      <c r="N238" s="283">
        <v>3.3750000000000002E-2</v>
      </c>
      <c r="O238" s="280"/>
      <c r="P238" s="280"/>
      <c r="Q238" s="247">
        <f t="shared" si="9"/>
        <v>0</v>
      </c>
      <c r="R238" s="229"/>
      <c r="S238" s="229"/>
      <c r="T238" s="229"/>
      <c r="U238" s="229"/>
      <c r="V238" s="229"/>
      <c r="W238" s="229"/>
      <c r="X238" s="229"/>
    </row>
    <row r="239" spans="1:24" ht="15.75" hidden="1">
      <c r="A239" s="347"/>
      <c r="B239" s="348"/>
      <c r="C239" s="283">
        <v>0.22071694831013916</v>
      </c>
      <c r="D239" s="283">
        <v>0.35475000000000001</v>
      </c>
      <c r="E239" s="283">
        <v>0.18398916063214463</v>
      </c>
      <c r="F239" s="283">
        <v>0.2956491971788715</v>
      </c>
      <c r="G239" s="283">
        <v>0.1362802692368966</v>
      </c>
      <c r="H239" s="283">
        <v>0.47391461333099916</v>
      </c>
      <c r="I239" s="283">
        <v>0.64103183451009538</v>
      </c>
      <c r="J239" s="283">
        <v>0.69874999999999998</v>
      </c>
      <c r="K239" s="283">
        <v>0.84925000000000006</v>
      </c>
      <c r="L239" s="283">
        <v>0.84925000000000006</v>
      </c>
      <c r="M239" s="283">
        <v>0.81699999999999995</v>
      </c>
      <c r="N239" s="283">
        <v>0.48375000000000001</v>
      </c>
      <c r="O239" s="280"/>
      <c r="P239" s="280"/>
      <c r="Q239" s="247">
        <f t="shared" si="9"/>
        <v>0</v>
      </c>
      <c r="R239" s="229"/>
      <c r="S239" s="229"/>
      <c r="T239" s="229"/>
      <c r="U239" s="229"/>
      <c r="V239" s="229"/>
      <c r="W239" s="229"/>
      <c r="X239" s="229"/>
    </row>
    <row r="240" spans="1:24" ht="15.75" hidden="1">
      <c r="A240" s="347"/>
      <c r="B240" s="348"/>
      <c r="C240" s="279"/>
      <c r="D240" s="279"/>
      <c r="E240" s="279"/>
      <c r="F240" s="279"/>
      <c r="G240" s="279"/>
      <c r="H240" s="279"/>
      <c r="I240" s="279"/>
      <c r="J240" s="279"/>
      <c r="K240" s="279"/>
      <c r="L240" s="279"/>
      <c r="M240" s="279"/>
      <c r="N240" s="279"/>
      <c r="O240" s="280"/>
      <c r="P240" s="280"/>
      <c r="Q240" s="247">
        <f t="shared" si="9"/>
        <v>0</v>
      </c>
      <c r="R240" s="229"/>
      <c r="S240" s="229"/>
      <c r="T240" s="229"/>
      <c r="U240" s="229"/>
      <c r="V240" s="229"/>
      <c r="W240" s="229"/>
      <c r="X240" s="229"/>
    </row>
    <row r="241" spans="1:24" ht="15.75" hidden="1">
      <c r="A241" s="347"/>
      <c r="B241" s="348"/>
      <c r="C241" s="279"/>
      <c r="D241" s="279"/>
      <c r="E241" s="279"/>
      <c r="F241" s="279"/>
      <c r="G241" s="279"/>
      <c r="H241" s="279"/>
      <c r="I241" s="279"/>
      <c r="J241" s="279"/>
      <c r="K241" s="279"/>
      <c r="L241" s="279"/>
      <c r="M241" s="279"/>
      <c r="N241" s="279"/>
      <c r="O241" s="280"/>
      <c r="P241" s="280"/>
      <c r="Q241" s="247">
        <f t="shared" si="9"/>
        <v>0</v>
      </c>
      <c r="R241" s="229"/>
      <c r="S241" s="229"/>
      <c r="T241" s="229"/>
      <c r="U241" s="229"/>
      <c r="V241" s="229"/>
      <c r="W241" s="229"/>
      <c r="X241" s="229"/>
    </row>
    <row r="242" spans="1:24" ht="15.75" hidden="1">
      <c r="A242" s="347" t="s">
        <v>370</v>
      </c>
      <c r="B242" s="348"/>
      <c r="C242" s="283">
        <v>3.7499999999999999E-3</v>
      </c>
      <c r="D242" s="283">
        <v>3.7499999999999999E-3</v>
      </c>
      <c r="E242" s="283">
        <v>2.8180079245798606E-3</v>
      </c>
      <c r="F242" s="283">
        <v>2.3212409963985592E-3</v>
      </c>
      <c r="G242" s="283">
        <v>3.942966385215867E-3</v>
      </c>
      <c r="H242" s="283">
        <v>2.7079959735655823E-3</v>
      </c>
      <c r="I242" s="283">
        <v>2.554812337421033E-3</v>
      </c>
      <c r="J242" s="283">
        <v>1.8749999999999999E-2</v>
      </c>
      <c r="K242" s="283">
        <v>1.6500000000000001E-2</v>
      </c>
      <c r="L242" s="283">
        <v>2.0250000000000001E-2</v>
      </c>
      <c r="M242" s="283">
        <v>2.0250000000000001E-2</v>
      </c>
      <c r="N242" s="283">
        <v>2.0250000000000001E-2</v>
      </c>
      <c r="O242" s="280"/>
      <c r="P242" s="280"/>
      <c r="Q242" s="247">
        <f t="shared" si="9"/>
        <v>0</v>
      </c>
      <c r="R242" s="229"/>
      <c r="S242" s="229"/>
      <c r="T242" s="229"/>
      <c r="U242" s="229"/>
      <c r="V242" s="229"/>
      <c r="W242" s="229"/>
      <c r="X242" s="229"/>
    </row>
    <row r="243" spans="1:24" ht="15.75" hidden="1">
      <c r="A243" s="347"/>
      <c r="B243" s="348"/>
      <c r="C243" s="283">
        <v>5.3749999999999999E-2</v>
      </c>
      <c r="D243" s="283">
        <v>5.3749999999999999E-2</v>
      </c>
      <c r="E243" s="283">
        <v>4.0391446918978002E-2</v>
      </c>
      <c r="F243" s="283">
        <v>3.3271120948379349E-2</v>
      </c>
      <c r="G243" s="283">
        <v>5.6515851521427428E-2</v>
      </c>
      <c r="H243" s="283">
        <v>3.8814608954440014E-2</v>
      </c>
      <c r="I243" s="283">
        <v>3.6618976836368139E-2</v>
      </c>
      <c r="J243" s="283">
        <v>0.26874999999999999</v>
      </c>
      <c r="K243" s="283">
        <v>0.23649999999999999</v>
      </c>
      <c r="L243" s="283">
        <v>0.29025000000000001</v>
      </c>
      <c r="M243" s="283">
        <v>0.29025000000000001</v>
      </c>
      <c r="N243" s="283">
        <v>0.29025000000000001</v>
      </c>
      <c r="O243" s="280"/>
      <c r="P243" s="280"/>
      <c r="Q243" s="247">
        <f t="shared" si="9"/>
        <v>0</v>
      </c>
      <c r="R243" s="229"/>
      <c r="S243" s="229"/>
      <c r="T243" s="229"/>
      <c r="U243" s="229"/>
      <c r="V243" s="229"/>
      <c r="W243" s="229"/>
      <c r="X243" s="229"/>
    </row>
    <row r="244" spans="1:24" ht="15.75" hidden="1">
      <c r="A244" s="347"/>
      <c r="B244" s="348"/>
      <c r="C244" s="279"/>
      <c r="D244" s="279"/>
      <c r="E244" s="279"/>
      <c r="F244" s="279"/>
      <c r="G244" s="279"/>
      <c r="H244" s="279"/>
      <c r="I244" s="279"/>
      <c r="J244" s="279"/>
      <c r="K244" s="279"/>
      <c r="L244" s="279"/>
      <c r="M244" s="279"/>
      <c r="N244" s="279"/>
      <c r="O244" s="280"/>
      <c r="P244" s="280"/>
      <c r="Q244" s="247">
        <f t="shared" si="9"/>
        <v>0</v>
      </c>
      <c r="R244" s="229"/>
      <c r="S244" s="229"/>
      <c r="T244" s="229"/>
      <c r="U244" s="229"/>
      <c r="V244" s="229"/>
      <c r="W244" s="229"/>
      <c r="X244" s="229"/>
    </row>
    <row r="245" spans="1:24" ht="15.75" hidden="1">
      <c r="A245" s="347" t="s">
        <v>371</v>
      </c>
      <c r="B245" s="348"/>
      <c r="C245" s="283">
        <v>1.3158548707753479E-3</v>
      </c>
      <c r="D245" s="283">
        <v>1.125E-2</v>
      </c>
      <c r="E245" s="283">
        <v>1.4249999999999999E-2</v>
      </c>
      <c r="F245" s="283">
        <v>1.7810249099639854E-3</v>
      </c>
      <c r="G245" s="283">
        <v>6.6194041739684557E-3</v>
      </c>
      <c r="H245" s="283">
        <v>8.3931463083723578E-3</v>
      </c>
      <c r="I245" s="283">
        <v>1.6706924315619966E-2</v>
      </c>
      <c r="J245" s="283">
        <v>6.3750000000000001E-2</v>
      </c>
      <c r="K245" s="283">
        <v>5.2499999999999998E-2</v>
      </c>
      <c r="L245" s="283">
        <v>5.2499999999999998E-2</v>
      </c>
      <c r="M245" s="283">
        <v>4.8750000000000002E-2</v>
      </c>
      <c r="N245" s="283">
        <v>5.1000000000000004E-2</v>
      </c>
      <c r="O245" s="280"/>
      <c r="P245" s="280"/>
      <c r="Q245" s="247">
        <f t="shared" si="9"/>
        <v>0</v>
      </c>
      <c r="R245" s="229"/>
      <c r="S245" s="229"/>
      <c r="T245" s="229"/>
      <c r="U245" s="229"/>
      <c r="V245" s="229"/>
      <c r="W245" s="229"/>
      <c r="X245" s="229"/>
    </row>
    <row r="246" spans="1:24" ht="15.75" hidden="1">
      <c r="A246" s="347"/>
      <c r="B246" s="348"/>
      <c r="C246" s="283">
        <v>1.8860586481113321E-2</v>
      </c>
      <c r="D246" s="283">
        <v>0.16125</v>
      </c>
      <c r="E246" s="283">
        <v>0.20424999999999999</v>
      </c>
      <c r="F246" s="283">
        <v>2.5528023709483792E-2</v>
      </c>
      <c r="G246" s="283">
        <v>9.4878126493547876E-2</v>
      </c>
      <c r="H246" s="283">
        <v>0.12030176375333713</v>
      </c>
      <c r="I246" s="283">
        <v>0.23946591519055285</v>
      </c>
      <c r="J246" s="283">
        <v>0.91374999999999995</v>
      </c>
      <c r="K246" s="283">
        <v>0.75249999999999995</v>
      </c>
      <c r="L246" s="283">
        <v>0.75249999999999995</v>
      </c>
      <c r="M246" s="283">
        <v>0.69874999999999998</v>
      </c>
      <c r="N246" s="283">
        <v>0.73100000000000009</v>
      </c>
      <c r="O246" s="280"/>
      <c r="P246" s="280"/>
      <c r="Q246" s="247">
        <f t="shared" si="9"/>
        <v>0</v>
      </c>
      <c r="R246" s="229"/>
      <c r="S246" s="229"/>
      <c r="T246" s="229"/>
      <c r="U246" s="229"/>
      <c r="V246" s="229"/>
      <c r="W246" s="229"/>
      <c r="X246" s="229"/>
    </row>
    <row r="247" spans="1:24" ht="15.75" hidden="1">
      <c r="A247" s="347"/>
      <c r="B247" s="348"/>
      <c r="C247" s="279"/>
      <c r="D247" s="279"/>
      <c r="E247" s="279"/>
      <c r="F247" s="279"/>
      <c r="G247" s="279"/>
      <c r="H247" s="279"/>
      <c r="I247" s="279"/>
      <c r="J247" s="279"/>
      <c r="K247" s="279"/>
      <c r="L247" s="279"/>
      <c r="M247" s="279"/>
      <c r="N247" s="279"/>
      <c r="O247" s="280"/>
      <c r="P247" s="280"/>
      <c r="Q247" s="247">
        <f t="shared" si="9"/>
        <v>0</v>
      </c>
      <c r="R247" s="229"/>
      <c r="S247" s="229"/>
      <c r="T247" s="229"/>
      <c r="U247" s="229"/>
      <c r="V247" s="229"/>
      <c r="W247" s="229"/>
      <c r="X247" s="229"/>
    </row>
    <row r="248" spans="1:24" ht="15.75" hidden="1">
      <c r="A248" s="347" t="s">
        <v>372</v>
      </c>
      <c r="B248" s="348"/>
      <c r="C248" s="283">
        <v>5.2500000000000003E-3</v>
      </c>
      <c r="D248" s="283">
        <v>9.75E-3</v>
      </c>
      <c r="E248" s="283">
        <v>9.75E-3</v>
      </c>
      <c r="F248" s="283">
        <v>7.1578631452581028E-3</v>
      </c>
      <c r="G248" s="283">
        <v>6.3416042695555201E-3</v>
      </c>
      <c r="H248" s="283">
        <v>4.1017112346273359E-2</v>
      </c>
      <c r="I248" s="283">
        <v>4.4122383252818032E-2</v>
      </c>
      <c r="J248" s="283">
        <v>7.1249999999999994E-2</v>
      </c>
      <c r="K248" s="283">
        <v>7.0499999999999993E-2</v>
      </c>
      <c r="L248" s="283">
        <v>6.9750000000000006E-2</v>
      </c>
      <c r="M248" s="283">
        <v>6.9000000000000006E-2</v>
      </c>
      <c r="N248" s="283">
        <v>7.1249999999999994E-2</v>
      </c>
      <c r="O248" s="280"/>
      <c r="P248" s="280"/>
      <c r="Q248" s="247">
        <f t="shared" si="9"/>
        <v>0</v>
      </c>
      <c r="R248" s="229"/>
      <c r="S248" s="229"/>
      <c r="T248" s="229"/>
      <c r="U248" s="229"/>
      <c r="V248" s="229"/>
      <c r="W248" s="229"/>
      <c r="X248" s="229"/>
    </row>
    <row r="249" spans="1:24" ht="15.75" hidden="1">
      <c r="A249" s="347"/>
      <c r="B249" s="348"/>
      <c r="C249" s="283">
        <v>7.5250000000000011E-2</v>
      </c>
      <c r="D249" s="283">
        <v>0.13975000000000001</v>
      </c>
      <c r="E249" s="283">
        <v>0.13975000000000001</v>
      </c>
      <c r="F249" s="283">
        <v>0.10259603841536614</v>
      </c>
      <c r="G249" s="283">
        <v>9.0896327863629126E-2</v>
      </c>
      <c r="H249" s="283">
        <v>0.58791194362991817</v>
      </c>
      <c r="I249" s="283">
        <v>0.63242082662372512</v>
      </c>
      <c r="J249" s="283">
        <v>1.02125</v>
      </c>
      <c r="K249" s="283">
        <v>1.0105</v>
      </c>
      <c r="L249" s="283">
        <v>0.99975000000000003</v>
      </c>
      <c r="M249" s="283">
        <v>0.9890000000000001</v>
      </c>
      <c r="N249" s="283">
        <v>1.02125</v>
      </c>
      <c r="O249" s="280"/>
      <c r="P249" s="280"/>
      <c r="Q249" s="247">
        <f t="shared" si="9"/>
        <v>0</v>
      </c>
      <c r="R249" s="229"/>
      <c r="S249" s="229"/>
      <c r="T249" s="229"/>
      <c r="U249" s="229"/>
      <c r="V249" s="229"/>
      <c r="W249" s="229"/>
      <c r="X249" s="229"/>
    </row>
    <row r="250" spans="1:24" ht="15.75" hidden="1">
      <c r="A250" s="347"/>
      <c r="B250" s="348"/>
      <c r="C250" s="279"/>
      <c r="D250" s="279"/>
      <c r="E250" s="279"/>
      <c r="F250" s="279"/>
      <c r="G250" s="279"/>
      <c r="H250" s="279"/>
      <c r="I250" s="279"/>
      <c r="J250" s="279"/>
      <c r="K250" s="279"/>
      <c r="L250" s="279"/>
      <c r="M250" s="279"/>
      <c r="N250" s="279"/>
      <c r="O250" s="280"/>
      <c r="P250" s="280"/>
      <c r="Q250" s="247">
        <f t="shared" si="9"/>
        <v>0</v>
      </c>
      <c r="R250" s="229"/>
      <c r="S250" s="229"/>
      <c r="T250" s="229"/>
      <c r="U250" s="229"/>
      <c r="V250" s="229"/>
      <c r="W250" s="229"/>
      <c r="X250" s="229"/>
    </row>
    <row r="251" spans="1:24" ht="15.75" hidden="1">
      <c r="A251" s="347" t="s">
        <v>373</v>
      </c>
      <c r="B251" s="348"/>
      <c r="C251" s="283">
        <v>1.7500000000000002E-2</v>
      </c>
      <c r="D251" s="283">
        <v>0.04</v>
      </c>
      <c r="E251" s="283">
        <v>2.2499999999999999E-2</v>
      </c>
      <c r="F251" s="283">
        <v>1.0624249699879953E-2</v>
      </c>
      <c r="G251" s="283">
        <v>2.7560936753226063E-3</v>
      </c>
      <c r="H251" s="283">
        <v>2.3966037901002234E-2</v>
      </c>
      <c r="I251" s="283">
        <v>7.8347578347578353E-3</v>
      </c>
      <c r="J251" s="283">
        <v>1.8900000000000004E-2</v>
      </c>
      <c r="K251" s="283">
        <v>1.8900000000000004E-2</v>
      </c>
      <c r="L251" s="283">
        <v>1.8900000000000004E-2</v>
      </c>
      <c r="M251" s="283">
        <v>1.8200000000000001E-2</v>
      </c>
      <c r="N251" s="283">
        <v>1.8900000000000004E-2</v>
      </c>
      <c r="O251" s="280"/>
      <c r="P251" s="280"/>
      <c r="Q251" s="247">
        <f t="shared" si="9"/>
        <v>0</v>
      </c>
      <c r="R251" s="229"/>
      <c r="S251" s="229"/>
      <c r="T251" s="229"/>
      <c r="U251" s="229"/>
      <c r="V251" s="229"/>
      <c r="W251" s="229"/>
      <c r="X251" s="229"/>
    </row>
    <row r="252" spans="1:24" ht="15.75" hidden="1">
      <c r="A252" s="347"/>
      <c r="B252" s="348"/>
      <c r="C252" s="283">
        <v>0.36749999999999999</v>
      </c>
      <c r="D252" s="283">
        <v>0.84</v>
      </c>
      <c r="E252" s="283">
        <v>0.47249999999999998</v>
      </c>
      <c r="F252" s="283">
        <v>0.223109243697479</v>
      </c>
      <c r="G252" s="283">
        <v>5.787796718177473E-2</v>
      </c>
      <c r="H252" s="283">
        <v>0.50328679592104686</v>
      </c>
      <c r="I252" s="283">
        <v>0.16452991452991453</v>
      </c>
      <c r="J252" s="283">
        <v>0.28890000000000005</v>
      </c>
      <c r="K252" s="283">
        <v>0.28890000000000005</v>
      </c>
      <c r="L252" s="283">
        <v>0.28890000000000005</v>
      </c>
      <c r="M252" s="283">
        <v>0.2782</v>
      </c>
      <c r="N252" s="283">
        <v>0.28890000000000005</v>
      </c>
      <c r="O252" s="280"/>
      <c r="P252" s="280"/>
      <c r="Q252" s="247">
        <f t="shared" si="9"/>
        <v>0</v>
      </c>
      <c r="R252" s="229"/>
      <c r="S252" s="229"/>
      <c r="T252" s="229"/>
      <c r="U252" s="229"/>
      <c r="V252" s="229"/>
      <c r="W252" s="229"/>
      <c r="X252" s="229"/>
    </row>
    <row r="253" spans="1:24" ht="15.75" hidden="1">
      <c r="A253" s="347"/>
      <c r="B253" s="348"/>
      <c r="C253" s="279"/>
      <c r="D253" s="279"/>
      <c r="E253" s="279"/>
      <c r="F253" s="279"/>
      <c r="G253" s="279"/>
      <c r="H253" s="279"/>
      <c r="I253" s="279"/>
      <c r="J253" s="279"/>
      <c r="K253" s="279"/>
      <c r="L253" s="279"/>
      <c r="M253" s="279"/>
      <c r="N253" s="279"/>
      <c r="O253" s="280"/>
      <c r="P253" s="280"/>
      <c r="Q253" s="247">
        <f t="shared" si="9"/>
        <v>0</v>
      </c>
      <c r="R253" s="229"/>
      <c r="S253" s="229"/>
      <c r="T253" s="229"/>
      <c r="U253" s="229"/>
      <c r="V253" s="229"/>
      <c r="W253" s="229"/>
      <c r="X253" s="229"/>
    </row>
    <row r="254" spans="1:24" ht="15.75" hidden="1">
      <c r="A254" s="347" t="s">
        <v>374</v>
      </c>
      <c r="B254" s="348"/>
      <c r="C254" s="283">
        <v>8.4000000000000012E-3</v>
      </c>
      <c r="D254" s="283">
        <v>0.06</v>
      </c>
      <c r="E254" s="283">
        <v>0.06</v>
      </c>
      <c r="F254" s="283">
        <v>4.5533463385354141E-2</v>
      </c>
      <c r="G254" s="283">
        <v>3.9642345069300623E-2</v>
      </c>
      <c r="H254" s="283">
        <v>5.9317256772725285E-2</v>
      </c>
      <c r="I254" s="283">
        <v>6.4432057475535737E-2</v>
      </c>
      <c r="J254" s="283">
        <v>8.2500000000000004E-2</v>
      </c>
      <c r="K254" s="283">
        <v>8.2500000000000004E-2</v>
      </c>
      <c r="L254" s="283">
        <v>7.4999999999999997E-2</v>
      </c>
      <c r="M254" s="283">
        <v>7.8750000000000001E-2</v>
      </c>
      <c r="N254" s="283">
        <v>7.4999999999999997E-2</v>
      </c>
      <c r="O254" s="280"/>
      <c r="P254" s="280"/>
      <c r="Q254" s="247">
        <f t="shared" si="9"/>
        <v>0</v>
      </c>
      <c r="R254" s="229"/>
      <c r="S254" s="229"/>
      <c r="T254" s="229"/>
      <c r="U254" s="229"/>
      <c r="V254" s="229"/>
      <c r="W254" s="229"/>
      <c r="X254" s="229"/>
    </row>
    <row r="255" spans="1:24" ht="15.75" hidden="1">
      <c r="A255" s="347"/>
      <c r="B255" s="348"/>
      <c r="C255" s="283">
        <v>0.1484</v>
      </c>
      <c r="D255" s="283">
        <v>1.06</v>
      </c>
      <c r="E255" s="283">
        <v>1.06</v>
      </c>
      <c r="F255" s="283">
        <v>0.80442451980792318</v>
      </c>
      <c r="G255" s="283">
        <v>0.70034809622431105</v>
      </c>
      <c r="H255" s="283">
        <v>1.0479382029848134</v>
      </c>
      <c r="I255" s="283">
        <v>1.138299682067798</v>
      </c>
      <c r="J255" s="283">
        <v>1.1825000000000001</v>
      </c>
      <c r="K255" s="283">
        <v>1.1825000000000001</v>
      </c>
      <c r="L255" s="283">
        <v>1.075</v>
      </c>
      <c r="M255" s="283">
        <v>1.1287499999999999</v>
      </c>
      <c r="N255" s="283">
        <v>1.075</v>
      </c>
      <c r="O255" s="280"/>
      <c r="P255" s="280"/>
      <c r="Q255" s="247">
        <f t="shared" si="9"/>
        <v>0</v>
      </c>
      <c r="R255" s="229"/>
      <c r="S255" s="229"/>
      <c r="T255" s="229"/>
      <c r="U255" s="229"/>
      <c r="V255" s="229"/>
      <c r="W255" s="229"/>
      <c r="X255" s="229"/>
    </row>
    <row r="256" spans="1:24" ht="15.75" hidden="1">
      <c r="A256" s="347"/>
      <c r="B256" s="348"/>
      <c r="C256" s="279"/>
      <c r="D256" s="279"/>
      <c r="E256" s="279"/>
      <c r="F256" s="279"/>
      <c r="G256" s="279"/>
      <c r="H256" s="279"/>
      <c r="I256" s="279"/>
      <c r="J256" s="279"/>
      <c r="K256" s="279"/>
      <c r="L256" s="279"/>
      <c r="M256" s="279"/>
      <c r="N256" s="279"/>
      <c r="O256" s="280"/>
      <c r="P256" s="280"/>
      <c r="Q256" s="247">
        <f t="shared" si="9"/>
        <v>0</v>
      </c>
      <c r="R256" s="229"/>
      <c r="S256" s="229"/>
      <c r="T256" s="229"/>
      <c r="U256" s="229"/>
      <c r="V256" s="229"/>
      <c r="W256" s="229"/>
      <c r="X256" s="229"/>
    </row>
    <row r="257" spans="1:24" ht="15.75" hidden="1">
      <c r="A257" s="347"/>
      <c r="B257" s="348"/>
      <c r="C257" s="279"/>
      <c r="D257" s="279"/>
      <c r="E257" s="279"/>
      <c r="F257" s="279"/>
      <c r="G257" s="279"/>
      <c r="H257" s="279"/>
      <c r="I257" s="279"/>
      <c r="J257" s="279"/>
      <c r="K257" s="279"/>
      <c r="L257" s="279"/>
      <c r="M257" s="279"/>
      <c r="N257" s="279"/>
      <c r="O257" s="280"/>
      <c r="P257" s="280"/>
      <c r="Q257" s="247">
        <f t="shared" si="9"/>
        <v>0</v>
      </c>
      <c r="R257" s="229"/>
      <c r="S257" s="229"/>
      <c r="T257" s="229"/>
      <c r="U257" s="229"/>
      <c r="V257" s="229"/>
      <c r="W257" s="229"/>
      <c r="X257" s="229"/>
    </row>
    <row r="258" spans="1:24" ht="15.75" hidden="1">
      <c r="A258" s="347" t="s">
        <v>375</v>
      </c>
      <c r="B258" s="348"/>
      <c r="C258" s="283">
        <v>1.43E-2</v>
      </c>
      <c r="D258" s="283">
        <v>3.9E-2</v>
      </c>
      <c r="E258" s="283">
        <v>2.3496151568975727E-2</v>
      </c>
      <c r="F258" s="283">
        <v>4.6445640756302524E-2</v>
      </c>
      <c r="G258" s="283">
        <v>3.9419906006053849E-2</v>
      </c>
      <c r="H258" s="283">
        <v>5.5691934001488037E-2</v>
      </c>
      <c r="I258" s="283">
        <v>7.9852388620504575E-2</v>
      </c>
      <c r="J258" s="283">
        <v>4.8750000000000002E-2</v>
      </c>
      <c r="K258" s="283">
        <v>4.8750000000000002E-2</v>
      </c>
      <c r="L258" s="283">
        <v>4.5499999999999999E-2</v>
      </c>
      <c r="M258" s="283">
        <v>4.5499999999999999E-2</v>
      </c>
      <c r="N258" s="283">
        <v>4.8750000000000002E-2</v>
      </c>
      <c r="O258" s="280"/>
      <c r="P258" s="280"/>
      <c r="Q258" s="247">
        <f t="shared" si="9"/>
        <v>0</v>
      </c>
      <c r="R258" s="229"/>
      <c r="S258" s="229"/>
      <c r="T258" s="229"/>
      <c r="U258" s="229"/>
      <c r="V258" s="229"/>
      <c r="W258" s="229"/>
      <c r="X258" s="229"/>
    </row>
    <row r="259" spans="1:24" ht="15.75" hidden="1">
      <c r="A259" s="347"/>
      <c r="B259" s="348"/>
      <c r="C259" s="283">
        <v>0.23430000000000001</v>
      </c>
      <c r="D259" s="283">
        <v>0.63900000000000001</v>
      </c>
      <c r="E259" s="283">
        <v>0.38497540647629458</v>
      </c>
      <c r="F259" s="283">
        <v>0.76099396008403364</v>
      </c>
      <c r="G259" s="283">
        <v>0.64587999840688226</v>
      </c>
      <c r="H259" s="283">
        <v>0.9124909186397655</v>
      </c>
      <c r="I259" s="283">
        <v>1.3083506750898055</v>
      </c>
      <c r="J259" s="283">
        <v>0.79874999999999996</v>
      </c>
      <c r="K259" s="283">
        <v>0.79874999999999996</v>
      </c>
      <c r="L259" s="283">
        <v>0.74549999999999994</v>
      </c>
      <c r="M259" s="283">
        <v>0.74549999999999994</v>
      </c>
      <c r="N259" s="283">
        <v>0.79874999999999996</v>
      </c>
      <c r="O259" s="280"/>
      <c r="P259" s="280"/>
      <c r="Q259" s="247">
        <f t="shared" si="9"/>
        <v>0</v>
      </c>
      <c r="R259" s="229"/>
      <c r="S259" s="229"/>
      <c r="T259" s="229"/>
      <c r="U259" s="229"/>
      <c r="V259" s="229"/>
      <c r="W259" s="229"/>
      <c r="X259" s="229"/>
    </row>
    <row r="260" spans="1:24" ht="15.75" hidden="1">
      <c r="A260" s="347"/>
      <c r="B260" s="348"/>
      <c r="C260" s="279"/>
      <c r="D260" s="279"/>
      <c r="E260" s="279"/>
      <c r="F260" s="279"/>
      <c r="G260" s="279"/>
      <c r="H260" s="279"/>
      <c r="I260" s="279"/>
      <c r="J260" s="279"/>
      <c r="K260" s="279"/>
      <c r="L260" s="279"/>
      <c r="M260" s="279"/>
      <c r="N260" s="279"/>
      <c r="O260" s="280"/>
      <c r="P260" s="280"/>
      <c r="Q260" s="247">
        <f t="shared" si="9"/>
        <v>0</v>
      </c>
      <c r="R260" s="229"/>
      <c r="S260" s="229"/>
      <c r="T260" s="229"/>
      <c r="U260" s="229"/>
      <c r="V260" s="229"/>
      <c r="W260" s="229"/>
      <c r="X260" s="229"/>
    </row>
    <row r="261" spans="1:24" ht="15.75" hidden="1">
      <c r="A261" s="347"/>
      <c r="B261" s="348"/>
      <c r="C261" s="279"/>
      <c r="D261" s="279"/>
      <c r="E261" s="279"/>
      <c r="F261" s="279"/>
      <c r="G261" s="279"/>
      <c r="H261" s="279"/>
      <c r="I261" s="279"/>
      <c r="J261" s="279"/>
      <c r="K261" s="279"/>
      <c r="L261" s="279"/>
      <c r="M261" s="279"/>
      <c r="N261" s="279"/>
      <c r="O261" s="280"/>
      <c r="P261" s="280"/>
      <c r="Q261" s="247">
        <f t="shared" si="9"/>
        <v>0</v>
      </c>
      <c r="R261" s="229"/>
      <c r="S261" s="229"/>
      <c r="T261" s="229"/>
      <c r="U261" s="229"/>
      <c r="V261" s="229"/>
      <c r="W261" s="229"/>
      <c r="X261" s="229"/>
    </row>
    <row r="262" spans="1:24" ht="15.75" hidden="1">
      <c r="A262" s="347" t="s">
        <v>376</v>
      </c>
      <c r="B262" s="348"/>
      <c r="C262" s="283">
        <v>1.1853876739562624E-2</v>
      </c>
      <c r="D262" s="283">
        <v>1.1570173636083429E-2</v>
      </c>
      <c r="E262" s="283">
        <v>1.2787493737760168E-2</v>
      </c>
      <c r="F262" s="283">
        <v>2.2118847539015604E-3</v>
      </c>
      <c r="G262" s="283">
        <v>1.0391906961924487E-2</v>
      </c>
      <c r="H262" s="283">
        <v>2.9462996192393541E-3</v>
      </c>
      <c r="I262" s="283">
        <v>1.4166150542962138E-2</v>
      </c>
      <c r="J262" s="283">
        <v>3.3000000000000002E-2</v>
      </c>
      <c r="K262" s="283">
        <v>3.0250000000000003E-2</v>
      </c>
      <c r="L262" s="283">
        <v>2.75E-2</v>
      </c>
      <c r="M262" s="283">
        <v>3.0250000000000003E-2</v>
      </c>
      <c r="N262" s="283">
        <v>2.4750000000000001E-2</v>
      </c>
      <c r="O262" s="280"/>
      <c r="P262" s="280"/>
      <c r="Q262" s="247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9"/>
      <c r="S262" s="229"/>
      <c r="T262" s="229"/>
      <c r="U262" s="229"/>
      <c r="V262" s="229"/>
      <c r="W262" s="229"/>
      <c r="X262" s="229"/>
    </row>
    <row r="263" spans="1:24" ht="15.75" hidden="1">
      <c r="A263" s="347"/>
      <c r="B263" s="348"/>
      <c r="C263" s="283">
        <v>0.1699055666003976</v>
      </c>
      <c r="D263" s="283">
        <v>0.22193696701941848</v>
      </c>
      <c r="E263" s="283">
        <v>0.24528737987885413</v>
      </c>
      <c r="F263" s="283">
        <v>4.242797118847539E-2</v>
      </c>
      <c r="G263" s="283">
        <v>0.19933566990600607</v>
      </c>
      <c r="H263" s="283">
        <v>5.6515383605409426E-2</v>
      </c>
      <c r="I263" s="283">
        <v>0.27173252405136467</v>
      </c>
      <c r="J263" s="283">
        <v>0.63300000000000001</v>
      </c>
      <c r="K263" s="283">
        <v>0.58025000000000004</v>
      </c>
      <c r="L263" s="283">
        <v>0.52749999999999997</v>
      </c>
      <c r="M263" s="283">
        <v>0.58025000000000004</v>
      </c>
      <c r="N263" s="283">
        <v>0.47475000000000001</v>
      </c>
      <c r="O263" s="280"/>
      <c r="P263" s="280"/>
      <c r="Q263" s="247">
        <f t="shared" si="10"/>
        <v>0</v>
      </c>
      <c r="R263" s="229"/>
      <c r="S263" s="229"/>
      <c r="T263" s="229"/>
      <c r="U263" s="229"/>
      <c r="V263" s="229"/>
      <c r="W263" s="229"/>
      <c r="X263" s="229"/>
    </row>
    <row r="264" spans="1:24" ht="15.75" hidden="1">
      <c r="A264" s="347"/>
      <c r="B264" s="348"/>
      <c r="C264" s="279"/>
      <c r="D264" s="279"/>
      <c r="E264" s="279"/>
      <c r="F264" s="279"/>
      <c r="G264" s="279"/>
      <c r="H264" s="279"/>
      <c r="I264" s="279"/>
      <c r="J264" s="279"/>
      <c r="K264" s="279"/>
      <c r="L264" s="279"/>
      <c r="M264" s="279"/>
      <c r="N264" s="279"/>
      <c r="O264" s="280"/>
      <c r="P264" s="280"/>
      <c r="Q264" s="247">
        <f t="shared" si="10"/>
        <v>0</v>
      </c>
      <c r="R264" s="229"/>
      <c r="S264" s="229"/>
      <c r="T264" s="229"/>
      <c r="U264" s="229"/>
      <c r="V264" s="229"/>
      <c r="W264" s="229"/>
      <c r="X264" s="229"/>
    </row>
    <row r="265" spans="1:24" ht="15.75" hidden="1">
      <c r="A265" s="347"/>
      <c r="B265" s="348"/>
      <c r="C265" s="279"/>
      <c r="D265" s="279"/>
      <c r="E265" s="279"/>
      <c r="F265" s="279"/>
      <c r="G265" s="279"/>
      <c r="H265" s="279"/>
      <c r="I265" s="279"/>
      <c r="J265" s="279"/>
      <c r="K265" s="279"/>
      <c r="L265" s="279"/>
      <c r="M265" s="279"/>
      <c r="N265" s="279"/>
      <c r="O265" s="280"/>
      <c r="P265" s="280"/>
      <c r="Q265" s="247">
        <f t="shared" si="10"/>
        <v>0</v>
      </c>
      <c r="R265" s="229"/>
      <c r="S265" s="229"/>
      <c r="T265" s="229"/>
      <c r="U265" s="229"/>
      <c r="V265" s="229"/>
      <c r="W265" s="229"/>
      <c r="X265" s="229"/>
    </row>
    <row r="266" spans="1:24" ht="15.75" hidden="1">
      <c r="A266" s="347" t="s">
        <v>377</v>
      </c>
      <c r="B266" s="348"/>
      <c r="C266" s="283">
        <v>1.341948310139165E-4</v>
      </c>
      <c r="D266" s="283">
        <v>3.2749409226343366E-4</v>
      </c>
      <c r="E266" s="283">
        <v>3.5523978685612787E-4</v>
      </c>
      <c r="F266" s="283">
        <v>1.5193577430972388E-4</v>
      </c>
      <c r="G266" s="283">
        <v>5.2274175561573997E-4</v>
      </c>
      <c r="H266" s="283">
        <v>9.4533677622653061E-4</v>
      </c>
      <c r="I266" s="283">
        <v>3.6541558280688713E-4</v>
      </c>
      <c r="J266" s="283">
        <v>4.4999999999999997E-3</v>
      </c>
      <c r="K266" s="283">
        <v>4.4999999999999997E-3</v>
      </c>
      <c r="L266" s="283">
        <v>4.4999999999999997E-3</v>
      </c>
      <c r="M266" s="283">
        <v>4.4999999999999997E-3</v>
      </c>
      <c r="N266" s="283">
        <v>4.4999999999999997E-3</v>
      </c>
      <c r="O266" s="280"/>
      <c r="P266" s="280"/>
      <c r="Q266" s="247">
        <f t="shared" si="10"/>
        <v>0</v>
      </c>
      <c r="R266" s="229"/>
      <c r="S266" s="229"/>
      <c r="T266" s="229"/>
      <c r="U266" s="229"/>
      <c r="V266" s="229"/>
      <c r="W266" s="229"/>
      <c r="X266" s="229"/>
    </row>
    <row r="267" spans="1:24" ht="15.75" hidden="1">
      <c r="A267" s="347"/>
      <c r="B267" s="348"/>
      <c r="C267" s="283">
        <v>1.9234592445328033E-3</v>
      </c>
      <c r="D267" s="283">
        <v>4.6940819891092157E-3</v>
      </c>
      <c r="E267" s="283">
        <v>5.0917702782711663E-3</v>
      </c>
      <c r="F267" s="283">
        <v>2.1777460984393755E-3</v>
      </c>
      <c r="G267" s="283">
        <v>7.4926318304922735E-3</v>
      </c>
      <c r="H267" s="283">
        <v>1.3549827125913606E-2</v>
      </c>
      <c r="I267" s="283">
        <v>5.2376233535653821E-3</v>
      </c>
      <c r="J267" s="283">
        <v>6.4500000000000002E-2</v>
      </c>
      <c r="K267" s="283">
        <v>6.4500000000000002E-2</v>
      </c>
      <c r="L267" s="283">
        <v>6.4500000000000002E-2</v>
      </c>
      <c r="M267" s="283">
        <v>6.4500000000000002E-2</v>
      </c>
      <c r="N267" s="283">
        <v>6.4500000000000002E-2</v>
      </c>
      <c r="O267" s="280"/>
      <c r="P267" s="280"/>
      <c r="Q267" s="247">
        <f t="shared" si="10"/>
        <v>0</v>
      </c>
      <c r="R267" s="229"/>
      <c r="S267" s="229"/>
      <c r="T267" s="229"/>
      <c r="U267" s="229"/>
      <c r="V267" s="229"/>
      <c r="W267" s="229"/>
      <c r="X267" s="229"/>
    </row>
    <row r="268" spans="1:24" ht="15.75" hidden="1">
      <c r="A268" s="347"/>
      <c r="B268" s="348"/>
      <c r="C268" s="279"/>
      <c r="D268" s="279"/>
      <c r="E268" s="279"/>
      <c r="F268" s="279"/>
      <c r="G268" s="279"/>
      <c r="H268" s="279"/>
      <c r="I268" s="279"/>
      <c r="J268" s="279"/>
      <c r="K268" s="279"/>
      <c r="L268" s="279"/>
      <c r="M268" s="279"/>
      <c r="N268" s="279"/>
      <c r="O268" s="280"/>
      <c r="P268" s="280"/>
      <c r="Q268" s="247">
        <f t="shared" si="10"/>
        <v>0</v>
      </c>
      <c r="R268" s="229"/>
      <c r="S268" s="229"/>
      <c r="T268" s="229"/>
      <c r="U268" s="229"/>
      <c r="V268" s="229"/>
      <c r="W268" s="229"/>
      <c r="X268" s="229"/>
    </row>
    <row r="269" spans="1:24" ht="15.75" hidden="1">
      <c r="A269" s="347" t="s">
        <v>378</v>
      </c>
      <c r="B269" s="348"/>
      <c r="C269" s="283">
        <v>2.76E-2</v>
      </c>
      <c r="D269" s="283">
        <v>0.03</v>
      </c>
      <c r="E269" s="283">
        <v>2.4E-2</v>
      </c>
      <c r="F269" s="283">
        <v>1.5177821128451381E-2</v>
      </c>
      <c r="G269" s="283">
        <v>1.0865859487016091E-2</v>
      </c>
      <c r="H269" s="283">
        <v>1.984156855879907E-2</v>
      </c>
      <c r="I269" s="283">
        <v>2.7954911433172303E-2</v>
      </c>
      <c r="J269" s="283">
        <v>4.760000000000001E-2</v>
      </c>
      <c r="K269" s="283">
        <v>4.5500000000000006E-2</v>
      </c>
      <c r="L269" s="283">
        <v>4.2000000000000003E-2</v>
      </c>
      <c r="M269" s="283">
        <v>4.5500000000000006E-2</v>
      </c>
      <c r="N269" s="283">
        <v>4.6900000000000004E-2</v>
      </c>
      <c r="O269" s="280"/>
      <c r="P269" s="280"/>
      <c r="Q269" s="247">
        <f t="shared" si="10"/>
        <v>0</v>
      </c>
      <c r="R269" s="229"/>
      <c r="S269" s="229"/>
      <c r="T269" s="229"/>
      <c r="U269" s="229"/>
      <c r="V269" s="229"/>
      <c r="W269" s="229"/>
      <c r="X269" s="229"/>
    </row>
    <row r="270" spans="1:24" ht="15.75" hidden="1">
      <c r="A270" s="347"/>
      <c r="B270" s="348"/>
      <c r="C270" s="283">
        <v>0.48760000000000003</v>
      </c>
      <c r="D270" s="283">
        <v>0.53</v>
      </c>
      <c r="E270" s="283">
        <v>0.42400000000000004</v>
      </c>
      <c r="F270" s="283">
        <v>0.26814150660264108</v>
      </c>
      <c r="G270" s="283">
        <v>0.19196351760395094</v>
      </c>
      <c r="H270" s="283">
        <v>0.35053437787211694</v>
      </c>
      <c r="I270" s="283">
        <v>0.49387010198604403</v>
      </c>
      <c r="J270" s="283">
        <v>0.72760000000000002</v>
      </c>
      <c r="K270" s="283">
        <v>0.69550000000000001</v>
      </c>
      <c r="L270" s="283">
        <v>0.64200000000000002</v>
      </c>
      <c r="M270" s="283">
        <v>0.69550000000000001</v>
      </c>
      <c r="N270" s="283">
        <v>0.71690000000000009</v>
      </c>
      <c r="O270" s="280"/>
      <c r="P270" s="280"/>
      <c r="Q270" s="247">
        <f t="shared" si="10"/>
        <v>0</v>
      </c>
      <c r="R270" s="229"/>
      <c r="S270" s="229"/>
      <c r="T270" s="229"/>
      <c r="U270" s="229"/>
      <c r="V270" s="229"/>
      <c r="W270" s="229"/>
      <c r="X270" s="229"/>
    </row>
    <row r="271" spans="1:24" ht="15.75" hidden="1">
      <c r="A271" s="347"/>
      <c r="B271" s="348"/>
      <c r="C271" s="279"/>
      <c r="D271" s="279"/>
      <c r="E271" s="279"/>
      <c r="F271" s="279"/>
      <c r="G271" s="279"/>
      <c r="H271" s="279"/>
      <c r="I271" s="279"/>
      <c r="J271" s="279"/>
      <c r="K271" s="279"/>
      <c r="L271" s="279"/>
      <c r="M271" s="279"/>
      <c r="N271" s="279"/>
      <c r="O271" s="280"/>
      <c r="P271" s="280"/>
      <c r="Q271" s="247">
        <f t="shared" si="10"/>
        <v>0</v>
      </c>
      <c r="R271" s="229"/>
      <c r="S271" s="229"/>
      <c r="T271" s="229"/>
      <c r="U271" s="229"/>
      <c r="V271" s="229"/>
      <c r="W271" s="229"/>
      <c r="X271" s="229"/>
    </row>
    <row r="272" spans="1:24" ht="15.75" hidden="1">
      <c r="A272" s="347"/>
      <c r="B272" s="348"/>
      <c r="C272" s="279"/>
      <c r="D272" s="279"/>
      <c r="E272" s="279"/>
      <c r="F272" s="279"/>
      <c r="G272" s="279"/>
      <c r="H272" s="279"/>
      <c r="I272" s="279"/>
      <c r="J272" s="279"/>
      <c r="K272" s="279"/>
      <c r="L272" s="279"/>
      <c r="M272" s="279"/>
      <c r="N272" s="279"/>
      <c r="O272" s="280"/>
      <c r="P272" s="280"/>
      <c r="Q272" s="247">
        <f t="shared" si="10"/>
        <v>0</v>
      </c>
      <c r="R272" s="229"/>
      <c r="S272" s="229"/>
      <c r="T272" s="229"/>
      <c r="U272" s="229"/>
      <c r="V272" s="229"/>
      <c r="W272" s="229"/>
      <c r="X272" s="229"/>
    </row>
    <row r="273" spans="1:24" ht="15.75" hidden="1">
      <c r="A273" s="347" t="s">
        <v>345</v>
      </c>
      <c r="B273" s="348"/>
      <c r="C273" s="283">
        <v>1.8749999999999999E-2</v>
      </c>
      <c r="D273" s="283">
        <v>1.575E-2</v>
      </c>
      <c r="E273" s="283">
        <v>1.2E-2</v>
      </c>
      <c r="F273" s="283">
        <v>1.4695565726290516E-2</v>
      </c>
      <c r="G273" s="283">
        <v>1.5983949338856142E-2</v>
      </c>
      <c r="H273" s="283">
        <v>2.2543656177513239E-2</v>
      </c>
      <c r="I273" s="283">
        <v>1.0104669887278582E-2</v>
      </c>
      <c r="J273" s="283">
        <v>1.125E-2</v>
      </c>
      <c r="K273" s="283">
        <v>1.125E-2</v>
      </c>
      <c r="L273" s="283">
        <v>1.125E-2</v>
      </c>
      <c r="M273" s="283">
        <v>1.125E-2</v>
      </c>
      <c r="N273" s="283">
        <v>1.125E-2</v>
      </c>
      <c r="O273" s="280"/>
      <c r="P273" s="280"/>
      <c r="Q273" s="247">
        <f t="shared" si="10"/>
        <v>0</v>
      </c>
      <c r="R273" s="229"/>
      <c r="S273" s="229"/>
      <c r="T273" s="229"/>
      <c r="U273" s="229"/>
      <c r="V273" s="229"/>
      <c r="W273" s="229"/>
      <c r="X273" s="229"/>
    </row>
    <row r="274" spans="1:24" ht="15.75" hidden="1">
      <c r="A274" s="347"/>
      <c r="B274" s="348"/>
      <c r="C274" s="283">
        <v>0.26874999999999999</v>
      </c>
      <c r="D274" s="283">
        <v>0.22575000000000001</v>
      </c>
      <c r="E274" s="283">
        <v>0.17200000000000001</v>
      </c>
      <c r="F274" s="283">
        <v>0.21063644207683074</v>
      </c>
      <c r="G274" s="283">
        <v>0.22910327385693802</v>
      </c>
      <c r="H274" s="283">
        <v>0.32312573854435644</v>
      </c>
      <c r="I274" s="283">
        <v>0.14483360171765969</v>
      </c>
      <c r="J274" s="283">
        <v>0.16125</v>
      </c>
      <c r="K274" s="283">
        <v>0.16125</v>
      </c>
      <c r="L274" s="283">
        <v>0.16125</v>
      </c>
      <c r="M274" s="283">
        <v>0.16125</v>
      </c>
      <c r="N274" s="283">
        <v>0.16125</v>
      </c>
      <c r="O274" s="280"/>
      <c r="P274" s="280"/>
      <c r="Q274" s="247">
        <f t="shared" si="10"/>
        <v>0</v>
      </c>
      <c r="R274" s="229"/>
      <c r="S274" s="229"/>
      <c r="T274" s="229"/>
      <c r="U274" s="229"/>
      <c r="V274" s="229"/>
      <c r="W274" s="229"/>
      <c r="X274" s="229"/>
    </row>
    <row r="275" spans="1:24" ht="15.75" hidden="1">
      <c r="A275" s="347"/>
      <c r="B275" s="348"/>
      <c r="C275" s="279"/>
      <c r="D275" s="279"/>
      <c r="E275" s="279"/>
      <c r="F275" s="279"/>
      <c r="G275" s="279"/>
      <c r="H275" s="279"/>
      <c r="I275" s="279"/>
      <c r="J275" s="279"/>
      <c r="K275" s="279"/>
      <c r="L275" s="279"/>
      <c r="M275" s="279"/>
      <c r="N275" s="279"/>
      <c r="O275" s="280"/>
      <c r="P275" s="280"/>
      <c r="Q275" s="247">
        <f t="shared" si="10"/>
        <v>0</v>
      </c>
      <c r="R275" s="229"/>
      <c r="S275" s="229"/>
      <c r="T275" s="229"/>
      <c r="U275" s="229"/>
      <c r="V275" s="229"/>
      <c r="W275" s="229"/>
      <c r="X275" s="229"/>
    </row>
    <row r="276" spans="1:24" ht="15.75" hidden="1">
      <c r="A276" s="347" t="s">
        <v>379</v>
      </c>
      <c r="B276" s="348"/>
      <c r="C276" s="283">
        <v>1.708996023856859E-2</v>
      </c>
      <c r="D276" s="283">
        <v>2.2662848042741192E-2</v>
      </c>
      <c r="E276" s="283">
        <v>2.8940201302545886E-2</v>
      </c>
      <c r="F276" s="283">
        <v>2.4806610144057623E-2</v>
      </c>
      <c r="G276" s="283">
        <v>3.0271029154054486E-2</v>
      </c>
      <c r="H276" s="283">
        <v>3.3312179964112218E-2</v>
      </c>
      <c r="I276" s="283">
        <v>3.8403113258185725E-2</v>
      </c>
      <c r="J276" s="283">
        <v>4.8750000000000002E-2</v>
      </c>
      <c r="K276" s="283">
        <v>4.8750000000000002E-2</v>
      </c>
      <c r="L276" s="283">
        <v>4.8750000000000002E-2</v>
      </c>
      <c r="M276" s="283">
        <v>4.8750000000000002E-2</v>
      </c>
      <c r="N276" s="283">
        <v>4.5499999999999999E-2</v>
      </c>
      <c r="O276" s="280"/>
      <c r="P276" s="280"/>
      <c r="Q276" s="247">
        <f t="shared" si="10"/>
        <v>0</v>
      </c>
      <c r="R276" s="229"/>
      <c r="S276" s="229"/>
      <c r="T276" s="229"/>
      <c r="U276" s="229"/>
      <c r="V276" s="229"/>
      <c r="W276" s="229"/>
      <c r="X276" s="229"/>
    </row>
    <row r="277" spans="1:24" ht="15.75" hidden="1">
      <c r="A277" s="347"/>
      <c r="B277" s="348"/>
      <c r="C277" s="283">
        <v>0.28001242544731608</v>
      </c>
      <c r="D277" s="283">
        <v>0.371322048700298</v>
      </c>
      <c r="E277" s="283">
        <v>0.47417406749555951</v>
      </c>
      <c r="F277" s="283">
        <v>0.40644676620648257</v>
      </c>
      <c r="G277" s="283">
        <v>0.49597916998566194</v>
      </c>
      <c r="H277" s="283">
        <v>0.54580725633506932</v>
      </c>
      <c r="I277" s="283">
        <v>0.62922024030719681</v>
      </c>
      <c r="J277" s="283">
        <v>0.79874999999999996</v>
      </c>
      <c r="K277" s="283">
        <v>0.79874999999999996</v>
      </c>
      <c r="L277" s="283">
        <v>0.79874999999999996</v>
      </c>
      <c r="M277" s="283">
        <v>0.79874999999999996</v>
      </c>
      <c r="N277" s="283">
        <v>0.74549999999999994</v>
      </c>
      <c r="O277" s="280"/>
      <c r="P277" s="280"/>
      <c r="Q277" s="247">
        <f t="shared" si="10"/>
        <v>0</v>
      </c>
      <c r="R277" s="229"/>
      <c r="S277" s="229"/>
      <c r="T277" s="229"/>
      <c r="U277" s="229"/>
      <c r="V277" s="229"/>
      <c r="W277" s="229"/>
      <c r="X277" s="229"/>
    </row>
    <row r="278" spans="1:24" ht="15.75" hidden="1">
      <c r="A278" s="347"/>
      <c r="B278" s="348"/>
      <c r="C278" s="279"/>
      <c r="D278" s="279"/>
      <c r="E278" s="279"/>
      <c r="F278" s="279"/>
      <c r="G278" s="279"/>
      <c r="H278" s="279"/>
      <c r="I278" s="279"/>
      <c r="J278" s="279"/>
      <c r="K278" s="279"/>
      <c r="L278" s="279"/>
      <c r="M278" s="279"/>
      <c r="N278" s="279"/>
      <c r="O278" s="280"/>
      <c r="P278" s="280"/>
      <c r="Q278" s="247">
        <f t="shared" si="10"/>
        <v>0</v>
      </c>
      <c r="R278" s="229"/>
      <c r="S278" s="229"/>
      <c r="T278" s="229"/>
      <c r="U278" s="229"/>
      <c r="V278" s="229"/>
      <c r="W278" s="229"/>
      <c r="X278" s="229"/>
    </row>
    <row r="279" spans="1:24" ht="15.75" hidden="1">
      <c r="A279" s="347"/>
      <c r="B279" s="348"/>
      <c r="C279" s="279"/>
      <c r="D279" s="279"/>
      <c r="E279" s="279"/>
      <c r="F279" s="279"/>
      <c r="G279" s="279"/>
      <c r="H279" s="279"/>
      <c r="I279" s="279"/>
      <c r="J279" s="279"/>
      <c r="K279" s="279"/>
      <c r="L279" s="279"/>
      <c r="M279" s="279"/>
      <c r="N279" s="279"/>
      <c r="O279" s="280"/>
      <c r="P279" s="280"/>
      <c r="Q279" s="247">
        <f t="shared" si="10"/>
        <v>0</v>
      </c>
      <c r="R279" s="229"/>
      <c r="S279" s="229"/>
      <c r="T279" s="229"/>
      <c r="U279" s="229"/>
      <c r="V279" s="229"/>
      <c r="W279" s="229"/>
      <c r="X279" s="229"/>
    </row>
    <row r="280" spans="1:24" ht="15.75" hidden="1">
      <c r="A280" s="347"/>
      <c r="B280" s="348"/>
      <c r="C280" s="279"/>
      <c r="D280" s="279"/>
      <c r="E280" s="279"/>
      <c r="F280" s="279"/>
      <c r="G280" s="279"/>
      <c r="H280" s="279"/>
      <c r="I280" s="279"/>
      <c r="J280" s="279"/>
      <c r="K280" s="279"/>
      <c r="L280" s="279"/>
      <c r="M280" s="279"/>
      <c r="N280" s="279"/>
      <c r="O280" s="280"/>
      <c r="P280" s="280"/>
      <c r="Q280" s="247">
        <f t="shared" si="10"/>
        <v>0</v>
      </c>
      <c r="R280" s="229"/>
      <c r="S280" s="229"/>
      <c r="T280" s="229"/>
      <c r="U280" s="229"/>
      <c r="V280" s="229"/>
      <c r="W280" s="229"/>
      <c r="X280" s="229"/>
    </row>
    <row r="281" spans="1:24" ht="15.75" hidden="1">
      <c r="A281" s="347"/>
      <c r="B281" s="348"/>
      <c r="C281" s="279"/>
      <c r="D281" s="279"/>
      <c r="E281" s="279"/>
      <c r="F281" s="279"/>
      <c r="G281" s="279"/>
      <c r="H281" s="279"/>
      <c r="I281" s="279"/>
      <c r="J281" s="279"/>
      <c r="K281" s="279"/>
      <c r="L281" s="279"/>
      <c r="M281" s="279"/>
      <c r="N281" s="279"/>
      <c r="O281" s="280"/>
      <c r="P281" s="280"/>
      <c r="Q281" s="247">
        <f t="shared" si="10"/>
        <v>0</v>
      </c>
      <c r="R281" s="229"/>
      <c r="S281" s="229"/>
      <c r="T281" s="229"/>
      <c r="U281" s="229"/>
      <c r="V281" s="229"/>
      <c r="W281" s="229"/>
      <c r="X281" s="229"/>
    </row>
    <row r="282" spans="1:24" ht="15.75" hidden="1">
      <c r="A282" s="347"/>
      <c r="B282" s="348"/>
      <c r="C282" s="279"/>
      <c r="D282" s="279"/>
      <c r="E282" s="279"/>
      <c r="F282" s="279"/>
      <c r="G282" s="279"/>
      <c r="H282" s="279"/>
      <c r="I282" s="279"/>
      <c r="J282" s="279"/>
      <c r="K282" s="279"/>
      <c r="L282" s="279"/>
      <c r="M282" s="279"/>
      <c r="N282" s="279"/>
      <c r="O282" s="280"/>
      <c r="P282" s="280"/>
      <c r="Q282" s="247">
        <f t="shared" si="10"/>
        <v>0</v>
      </c>
      <c r="R282" s="229"/>
      <c r="S282" s="229"/>
      <c r="T282" s="229"/>
      <c r="U282" s="229"/>
      <c r="V282" s="229"/>
      <c r="W282" s="229"/>
      <c r="X282" s="229"/>
    </row>
    <row r="283" spans="1:24" ht="15.75" hidden="1">
      <c r="A283" s="347"/>
      <c r="B283" s="348"/>
      <c r="C283" s="279"/>
      <c r="D283" s="279"/>
      <c r="E283" s="279"/>
      <c r="F283" s="279"/>
      <c r="G283" s="279"/>
      <c r="H283" s="279"/>
      <c r="I283" s="279"/>
      <c r="J283" s="279"/>
      <c r="K283" s="279"/>
      <c r="L283" s="279"/>
      <c r="M283" s="279"/>
      <c r="N283" s="279"/>
      <c r="O283" s="280"/>
      <c r="P283" s="280"/>
      <c r="Q283" s="247">
        <f t="shared" si="10"/>
        <v>0</v>
      </c>
      <c r="R283" s="229"/>
      <c r="S283" s="229"/>
      <c r="T283" s="229"/>
      <c r="U283" s="229"/>
      <c r="V283" s="229"/>
      <c r="W283" s="229"/>
      <c r="X283" s="229"/>
    </row>
    <row r="284" spans="1:24" ht="15.75" hidden="1">
      <c r="A284" s="347"/>
      <c r="B284" s="348"/>
      <c r="C284" s="279"/>
      <c r="D284" s="279"/>
      <c r="E284" s="279"/>
      <c r="F284" s="279"/>
      <c r="G284" s="279"/>
      <c r="H284" s="279"/>
      <c r="I284" s="279"/>
      <c r="J284" s="279"/>
      <c r="K284" s="279"/>
      <c r="L284" s="279"/>
      <c r="M284" s="279"/>
      <c r="N284" s="279"/>
      <c r="O284" s="280"/>
      <c r="P284" s="280"/>
      <c r="Q284" s="247">
        <f t="shared" si="10"/>
        <v>0</v>
      </c>
      <c r="R284" s="229"/>
      <c r="S284" s="229"/>
      <c r="T284" s="229"/>
      <c r="U284" s="229"/>
      <c r="V284" s="229"/>
      <c r="W284" s="229"/>
      <c r="X284" s="229"/>
    </row>
    <row r="285" spans="1:24" ht="15.75" hidden="1">
      <c r="A285" s="347"/>
      <c r="B285" s="348"/>
      <c r="C285" s="279"/>
      <c r="D285" s="279"/>
      <c r="E285" s="279"/>
      <c r="F285" s="279"/>
      <c r="G285" s="279"/>
      <c r="H285" s="279"/>
      <c r="I285" s="279"/>
      <c r="J285" s="279"/>
      <c r="K285" s="279"/>
      <c r="L285" s="279"/>
      <c r="M285" s="279"/>
      <c r="N285" s="279"/>
      <c r="O285" s="280"/>
      <c r="P285" s="280"/>
      <c r="Q285" s="247">
        <f t="shared" si="10"/>
        <v>0</v>
      </c>
      <c r="R285" s="229"/>
      <c r="S285" s="229"/>
      <c r="T285" s="229"/>
      <c r="U285" s="229"/>
      <c r="V285" s="229"/>
      <c r="W285" s="229"/>
      <c r="X285" s="229"/>
    </row>
    <row r="286" spans="1:24" ht="15.75" hidden="1">
      <c r="A286" s="347"/>
      <c r="B286" s="348"/>
      <c r="C286" s="279"/>
      <c r="D286" s="279"/>
      <c r="E286" s="279"/>
      <c r="F286" s="279"/>
      <c r="G286" s="279"/>
      <c r="H286" s="279"/>
      <c r="I286" s="279"/>
      <c r="J286" s="279"/>
      <c r="K286" s="279"/>
      <c r="L286" s="279"/>
      <c r="M286" s="279"/>
      <c r="N286" s="279"/>
      <c r="O286" s="280"/>
      <c r="P286" s="280"/>
      <c r="Q286" s="247">
        <f t="shared" si="10"/>
        <v>0</v>
      </c>
      <c r="R286" s="229"/>
      <c r="S286" s="229"/>
      <c r="T286" s="229"/>
      <c r="U286" s="229"/>
      <c r="V286" s="229"/>
      <c r="W286" s="229"/>
      <c r="X286" s="229"/>
    </row>
    <row r="287" spans="1:24" ht="15.75" hidden="1">
      <c r="A287" s="347"/>
      <c r="B287" s="348"/>
      <c r="C287" s="279"/>
      <c r="D287" s="279"/>
      <c r="E287" s="279"/>
      <c r="F287" s="279"/>
      <c r="G287" s="279"/>
      <c r="H287" s="279"/>
      <c r="I287" s="279"/>
      <c r="J287" s="279"/>
      <c r="K287" s="279"/>
      <c r="L287" s="279"/>
      <c r="M287" s="279"/>
      <c r="N287" s="279"/>
      <c r="O287" s="280"/>
      <c r="P287" s="280"/>
      <c r="Q287" s="247">
        <f t="shared" si="10"/>
        <v>0</v>
      </c>
      <c r="R287" s="229"/>
      <c r="S287" s="229"/>
      <c r="T287" s="229"/>
      <c r="U287" s="229"/>
      <c r="V287" s="229"/>
      <c r="W287" s="229"/>
      <c r="X287" s="229"/>
    </row>
    <row r="288" spans="1:24" ht="15.75" hidden="1">
      <c r="A288" s="347"/>
      <c r="B288" s="348"/>
      <c r="C288" s="279"/>
      <c r="D288" s="279"/>
      <c r="E288" s="279"/>
      <c r="F288" s="279"/>
      <c r="G288" s="279"/>
      <c r="H288" s="279"/>
      <c r="I288" s="279"/>
      <c r="J288" s="279"/>
      <c r="K288" s="279"/>
      <c r="L288" s="279"/>
      <c r="M288" s="279"/>
      <c r="N288" s="279"/>
      <c r="O288" s="280"/>
      <c r="P288" s="280"/>
      <c r="Q288" s="247">
        <f t="shared" si="10"/>
        <v>0</v>
      </c>
      <c r="R288" s="229"/>
      <c r="S288" s="229"/>
      <c r="T288" s="229"/>
      <c r="U288" s="229"/>
      <c r="V288" s="229"/>
      <c r="W288" s="229"/>
      <c r="X288" s="229"/>
    </row>
    <row r="289" spans="1:24" ht="15.75" hidden="1">
      <c r="A289" s="347"/>
      <c r="B289" s="348"/>
      <c r="C289" s="279"/>
      <c r="D289" s="279"/>
      <c r="E289" s="279"/>
      <c r="F289" s="279"/>
      <c r="G289" s="279"/>
      <c r="H289" s="279"/>
      <c r="I289" s="279"/>
      <c r="J289" s="279"/>
      <c r="K289" s="279"/>
      <c r="L289" s="279"/>
      <c r="M289" s="279"/>
      <c r="N289" s="279"/>
      <c r="O289" s="280"/>
      <c r="P289" s="280"/>
      <c r="Q289" s="247">
        <f t="shared" si="10"/>
        <v>0</v>
      </c>
      <c r="R289" s="229"/>
      <c r="S289" s="229"/>
      <c r="T289" s="229"/>
      <c r="U289" s="229"/>
      <c r="V289" s="229"/>
      <c r="W289" s="229"/>
      <c r="X289" s="229"/>
    </row>
    <row r="290" spans="1:24" ht="15.75" hidden="1">
      <c r="A290" s="347"/>
      <c r="B290" s="348"/>
      <c r="C290" s="279"/>
      <c r="D290" s="279"/>
      <c r="E290" s="279"/>
      <c r="F290" s="279"/>
      <c r="G290" s="279"/>
      <c r="H290" s="279"/>
      <c r="I290" s="279"/>
      <c r="J290" s="279"/>
      <c r="K290" s="279"/>
      <c r="L290" s="279"/>
      <c r="M290" s="279"/>
      <c r="N290" s="279"/>
      <c r="O290" s="280"/>
      <c r="P290" s="280"/>
      <c r="Q290" s="247">
        <f t="shared" si="10"/>
        <v>0</v>
      </c>
      <c r="R290" s="229"/>
      <c r="S290" s="229"/>
      <c r="T290" s="229"/>
      <c r="U290" s="229"/>
      <c r="V290" s="229"/>
      <c r="W290" s="229"/>
      <c r="X290" s="229"/>
    </row>
    <row r="291" spans="1:24" ht="15.75" hidden="1">
      <c r="A291" s="347"/>
      <c r="B291" s="348"/>
      <c r="C291" s="279"/>
      <c r="D291" s="279"/>
      <c r="E291" s="279"/>
      <c r="F291" s="279"/>
      <c r="G291" s="279"/>
      <c r="H291" s="279"/>
      <c r="I291" s="279"/>
      <c r="J291" s="279"/>
      <c r="K291" s="279"/>
      <c r="L291" s="279"/>
      <c r="M291" s="279"/>
      <c r="N291" s="279"/>
      <c r="O291" s="280"/>
      <c r="P291" s="280"/>
      <c r="Q291" s="247">
        <f t="shared" si="10"/>
        <v>0</v>
      </c>
      <c r="R291" s="229"/>
      <c r="S291" s="229"/>
      <c r="T291" s="229"/>
      <c r="U291" s="229"/>
      <c r="V291" s="229"/>
      <c r="W291" s="229"/>
      <c r="X291" s="229"/>
    </row>
    <row r="292" spans="1:24" ht="15.75" hidden="1">
      <c r="A292" s="347"/>
      <c r="B292" s="348"/>
      <c r="C292" s="279"/>
      <c r="D292" s="279"/>
      <c r="E292" s="279"/>
      <c r="F292" s="279"/>
      <c r="G292" s="279"/>
      <c r="H292" s="279"/>
      <c r="I292" s="279"/>
      <c r="J292" s="279"/>
      <c r="K292" s="279"/>
      <c r="L292" s="279"/>
      <c r="M292" s="279"/>
      <c r="N292" s="279"/>
      <c r="O292" s="280"/>
      <c r="P292" s="280"/>
      <c r="Q292" s="247">
        <f t="shared" si="10"/>
        <v>0</v>
      </c>
      <c r="R292" s="229"/>
      <c r="S292" s="229"/>
      <c r="T292" s="229"/>
      <c r="U292" s="229"/>
      <c r="V292" s="229"/>
      <c r="W292" s="229"/>
      <c r="X292" s="229"/>
    </row>
    <row r="293" spans="1:24" ht="15.75" hidden="1">
      <c r="A293" s="347"/>
      <c r="B293" s="348"/>
      <c r="C293" s="279"/>
      <c r="D293" s="279"/>
      <c r="E293" s="279"/>
      <c r="F293" s="279"/>
      <c r="G293" s="279"/>
      <c r="H293" s="279"/>
      <c r="I293" s="279"/>
      <c r="J293" s="279"/>
      <c r="K293" s="279"/>
      <c r="L293" s="279"/>
      <c r="M293" s="279"/>
      <c r="N293" s="279"/>
      <c r="O293" s="280"/>
      <c r="P293" s="280"/>
      <c r="Q293" s="247">
        <f t="shared" si="10"/>
        <v>0</v>
      </c>
      <c r="R293" s="229"/>
      <c r="S293" s="229"/>
      <c r="T293" s="229"/>
      <c r="U293" s="229"/>
      <c r="V293" s="229"/>
      <c r="W293" s="229"/>
      <c r="X293" s="229"/>
    </row>
    <row r="294" spans="1:24" ht="15.75" hidden="1">
      <c r="A294" s="347"/>
      <c r="B294" s="348"/>
      <c r="C294" s="279"/>
      <c r="D294" s="279"/>
      <c r="E294" s="279"/>
      <c r="F294" s="279"/>
      <c r="G294" s="279"/>
      <c r="H294" s="279"/>
      <c r="I294" s="279"/>
      <c r="J294" s="279"/>
      <c r="K294" s="279"/>
      <c r="L294" s="279"/>
      <c r="M294" s="279"/>
      <c r="N294" s="279"/>
      <c r="O294" s="280"/>
      <c r="P294" s="280"/>
      <c r="Q294" s="247">
        <f t="shared" si="10"/>
        <v>0</v>
      </c>
      <c r="R294" s="229"/>
      <c r="S294" s="229"/>
      <c r="T294" s="229"/>
      <c r="U294" s="229"/>
      <c r="V294" s="229"/>
      <c r="W294" s="229"/>
      <c r="X294" s="229"/>
    </row>
    <row r="295" spans="1:24" ht="15.75" hidden="1">
      <c r="A295" s="347"/>
      <c r="B295" s="348"/>
      <c r="C295" s="279"/>
      <c r="D295" s="279"/>
      <c r="E295" s="279"/>
      <c r="F295" s="279"/>
      <c r="G295" s="279"/>
      <c r="H295" s="279"/>
      <c r="I295" s="279"/>
      <c r="J295" s="279"/>
      <c r="K295" s="279"/>
      <c r="L295" s="279"/>
      <c r="M295" s="279"/>
      <c r="N295" s="279"/>
      <c r="O295" s="280"/>
      <c r="P295" s="280"/>
      <c r="Q295" s="247">
        <f t="shared" si="10"/>
        <v>0</v>
      </c>
      <c r="R295" s="229"/>
      <c r="S295" s="229"/>
      <c r="T295" s="229"/>
      <c r="U295" s="229"/>
      <c r="V295" s="229"/>
      <c r="W295" s="229"/>
      <c r="X295" s="229"/>
    </row>
    <row r="296" spans="1:24" ht="15.75" hidden="1">
      <c r="A296" s="347"/>
      <c r="B296" s="348"/>
      <c r="C296" s="279"/>
      <c r="D296" s="279"/>
      <c r="E296" s="279"/>
      <c r="F296" s="279"/>
      <c r="G296" s="279"/>
      <c r="H296" s="279"/>
      <c r="I296" s="279"/>
      <c r="J296" s="279"/>
      <c r="K296" s="279"/>
      <c r="L296" s="279"/>
      <c r="M296" s="279"/>
      <c r="N296" s="279"/>
      <c r="O296" s="280"/>
      <c r="P296" s="280"/>
      <c r="Q296" s="247">
        <f t="shared" si="10"/>
        <v>0</v>
      </c>
      <c r="R296" s="229"/>
      <c r="S296" s="229"/>
      <c r="T296" s="229"/>
      <c r="U296" s="229"/>
      <c r="V296" s="229"/>
      <c r="W296" s="229"/>
      <c r="X296" s="229"/>
    </row>
    <row r="297" spans="1:24" ht="15.75" hidden="1">
      <c r="A297" s="347"/>
      <c r="B297" s="348"/>
      <c r="C297" s="279"/>
      <c r="D297" s="279"/>
      <c r="E297" s="279"/>
      <c r="F297" s="279"/>
      <c r="G297" s="279"/>
      <c r="H297" s="279"/>
      <c r="I297" s="279"/>
      <c r="J297" s="279"/>
      <c r="K297" s="279"/>
      <c r="L297" s="279"/>
      <c r="M297" s="279"/>
      <c r="N297" s="279"/>
      <c r="O297" s="280"/>
      <c r="P297" s="280"/>
      <c r="Q297" s="247">
        <f t="shared" si="10"/>
        <v>0</v>
      </c>
      <c r="R297" s="229"/>
      <c r="S297" s="229"/>
      <c r="T297" s="229"/>
      <c r="U297" s="229"/>
      <c r="V297" s="229"/>
      <c r="W297" s="229"/>
      <c r="X297" s="229"/>
    </row>
    <row r="298" spans="1:24" ht="15.75" hidden="1">
      <c r="A298" s="347"/>
      <c r="B298" s="348"/>
      <c r="C298" s="279"/>
      <c r="D298" s="279"/>
      <c r="E298" s="279"/>
      <c r="F298" s="279"/>
      <c r="G298" s="279"/>
      <c r="H298" s="279"/>
      <c r="I298" s="279"/>
      <c r="J298" s="279"/>
      <c r="K298" s="279"/>
      <c r="L298" s="279"/>
      <c r="M298" s="279"/>
      <c r="N298" s="279"/>
      <c r="O298" s="280"/>
      <c r="P298" s="280"/>
      <c r="Q298" s="247">
        <f t="shared" si="10"/>
        <v>0</v>
      </c>
      <c r="R298" s="229"/>
      <c r="S298" s="229"/>
      <c r="T298" s="229"/>
      <c r="U298" s="229"/>
      <c r="V298" s="229"/>
      <c r="W298" s="229"/>
      <c r="X298" s="229"/>
    </row>
    <row r="299" spans="1:24" ht="15.75" hidden="1">
      <c r="A299" s="347"/>
      <c r="B299" s="348"/>
      <c r="C299" s="279"/>
      <c r="D299" s="279"/>
      <c r="E299" s="279"/>
      <c r="F299" s="279"/>
      <c r="G299" s="279"/>
      <c r="H299" s="279"/>
      <c r="I299" s="279"/>
      <c r="J299" s="279"/>
      <c r="K299" s="279"/>
      <c r="L299" s="279"/>
      <c r="M299" s="279"/>
      <c r="N299" s="279"/>
      <c r="O299" s="280"/>
      <c r="P299" s="280"/>
      <c r="Q299" s="247">
        <f t="shared" si="10"/>
        <v>0</v>
      </c>
      <c r="R299" s="229"/>
      <c r="S299" s="229"/>
      <c r="T299" s="229"/>
      <c r="U299" s="229"/>
      <c r="V299" s="229"/>
      <c r="W299" s="229"/>
      <c r="X299" s="229"/>
    </row>
    <row r="300" spans="1:24" ht="15.75" hidden="1">
      <c r="A300" s="347"/>
      <c r="B300" s="348"/>
      <c r="C300" s="279"/>
      <c r="D300" s="279"/>
      <c r="E300" s="279"/>
      <c r="F300" s="279"/>
      <c r="G300" s="279"/>
      <c r="H300" s="279"/>
      <c r="I300" s="279"/>
      <c r="J300" s="279"/>
      <c r="K300" s="279"/>
      <c r="L300" s="279"/>
      <c r="M300" s="279"/>
      <c r="N300" s="279"/>
      <c r="O300" s="280"/>
      <c r="P300" s="280"/>
      <c r="Q300" s="247">
        <f t="shared" si="10"/>
        <v>0</v>
      </c>
      <c r="R300" s="229"/>
      <c r="S300" s="229"/>
      <c r="T300" s="229"/>
      <c r="U300" s="229"/>
      <c r="V300" s="229"/>
      <c r="W300" s="229"/>
      <c r="X300" s="229"/>
    </row>
    <row r="301" spans="1:24" ht="15.75" hidden="1">
      <c r="A301" s="347"/>
      <c r="B301" s="348"/>
      <c r="C301" s="279"/>
      <c r="D301" s="279"/>
      <c r="E301" s="279"/>
      <c r="F301" s="279"/>
      <c r="G301" s="279"/>
      <c r="H301" s="279"/>
      <c r="I301" s="279"/>
      <c r="J301" s="279"/>
      <c r="K301" s="279"/>
      <c r="L301" s="279"/>
      <c r="M301" s="279"/>
      <c r="N301" s="279"/>
      <c r="O301" s="280"/>
      <c r="P301" s="280"/>
      <c r="Q301" s="247">
        <f t="shared" si="10"/>
        <v>0</v>
      </c>
      <c r="R301" s="229"/>
      <c r="S301" s="229"/>
      <c r="T301" s="229"/>
      <c r="U301" s="229"/>
      <c r="V301" s="229"/>
      <c r="W301" s="229"/>
      <c r="X301" s="229"/>
    </row>
    <row r="302" spans="1:24" ht="15.75" hidden="1">
      <c r="A302" s="347"/>
      <c r="B302" s="348"/>
      <c r="C302" s="279"/>
      <c r="D302" s="279"/>
      <c r="E302" s="279"/>
      <c r="F302" s="279"/>
      <c r="G302" s="279"/>
      <c r="H302" s="279"/>
      <c r="I302" s="279"/>
      <c r="J302" s="279"/>
      <c r="K302" s="279"/>
      <c r="L302" s="279"/>
      <c r="M302" s="279"/>
      <c r="N302" s="279"/>
      <c r="O302" s="280"/>
      <c r="P302" s="280"/>
      <c r="Q302" s="247">
        <f t="shared" si="10"/>
        <v>0</v>
      </c>
      <c r="R302" s="229"/>
      <c r="S302" s="229"/>
      <c r="T302" s="229"/>
      <c r="U302" s="229"/>
      <c r="V302" s="229"/>
      <c r="W302" s="229"/>
      <c r="X302" s="229"/>
    </row>
    <row r="303" spans="1:24" ht="15.75" hidden="1">
      <c r="A303" s="347"/>
      <c r="B303" s="348"/>
      <c r="C303" s="279"/>
      <c r="D303" s="279"/>
      <c r="E303" s="279"/>
      <c r="F303" s="279"/>
      <c r="G303" s="279"/>
      <c r="H303" s="279"/>
      <c r="I303" s="279"/>
      <c r="J303" s="279"/>
      <c r="K303" s="279"/>
      <c r="L303" s="279"/>
      <c r="M303" s="279"/>
      <c r="N303" s="279"/>
      <c r="O303" s="280"/>
      <c r="P303" s="280"/>
      <c r="Q303" s="247">
        <f t="shared" si="10"/>
        <v>0</v>
      </c>
      <c r="R303" s="229"/>
      <c r="S303" s="229"/>
      <c r="T303" s="229"/>
      <c r="U303" s="229"/>
      <c r="V303" s="229"/>
      <c r="W303" s="229"/>
      <c r="X303" s="229"/>
    </row>
    <row r="304" spans="1:24" ht="15.75" hidden="1">
      <c r="A304" s="347"/>
      <c r="B304" s="348"/>
      <c r="C304" s="279"/>
      <c r="D304" s="279"/>
      <c r="E304" s="279"/>
      <c r="F304" s="279"/>
      <c r="G304" s="279"/>
      <c r="H304" s="279"/>
      <c r="I304" s="279"/>
      <c r="J304" s="279"/>
      <c r="K304" s="279"/>
      <c r="L304" s="279"/>
      <c r="M304" s="279"/>
      <c r="N304" s="279"/>
      <c r="O304" s="280"/>
      <c r="P304" s="280"/>
      <c r="Q304" s="247">
        <f t="shared" si="10"/>
        <v>0</v>
      </c>
      <c r="R304" s="229"/>
      <c r="S304" s="229"/>
      <c r="T304" s="229"/>
      <c r="U304" s="229"/>
      <c r="V304" s="229"/>
      <c r="W304" s="229"/>
      <c r="X304" s="229"/>
    </row>
    <row r="305" spans="1:24" ht="15.75" hidden="1">
      <c r="A305" s="347"/>
      <c r="B305" s="348"/>
      <c r="C305" s="279"/>
      <c r="D305" s="279"/>
      <c r="E305" s="279"/>
      <c r="F305" s="279"/>
      <c r="G305" s="279"/>
      <c r="H305" s="279"/>
      <c r="I305" s="279"/>
      <c r="J305" s="279"/>
      <c r="K305" s="279"/>
      <c r="L305" s="279"/>
      <c r="M305" s="279"/>
      <c r="N305" s="279"/>
      <c r="O305" s="280"/>
      <c r="P305" s="280"/>
      <c r="Q305" s="247">
        <f t="shared" si="10"/>
        <v>0</v>
      </c>
      <c r="R305" s="229"/>
      <c r="S305" s="229"/>
      <c r="T305" s="229"/>
      <c r="U305" s="229"/>
      <c r="V305" s="229"/>
      <c r="W305" s="229"/>
      <c r="X305" s="229"/>
    </row>
    <row r="306" spans="1:24" ht="15.75" hidden="1">
      <c r="A306" s="347"/>
      <c r="B306" s="348"/>
      <c r="C306" s="279"/>
      <c r="D306" s="279"/>
      <c r="E306" s="279"/>
      <c r="F306" s="279"/>
      <c r="G306" s="279"/>
      <c r="H306" s="279"/>
      <c r="I306" s="279"/>
      <c r="J306" s="279"/>
      <c r="K306" s="279"/>
      <c r="L306" s="279"/>
      <c r="M306" s="279"/>
      <c r="N306" s="279"/>
      <c r="O306" s="280"/>
      <c r="P306" s="280"/>
      <c r="Q306" s="247">
        <f t="shared" si="10"/>
        <v>0</v>
      </c>
      <c r="R306" s="229"/>
      <c r="S306" s="229"/>
      <c r="T306" s="229"/>
      <c r="U306" s="229"/>
      <c r="V306" s="229"/>
      <c r="W306" s="229"/>
      <c r="X306" s="229"/>
    </row>
    <row r="307" spans="1:24" ht="5.25" hidden="1" customHeight="1">
      <c r="A307" s="347"/>
      <c r="B307" s="348"/>
      <c r="C307" s="279"/>
      <c r="D307" s="279"/>
      <c r="E307" s="279"/>
      <c r="F307" s="279"/>
      <c r="G307" s="279"/>
      <c r="H307" s="279"/>
      <c r="I307" s="279"/>
      <c r="J307" s="279"/>
      <c r="K307" s="279"/>
      <c r="L307" s="279"/>
      <c r="M307" s="279"/>
      <c r="N307" s="279"/>
      <c r="O307" s="280"/>
      <c r="P307" s="280"/>
      <c r="Q307" s="247">
        <f t="shared" si="10"/>
        <v>0</v>
      </c>
      <c r="R307" s="229"/>
      <c r="S307" s="229"/>
      <c r="T307" s="229"/>
      <c r="U307" s="229"/>
      <c r="V307" s="229"/>
      <c r="W307" s="229"/>
      <c r="X307" s="229"/>
    </row>
    <row r="308" spans="1:24" ht="15.75" hidden="1">
      <c r="A308" s="347"/>
      <c r="B308" s="348"/>
      <c r="C308" s="279"/>
      <c r="D308" s="279"/>
      <c r="E308" s="279"/>
      <c r="F308" s="279"/>
      <c r="G308" s="279"/>
      <c r="H308" s="279"/>
      <c r="I308" s="279"/>
      <c r="J308" s="279"/>
      <c r="K308" s="279"/>
      <c r="L308" s="279"/>
      <c r="M308" s="279"/>
      <c r="N308" s="279"/>
      <c r="O308" s="280"/>
      <c r="P308" s="280"/>
      <c r="Q308" s="247">
        <f t="shared" si="10"/>
        <v>0</v>
      </c>
      <c r="R308" s="229"/>
      <c r="S308" s="229"/>
      <c r="T308" s="229"/>
      <c r="U308" s="229"/>
      <c r="V308" s="229"/>
      <c r="W308" s="229"/>
      <c r="X308" s="229"/>
    </row>
    <row r="309" spans="1:24" ht="15.75" hidden="1">
      <c r="A309" s="347"/>
      <c r="B309" s="348"/>
      <c r="C309" s="279"/>
      <c r="D309" s="279"/>
      <c r="E309" s="279"/>
      <c r="F309" s="279"/>
      <c r="G309" s="279"/>
      <c r="H309" s="279"/>
      <c r="I309" s="279"/>
      <c r="J309" s="279"/>
      <c r="K309" s="279"/>
      <c r="L309" s="279"/>
      <c r="M309" s="279"/>
      <c r="N309" s="279"/>
      <c r="O309" s="280"/>
      <c r="P309" s="280"/>
      <c r="Q309" s="247">
        <f t="shared" si="10"/>
        <v>0</v>
      </c>
      <c r="R309" s="229"/>
      <c r="S309" s="229"/>
      <c r="T309" s="229"/>
      <c r="U309" s="229"/>
      <c r="V309" s="229"/>
      <c r="W309" s="229"/>
      <c r="X309" s="229"/>
    </row>
    <row r="310" spans="1:24" ht="15.75" hidden="1">
      <c r="A310" s="347"/>
      <c r="B310" s="348"/>
      <c r="C310" s="279"/>
      <c r="D310" s="279"/>
      <c r="E310" s="279"/>
      <c r="F310" s="279"/>
      <c r="G310" s="279"/>
      <c r="H310" s="279"/>
      <c r="I310" s="279"/>
      <c r="J310" s="279"/>
      <c r="K310" s="279"/>
      <c r="L310" s="279"/>
      <c r="M310" s="279"/>
      <c r="N310" s="279"/>
      <c r="O310" s="280"/>
      <c r="P310" s="280"/>
      <c r="Q310" s="247">
        <f t="shared" si="10"/>
        <v>0</v>
      </c>
      <c r="R310" s="229"/>
      <c r="S310" s="229"/>
      <c r="T310" s="229"/>
      <c r="U310" s="229"/>
      <c r="V310" s="229"/>
      <c r="W310" s="229"/>
      <c r="X310" s="229"/>
    </row>
    <row r="311" spans="1:24" ht="15.75" hidden="1">
      <c r="A311" s="347"/>
      <c r="B311" s="348"/>
      <c r="C311" s="279"/>
      <c r="D311" s="279"/>
      <c r="E311" s="279"/>
      <c r="F311" s="279"/>
      <c r="G311" s="279"/>
      <c r="H311" s="279"/>
      <c r="I311" s="279"/>
      <c r="J311" s="279"/>
      <c r="K311" s="279"/>
      <c r="L311" s="279"/>
      <c r="M311" s="279"/>
      <c r="N311" s="279"/>
      <c r="O311" s="280"/>
      <c r="P311" s="280"/>
      <c r="Q311" s="247">
        <f t="shared" si="10"/>
        <v>0</v>
      </c>
      <c r="R311" s="229"/>
      <c r="S311" s="229"/>
      <c r="T311" s="229"/>
      <c r="U311" s="229"/>
      <c r="V311" s="229"/>
      <c r="W311" s="229"/>
      <c r="X311" s="229"/>
    </row>
    <row r="312" spans="1:24" ht="15.75" hidden="1">
      <c r="A312" s="347" t="s">
        <v>308</v>
      </c>
      <c r="B312" s="348"/>
      <c r="C312" s="283">
        <v>0.12257363217557844</v>
      </c>
      <c r="D312" s="283">
        <v>9.1205524120072892E-2</v>
      </c>
      <c r="E312" s="283">
        <v>0.10893593835136607</v>
      </c>
      <c r="F312" s="283">
        <v>9.4193112761647532E-2</v>
      </c>
      <c r="G312" s="283">
        <v>0.11804897314375988</v>
      </c>
      <c r="H312" s="283">
        <v>0.10121223070322027</v>
      </c>
      <c r="I312" s="283">
        <v>0.11177127874142799</v>
      </c>
      <c r="J312" s="283">
        <v>0.14258383714339692</v>
      </c>
      <c r="K312" s="283">
        <v>0.14442297850562949</v>
      </c>
      <c r="L312" s="283">
        <v>0.14310958254269449</v>
      </c>
      <c r="M312" s="283">
        <v>0.14184307560937742</v>
      </c>
      <c r="N312" s="283">
        <v>0.14865427247077792</v>
      </c>
      <c r="O312" s="280"/>
      <c r="P312" s="280"/>
      <c r="Q312" s="247">
        <f t="shared" si="10"/>
        <v>0</v>
      </c>
      <c r="R312" s="229"/>
      <c r="S312" s="229"/>
      <c r="T312" s="229"/>
      <c r="U312" s="229"/>
      <c r="V312" s="229"/>
      <c r="W312" s="229"/>
      <c r="X312" s="229"/>
    </row>
    <row r="313" spans="1:24" ht="15.75" hidden="1">
      <c r="A313" s="347" t="s">
        <v>309</v>
      </c>
      <c r="B313" s="348"/>
      <c r="C313" s="283">
        <v>0</v>
      </c>
      <c r="D313" s="283">
        <v>0</v>
      </c>
      <c r="E313" s="283">
        <v>0</v>
      </c>
      <c r="F313" s="283">
        <v>0</v>
      </c>
      <c r="G313" s="283">
        <v>0</v>
      </c>
      <c r="H313" s="283">
        <v>0</v>
      </c>
      <c r="I313" s="283">
        <v>0</v>
      </c>
      <c r="J313" s="283">
        <v>0</v>
      </c>
      <c r="K313" s="283">
        <v>0</v>
      </c>
      <c r="L313" s="283">
        <v>0</v>
      </c>
      <c r="M313" s="283">
        <v>0</v>
      </c>
      <c r="N313" s="283">
        <v>0</v>
      </c>
      <c r="O313" s="280"/>
      <c r="P313" s="280"/>
      <c r="Q313" s="247">
        <f t="shared" si="10"/>
        <v>0</v>
      </c>
      <c r="R313" s="229"/>
      <c r="S313" s="229"/>
      <c r="T313" s="229"/>
      <c r="U313" s="229"/>
      <c r="V313" s="229"/>
      <c r="W313" s="229"/>
      <c r="X313" s="229"/>
    </row>
    <row r="314" spans="1:24" ht="15.75" hidden="1">
      <c r="A314" s="347" t="s">
        <v>310</v>
      </c>
      <c r="B314" s="348"/>
      <c r="C314" s="283">
        <v>0.49676484290077128</v>
      </c>
      <c r="D314" s="283">
        <v>0.41320609954924714</v>
      </c>
      <c r="E314" s="283">
        <v>0.31777846968163775</v>
      </c>
      <c r="F314" s="283">
        <v>0.46515117413159279</v>
      </c>
      <c r="G314" s="283">
        <v>0.39427330173775671</v>
      </c>
      <c r="H314" s="283">
        <v>0.45475497944988935</v>
      </c>
      <c r="I314" s="283">
        <v>0.46323154497781366</v>
      </c>
      <c r="J314" s="283">
        <v>0.35475000000000001</v>
      </c>
      <c r="K314" s="283">
        <v>0.35475000000000007</v>
      </c>
      <c r="L314" s="283">
        <v>0.35475000000000001</v>
      </c>
      <c r="M314" s="283">
        <v>0.35475000000000001</v>
      </c>
      <c r="N314" s="283">
        <v>0.35475000000000001</v>
      </c>
      <c r="O314" s="280"/>
      <c r="P314" s="280"/>
      <c r="Q314" s="247">
        <f t="shared" si="10"/>
        <v>0</v>
      </c>
      <c r="R314" s="229"/>
      <c r="S314" s="229"/>
      <c r="T314" s="229"/>
      <c r="U314" s="229"/>
      <c r="V314" s="229"/>
      <c r="W314" s="229"/>
      <c r="X314" s="229"/>
    </row>
    <row r="315" spans="1:24" ht="15.75" hidden="1">
      <c r="A315" s="347" t="s">
        <v>311</v>
      </c>
      <c r="B315" s="348"/>
      <c r="C315" s="283">
        <v>0</v>
      </c>
      <c r="D315" s="283">
        <v>0</v>
      </c>
      <c r="E315" s="283">
        <v>0</v>
      </c>
      <c r="F315" s="283">
        <v>0</v>
      </c>
      <c r="G315" s="283">
        <v>0</v>
      </c>
      <c r="H315" s="283">
        <v>0</v>
      </c>
      <c r="I315" s="283">
        <v>0</v>
      </c>
      <c r="J315" s="283">
        <v>0</v>
      </c>
      <c r="K315" s="283">
        <v>0</v>
      </c>
      <c r="L315" s="283">
        <v>0</v>
      </c>
      <c r="M315" s="283">
        <v>0</v>
      </c>
      <c r="N315" s="283">
        <v>0</v>
      </c>
      <c r="O315" s="280"/>
      <c r="P315" s="280"/>
      <c r="Q315" s="247">
        <f t="shared" si="10"/>
        <v>0</v>
      </c>
      <c r="R315" s="229"/>
      <c r="S315" s="229"/>
      <c r="T315" s="229"/>
      <c r="U315" s="229"/>
      <c r="V315" s="229"/>
      <c r="W315" s="229"/>
      <c r="X315" s="229"/>
    </row>
    <row r="316" spans="1:24" ht="15.75" hidden="1">
      <c r="A316" s="347" t="s">
        <v>312</v>
      </c>
      <c r="B316" s="348"/>
      <c r="C316" s="283">
        <v>1.2940628396914955E-3</v>
      </c>
      <c r="D316" s="283">
        <v>6.2338160544739621E-4</v>
      </c>
      <c r="E316" s="283">
        <v>1.128668171557562E-3</v>
      </c>
      <c r="F316" s="283">
        <v>1.4629754670267836E-3</v>
      </c>
      <c r="G316" s="283">
        <v>4.3838862559241708E-3</v>
      </c>
      <c r="H316" s="283">
        <v>0</v>
      </c>
      <c r="I316" s="283">
        <v>0</v>
      </c>
      <c r="J316" s="283">
        <v>5.3485405252219925E-2</v>
      </c>
      <c r="K316" s="283">
        <v>5.5638945752302979E-2</v>
      </c>
      <c r="L316" s="283">
        <v>5.4073529411764715E-2</v>
      </c>
      <c r="M316" s="283">
        <v>5.2582712311752842E-2</v>
      </c>
      <c r="N316" s="283">
        <v>5.1267734784361148E-2</v>
      </c>
      <c r="O316" s="280"/>
      <c r="P316" s="280"/>
      <c r="Q316" s="247">
        <f t="shared" si="10"/>
        <v>0</v>
      </c>
      <c r="R316" s="229"/>
      <c r="S316" s="229"/>
      <c r="T316" s="229"/>
      <c r="U316" s="229"/>
      <c r="V316" s="229"/>
      <c r="W316" s="229"/>
      <c r="X316" s="229"/>
    </row>
    <row r="317" spans="1:24" ht="15.75" hidden="1">
      <c r="A317" s="347" t="s">
        <v>313</v>
      </c>
      <c r="B317" s="348"/>
      <c r="C317" s="283">
        <v>0.64366685646254984</v>
      </c>
      <c r="D317" s="283">
        <v>0.13407499760237845</v>
      </c>
      <c r="E317" s="283">
        <v>5.8029111854907764E-2</v>
      </c>
      <c r="F317" s="283">
        <v>0.29735914172105932</v>
      </c>
      <c r="G317" s="283">
        <v>5.9241706161137442E-2</v>
      </c>
      <c r="H317" s="283">
        <v>0.10229890248859581</v>
      </c>
      <c r="I317" s="283">
        <v>0.40399314239612744</v>
      </c>
      <c r="J317" s="283">
        <v>0.62472770640468545</v>
      </c>
      <c r="K317" s="283">
        <v>0.5152975946775844</v>
      </c>
      <c r="L317" s="283">
        <v>0.53022533206831124</v>
      </c>
      <c r="M317" s="283">
        <v>0.57381540133519637</v>
      </c>
      <c r="N317" s="283">
        <v>0.52968208383716253</v>
      </c>
      <c r="O317" s="280"/>
      <c r="P317" s="280"/>
      <c r="Q317" s="247">
        <f t="shared" si="10"/>
        <v>0</v>
      </c>
      <c r="R317" s="229"/>
      <c r="S317" s="229"/>
      <c r="T317" s="229"/>
      <c r="U317" s="229"/>
      <c r="V317" s="229"/>
      <c r="W317" s="229"/>
      <c r="X317" s="229"/>
    </row>
    <row r="318" spans="1:24" ht="15.75" hidden="1">
      <c r="A318" s="347" t="s">
        <v>314</v>
      </c>
      <c r="B318" s="348"/>
      <c r="C318" s="283">
        <v>0.10026398881929706</v>
      </c>
      <c r="D318" s="283">
        <v>3.7690610913973341E-2</v>
      </c>
      <c r="E318" s="283">
        <v>7.37137074803456E-2</v>
      </c>
      <c r="F318" s="283">
        <v>3.6011703803736216E-2</v>
      </c>
      <c r="G318" s="283">
        <v>0.73376777251184833</v>
      </c>
      <c r="H318" s="283">
        <v>0</v>
      </c>
      <c r="I318" s="283">
        <v>0.80467688584106489</v>
      </c>
      <c r="J318" s="283">
        <v>0.25800000000000001</v>
      </c>
      <c r="K318" s="283">
        <v>0.25800000000000001</v>
      </c>
      <c r="L318" s="283">
        <v>0.25800000000000001</v>
      </c>
      <c r="M318" s="283">
        <v>0.18275000000000005</v>
      </c>
      <c r="N318" s="283">
        <v>0.25800000000000001</v>
      </c>
      <c r="O318" s="280"/>
      <c r="P318" s="280"/>
      <c r="Q318" s="247">
        <f t="shared" si="10"/>
        <v>0</v>
      </c>
      <c r="R318" s="229"/>
      <c r="S318" s="229"/>
      <c r="T318" s="229"/>
      <c r="U318" s="229"/>
      <c r="V318" s="229"/>
      <c r="W318" s="229"/>
      <c r="X318" s="229"/>
    </row>
    <row r="319" spans="1:24" ht="15.75" hidden="1">
      <c r="A319" s="347" t="s">
        <v>315</v>
      </c>
      <c r="B319" s="348"/>
      <c r="C319" s="283">
        <v>3.5198509239608676E-3</v>
      </c>
      <c r="D319" s="283">
        <v>0</v>
      </c>
      <c r="E319" s="283">
        <v>0</v>
      </c>
      <c r="F319" s="283">
        <v>0</v>
      </c>
      <c r="G319" s="283">
        <v>0</v>
      </c>
      <c r="H319" s="283">
        <v>0</v>
      </c>
      <c r="I319" s="283">
        <v>0</v>
      </c>
      <c r="J319" s="283">
        <v>3.3251464197997355E-3</v>
      </c>
      <c r="K319" s="283">
        <v>3.6028659160696006E-3</v>
      </c>
      <c r="L319" s="283">
        <v>3.8709677419354839E-3</v>
      </c>
      <c r="M319" s="283">
        <v>3.9590125756870055E-3</v>
      </c>
      <c r="N319" s="283">
        <v>5.1894397420394998E-3</v>
      </c>
      <c r="O319" s="280"/>
      <c r="P319" s="280"/>
      <c r="Q319" s="247">
        <f t="shared" si="10"/>
        <v>0</v>
      </c>
      <c r="R319" s="229"/>
      <c r="S319" s="229"/>
      <c r="T319" s="229"/>
      <c r="U319" s="229"/>
      <c r="V319" s="229"/>
      <c r="W319" s="229"/>
      <c r="X319" s="229"/>
    </row>
    <row r="320" spans="1:24" ht="15.75" hidden="1">
      <c r="A320" s="347" t="s">
        <v>316</v>
      </c>
      <c r="B320" s="348"/>
      <c r="C320" s="283">
        <v>0</v>
      </c>
      <c r="D320" s="283">
        <v>0</v>
      </c>
      <c r="E320" s="283">
        <v>0</v>
      </c>
      <c r="F320" s="283">
        <v>0</v>
      </c>
      <c r="G320" s="283">
        <v>0.01</v>
      </c>
      <c r="H320" s="283">
        <v>0</v>
      </c>
      <c r="I320" s="283">
        <v>0</v>
      </c>
      <c r="J320" s="283">
        <v>0.11532155677309655</v>
      </c>
      <c r="K320" s="283">
        <v>0.11663561924257934</v>
      </c>
      <c r="L320" s="283">
        <v>0.11567931688804554</v>
      </c>
      <c r="M320" s="283">
        <v>0.11036935258500233</v>
      </c>
      <c r="N320" s="283">
        <v>0.11388512696493351</v>
      </c>
      <c r="O320" s="280"/>
      <c r="P320" s="280"/>
      <c r="Q320" s="247">
        <f t="shared" si="10"/>
        <v>0</v>
      </c>
      <c r="R320" s="229"/>
      <c r="S320" s="229"/>
      <c r="T320" s="229"/>
      <c r="U320" s="229"/>
      <c r="V320" s="229"/>
      <c r="W320" s="229"/>
      <c r="X320" s="229"/>
    </row>
    <row r="321" spans="1:24" ht="15.75" hidden="1">
      <c r="A321" s="347" t="s">
        <v>317</v>
      </c>
      <c r="B321" s="348"/>
      <c r="C321" s="283">
        <v>0</v>
      </c>
      <c r="D321" s="283">
        <v>0</v>
      </c>
      <c r="E321" s="283">
        <v>0</v>
      </c>
      <c r="F321" s="283">
        <v>0</v>
      </c>
      <c r="G321" s="283">
        <v>0</v>
      </c>
      <c r="H321" s="283">
        <v>0</v>
      </c>
      <c r="I321" s="283">
        <v>0</v>
      </c>
      <c r="J321" s="283">
        <v>1.5114301908180617E-3</v>
      </c>
      <c r="K321" s="283">
        <v>1.842374616171955E-3</v>
      </c>
      <c r="L321" s="283">
        <v>1.7077798861480076E-3</v>
      </c>
      <c r="M321" s="283">
        <v>1.7466231951560316E-3</v>
      </c>
      <c r="N321" s="283">
        <v>2.267230955259976E-3</v>
      </c>
      <c r="O321" s="280"/>
      <c r="P321" s="280"/>
      <c r="Q321" s="247">
        <f t="shared" si="10"/>
        <v>0</v>
      </c>
      <c r="R321" s="229"/>
      <c r="S321" s="229"/>
      <c r="T321" s="229"/>
      <c r="U321" s="229"/>
      <c r="V321" s="229"/>
      <c r="W321" s="229"/>
      <c r="X321" s="229"/>
    </row>
    <row r="322" spans="1:24" ht="15.75" hidden="1">
      <c r="A322" s="347" t="s">
        <v>363</v>
      </c>
      <c r="B322" s="348"/>
      <c r="C322" s="283">
        <v>0.93710854599099336</v>
      </c>
      <c r="D322" s="283">
        <v>0.82530929318116431</v>
      </c>
      <c r="E322" s="283">
        <v>0.70576788355258036</v>
      </c>
      <c r="F322" s="283">
        <v>0.32849426063470627</v>
      </c>
      <c r="G322" s="283">
        <v>1.0127962085308058</v>
      </c>
      <c r="H322" s="283">
        <v>1.0525522785782033</v>
      </c>
      <c r="I322" s="283">
        <v>0.78907825736183945</v>
      </c>
      <c r="J322" s="283">
        <v>0.97437634611751378</v>
      </c>
      <c r="K322" s="283">
        <v>1.0323776867963153</v>
      </c>
      <c r="L322" s="283">
        <v>0.92418299051233399</v>
      </c>
      <c r="M322" s="283">
        <v>0.92059528334109608</v>
      </c>
      <c r="N322" s="283">
        <v>0.96605380058791013</v>
      </c>
      <c r="O322" s="280"/>
      <c r="P322" s="280"/>
      <c r="Q322" s="247">
        <f t="shared" si="10"/>
        <v>0</v>
      </c>
      <c r="R322" s="229"/>
      <c r="S322" s="229"/>
      <c r="T322" s="229"/>
      <c r="U322" s="229"/>
      <c r="V322" s="229"/>
      <c r="W322" s="229"/>
      <c r="X322" s="229"/>
    </row>
    <row r="323" spans="1:24" ht="15.75" hidden="1">
      <c r="A323" s="347" t="s">
        <v>319</v>
      </c>
      <c r="B323" s="348"/>
      <c r="C323" s="283">
        <v>0.18308401055955278</v>
      </c>
      <c r="D323" s="283">
        <v>0.44034717560180303</v>
      </c>
      <c r="E323" s="283">
        <v>0.34965361563010822</v>
      </c>
      <c r="F323" s="283">
        <v>0.57119813939530351</v>
      </c>
      <c r="G323" s="283">
        <v>0.85023696682464456</v>
      </c>
      <c r="H323" s="283">
        <v>1.2250720382999865</v>
      </c>
      <c r="I323" s="283">
        <v>1.4114788221056878</v>
      </c>
      <c r="J323" s="283">
        <v>0.69667036652182124</v>
      </c>
      <c r="K323" s="283">
        <v>0.72835337768679631</v>
      </c>
      <c r="L323" s="283">
        <v>0.64661574952561673</v>
      </c>
      <c r="M323" s="283">
        <v>0.48955589194224503</v>
      </c>
      <c r="N323" s="283">
        <v>0.6014548569125352</v>
      </c>
      <c r="O323" s="280"/>
      <c r="P323" s="280"/>
      <c r="Q323" s="247">
        <f t="shared" si="10"/>
        <v>0</v>
      </c>
      <c r="R323" s="229"/>
      <c r="S323" s="229"/>
      <c r="T323" s="229"/>
      <c r="U323" s="229"/>
      <c r="V323" s="229"/>
      <c r="W323" s="229"/>
      <c r="X323" s="229"/>
    </row>
    <row r="324" spans="1:24" ht="15.75" hidden="1">
      <c r="A324" s="347" t="s">
        <v>320</v>
      </c>
      <c r="B324" s="348"/>
      <c r="C324" s="283">
        <v>0.1</v>
      </c>
      <c r="D324" s="283">
        <v>1.4433681787666635E-2</v>
      </c>
      <c r="E324" s="283">
        <v>1.8603565034638437E-2</v>
      </c>
      <c r="F324" s="283">
        <v>0.22826168504764049</v>
      </c>
      <c r="G324" s="283">
        <v>0.48139810426540286</v>
      </c>
      <c r="H324" s="283">
        <v>0.22235264893184589</v>
      </c>
      <c r="I324" s="283">
        <v>5.1553045582896327E-2</v>
      </c>
      <c r="J324" s="283">
        <v>0.51667328547137747</v>
      </c>
      <c r="K324" s="283">
        <v>0.52018781985670426</v>
      </c>
      <c r="L324" s="283">
        <v>0.53545161290322585</v>
      </c>
      <c r="M324" s="283">
        <v>0.47797362210836825</v>
      </c>
      <c r="N324" s="283">
        <v>0.44218137847642086</v>
      </c>
      <c r="O324" s="280"/>
      <c r="P324" s="280"/>
      <c r="Q324" s="247">
        <f t="shared" si="10"/>
        <v>0</v>
      </c>
      <c r="R324" s="229"/>
      <c r="S324" s="229"/>
      <c r="T324" s="229"/>
      <c r="U324" s="229"/>
      <c r="V324" s="229"/>
      <c r="W324" s="229"/>
      <c r="X324" s="229"/>
    </row>
    <row r="325" spans="1:24" ht="15.75" hidden="1">
      <c r="A325" s="343" t="s">
        <v>321</v>
      </c>
      <c r="B325" s="344"/>
      <c r="C325" s="287">
        <v>0</v>
      </c>
      <c r="D325" s="287">
        <v>0</v>
      </c>
      <c r="E325" s="287">
        <v>0</v>
      </c>
      <c r="F325" s="287">
        <v>0</v>
      </c>
      <c r="G325" s="287">
        <v>0</v>
      </c>
      <c r="H325" s="287">
        <v>0</v>
      </c>
      <c r="I325" s="287">
        <v>0</v>
      </c>
      <c r="J325" s="287">
        <v>1.5114301908180617E-3</v>
      </c>
      <c r="K325" s="287">
        <v>1.842374616171955E-3</v>
      </c>
      <c r="L325" s="287">
        <v>1.7077798861480076E-3</v>
      </c>
      <c r="M325" s="287">
        <v>1.7466231951560316E-3</v>
      </c>
      <c r="N325" s="287">
        <v>2.267230955259976E-3</v>
      </c>
      <c r="O325" s="276"/>
      <c r="P325" s="276"/>
      <c r="Q325" s="247">
        <f t="shared" si="10"/>
        <v>0</v>
      </c>
      <c r="R325" s="229"/>
      <c r="S325" s="229"/>
      <c r="T325" s="229"/>
      <c r="U325" s="229"/>
      <c r="V325" s="229"/>
      <c r="W325" s="229"/>
      <c r="X325" s="229"/>
    </row>
    <row r="326" spans="1:24" ht="15.75" hidden="1">
      <c r="A326" s="343" t="s">
        <v>322</v>
      </c>
      <c r="B326" s="344"/>
      <c r="C326" s="287">
        <v>0.49526373000672913</v>
      </c>
      <c r="D326" s="287">
        <v>0.21310060420063298</v>
      </c>
      <c r="E326" s="287">
        <v>0.16653693469292441</v>
      </c>
      <c r="F326" s="287">
        <v>0.10402130692475055</v>
      </c>
      <c r="G326" s="287">
        <v>0.20181674565560823</v>
      </c>
      <c r="H326" s="287">
        <v>0.25</v>
      </c>
      <c r="I326" s="287">
        <v>0.25</v>
      </c>
      <c r="J326" s="287">
        <v>0.3</v>
      </c>
      <c r="K326" s="287">
        <v>0.4</v>
      </c>
      <c r="L326" s="287">
        <v>0.5</v>
      </c>
      <c r="M326" s="287">
        <v>0.5</v>
      </c>
      <c r="N326" s="287">
        <v>0.34872380088673927</v>
      </c>
      <c r="O326" s="276"/>
      <c r="P326" s="276"/>
      <c r="Q326" s="247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9"/>
      <c r="S326" s="229"/>
      <c r="T326" s="229"/>
      <c r="U326" s="229"/>
      <c r="V326" s="229"/>
      <c r="W326" s="229"/>
      <c r="X326" s="229"/>
    </row>
    <row r="327" spans="1:24" ht="15.75" hidden="1">
      <c r="A327" s="343" t="s">
        <v>323</v>
      </c>
      <c r="B327" s="344"/>
      <c r="C327" s="287">
        <v>7.4020394430353534E-2</v>
      </c>
      <c r="D327" s="287">
        <v>6.8571976599213574E-2</v>
      </c>
      <c r="E327" s="287">
        <v>5.5655016735424612E-2</v>
      </c>
      <c r="F327" s="287">
        <v>5.3642433790982068E-2</v>
      </c>
      <c r="G327" s="287">
        <v>5.6477093206951025E-2</v>
      </c>
      <c r="H327" s="287">
        <v>0.06</v>
      </c>
      <c r="I327" s="287">
        <v>7.0000000000000007E-2</v>
      </c>
      <c r="J327" s="287">
        <v>0.1</v>
      </c>
      <c r="K327" s="287">
        <v>0.1</v>
      </c>
      <c r="L327" s="287">
        <v>0.15</v>
      </c>
      <c r="M327" s="287">
        <v>0.1</v>
      </c>
      <c r="N327" s="287">
        <v>0.1</v>
      </c>
      <c r="O327" s="276"/>
      <c r="P327" s="276"/>
      <c r="Q327" s="247">
        <f t="shared" si="11"/>
        <v>0</v>
      </c>
      <c r="R327" s="229"/>
      <c r="S327" s="229"/>
      <c r="T327" s="229"/>
      <c r="U327" s="229"/>
      <c r="V327" s="229"/>
      <c r="W327" s="229"/>
      <c r="X327" s="229"/>
    </row>
    <row r="328" spans="1:24" ht="15.75" hidden="1">
      <c r="A328" s="343" t="s">
        <v>324</v>
      </c>
      <c r="B328" s="344"/>
      <c r="C328" s="287">
        <v>0.41410010870127856</v>
      </c>
      <c r="D328" s="287">
        <v>0.47952431188261246</v>
      </c>
      <c r="E328" s="287">
        <v>0.46703510547209465</v>
      </c>
      <c r="F328" s="287">
        <v>0.30009753169780179</v>
      </c>
      <c r="G328" s="287">
        <v>0.39494470774091628</v>
      </c>
      <c r="H328" s="287">
        <v>0.27099047016846572</v>
      </c>
      <c r="I328" s="287">
        <v>0.3227107704719645</v>
      </c>
      <c r="J328" s="287">
        <v>0.26450028339316078</v>
      </c>
      <c r="K328" s="287">
        <v>0.2865916069600819</v>
      </c>
      <c r="L328" s="287">
        <v>0.26565464895635671</v>
      </c>
      <c r="M328" s="287">
        <v>0.27169694146871604</v>
      </c>
      <c r="N328" s="287">
        <v>0.35268037081821846</v>
      </c>
      <c r="O328" s="276"/>
      <c r="P328" s="276"/>
      <c r="Q328" s="247">
        <f t="shared" si="11"/>
        <v>0</v>
      </c>
      <c r="R328" s="229"/>
      <c r="S328" s="229"/>
      <c r="T328" s="229"/>
      <c r="U328" s="229"/>
      <c r="V328" s="229"/>
      <c r="W328" s="229"/>
      <c r="X328" s="229"/>
    </row>
    <row r="329" spans="1:24" ht="15.75" hidden="1">
      <c r="A329" s="343" t="s">
        <v>325</v>
      </c>
      <c r="B329" s="344"/>
      <c r="C329" s="287">
        <v>0.26833687043842847</v>
      </c>
      <c r="D329" s="287">
        <v>5.9892586554138295E-2</v>
      </c>
      <c r="E329" s="287">
        <v>0.13345528138865104</v>
      </c>
      <c r="F329" s="287">
        <v>0.19907720009002927</v>
      </c>
      <c r="G329" s="287">
        <v>0.3315955766192733</v>
      </c>
      <c r="H329" s="287">
        <v>0.20438823901359468</v>
      </c>
      <c r="I329" s="287">
        <v>0.11195320693828158</v>
      </c>
      <c r="J329" s="287">
        <v>0.30993363876818436</v>
      </c>
      <c r="K329" s="287">
        <v>0.34558085977482089</v>
      </c>
      <c r="L329" s="287">
        <v>0.33041271347248574</v>
      </c>
      <c r="M329" s="287">
        <v>0.27657176680639656</v>
      </c>
      <c r="N329" s="287">
        <v>0.2377009270455463</v>
      </c>
      <c r="O329" s="276"/>
      <c r="P329" s="276"/>
      <c r="Q329" s="247">
        <f t="shared" si="11"/>
        <v>0</v>
      </c>
      <c r="R329" s="229"/>
      <c r="S329" s="229"/>
      <c r="T329" s="229"/>
      <c r="U329" s="229"/>
      <c r="V329" s="229"/>
      <c r="W329" s="229"/>
      <c r="X329" s="229"/>
    </row>
    <row r="330" spans="1:24" ht="15.75" hidden="1">
      <c r="A330" s="343" t="s">
        <v>326</v>
      </c>
      <c r="B330" s="344"/>
      <c r="C330" s="287">
        <v>7.5107407215694394E-2</v>
      </c>
      <c r="D330" s="287">
        <v>0.4114318595952815</v>
      </c>
      <c r="E330" s="287">
        <v>0.11924963026387483</v>
      </c>
      <c r="F330" s="287">
        <v>0.20110285842898942</v>
      </c>
      <c r="G330" s="287">
        <v>6.8799368088467608E-2</v>
      </c>
      <c r="H330" s="287">
        <v>0.48155006548936363</v>
      </c>
      <c r="I330" s="287">
        <v>0.38820855183541753</v>
      </c>
      <c r="J330" s="287">
        <v>0.4742773474400151</v>
      </c>
      <c r="K330" s="287">
        <v>0.51518935516888431</v>
      </c>
      <c r="L330" s="287">
        <v>0.47626185958254269</v>
      </c>
      <c r="M330" s="287">
        <v>0.44010557366868502</v>
      </c>
      <c r="N330" s="287">
        <v>0.42198710197500999</v>
      </c>
      <c r="O330" s="276"/>
      <c r="P330" s="276"/>
      <c r="Q330" s="247">
        <f t="shared" si="11"/>
        <v>0</v>
      </c>
      <c r="R330" s="229"/>
      <c r="S330" s="229"/>
      <c r="T330" s="229"/>
      <c r="U330" s="229"/>
      <c r="V330" s="229"/>
      <c r="W330" s="229"/>
      <c r="X330" s="229"/>
    </row>
    <row r="331" spans="1:24" ht="15.75" hidden="1">
      <c r="A331" s="343" t="s">
        <v>327</v>
      </c>
      <c r="B331" s="344"/>
      <c r="C331" s="287">
        <v>9.9487551115482173E-2</v>
      </c>
      <c r="D331" s="287">
        <v>0.18687062434065407</v>
      </c>
      <c r="E331" s="287">
        <v>0.19778936716743209</v>
      </c>
      <c r="F331" s="287">
        <v>0.19708905394253132</v>
      </c>
      <c r="G331" s="287">
        <v>0.15671406003159558</v>
      </c>
      <c r="H331" s="287">
        <v>0.53868750282281741</v>
      </c>
      <c r="I331" s="287">
        <v>0.53262444534086328</v>
      </c>
      <c r="J331" s="287">
        <v>0.28890000000000005</v>
      </c>
      <c r="K331" s="287">
        <v>0.28890000000000005</v>
      </c>
      <c r="L331" s="287">
        <v>0.28890000000000005</v>
      </c>
      <c r="M331" s="287">
        <v>0.2782</v>
      </c>
      <c r="N331" s="287">
        <v>0.28890000000000005</v>
      </c>
      <c r="O331" s="276"/>
      <c r="P331" s="276"/>
      <c r="Q331" s="247">
        <f t="shared" si="11"/>
        <v>0</v>
      </c>
      <c r="R331" s="229"/>
      <c r="S331" s="229"/>
      <c r="T331" s="229"/>
      <c r="U331" s="229"/>
      <c r="V331" s="229"/>
      <c r="W331" s="229"/>
      <c r="X331" s="229"/>
    </row>
    <row r="332" spans="1:24" ht="15.75" hidden="1">
      <c r="A332" s="343" t="s">
        <v>328</v>
      </c>
      <c r="B332" s="344"/>
      <c r="C332" s="287">
        <v>1.026916507065583</v>
      </c>
      <c r="D332" s="287">
        <v>1.1332598062721779</v>
      </c>
      <c r="E332" s="287">
        <v>0.88090604810461581</v>
      </c>
      <c r="F332" s="287">
        <v>0.88142396278790602</v>
      </c>
      <c r="G332" s="287">
        <v>0.64336492890995256</v>
      </c>
      <c r="H332" s="287">
        <v>0.86710356352468276</v>
      </c>
      <c r="I332" s="287">
        <v>1.8187712787414279</v>
      </c>
      <c r="J332" s="287">
        <v>1.034455412809371</v>
      </c>
      <c r="K332" s="287">
        <v>1.0489073694984647</v>
      </c>
      <c r="L332" s="287">
        <v>1.05</v>
      </c>
      <c r="M332" s="287">
        <v>0.98156788542151863</v>
      </c>
      <c r="N332" s="287">
        <v>0.9372027408303103</v>
      </c>
      <c r="O332" s="276"/>
      <c r="P332" s="276"/>
      <c r="Q332" s="247">
        <f t="shared" si="11"/>
        <v>0</v>
      </c>
      <c r="R332" s="229"/>
      <c r="S332" s="229"/>
      <c r="T332" s="229"/>
      <c r="U332" s="229"/>
      <c r="V332" s="229"/>
      <c r="W332" s="229"/>
      <c r="X332" s="229"/>
    </row>
    <row r="333" spans="1:24" ht="15.75" hidden="1">
      <c r="A333" s="343" t="s">
        <v>329</v>
      </c>
      <c r="B333" s="344"/>
      <c r="C333" s="287">
        <v>2.588125679382991E-2</v>
      </c>
      <c r="D333" s="287">
        <v>2.3976215594130622E-2</v>
      </c>
      <c r="E333" s="287">
        <v>0</v>
      </c>
      <c r="F333" s="287">
        <v>0</v>
      </c>
      <c r="G333" s="287">
        <v>0</v>
      </c>
      <c r="H333" s="287">
        <v>0</v>
      </c>
      <c r="I333" s="287">
        <v>0</v>
      </c>
      <c r="J333" s="287">
        <v>1.5114301908180617E-3</v>
      </c>
      <c r="K333" s="287">
        <v>1.842374616171955E-3</v>
      </c>
      <c r="L333" s="287">
        <v>1.7077798861480076E-3</v>
      </c>
      <c r="M333" s="287">
        <v>1.7466231951560316E-3</v>
      </c>
      <c r="N333" s="287">
        <v>2.267230955259976E-3</v>
      </c>
      <c r="O333" s="276"/>
      <c r="P333" s="276"/>
      <c r="Q333" s="247">
        <f t="shared" si="11"/>
        <v>0</v>
      </c>
      <c r="R333" s="229"/>
      <c r="S333" s="229"/>
      <c r="T333" s="229"/>
      <c r="U333" s="229"/>
      <c r="V333" s="229"/>
      <c r="W333" s="229"/>
      <c r="X333" s="229"/>
    </row>
    <row r="334" spans="1:24" ht="15.75" hidden="1">
      <c r="A334" s="343" t="s">
        <v>330</v>
      </c>
      <c r="B334" s="344"/>
      <c r="C334" s="287">
        <v>0.55499767068688854</v>
      </c>
      <c r="D334" s="287">
        <v>0.55610434449026569</v>
      </c>
      <c r="E334" s="287">
        <v>0.30509068264964584</v>
      </c>
      <c r="F334" s="287">
        <v>0.76671168129642131</v>
      </c>
      <c r="G334" s="287">
        <v>0.50043443917851504</v>
      </c>
      <c r="H334" s="287">
        <v>0.96099453502551835</v>
      </c>
      <c r="I334" s="287">
        <v>0.53429245663574021</v>
      </c>
      <c r="J334" s="287">
        <v>0.62871410353296808</v>
      </c>
      <c r="K334" s="287">
        <v>0.61451253838280451</v>
      </c>
      <c r="L334" s="287">
        <v>0.57472201138519918</v>
      </c>
      <c r="M334" s="287">
        <v>0.57083768048439676</v>
      </c>
      <c r="N334" s="287">
        <v>0.57202690447400228</v>
      </c>
      <c r="O334" s="276"/>
      <c r="P334" s="276"/>
      <c r="Q334" s="247">
        <f t="shared" si="11"/>
        <v>0</v>
      </c>
      <c r="R334" s="229"/>
      <c r="S334" s="229"/>
      <c r="T334" s="229"/>
      <c r="U334" s="229"/>
      <c r="V334" s="229"/>
      <c r="W334" s="229"/>
      <c r="X334" s="229"/>
    </row>
    <row r="335" spans="1:24" ht="15.75" hidden="1">
      <c r="A335" s="343" t="s">
        <v>331</v>
      </c>
      <c r="B335" s="344"/>
      <c r="C335" s="287">
        <v>0.65489932191107203</v>
      </c>
      <c r="D335" s="287">
        <v>0.2891531600652153</v>
      </c>
      <c r="E335" s="287">
        <v>0.26041099089281544</v>
      </c>
      <c r="F335" s="287">
        <v>6.6659164228374215E-2</v>
      </c>
      <c r="G335" s="287">
        <v>0.28467614533965246</v>
      </c>
      <c r="H335" s="287">
        <v>0.2679671198229529</v>
      </c>
      <c r="I335" s="287">
        <v>1.1604235578862445</v>
      </c>
      <c r="J335" s="287">
        <v>0.47448875873795582</v>
      </c>
      <c r="K335" s="287">
        <v>0.44911386898669398</v>
      </c>
      <c r="L335" s="287">
        <v>0.39884724857685011</v>
      </c>
      <c r="M335" s="287">
        <v>0.42891480360192524</v>
      </c>
      <c r="N335" s="287">
        <v>0.32696493349455868</v>
      </c>
      <c r="O335" s="276"/>
      <c r="P335" s="276"/>
      <c r="Q335" s="247">
        <f t="shared" si="11"/>
        <v>0</v>
      </c>
      <c r="R335" s="229"/>
      <c r="S335" s="229"/>
      <c r="T335" s="229"/>
      <c r="U335" s="229"/>
      <c r="V335" s="229"/>
      <c r="W335" s="229"/>
      <c r="X335" s="229"/>
    </row>
    <row r="336" spans="1:24" ht="15.75" hidden="1">
      <c r="A336" s="343" t="s">
        <v>332</v>
      </c>
      <c r="B336" s="344"/>
      <c r="C336" s="287">
        <v>1.0456027744707283E-2</v>
      </c>
      <c r="D336" s="287">
        <v>3.164860458425242E-3</v>
      </c>
      <c r="E336" s="287">
        <v>1.2843465400482602E-3</v>
      </c>
      <c r="F336" s="287">
        <v>1.8756095731112612E-4</v>
      </c>
      <c r="G336" s="287">
        <v>4.6090047393364926E-2</v>
      </c>
      <c r="H336" s="287">
        <v>7.0023937491531553E-3</v>
      </c>
      <c r="I336" s="287">
        <v>0</v>
      </c>
      <c r="J336" s="287">
        <v>3.1131683355375018E-2</v>
      </c>
      <c r="K336" s="287">
        <v>3.3920163766632545E-2</v>
      </c>
      <c r="L336" s="287">
        <v>3.1878557874762806E-2</v>
      </c>
      <c r="M336" s="287">
        <v>2.988045334575376E-2</v>
      </c>
      <c r="N336" s="287">
        <v>2.8057234985892777E-2</v>
      </c>
      <c r="O336" s="276"/>
      <c r="P336" s="276"/>
      <c r="Q336" s="247">
        <f t="shared" si="11"/>
        <v>0</v>
      </c>
      <c r="R336" s="229"/>
      <c r="S336" s="229"/>
      <c r="T336" s="229"/>
      <c r="U336" s="229"/>
      <c r="V336" s="229"/>
      <c r="W336" s="229"/>
      <c r="X336" s="229"/>
    </row>
    <row r="337" spans="1:24" ht="15.75" hidden="1">
      <c r="A337" s="343" t="s">
        <v>333</v>
      </c>
      <c r="B337" s="344"/>
      <c r="C337" s="287">
        <v>0.12350535742015632</v>
      </c>
      <c r="D337" s="287">
        <v>4.7424954445190369E-2</v>
      </c>
      <c r="E337" s="287">
        <v>1.7903012376430296E-3</v>
      </c>
      <c r="F337" s="287">
        <v>7.3974041563508133E-2</v>
      </c>
      <c r="G337" s="287">
        <v>4.9526066350710898E-2</v>
      </c>
      <c r="H337" s="287">
        <v>0.05</v>
      </c>
      <c r="I337" s="287">
        <v>0.05</v>
      </c>
      <c r="J337" s="287">
        <v>0.15</v>
      </c>
      <c r="K337" s="287">
        <v>0.14000000000000001</v>
      </c>
      <c r="L337" s="287">
        <v>0.14000000000000001</v>
      </c>
      <c r="M337" s="287">
        <v>0.14000000000000001</v>
      </c>
      <c r="N337" s="287">
        <v>0.14000000000000001</v>
      </c>
      <c r="O337" s="276"/>
      <c r="P337" s="276"/>
      <c r="Q337" s="247">
        <f t="shared" si="11"/>
        <v>0</v>
      </c>
      <c r="R337" s="229"/>
      <c r="S337" s="229"/>
      <c r="T337" s="229"/>
      <c r="U337" s="229"/>
      <c r="V337" s="229"/>
      <c r="W337" s="229"/>
      <c r="X337" s="229"/>
    </row>
    <row r="338" spans="1:24" ht="15.75" hidden="1">
      <c r="A338" s="343" t="s">
        <v>334</v>
      </c>
      <c r="B338" s="344"/>
      <c r="C338" s="287">
        <v>0</v>
      </c>
      <c r="D338" s="287">
        <v>0</v>
      </c>
      <c r="E338" s="287">
        <v>0</v>
      </c>
      <c r="F338" s="287">
        <v>0</v>
      </c>
      <c r="G338" s="287">
        <v>0</v>
      </c>
      <c r="H338" s="287">
        <v>0</v>
      </c>
      <c r="I338" s="287">
        <v>0</v>
      </c>
      <c r="J338" s="287">
        <v>0</v>
      </c>
      <c r="K338" s="287">
        <v>0</v>
      </c>
      <c r="L338" s="287">
        <v>0</v>
      </c>
      <c r="M338" s="287">
        <v>0</v>
      </c>
      <c r="N338" s="287">
        <v>0</v>
      </c>
      <c r="O338" s="276"/>
      <c r="P338" s="276"/>
      <c r="Q338" s="247">
        <f t="shared" si="11"/>
        <v>0</v>
      </c>
      <c r="R338" s="229"/>
      <c r="S338" s="229"/>
      <c r="T338" s="229"/>
      <c r="U338" s="229"/>
      <c r="V338" s="229"/>
      <c r="W338" s="229"/>
      <c r="X338" s="229"/>
    </row>
    <row r="339" spans="1:24" ht="15.75" hidden="1">
      <c r="A339" s="343" t="s">
        <v>335</v>
      </c>
      <c r="B339" s="344"/>
      <c r="C339" s="287">
        <v>0.14188104974377555</v>
      </c>
      <c r="D339" s="287">
        <v>0.14165148173012371</v>
      </c>
      <c r="E339" s="287">
        <v>0.13003035728185569</v>
      </c>
      <c r="F339" s="287">
        <v>9.8319453822492311E-2</v>
      </c>
      <c r="G339" s="287">
        <v>7.4486571879936805E-2</v>
      </c>
      <c r="H339" s="287">
        <v>6.6079671198229523E-2</v>
      </c>
      <c r="I339" s="287">
        <v>7.6331988705123033E-2</v>
      </c>
      <c r="J339" s="287">
        <v>0.09</v>
      </c>
      <c r="K339" s="287">
        <v>0.09</v>
      </c>
      <c r="L339" s="287">
        <v>0.09</v>
      </c>
      <c r="M339" s="287">
        <v>0.09</v>
      </c>
      <c r="N339" s="287">
        <v>0.09</v>
      </c>
      <c r="O339" s="276"/>
      <c r="P339" s="276"/>
      <c r="Q339" s="247">
        <f t="shared" si="11"/>
        <v>0</v>
      </c>
      <c r="R339" s="229"/>
      <c r="S339" s="229"/>
      <c r="T339" s="229"/>
      <c r="U339" s="229"/>
      <c r="V339" s="229"/>
      <c r="W339" s="229"/>
      <c r="X339" s="229"/>
    </row>
    <row r="340" spans="1:24" ht="15.75" hidden="1">
      <c r="A340" s="343" t="s">
        <v>336</v>
      </c>
      <c r="B340" s="344"/>
      <c r="C340" s="287">
        <v>0</v>
      </c>
      <c r="D340" s="287">
        <v>4.699338256449602E-2</v>
      </c>
      <c r="E340" s="287">
        <v>0</v>
      </c>
      <c r="F340" s="287">
        <v>0</v>
      </c>
      <c r="G340" s="287">
        <v>0</v>
      </c>
      <c r="H340" s="287">
        <v>0</v>
      </c>
      <c r="I340" s="287">
        <v>0</v>
      </c>
      <c r="J340" s="287">
        <v>2.2671452862270923E-3</v>
      </c>
      <c r="K340" s="287">
        <v>2.4564994882292734E-3</v>
      </c>
      <c r="L340" s="287">
        <v>2.2770398481973433E-3</v>
      </c>
      <c r="M340" s="287">
        <v>2.328830926874709E-3</v>
      </c>
      <c r="N340" s="287">
        <v>3.0229746070133011E-3</v>
      </c>
      <c r="O340" s="276"/>
      <c r="P340" s="276"/>
      <c r="Q340" s="247">
        <f t="shared" si="11"/>
        <v>0</v>
      </c>
      <c r="R340" s="229"/>
      <c r="S340" s="229"/>
      <c r="T340" s="229"/>
      <c r="U340" s="229"/>
      <c r="V340" s="229"/>
      <c r="W340" s="229"/>
      <c r="X340" s="229"/>
    </row>
    <row r="341" spans="1:24" ht="15.75" hidden="1">
      <c r="A341" s="343" t="s">
        <v>337</v>
      </c>
      <c r="B341" s="344"/>
      <c r="C341" s="287">
        <v>0</v>
      </c>
      <c r="D341" s="287">
        <v>0</v>
      </c>
      <c r="E341" s="287">
        <v>0</v>
      </c>
      <c r="F341" s="287">
        <v>0</v>
      </c>
      <c r="G341" s="287">
        <v>0</v>
      </c>
      <c r="H341" s="287">
        <v>0</v>
      </c>
      <c r="I341" s="287">
        <v>0</v>
      </c>
      <c r="J341" s="287">
        <v>0</v>
      </c>
      <c r="K341" s="287">
        <v>0</v>
      </c>
      <c r="L341" s="287">
        <v>0</v>
      </c>
      <c r="M341" s="287">
        <v>0</v>
      </c>
      <c r="N341" s="287">
        <v>0</v>
      </c>
      <c r="O341" s="276"/>
      <c r="P341" s="276"/>
      <c r="Q341" s="247">
        <f t="shared" si="11"/>
        <v>0</v>
      </c>
      <c r="R341" s="229"/>
      <c r="S341" s="229"/>
      <c r="T341" s="229"/>
      <c r="U341" s="229"/>
      <c r="V341" s="229"/>
      <c r="W341" s="229"/>
      <c r="X341" s="229"/>
    </row>
    <row r="342" spans="1:24" ht="15.75" hidden="1">
      <c r="A342" s="343" t="s">
        <v>339</v>
      </c>
      <c r="B342" s="344"/>
      <c r="C342" s="287">
        <v>0.14534913815414877</v>
      </c>
      <c r="D342" s="287">
        <v>0.14030881365685241</v>
      </c>
      <c r="E342" s="287">
        <v>0.11742040943410913</v>
      </c>
      <c r="F342" s="287">
        <v>0.13249306024457949</v>
      </c>
      <c r="G342" s="287">
        <v>0.14186413902053713</v>
      </c>
      <c r="H342" s="287">
        <v>0.15606160516688497</v>
      </c>
      <c r="I342" s="287">
        <v>0.13760871319080276</v>
      </c>
      <c r="J342" s="287">
        <v>0.13762918252040215</v>
      </c>
      <c r="K342" s="287">
        <v>0.14457648453723249</v>
      </c>
      <c r="L342" s="287">
        <v>0.13453292232719605</v>
      </c>
      <c r="M342" s="287">
        <v>0.13639344846993315</v>
      </c>
      <c r="N342" s="287">
        <v>0.16251449802965645</v>
      </c>
      <c r="O342" s="276"/>
      <c r="P342" s="276"/>
      <c r="Q342" s="247">
        <f t="shared" si="11"/>
        <v>0</v>
      </c>
      <c r="R342" s="229"/>
      <c r="S342" s="229"/>
      <c r="T342" s="229"/>
      <c r="U342" s="229"/>
      <c r="V342" s="229"/>
      <c r="W342" s="229"/>
      <c r="X342" s="229"/>
    </row>
    <row r="343" spans="1:24" ht="15.75" hidden="1">
      <c r="A343" s="343" t="s">
        <v>340</v>
      </c>
      <c r="B343" s="344"/>
      <c r="C343" s="287">
        <v>0</v>
      </c>
      <c r="D343" s="287">
        <v>0</v>
      </c>
      <c r="E343" s="287">
        <v>0</v>
      </c>
      <c r="F343" s="287">
        <v>0</v>
      </c>
      <c r="G343" s="287">
        <v>0</v>
      </c>
      <c r="H343" s="287">
        <v>9.0330156722821919E-3</v>
      </c>
      <c r="I343" s="287">
        <v>1.9959661153691002E-3</v>
      </c>
      <c r="J343" s="287">
        <v>8.5008501794823346E-2</v>
      </c>
      <c r="K343" s="287">
        <v>9.1330603889457518E-2</v>
      </c>
      <c r="L343" s="287">
        <v>8.6660341555977224E-2</v>
      </c>
      <c r="M343" s="287">
        <v>7.7262847383946592E-2</v>
      </c>
      <c r="N343" s="287">
        <v>5.1682789197904082E-2</v>
      </c>
      <c r="O343" s="276"/>
      <c r="P343" s="276"/>
      <c r="Q343" s="247">
        <f t="shared" si="11"/>
        <v>0</v>
      </c>
      <c r="R343" s="229"/>
      <c r="S343" s="229"/>
      <c r="T343" s="229"/>
      <c r="U343" s="229"/>
      <c r="V343" s="229"/>
      <c r="W343" s="229"/>
      <c r="X343" s="229"/>
    </row>
    <row r="344" spans="1:24" ht="15.75" hidden="1">
      <c r="A344" s="343" t="s">
        <v>341</v>
      </c>
      <c r="B344" s="344"/>
      <c r="C344" s="287">
        <v>0.22806563486722914</v>
      </c>
      <c r="D344" s="287">
        <v>0.21127841181547904</v>
      </c>
      <c r="E344" s="287">
        <v>0.1714797228925041</v>
      </c>
      <c r="F344" s="287">
        <v>0.16527871558256432</v>
      </c>
      <c r="G344" s="287">
        <v>0.17401263823064772</v>
      </c>
      <c r="H344" s="287">
        <v>0.19899733526037669</v>
      </c>
      <c r="I344" s="287">
        <v>0.17773295683743445</v>
      </c>
      <c r="J344" s="287">
        <v>0.16648403551860949</v>
      </c>
      <c r="K344" s="287">
        <v>0.18038894575230296</v>
      </c>
      <c r="L344" s="287">
        <v>0.16721062618595825</v>
      </c>
      <c r="M344" s="287">
        <v>0.17101381773016613</v>
      </c>
      <c r="N344" s="287">
        <v>0.22198710197501006</v>
      </c>
      <c r="O344" s="276"/>
      <c r="P344" s="276"/>
      <c r="Q344" s="247">
        <f t="shared" si="11"/>
        <v>0</v>
      </c>
      <c r="R344" s="229"/>
      <c r="S344" s="229"/>
      <c r="T344" s="229"/>
      <c r="U344" s="229"/>
      <c r="V344" s="229"/>
      <c r="W344" s="229"/>
      <c r="X344" s="229"/>
    </row>
    <row r="345" spans="1:24" ht="15.75" hidden="1">
      <c r="A345" s="343" t="s">
        <v>342</v>
      </c>
      <c r="B345" s="344"/>
      <c r="C345" s="287">
        <v>0.02</v>
      </c>
      <c r="D345" s="287">
        <v>0.1550302100316486</v>
      </c>
      <c r="E345" s="287">
        <v>0.02</v>
      </c>
      <c r="F345" s="287">
        <v>0.03</v>
      </c>
      <c r="G345" s="287">
        <v>9.5892575039494471E-2</v>
      </c>
      <c r="H345" s="287">
        <v>1.3203107357391265E-2</v>
      </c>
      <c r="I345" s="287">
        <v>0.02</v>
      </c>
      <c r="J345" s="287">
        <v>0.245</v>
      </c>
      <c r="K345" s="287">
        <v>0.245</v>
      </c>
      <c r="L345" s="287">
        <v>0.245</v>
      </c>
      <c r="M345" s="287">
        <v>0.245</v>
      </c>
      <c r="N345" s="287">
        <v>0.245</v>
      </c>
      <c r="O345" s="276"/>
      <c r="P345" s="276"/>
      <c r="Q345" s="247">
        <f t="shared" si="11"/>
        <v>0</v>
      </c>
      <c r="R345" s="229"/>
      <c r="S345" s="229"/>
      <c r="T345" s="229"/>
      <c r="U345" s="229"/>
      <c r="V345" s="229"/>
      <c r="W345" s="229"/>
      <c r="X345" s="229"/>
    </row>
    <row r="346" spans="1:24" ht="15.75" hidden="1">
      <c r="A346" s="343" t="s">
        <v>343</v>
      </c>
      <c r="B346" s="344"/>
      <c r="C346" s="287">
        <v>9.032558621046638E-2</v>
      </c>
      <c r="D346" s="287">
        <v>4.7424954445190369E-2</v>
      </c>
      <c r="E346" s="287">
        <v>5.7484237565190319E-2</v>
      </c>
      <c r="F346" s="287">
        <v>4.3701703053492386E-2</v>
      </c>
      <c r="G346" s="287">
        <v>6.8443917851500793E-2</v>
      </c>
      <c r="H346" s="287">
        <v>0.10023982656609909</v>
      </c>
      <c r="I346" s="287">
        <v>7.5100443727309396E-2</v>
      </c>
      <c r="J346" s="287">
        <v>0.09</v>
      </c>
      <c r="K346" s="287">
        <v>0.09</v>
      </c>
      <c r="L346" s="287">
        <v>0.09</v>
      </c>
      <c r="M346" s="287">
        <v>0.09</v>
      </c>
      <c r="N346" s="287">
        <v>0.09</v>
      </c>
      <c r="O346" s="276"/>
      <c r="P346" s="276"/>
      <c r="Q346" s="247">
        <f t="shared" si="11"/>
        <v>0</v>
      </c>
      <c r="R346" s="229"/>
      <c r="S346" s="229"/>
      <c r="T346" s="229"/>
      <c r="U346" s="229"/>
      <c r="V346" s="229"/>
      <c r="W346" s="229"/>
      <c r="X346" s="229"/>
    </row>
    <row r="347" spans="1:24" ht="15.75" hidden="1">
      <c r="A347" s="343" t="s">
        <v>364</v>
      </c>
      <c r="B347" s="344"/>
      <c r="C347" s="287">
        <v>0.30777990579222525</v>
      </c>
      <c r="D347" s="287">
        <v>0.22288290016303827</v>
      </c>
      <c r="E347" s="287">
        <v>0.15260372071300693</v>
      </c>
      <c r="F347" s="287">
        <v>0.20811763823242554</v>
      </c>
      <c r="G347" s="287">
        <v>0.27531595576619272</v>
      </c>
      <c r="H347" s="287">
        <v>0.83381599747075563</v>
      </c>
      <c r="I347" s="287">
        <v>0.36474868898749496</v>
      </c>
      <c r="J347" s="287">
        <v>0.60147115057623279</v>
      </c>
      <c r="K347" s="287">
        <v>0.5866770726714432</v>
      </c>
      <c r="L347" s="287">
        <v>0.53357495256166987</v>
      </c>
      <c r="M347" s="287">
        <v>0.56384342493401651</v>
      </c>
      <c r="N347" s="287">
        <v>0.57854852881902463</v>
      </c>
      <c r="O347" s="276"/>
      <c r="P347" s="276"/>
      <c r="Q347" s="247">
        <f t="shared" si="11"/>
        <v>0</v>
      </c>
      <c r="R347" s="229"/>
      <c r="S347" s="229"/>
      <c r="T347" s="229"/>
      <c r="U347" s="229"/>
      <c r="V347" s="229"/>
      <c r="W347" s="229"/>
      <c r="X347" s="229"/>
    </row>
    <row r="348" spans="1:24" ht="15.75" hidden="1">
      <c r="A348" s="343" t="s">
        <v>345</v>
      </c>
      <c r="B348" s="344"/>
      <c r="C348" s="287">
        <v>0.14757492623841814</v>
      </c>
      <c r="D348" s="287">
        <v>0.17919823535053228</v>
      </c>
      <c r="E348" s="287">
        <v>0.39694092005915776</v>
      </c>
      <c r="F348" s="287">
        <v>0.23730212319003677</v>
      </c>
      <c r="G348" s="287">
        <v>0.33562401263823066</v>
      </c>
      <c r="H348" s="287">
        <v>0.13763334989386208</v>
      </c>
      <c r="I348" s="287">
        <v>0.12581645824929405</v>
      </c>
      <c r="J348" s="287">
        <v>0.15</v>
      </c>
      <c r="K348" s="287">
        <v>0.15</v>
      </c>
      <c r="L348" s="287">
        <v>0.15</v>
      </c>
      <c r="M348" s="287">
        <v>0.15</v>
      </c>
      <c r="N348" s="287">
        <v>0.15</v>
      </c>
      <c r="O348" s="276"/>
      <c r="P348" s="276"/>
      <c r="Q348" s="247">
        <f t="shared" si="11"/>
        <v>0</v>
      </c>
      <c r="R348" s="229"/>
      <c r="S348" s="229"/>
      <c r="T348" s="229"/>
      <c r="U348" s="229"/>
      <c r="V348" s="229"/>
      <c r="W348" s="229"/>
      <c r="X348" s="229"/>
    </row>
    <row r="349" spans="1:24" ht="15.75" hidden="1">
      <c r="A349" s="343" t="s">
        <v>346</v>
      </c>
      <c r="B349" s="344"/>
      <c r="C349" s="287">
        <v>0</v>
      </c>
      <c r="D349" s="287">
        <v>0</v>
      </c>
      <c r="E349" s="287">
        <v>0</v>
      </c>
      <c r="F349" s="287">
        <v>0</v>
      </c>
      <c r="G349" s="287">
        <v>0</v>
      </c>
      <c r="H349" s="287">
        <v>9.4846664558963008E-3</v>
      </c>
      <c r="I349" s="287">
        <v>2.9366680112948772E-4</v>
      </c>
      <c r="J349" s="287">
        <v>9.1932741356508581E-3</v>
      </c>
      <c r="K349" s="287">
        <v>1.0255885363357215E-2</v>
      </c>
      <c r="L349" s="287">
        <v>9.5256166982922198E-3</v>
      </c>
      <c r="M349" s="287">
        <v>8.54991460953268E-3</v>
      </c>
      <c r="N349" s="287">
        <v>8.0088673921805738E-3</v>
      </c>
      <c r="O349" s="276"/>
      <c r="P349" s="276"/>
      <c r="Q349" s="247">
        <f t="shared" si="11"/>
        <v>0</v>
      </c>
      <c r="R349" s="229"/>
      <c r="S349" s="229"/>
      <c r="T349" s="229"/>
      <c r="U349" s="229"/>
      <c r="V349" s="229"/>
      <c r="W349" s="229"/>
      <c r="X349" s="229"/>
    </row>
    <row r="350" spans="1:24" ht="15.75" hidden="1">
      <c r="A350" s="343" t="s">
        <v>347</v>
      </c>
      <c r="B350" s="344"/>
      <c r="C350" s="287">
        <v>0</v>
      </c>
      <c r="D350" s="287">
        <v>0.32185671813560945</v>
      </c>
      <c r="E350" s="287">
        <v>0.11598038452557018</v>
      </c>
      <c r="F350" s="287">
        <v>0.33622177207592469</v>
      </c>
      <c r="G350" s="287">
        <v>0.19036334913112166</v>
      </c>
      <c r="H350" s="287">
        <v>0.2286355629827018</v>
      </c>
      <c r="I350" s="287">
        <v>0.1862093586123437</v>
      </c>
      <c r="J350" s="287">
        <v>0.61477116002267151</v>
      </c>
      <c r="K350" s="287">
        <v>0.64599667349027634</v>
      </c>
      <c r="L350" s="287">
        <v>0.63389231499051235</v>
      </c>
      <c r="M350" s="287">
        <v>0.62245749883558454</v>
      </c>
      <c r="N350" s="287">
        <v>0.59289016525594518</v>
      </c>
      <c r="O350" s="276"/>
      <c r="P350" s="276"/>
      <c r="Q350" s="247">
        <f t="shared" si="11"/>
        <v>0</v>
      </c>
      <c r="R350" s="229"/>
      <c r="S350" s="229"/>
      <c r="T350" s="229"/>
      <c r="U350" s="229"/>
      <c r="V350" s="229"/>
      <c r="W350" s="229"/>
      <c r="X350" s="229"/>
    </row>
    <row r="351" spans="1:24" ht="15.75" hidden="1">
      <c r="A351" s="343" t="s">
        <v>348</v>
      </c>
      <c r="B351" s="344"/>
      <c r="C351" s="287">
        <v>0</v>
      </c>
      <c r="D351" s="287">
        <v>0</v>
      </c>
      <c r="E351" s="287">
        <v>0</v>
      </c>
      <c r="F351" s="287">
        <v>0</v>
      </c>
      <c r="G351" s="287">
        <v>0</v>
      </c>
      <c r="H351" s="287">
        <v>0.36779323427126148</v>
      </c>
      <c r="I351" s="287">
        <v>0.61539249697458653</v>
      </c>
      <c r="J351" s="287">
        <v>0.61539249697458653</v>
      </c>
      <c r="K351" s="287">
        <v>0.61539249697458653</v>
      </c>
      <c r="L351" s="287">
        <v>0.61539249697458653</v>
      </c>
      <c r="M351" s="287">
        <v>0.61539249697458653</v>
      </c>
      <c r="N351" s="287">
        <v>0.61539249697458653</v>
      </c>
      <c r="O351" s="276"/>
      <c r="P351" s="276"/>
      <c r="Q351" s="247">
        <f t="shared" si="11"/>
        <v>0</v>
      </c>
      <c r="R351" s="229"/>
      <c r="S351" s="229"/>
      <c r="T351" s="229"/>
      <c r="U351" s="229"/>
      <c r="V351" s="229"/>
      <c r="W351" s="229"/>
      <c r="X351" s="229"/>
    </row>
    <row r="352" spans="1:24" ht="15.75" hidden="1">
      <c r="A352" s="343" t="s">
        <v>349</v>
      </c>
      <c r="B352" s="344"/>
      <c r="C352" s="287">
        <v>0</v>
      </c>
      <c r="D352" s="287">
        <v>0</v>
      </c>
      <c r="E352" s="287">
        <v>0</v>
      </c>
      <c r="F352" s="287">
        <v>0</v>
      </c>
      <c r="G352" s="287">
        <v>0</v>
      </c>
      <c r="H352" s="287">
        <v>1.3854848471162098</v>
      </c>
      <c r="I352" s="287">
        <v>1.238138765631303</v>
      </c>
      <c r="J352" s="287">
        <v>1.1597755526166635</v>
      </c>
      <c r="K352" s="287">
        <v>1.2566411463664278</v>
      </c>
      <c r="L352" s="287">
        <v>1.1641745730550284</v>
      </c>
      <c r="M352" s="287">
        <v>1.1906536252134761</v>
      </c>
      <c r="N352" s="287">
        <v>1.5455461507456671</v>
      </c>
      <c r="O352" s="276"/>
      <c r="P352" s="276"/>
      <c r="Q352" s="247">
        <f t="shared" si="11"/>
        <v>0</v>
      </c>
      <c r="R352" s="229"/>
      <c r="S352" s="229"/>
      <c r="T352" s="229"/>
      <c r="U352" s="229"/>
      <c r="V352" s="229"/>
      <c r="W352" s="229"/>
      <c r="X352" s="229"/>
    </row>
    <row r="353" spans="1:24" ht="15.75" hidden="1">
      <c r="A353" s="343" t="s">
        <v>351</v>
      </c>
      <c r="B353" s="344"/>
      <c r="C353" s="287">
        <v>7.4922242352088624</v>
      </c>
      <c r="D353" s="287">
        <v>6.8959911767526609</v>
      </c>
      <c r="E353" s="287">
        <v>5.3492255001167583</v>
      </c>
      <c r="F353" s="287">
        <v>6.055443018981169</v>
      </c>
      <c r="G353" s="287">
        <v>7.7386650868878357</v>
      </c>
      <c r="H353" s="287">
        <v>10.263389187480239</v>
      </c>
      <c r="I353" s="287">
        <v>11.885919322307384</v>
      </c>
      <c r="J353" s="287">
        <v>12.160431409326842</v>
      </c>
      <c r="K353" s="287">
        <v>12.451566166772823</v>
      </c>
      <c r="L353" s="287">
        <v>11.868352337707856</v>
      </c>
      <c r="M353" s="287">
        <v>11.580155107065385</v>
      </c>
      <c r="N353" s="287">
        <v>11.777007974149187</v>
      </c>
      <c r="O353" s="276"/>
      <c r="P353" s="276"/>
      <c r="Q353" s="247">
        <f t="shared" si="11"/>
        <v>0</v>
      </c>
      <c r="R353" s="229"/>
      <c r="S353" s="229"/>
      <c r="T353" s="229"/>
      <c r="U353" s="229"/>
      <c r="V353" s="229"/>
      <c r="W353" s="229"/>
      <c r="X353" s="229"/>
    </row>
    <row r="354" spans="1:24" ht="15.75" hidden="1">
      <c r="A354" s="343"/>
      <c r="B354" s="344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6"/>
      <c r="P354" s="276"/>
      <c r="Q354" s="247">
        <f t="shared" si="11"/>
        <v>0</v>
      </c>
      <c r="R354" s="229"/>
      <c r="S354" s="229"/>
      <c r="T354" s="229"/>
      <c r="U354" s="229"/>
      <c r="V354" s="229"/>
      <c r="W354" s="229"/>
      <c r="X354" s="229"/>
    </row>
    <row r="355" spans="1:24" ht="15.75" hidden="1">
      <c r="A355" s="343"/>
      <c r="B355" s="344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6"/>
      <c r="P355" s="276"/>
      <c r="Q355" s="247">
        <f t="shared" si="11"/>
        <v>0</v>
      </c>
      <c r="R355" s="229"/>
      <c r="S355" s="229"/>
      <c r="T355" s="229"/>
      <c r="U355" s="229"/>
      <c r="V355" s="229"/>
      <c r="W355" s="229"/>
      <c r="X355" s="229"/>
    </row>
    <row r="356" spans="1:24" ht="15.75" hidden="1">
      <c r="A356" s="343"/>
      <c r="B356" s="344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6"/>
      <c r="P356" s="276"/>
      <c r="Q356" s="247">
        <f t="shared" si="11"/>
        <v>0</v>
      </c>
      <c r="R356" s="229"/>
      <c r="S356" s="229"/>
      <c r="T356" s="229"/>
      <c r="U356" s="229"/>
      <c r="V356" s="229"/>
      <c r="W356" s="229"/>
      <c r="X356" s="229"/>
    </row>
    <row r="357" spans="1:24" ht="15.75" hidden="1">
      <c r="A357" s="343" t="s">
        <v>380</v>
      </c>
      <c r="B357" s="344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6"/>
      <c r="P357" s="276"/>
      <c r="Q357" s="247">
        <f t="shared" si="11"/>
        <v>0</v>
      </c>
      <c r="R357" s="229"/>
      <c r="S357" s="229"/>
      <c r="T357" s="229"/>
      <c r="U357" s="229"/>
      <c r="V357" s="229"/>
      <c r="W357" s="229"/>
      <c r="X357" s="229"/>
    </row>
    <row r="358" spans="1:24" ht="15.75" hidden="1">
      <c r="A358" s="343"/>
      <c r="B358" s="344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6"/>
      <c r="P358" s="276"/>
      <c r="Q358" s="247">
        <f t="shared" si="11"/>
        <v>0</v>
      </c>
      <c r="R358" s="229"/>
      <c r="S358" s="229"/>
      <c r="T358" s="229"/>
      <c r="U358" s="229"/>
      <c r="V358" s="229"/>
      <c r="W358" s="229"/>
      <c r="X358" s="229"/>
    </row>
    <row r="359" spans="1:24" ht="15.75" hidden="1">
      <c r="A359" s="347" t="s">
        <v>308</v>
      </c>
      <c r="B359" s="344"/>
      <c r="C359" s="287">
        <v>0.13483099539313628</v>
      </c>
      <c r="D359" s="287">
        <v>0.10032607653208019</v>
      </c>
      <c r="E359" s="287">
        <v>0.11982953218650268</v>
      </c>
      <c r="F359" s="287">
        <v>0.10361242403781229</v>
      </c>
      <c r="G359" s="287">
        <v>0.12985387045813587</v>
      </c>
      <c r="H359" s="287">
        <v>0.1113334537735423</v>
      </c>
      <c r="I359" s="287">
        <v>0.12294840661557078</v>
      </c>
      <c r="J359" s="287">
        <v>0.15684222085773661</v>
      </c>
      <c r="K359" s="287">
        <v>0.15886527635619244</v>
      </c>
      <c r="L359" s="287">
        <v>0.15742054079696394</v>
      </c>
      <c r="M359" s="287">
        <v>0.15602738317031517</v>
      </c>
      <c r="N359" s="287">
        <v>0.16351969971785571</v>
      </c>
      <c r="O359" s="276"/>
      <c r="P359" s="276"/>
      <c r="Q359" s="247">
        <f t="shared" si="11"/>
        <v>0</v>
      </c>
      <c r="R359" s="229"/>
      <c r="S359" s="229"/>
      <c r="T359" s="229"/>
      <c r="U359" s="229"/>
      <c r="V359" s="229"/>
      <c r="W359" s="229"/>
      <c r="X359" s="229"/>
    </row>
    <row r="360" spans="1:24" ht="15.75" hidden="1">
      <c r="A360" s="347" t="s">
        <v>309</v>
      </c>
      <c r="B360" s="344"/>
      <c r="C360" s="287">
        <v>0</v>
      </c>
      <c r="D360" s="287">
        <v>0</v>
      </c>
      <c r="E360" s="287">
        <v>0</v>
      </c>
      <c r="F360" s="287">
        <v>0</v>
      </c>
      <c r="G360" s="287">
        <v>0</v>
      </c>
      <c r="H360" s="287">
        <v>0</v>
      </c>
      <c r="I360" s="287">
        <v>0</v>
      </c>
      <c r="J360" s="287">
        <v>0</v>
      </c>
      <c r="K360" s="287">
        <v>0</v>
      </c>
      <c r="L360" s="287">
        <v>0</v>
      </c>
      <c r="M360" s="287">
        <v>0</v>
      </c>
      <c r="N360" s="287">
        <v>0</v>
      </c>
      <c r="O360" s="276"/>
      <c r="P360" s="276"/>
      <c r="Q360" s="247">
        <f t="shared" si="11"/>
        <v>0</v>
      </c>
      <c r="R360" s="229"/>
      <c r="S360" s="229"/>
      <c r="T360" s="229"/>
      <c r="U360" s="229"/>
      <c r="V360" s="229"/>
      <c r="W360" s="229"/>
      <c r="X360" s="229"/>
    </row>
    <row r="361" spans="1:24" ht="15.75" hidden="1">
      <c r="A361" s="347" t="s">
        <v>310</v>
      </c>
      <c r="B361" s="344"/>
      <c r="C361" s="287">
        <v>0.54644132719084837</v>
      </c>
      <c r="D361" s="287">
        <v>0.45452670950417184</v>
      </c>
      <c r="E361" s="287">
        <v>0.34955631664980152</v>
      </c>
      <c r="F361" s="287">
        <v>0.51166629154475207</v>
      </c>
      <c r="G361" s="287">
        <v>0.43370063191153241</v>
      </c>
      <c r="H361" s="287">
        <v>0.50023047739487825</v>
      </c>
      <c r="I361" s="287">
        <v>0.50955469947559506</v>
      </c>
      <c r="J361" s="287">
        <v>0.39022499999999999</v>
      </c>
      <c r="K361" s="287">
        <v>0.39022500000000004</v>
      </c>
      <c r="L361" s="287">
        <v>0.39022499999999999</v>
      </c>
      <c r="M361" s="287">
        <v>0.39022499999999999</v>
      </c>
      <c r="N361" s="287">
        <v>0.39022499999999999</v>
      </c>
      <c r="O361" s="276"/>
      <c r="P361" s="276"/>
      <c r="Q361" s="247">
        <f t="shared" si="11"/>
        <v>0</v>
      </c>
      <c r="R361" s="229"/>
      <c r="S361" s="229"/>
      <c r="T361" s="229"/>
      <c r="U361" s="229"/>
      <c r="V361" s="229"/>
      <c r="W361" s="229"/>
      <c r="X361" s="229"/>
    </row>
    <row r="362" spans="1:24" ht="15.75" hidden="1">
      <c r="A362" s="347" t="s">
        <v>311</v>
      </c>
      <c r="B362" s="344"/>
      <c r="C362" s="287">
        <v>0</v>
      </c>
      <c r="D362" s="287">
        <v>0</v>
      </c>
      <c r="E362" s="287">
        <v>0</v>
      </c>
      <c r="F362" s="287">
        <v>0</v>
      </c>
      <c r="G362" s="287">
        <v>0</v>
      </c>
      <c r="H362" s="287">
        <v>0</v>
      </c>
      <c r="I362" s="287">
        <v>0</v>
      </c>
      <c r="J362" s="287">
        <v>0</v>
      </c>
      <c r="K362" s="287">
        <v>0</v>
      </c>
      <c r="L362" s="287">
        <v>0</v>
      </c>
      <c r="M362" s="287">
        <v>0</v>
      </c>
      <c r="N362" s="287">
        <v>0</v>
      </c>
      <c r="O362" s="276"/>
      <c r="P362" s="276"/>
      <c r="Q362" s="247">
        <f t="shared" si="11"/>
        <v>0</v>
      </c>
      <c r="R362" s="229"/>
      <c r="S362" s="229"/>
      <c r="T362" s="229"/>
      <c r="U362" s="229"/>
      <c r="V362" s="229"/>
      <c r="W362" s="229"/>
      <c r="X362" s="229"/>
    </row>
    <row r="363" spans="1:24" ht="15.75" hidden="1">
      <c r="A363" s="347" t="s">
        <v>312</v>
      </c>
      <c r="B363" s="344"/>
      <c r="C363" s="287">
        <v>1.423469123660645E-3</v>
      </c>
      <c r="D363" s="287">
        <v>6.8571976599213582E-4</v>
      </c>
      <c r="E363" s="287">
        <v>1.2415349887133181E-3</v>
      </c>
      <c r="F363" s="287">
        <v>1.6092730137294621E-3</v>
      </c>
      <c r="G363" s="287">
        <v>4.8222748815165877E-3</v>
      </c>
      <c r="H363" s="287">
        <v>0</v>
      </c>
      <c r="I363" s="287">
        <v>0</v>
      </c>
      <c r="J363" s="287">
        <v>5.8833945777441915E-2</v>
      </c>
      <c r="K363" s="287">
        <v>6.120284032753328E-2</v>
      </c>
      <c r="L363" s="287">
        <v>5.9480882352941189E-2</v>
      </c>
      <c r="M363" s="287">
        <v>5.7840983542928125E-2</v>
      </c>
      <c r="N363" s="287">
        <v>5.6394508262797266E-2</v>
      </c>
      <c r="O363" s="276"/>
      <c r="P363" s="276"/>
      <c r="Q363" s="247">
        <f t="shared" si="11"/>
        <v>0</v>
      </c>
      <c r="R363" s="229"/>
      <c r="S363" s="229"/>
      <c r="T363" s="229"/>
      <c r="U363" s="229"/>
      <c r="V363" s="229"/>
      <c r="W363" s="229"/>
      <c r="X363" s="229"/>
    </row>
    <row r="364" spans="1:24" ht="15.75" hidden="1">
      <c r="A364" s="347" t="s">
        <v>313</v>
      </c>
      <c r="B364" s="344"/>
      <c r="C364" s="287">
        <v>0.70803354210880487</v>
      </c>
      <c r="D364" s="287">
        <v>0.14748249736261629</v>
      </c>
      <c r="E364" s="287">
        <v>6.3832023040398533E-2</v>
      </c>
      <c r="F364" s="287">
        <v>0.32709505589316523</v>
      </c>
      <c r="G364" s="287">
        <v>6.5165876777251192E-2</v>
      </c>
      <c r="H364" s="287">
        <v>0.11252879273745539</v>
      </c>
      <c r="I364" s="287">
        <v>0.44439245663574017</v>
      </c>
      <c r="J364" s="287">
        <v>0.68720047704515397</v>
      </c>
      <c r="K364" s="287">
        <v>0.5668273541453428</v>
      </c>
      <c r="L364" s="287">
        <v>0.58324786527514239</v>
      </c>
      <c r="M364" s="287">
        <v>0.63119694146871597</v>
      </c>
      <c r="N364" s="287">
        <v>0.58265029222087883</v>
      </c>
      <c r="O364" s="276"/>
      <c r="P364" s="276"/>
      <c r="Q364" s="247">
        <f t="shared" si="11"/>
        <v>0</v>
      </c>
      <c r="R364" s="229"/>
      <c r="S364" s="229"/>
      <c r="T364" s="229"/>
      <c r="U364" s="229"/>
      <c r="V364" s="229"/>
      <c r="W364" s="229"/>
      <c r="X364" s="229"/>
    </row>
    <row r="365" spans="1:24" ht="15.75" hidden="1">
      <c r="A365" s="347" t="s">
        <v>314</v>
      </c>
      <c r="B365" s="344"/>
      <c r="C365" s="287">
        <v>0.11029038770122676</v>
      </c>
      <c r="D365" s="287">
        <v>4.1459672005370672E-2</v>
      </c>
      <c r="E365" s="287">
        <v>8.1085078228380153E-2</v>
      </c>
      <c r="F365" s="287">
        <v>3.9612874184109838E-2</v>
      </c>
      <c r="G365" s="287">
        <v>0.80714454976303318</v>
      </c>
      <c r="H365" s="287">
        <v>0</v>
      </c>
      <c r="I365" s="287">
        <v>0.88514457442517136</v>
      </c>
      <c r="J365" s="287">
        <v>0.2838</v>
      </c>
      <c r="K365" s="287">
        <v>0.2838</v>
      </c>
      <c r="L365" s="287">
        <v>0.2838</v>
      </c>
      <c r="M365" s="287">
        <v>0.20102500000000006</v>
      </c>
      <c r="N365" s="287">
        <v>0.2838</v>
      </c>
      <c r="O365" s="276"/>
      <c r="P365" s="276"/>
      <c r="Q365" s="247">
        <f t="shared" si="11"/>
        <v>0</v>
      </c>
      <c r="R365" s="229"/>
      <c r="S365" s="229"/>
      <c r="T365" s="229"/>
      <c r="U365" s="229"/>
      <c r="V365" s="229"/>
      <c r="W365" s="229"/>
      <c r="X365" s="229"/>
    </row>
    <row r="366" spans="1:24" ht="15.75" hidden="1">
      <c r="A366" s="347" t="s">
        <v>315</v>
      </c>
      <c r="B366" s="344"/>
      <c r="C366" s="287">
        <v>3.8718360163569544E-3</v>
      </c>
      <c r="D366" s="287">
        <v>0</v>
      </c>
      <c r="E366" s="287">
        <v>0</v>
      </c>
      <c r="F366" s="287">
        <v>0</v>
      </c>
      <c r="G366" s="287">
        <v>0</v>
      </c>
      <c r="H366" s="287">
        <v>0</v>
      </c>
      <c r="I366" s="287">
        <v>0</v>
      </c>
      <c r="J366" s="287">
        <v>3.6576610617797089E-3</v>
      </c>
      <c r="K366" s="287">
        <v>3.9631525076765607E-3</v>
      </c>
      <c r="L366" s="287">
        <v>4.2580645161290325E-3</v>
      </c>
      <c r="M366" s="287">
        <v>4.3549138332557059E-3</v>
      </c>
      <c r="N366" s="287">
        <v>5.70838371624345E-3</v>
      </c>
      <c r="O366" s="276"/>
      <c r="P366" s="276"/>
      <c r="Q366" s="247">
        <f t="shared" si="11"/>
        <v>0</v>
      </c>
      <c r="R366" s="229"/>
      <c r="S366" s="229"/>
      <c r="T366" s="229"/>
      <c r="U366" s="229"/>
      <c r="V366" s="229"/>
      <c r="W366" s="229"/>
      <c r="X366" s="229"/>
    </row>
    <row r="367" spans="1:24" ht="15.75" hidden="1">
      <c r="A367" s="347" t="s">
        <v>316</v>
      </c>
      <c r="B367" s="344"/>
      <c r="C367" s="287">
        <v>0</v>
      </c>
      <c r="D367" s="287">
        <v>0</v>
      </c>
      <c r="E367" s="287">
        <v>0</v>
      </c>
      <c r="F367" s="287">
        <v>0</v>
      </c>
      <c r="G367" s="287">
        <v>1.0999999999999999E-2</v>
      </c>
      <c r="H367" s="287">
        <v>0</v>
      </c>
      <c r="I367" s="287">
        <v>0</v>
      </c>
      <c r="J367" s="287">
        <v>0.12685371245040622</v>
      </c>
      <c r="K367" s="287">
        <v>0.12829918116683728</v>
      </c>
      <c r="L367" s="287">
        <v>0.1272472485768501</v>
      </c>
      <c r="M367" s="287">
        <v>0.12140628784350256</v>
      </c>
      <c r="N367" s="287">
        <v>0.12527363966142685</v>
      </c>
      <c r="O367" s="276"/>
      <c r="P367" s="276"/>
      <c r="Q367" s="247">
        <f t="shared" si="11"/>
        <v>0</v>
      </c>
      <c r="R367" s="229"/>
      <c r="S367" s="229"/>
      <c r="T367" s="229"/>
      <c r="U367" s="229"/>
      <c r="V367" s="229"/>
      <c r="W367" s="229"/>
      <c r="X367" s="229"/>
    </row>
    <row r="368" spans="1:24" ht="15.75" hidden="1">
      <c r="A368" s="347" t="s">
        <v>317</v>
      </c>
      <c r="B368" s="344"/>
      <c r="C368" s="287">
        <v>0</v>
      </c>
      <c r="D368" s="287">
        <v>0</v>
      </c>
      <c r="E368" s="287">
        <v>0</v>
      </c>
      <c r="F368" s="287">
        <v>0</v>
      </c>
      <c r="G368" s="287">
        <v>0</v>
      </c>
      <c r="H368" s="287">
        <v>0</v>
      </c>
      <c r="I368" s="287">
        <v>0</v>
      </c>
      <c r="J368" s="287">
        <v>1.662573209899868E-3</v>
      </c>
      <c r="K368" s="287">
        <v>2.0266120777891507E-3</v>
      </c>
      <c r="L368" s="287">
        <v>1.8785578747628083E-3</v>
      </c>
      <c r="M368" s="287">
        <v>1.9212855146716347E-3</v>
      </c>
      <c r="N368" s="287">
        <v>2.4939540507859736E-3</v>
      </c>
      <c r="O368" s="276"/>
      <c r="P368" s="276"/>
      <c r="Q368" s="247">
        <f t="shared" si="11"/>
        <v>0</v>
      </c>
      <c r="R368" s="229"/>
      <c r="S368" s="229"/>
      <c r="T368" s="229"/>
      <c r="U368" s="229"/>
      <c r="V368" s="229"/>
      <c r="W368" s="229"/>
      <c r="X368" s="229"/>
    </row>
    <row r="369" spans="1:24" ht="15.75" hidden="1">
      <c r="A369" s="347" t="s">
        <v>363</v>
      </c>
      <c r="B369" s="344"/>
      <c r="C369" s="287">
        <v>1.0308194005900928</v>
      </c>
      <c r="D369" s="287">
        <v>0.90784022249928076</v>
      </c>
      <c r="E369" s="287">
        <v>0.7763446719078384</v>
      </c>
      <c r="F369" s="287">
        <v>0.3613436866981769</v>
      </c>
      <c r="G369" s="287">
        <v>1.1140758293838864</v>
      </c>
      <c r="H369" s="287">
        <v>1.1578075064360236</v>
      </c>
      <c r="I369" s="287">
        <v>0.86798608309802339</v>
      </c>
      <c r="J369" s="287">
        <v>1.0718139807292653</v>
      </c>
      <c r="K369" s="287">
        <v>1.1356154554759468</v>
      </c>
      <c r="L369" s="287">
        <v>1.0166012895635674</v>
      </c>
      <c r="M369" s="287">
        <v>1.0126548116752057</v>
      </c>
      <c r="N369" s="287">
        <v>1.0626591806467012</v>
      </c>
      <c r="O369" s="276"/>
      <c r="P369" s="276"/>
      <c r="Q369" s="247">
        <f t="shared" si="11"/>
        <v>0</v>
      </c>
      <c r="R369" s="229"/>
      <c r="S369" s="229"/>
      <c r="T369" s="229"/>
      <c r="U369" s="229"/>
      <c r="V369" s="229"/>
      <c r="W369" s="229"/>
      <c r="X369" s="229"/>
    </row>
    <row r="370" spans="1:24" ht="15.75" hidden="1">
      <c r="A370" s="347" t="s">
        <v>319</v>
      </c>
      <c r="B370" s="344"/>
      <c r="C370" s="287">
        <v>0.20139241161550805</v>
      </c>
      <c r="D370" s="287">
        <v>0.48438189316198332</v>
      </c>
      <c r="E370" s="287">
        <v>0.38461897719311905</v>
      </c>
      <c r="F370" s="287">
        <v>0.62831795333483387</v>
      </c>
      <c r="G370" s="287">
        <v>0.93526066350710901</v>
      </c>
      <c r="H370" s="287">
        <v>1.347579242129985</v>
      </c>
      <c r="I370" s="287">
        <v>1.5526267043162565</v>
      </c>
      <c r="J370" s="287">
        <v>0.76633740317400334</v>
      </c>
      <c r="K370" s="287">
        <v>0.80118871545547599</v>
      </c>
      <c r="L370" s="287">
        <v>0.71127732447817837</v>
      </c>
      <c r="M370" s="287">
        <v>0.53851148113646952</v>
      </c>
      <c r="N370" s="287">
        <v>0.66160034260378875</v>
      </c>
      <c r="O370" s="276"/>
      <c r="P370" s="276"/>
      <c r="Q370" s="247">
        <f t="shared" si="11"/>
        <v>0</v>
      </c>
      <c r="R370" s="229"/>
      <c r="S370" s="229"/>
      <c r="T370" s="229"/>
      <c r="U370" s="229"/>
      <c r="V370" s="229"/>
      <c r="W370" s="229"/>
      <c r="X370" s="229"/>
    </row>
    <row r="371" spans="1:24" ht="15.75" hidden="1">
      <c r="A371" s="347" t="s">
        <v>320</v>
      </c>
      <c r="B371" s="344"/>
      <c r="C371" s="287">
        <v>0.11</v>
      </c>
      <c r="D371" s="287">
        <v>1.5877049966433299E-2</v>
      </c>
      <c r="E371" s="287">
        <v>2.0463921538102281E-2</v>
      </c>
      <c r="F371" s="287">
        <v>0.25108785355240454</v>
      </c>
      <c r="G371" s="287">
        <v>0.52953791469194311</v>
      </c>
      <c r="H371" s="287">
        <v>0.24458791382503048</v>
      </c>
      <c r="I371" s="287">
        <v>5.6708350141185956E-2</v>
      </c>
      <c r="J371" s="287">
        <v>0.56834061401851521</v>
      </c>
      <c r="K371" s="287">
        <v>0.57220660184237471</v>
      </c>
      <c r="L371" s="287">
        <v>0.58899677419354846</v>
      </c>
      <c r="M371" s="287">
        <v>0.5257709843192051</v>
      </c>
      <c r="N371" s="287">
        <v>0.48639951632406297</v>
      </c>
      <c r="O371" s="276"/>
      <c r="P371" s="276"/>
      <c r="Q371" s="247">
        <f t="shared" si="11"/>
        <v>0</v>
      </c>
      <c r="R371" s="229"/>
      <c r="S371" s="229"/>
      <c r="T371" s="229"/>
      <c r="U371" s="229"/>
      <c r="V371" s="229"/>
      <c r="W371" s="229"/>
      <c r="X371" s="229"/>
    </row>
    <row r="372" spans="1:24" ht="15.75" hidden="1">
      <c r="A372" s="343" t="s">
        <v>321</v>
      </c>
      <c r="B372" s="344"/>
      <c r="C372" s="287">
        <v>0</v>
      </c>
      <c r="D372" s="287">
        <v>0</v>
      </c>
      <c r="E372" s="287">
        <v>0</v>
      </c>
      <c r="F372" s="287">
        <v>0</v>
      </c>
      <c r="G372" s="287">
        <v>0</v>
      </c>
      <c r="H372" s="287">
        <v>0</v>
      </c>
      <c r="I372" s="287">
        <v>0</v>
      </c>
      <c r="J372" s="287">
        <v>1.662573209899868E-3</v>
      </c>
      <c r="K372" s="287">
        <v>2.0266120777891507E-3</v>
      </c>
      <c r="L372" s="287">
        <v>1.8785578747628083E-3</v>
      </c>
      <c r="M372" s="287">
        <v>1.9212855146716347E-3</v>
      </c>
      <c r="N372" s="287">
        <v>2.4939540507859736E-3</v>
      </c>
      <c r="O372" s="276"/>
      <c r="P372" s="276"/>
      <c r="Q372" s="247">
        <f t="shared" si="11"/>
        <v>0</v>
      </c>
      <c r="R372" s="229"/>
      <c r="S372" s="229"/>
      <c r="T372" s="229"/>
      <c r="U372" s="229"/>
      <c r="V372" s="229"/>
      <c r="W372" s="229"/>
      <c r="X372" s="229"/>
    </row>
    <row r="373" spans="1:24" ht="15.75" hidden="1">
      <c r="A373" s="343" t="s">
        <v>322</v>
      </c>
      <c r="B373" s="344"/>
      <c r="C373" s="287">
        <v>0.54479010300740205</v>
      </c>
      <c r="D373" s="287">
        <v>0.23441066462069629</v>
      </c>
      <c r="E373" s="287">
        <v>0.18319062816221685</v>
      </c>
      <c r="F373" s="287">
        <v>0.11442343761722561</v>
      </c>
      <c r="G373" s="287">
        <v>0.22199842022116906</v>
      </c>
      <c r="H373" s="287">
        <v>0.27500000000000002</v>
      </c>
      <c r="I373" s="287">
        <v>0.27500000000000002</v>
      </c>
      <c r="J373" s="287">
        <v>0.33</v>
      </c>
      <c r="K373" s="287">
        <v>0.44</v>
      </c>
      <c r="L373" s="287">
        <v>0.55000000000000004</v>
      </c>
      <c r="M373" s="287">
        <v>0.55000000000000004</v>
      </c>
      <c r="N373" s="287">
        <v>0.3835961809754132</v>
      </c>
      <c r="O373" s="276"/>
      <c r="P373" s="276"/>
      <c r="Q373" s="247">
        <f t="shared" si="11"/>
        <v>0</v>
      </c>
      <c r="R373" s="229"/>
      <c r="S373" s="229"/>
      <c r="T373" s="229"/>
      <c r="U373" s="229"/>
      <c r="V373" s="229"/>
      <c r="W373" s="229"/>
      <c r="X373" s="229"/>
    </row>
    <row r="374" spans="1:24" ht="15.75" hidden="1">
      <c r="A374" s="343" t="s">
        <v>323</v>
      </c>
      <c r="B374" s="344"/>
      <c r="C374" s="287">
        <v>8.1422433873388891E-2</v>
      </c>
      <c r="D374" s="287">
        <v>7.5429174259134937E-2</v>
      </c>
      <c r="E374" s="287">
        <v>6.122051840896707E-2</v>
      </c>
      <c r="F374" s="287">
        <v>5.9006677170080277E-2</v>
      </c>
      <c r="G374" s="287">
        <v>6.2124802527646128E-2</v>
      </c>
      <c r="H374" s="287">
        <v>6.6000000000000003E-2</v>
      </c>
      <c r="I374" s="287">
        <v>7.7000000000000013E-2</v>
      </c>
      <c r="J374" s="287">
        <v>0.11</v>
      </c>
      <c r="K374" s="287">
        <v>0.11</v>
      </c>
      <c r="L374" s="287">
        <v>0.16500000000000001</v>
      </c>
      <c r="M374" s="287">
        <v>0.11</v>
      </c>
      <c r="N374" s="287">
        <v>0.11</v>
      </c>
      <c r="O374" s="276"/>
      <c r="P374" s="276"/>
      <c r="Q374" s="247">
        <f t="shared" si="11"/>
        <v>0</v>
      </c>
      <c r="R374" s="229"/>
      <c r="S374" s="229"/>
      <c r="T374" s="229"/>
      <c r="U374" s="229"/>
      <c r="V374" s="229"/>
      <c r="W374" s="229"/>
      <c r="X374" s="229"/>
    </row>
    <row r="375" spans="1:24" ht="15.75" hidden="1">
      <c r="A375" s="343" t="s">
        <v>324</v>
      </c>
      <c r="B375" s="344"/>
      <c r="C375" s="287">
        <v>0.45551011957140641</v>
      </c>
      <c r="D375" s="287">
        <v>0.52747674307087367</v>
      </c>
      <c r="E375" s="287">
        <v>0.51373861601930415</v>
      </c>
      <c r="F375" s="287">
        <v>0.33010728486758195</v>
      </c>
      <c r="G375" s="287">
        <v>0.43443917851500791</v>
      </c>
      <c r="H375" s="287">
        <v>0.29808951718531229</v>
      </c>
      <c r="I375" s="287">
        <v>0.35498184751916095</v>
      </c>
      <c r="J375" s="287">
        <v>0.29095031173247687</v>
      </c>
      <c r="K375" s="287">
        <v>0.31525076765609011</v>
      </c>
      <c r="L375" s="287">
        <v>0.29222011385199237</v>
      </c>
      <c r="M375" s="287">
        <v>0.29886663561558763</v>
      </c>
      <c r="N375" s="287">
        <v>0.38794840790004032</v>
      </c>
      <c r="O375" s="276"/>
      <c r="P375" s="276"/>
      <c r="Q375" s="247">
        <f t="shared" si="11"/>
        <v>0</v>
      </c>
      <c r="R375" s="229"/>
      <c r="S375" s="229"/>
      <c r="T375" s="229"/>
      <c r="U375" s="229"/>
      <c r="V375" s="229"/>
      <c r="W375" s="229"/>
      <c r="X375" s="229"/>
    </row>
    <row r="376" spans="1:24" ht="15.75" hidden="1">
      <c r="A376" s="343" t="s">
        <v>325</v>
      </c>
      <c r="B376" s="344"/>
      <c r="C376" s="287">
        <v>0.29517055748227133</v>
      </c>
      <c r="D376" s="287">
        <v>6.588184520955212E-2</v>
      </c>
      <c r="E376" s="287">
        <v>0.14680080952751615</v>
      </c>
      <c r="F376" s="287">
        <v>0.2189849200990322</v>
      </c>
      <c r="G376" s="287">
        <v>0.36475513428120065</v>
      </c>
      <c r="H376" s="287">
        <v>0.22482706291495413</v>
      </c>
      <c r="I376" s="287">
        <v>0.12314852763210973</v>
      </c>
      <c r="J376" s="287">
        <v>0.34092700264500281</v>
      </c>
      <c r="K376" s="287">
        <v>0.380138945752303</v>
      </c>
      <c r="L376" s="287">
        <v>0.36345398481973434</v>
      </c>
      <c r="M376" s="287">
        <v>0.30422894348703622</v>
      </c>
      <c r="N376" s="287">
        <v>0.2614710197501009</v>
      </c>
      <c r="O376" s="276"/>
      <c r="P376" s="276"/>
      <c r="Q376" s="247">
        <f t="shared" si="11"/>
        <v>0</v>
      </c>
      <c r="R376" s="229"/>
      <c r="S376" s="229"/>
      <c r="T376" s="229"/>
      <c r="U376" s="229"/>
      <c r="V376" s="229"/>
      <c r="W376" s="229"/>
      <c r="X376" s="229"/>
    </row>
    <row r="377" spans="1:24" ht="15.75" hidden="1">
      <c r="A377" s="343" t="s">
        <v>326</v>
      </c>
      <c r="B377" s="344"/>
      <c r="C377" s="287">
        <v>8.2618147937263839E-2</v>
      </c>
      <c r="D377" s="287">
        <v>0.45257504555480965</v>
      </c>
      <c r="E377" s="287">
        <v>0.13117459329026232</v>
      </c>
      <c r="F377" s="287">
        <v>0.22121314427188837</v>
      </c>
      <c r="G377" s="287">
        <v>7.5679304897314364E-2</v>
      </c>
      <c r="H377" s="287">
        <v>0.52970507203829997</v>
      </c>
      <c r="I377" s="287">
        <v>0.42702940701895931</v>
      </c>
      <c r="J377" s="287">
        <v>0.52170508218401657</v>
      </c>
      <c r="K377" s="287">
        <v>0.56670829068577278</v>
      </c>
      <c r="L377" s="287">
        <v>0.52388804554079693</v>
      </c>
      <c r="M377" s="287">
        <v>0.48411613103555351</v>
      </c>
      <c r="N377" s="287">
        <v>0.46418581217251098</v>
      </c>
      <c r="O377" s="276"/>
      <c r="P377" s="276"/>
      <c r="Q377" s="247">
        <f t="shared" si="11"/>
        <v>0</v>
      </c>
      <c r="R377" s="229"/>
      <c r="S377" s="229"/>
      <c r="T377" s="229"/>
      <c r="U377" s="229"/>
      <c r="V377" s="229"/>
      <c r="W377" s="229"/>
      <c r="X377" s="229"/>
    </row>
    <row r="378" spans="1:24" ht="15.75" hidden="1">
      <c r="A378" s="343" t="s">
        <v>327</v>
      </c>
      <c r="B378" s="344"/>
      <c r="C378" s="287">
        <v>0.10943630622703039</v>
      </c>
      <c r="D378" s="287">
        <v>0.20555768677471947</v>
      </c>
      <c r="E378" s="287">
        <v>0.21756830388417531</v>
      </c>
      <c r="F378" s="287">
        <v>0.21679795933678445</v>
      </c>
      <c r="G378" s="287">
        <v>0.17238546603475513</v>
      </c>
      <c r="H378" s="287">
        <v>0.59255625310509918</v>
      </c>
      <c r="I378" s="287">
        <v>0.58588688987494963</v>
      </c>
      <c r="J378" s="287">
        <v>0.31779000000000007</v>
      </c>
      <c r="K378" s="287">
        <v>0.31779000000000007</v>
      </c>
      <c r="L378" s="287">
        <v>0.31779000000000007</v>
      </c>
      <c r="M378" s="287">
        <v>0.30602000000000001</v>
      </c>
      <c r="N378" s="287">
        <v>0.31779000000000007</v>
      </c>
      <c r="O378" s="276"/>
      <c r="P378" s="276"/>
      <c r="Q378" s="247">
        <f t="shared" si="11"/>
        <v>0</v>
      </c>
      <c r="R378" s="229"/>
      <c r="S378" s="229"/>
      <c r="T378" s="229"/>
      <c r="U378" s="229"/>
      <c r="V378" s="229"/>
      <c r="W378" s="229"/>
      <c r="X378" s="229"/>
    </row>
    <row r="379" spans="1:24" ht="15.75" hidden="1">
      <c r="A379" s="343" t="s">
        <v>328</v>
      </c>
      <c r="B379" s="344"/>
      <c r="C379" s="287">
        <v>1.1296081577721413</v>
      </c>
      <c r="D379" s="287">
        <v>1.2465857868993957</v>
      </c>
      <c r="E379" s="287">
        <v>0.96899665291507742</v>
      </c>
      <c r="F379" s="287">
        <v>0.96956635906669664</v>
      </c>
      <c r="G379" s="287">
        <v>0.70770142180094786</v>
      </c>
      <c r="H379" s="287">
        <v>0.95381391987715103</v>
      </c>
      <c r="I379" s="287">
        <v>2.0006484066155705</v>
      </c>
      <c r="J379" s="287">
        <v>1.1379009540903082</v>
      </c>
      <c r="K379" s="287">
        <v>1.1537981064483112</v>
      </c>
      <c r="L379" s="287">
        <v>1.155</v>
      </c>
      <c r="M379" s="287">
        <v>1.0797246739636706</v>
      </c>
      <c r="N379" s="287">
        <v>1.0309230149133413</v>
      </c>
      <c r="O379" s="276"/>
      <c r="P379" s="276"/>
      <c r="Q379" s="247">
        <f t="shared" si="11"/>
        <v>0</v>
      </c>
      <c r="R379" s="229"/>
      <c r="S379" s="229"/>
      <c r="T379" s="229"/>
      <c r="U379" s="229"/>
      <c r="V379" s="229"/>
      <c r="W379" s="229"/>
      <c r="X379" s="229"/>
    </row>
    <row r="380" spans="1:24" ht="15.75" hidden="1">
      <c r="A380" s="343" t="s">
        <v>329</v>
      </c>
      <c r="B380" s="344"/>
      <c r="C380" s="287">
        <v>2.8469382473212901E-2</v>
      </c>
      <c r="D380" s="287">
        <v>2.6373837153543685E-2</v>
      </c>
      <c r="E380" s="287">
        <v>0</v>
      </c>
      <c r="F380" s="287">
        <v>0</v>
      </c>
      <c r="G380" s="287">
        <v>0</v>
      </c>
      <c r="H380" s="287">
        <v>0</v>
      </c>
      <c r="I380" s="287">
        <v>0</v>
      </c>
      <c r="J380" s="287">
        <v>1.662573209899868E-3</v>
      </c>
      <c r="K380" s="287">
        <v>2.0266120777891507E-3</v>
      </c>
      <c r="L380" s="287">
        <v>1.8785578747628083E-3</v>
      </c>
      <c r="M380" s="287">
        <v>1.9212855146716347E-3</v>
      </c>
      <c r="N380" s="287">
        <v>2.4939540507859736E-3</v>
      </c>
      <c r="O380" s="276"/>
      <c r="P380" s="276"/>
      <c r="Q380" s="247">
        <f t="shared" si="11"/>
        <v>0</v>
      </c>
      <c r="R380" s="229"/>
      <c r="S380" s="229"/>
      <c r="T380" s="229"/>
      <c r="U380" s="229"/>
      <c r="V380" s="229"/>
      <c r="W380" s="229"/>
      <c r="X380" s="229"/>
    </row>
    <row r="381" spans="1:24" ht="15.75" hidden="1">
      <c r="A381" s="343" t="s">
        <v>330</v>
      </c>
      <c r="B381" s="344"/>
      <c r="C381" s="287">
        <v>0.61049743775557741</v>
      </c>
      <c r="D381" s="287">
        <v>0.61171477893929227</v>
      </c>
      <c r="E381" s="287">
        <v>0.33559975091461042</v>
      </c>
      <c r="F381" s="287">
        <v>0.84338284942606345</v>
      </c>
      <c r="G381" s="287">
        <v>0.55047788309636658</v>
      </c>
      <c r="H381" s="287">
        <v>1.0570939885280701</v>
      </c>
      <c r="I381" s="287">
        <v>0.5877217022993142</v>
      </c>
      <c r="J381" s="287">
        <v>0.69158551388626488</v>
      </c>
      <c r="K381" s="287">
        <v>0.67596379222108494</v>
      </c>
      <c r="L381" s="287">
        <v>0.6321942125237191</v>
      </c>
      <c r="M381" s="287">
        <v>0.62792144853283638</v>
      </c>
      <c r="N381" s="287">
        <v>0.62922959492140251</v>
      </c>
      <c r="O381" s="276"/>
      <c r="P381" s="276"/>
      <c r="Q381" s="247">
        <f t="shared" si="11"/>
        <v>0</v>
      </c>
      <c r="R381" s="229"/>
      <c r="S381" s="229"/>
      <c r="T381" s="229"/>
      <c r="U381" s="229"/>
      <c r="V381" s="229"/>
      <c r="W381" s="229"/>
      <c r="X381" s="229"/>
    </row>
    <row r="382" spans="1:24" ht="15.75" hidden="1">
      <c r="A382" s="343" t="s">
        <v>331</v>
      </c>
      <c r="B382" s="344"/>
      <c r="C382" s="287">
        <v>0.72038925410217924</v>
      </c>
      <c r="D382" s="287">
        <v>0.31806847607173683</v>
      </c>
      <c r="E382" s="287">
        <v>0.28645208998209698</v>
      </c>
      <c r="F382" s="287">
        <v>7.3325080651211641E-2</v>
      </c>
      <c r="G382" s="287">
        <v>0.3131437598736177</v>
      </c>
      <c r="H382" s="287">
        <v>0.29476383180524818</v>
      </c>
      <c r="I382" s="287">
        <v>1.2764659136748691</v>
      </c>
      <c r="J382" s="287">
        <v>0.52193763461175136</v>
      </c>
      <c r="K382" s="287">
        <v>0.49402525588536339</v>
      </c>
      <c r="L382" s="287">
        <v>0.43873197343453513</v>
      </c>
      <c r="M382" s="287">
        <v>0.47180628396211777</v>
      </c>
      <c r="N382" s="287">
        <v>0.35966142684401453</v>
      </c>
      <c r="O382" s="276"/>
      <c r="P382" s="276"/>
      <c r="Q382" s="247">
        <f t="shared" si="11"/>
        <v>0</v>
      </c>
      <c r="R382" s="229"/>
      <c r="S382" s="229"/>
      <c r="T382" s="229"/>
      <c r="U382" s="229"/>
      <c r="V382" s="229"/>
      <c r="W382" s="229"/>
      <c r="X382" s="229"/>
    </row>
    <row r="383" spans="1:24" ht="15.75" hidden="1">
      <c r="A383" s="343" t="s">
        <v>332</v>
      </c>
      <c r="B383" s="344"/>
      <c r="C383" s="287">
        <v>1.1501630519178012E-2</v>
      </c>
      <c r="D383" s="287">
        <v>3.4813465042677662E-3</v>
      </c>
      <c r="E383" s="287">
        <v>1.4127811940530862E-3</v>
      </c>
      <c r="F383" s="287">
        <v>2.0631705304223873E-4</v>
      </c>
      <c r="G383" s="287">
        <v>5.0699052132701421E-2</v>
      </c>
      <c r="H383" s="287">
        <v>7.7026331240684712E-3</v>
      </c>
      <c r="I383" s="287">
        <v>0</v>
      </c>
      <c r="J383" s="287">
        <v>3.4244851690912521E-2</v>
      </c>
      <c r="K383" s="287">
        <v>3.7312180143295799E-2</v>
      </c>
      <c r="L383" s="287">
        <v>3.5066413662239088E-2</v>
      </c>
      <c r="M383" s="287">
        <v>3.2868498680329136E-2</v>
      </c>
      <c r="N383" s="287">
        <v>3.0862958484482055E-2</v>
      </c>
      <c r="O383" s="276"/>
      <c r="P383" s="276"/>
      <c r="Q383" s="247">
        <f t="shared" si="11"/>
        <v>0</v>
      </c>
      <c r="R383" s="229"/>
      <c r="S383" s="229"/>
      <c r="T383" s="229"/>
      <c r="U383" s="229"/>
      <c r="V383" s="229"/>
      <c r="W383" s="229"/>
      <c r="X383" s="229"/>
    </row>
    <row r="384" spans="1:24" ht="15.75" hidden="1">
      <c r="A384" s="343" t="s">
        <v>333</v>
      </c>
      <c r="B384" s="344"/>
      <c r="C384" s="287">
        <v>0.13585589316217195</v>
      </c>
      <c r="D384" s="287">
        <v>5.2167449889709408E-2</v>
      </c>
      <c r="E384" s="287">
        <v>1.9693313614073324E-3</v>
      </c>
      <c r="F384" s="287">
        <v>8.1371445719858951E-2</v>
      </c>
      <c r="G384" s="287">
        <v>5.447867298578199E-2</v>
      </c>
      <c r="H384" s="287">
        <v>5.5E-2</v>
      </c>
      <c r="I384" s="287">
        <v>5.5E-2</v>
      </c>
      <c r="J384" s="287">
        <v>0.16500000000000001</v>
      </c>
      <c r="K384" s="287">
        <v>0.15400000000000003</v>
      </c>
      <c r="L384" s="287">
        <v>0.15400000000000003</v>
      </c>
      <c r="M384" s="287">
        <v>0.15400000000000003</v>
      </c>
      <c r="N384" s="287">
        <v>0.15400000000000003</v>
      </c>
      <c r="O384" s="276"/>
      <c r="P384" s="276"/>
      <c r="Q384" s="247">
        <f t="shared" si="11"/>
        <v>0</v>
      </c>
      <c r="R384" s="229"/>
      <c r="S384" s="229"/>
      <c r="T384" s="229"/>
      <c r="U384" s="229"/>
      <c r="V384" s="229"/>
      <c r="W384" s="229"/>
      <c r="X384" s="229"/>
    </row>
    <row r="385" spans="1:24" ht="15.75" hidden="1">
      <c r="A385" s="343" t="s">
        <v>334</v>
      </c>
      <c r="B385" s="344"/>
      <c r="C385" s="287">
        <v>0</v>
      </c>
      <c r="D385" s="287">
        <v>0</v>
      </c>
      <c r="E385" s="287">
        <v>0</v>
      </c>
      <c r="F385" s="287">
        <v>0</v>
      </c>
      <c r="G385" s="287">
        <v>0</v>
      </c>
      <c r="H385" s="287">
        <v>0</v>
      </c>
      <c r="I385" s="287">
        <v>0</v>
      </c>
      <c r="J385" s="287">
        <v>0</v>
      </c>
      <c r="K385" s="287">
        <v>0</v>
      </c>
      <c r="L385" s="287">
        <v>0</v>
      </c>
      <c r="M385" s="287">
        <v>0</v>
      </c>
      <c r="N385" s="287">
        <v>0</v>
      </c>
      <c r="O385" s="276"/>
      <c r="P385" s="276"/>
      <c r="Q385" s="247">
        <f t="shared" si="11"/>
        <v>0</v>
      </c>
      <c r="R385" s="229"/>
      <c r="S385" s="229"/>
      <c r="T385" s="229"/>
      <c r="U385" s="229"/>
      <c r="V385" s="229"/>
      <c r="W385" s="229"/>
      <c r="X385" s="229"/>
    </row>
    <row r="386" spans="1:24" ht="15.75" hidden="1">
      <c r="A386" s="343" t="s">
        <v>335</v>
      </c>
      <c r="B386" s="344"/>
      <c r="C386" s="287">
        <v>0.15606915471815311</v>
      </c>
      <c r="D386" s="287">
        <v>0.15581662990313608</v>
      </c>
      <c r="E386" s="287">
        <v>0.14303339301004125</v>
      </c>
      <c r="F386" s="287">
        <v>0.10815139920474154</v>
      </c>
      <c r="G386" s="287">
        <v>8.1935229067930493E-2</v>
      </c>
      <c r="H386" s="287">
        <v>7.2687638318052472E-2</v>
      </c>
      <c r="I386" s="287">
        <v>8.3965187575635342E-2</v>
      </c>
      <c r="J386" s="287">
        <v>9.8999999999999991E-2</v>
      </c>
      <c r="K386" s="287">
        <v>9.8999999999999991E-2</v>
      </c>
      <c r="L386" s="287">
        <v>9.8999999999999991E-2</v>
      </c>
      <c r="M386" s="287">
        <v>9.8999999999999991E-2</v>
      </c>
      <c r="N386" s="287">
        <v>9.8999999999999991E-2</v>
      </c>
      <c r="O386" s="276"/>
      <c r="P386" s="276"/>
      <c r="Q386" s="247">
        <f t="shared" si="11"/>
        <v>0</v>
      </c>
      <c r="R386" s="229"/>
      <c r="S386" s="229"/>
      <c r="T386" s="229"/>
      <c r="U386" s="229"/>
      <c r="V386" s="229"/>
      <c r="W386" s="229"/>
      <c r="X386" s="229"/>
    </row>
    <row r="387" spans="1:24" ht="15.75" hidden="1">
      <c r="A387" s="343" t="s">
        <v>336</v>
      </c>
      <c r="B387" s="344"/>
      <c r="C387" s="287">
        <v>0</v>
      </c>
      <c r="D387" s="287">
        <v>5.1692720820945622E-2</v>
      </c>
      <c r="E387" s="287">
        <v>0</v>
      </c>
      <c r="F387" s="287">
        <v>0</v>
      </c>
      <c r="G387" s="287">
        <v>0</v>
      </c>
      <c r="H387" s="287">
        <v>0</v>
      </c>
      <c r="I387" s="287">
        <v>0</v>
      </c>
      <c r="J387" s="287">
        <v>2.4938598148498015E-3</v>
      </c>
      <c r="K387" s="287">
        <v>2.7021494370522009E-3</v>
      </c>
      <c r="L387" s="287">
        <v>2.5047438330170774E-3</v>
      </c>
      <c r="M387" s="287">
        <v>2.5617140195621797E-3</v>
      </c>
      <c r="N387" s="287">
        <v>3.3252720677146314E-3</v>
      </c>
      <c r="O387" s="276"/>
      <c r="P387" s="276"/>
      <c r="Q387" s="247">
        <f t="shared" si="11"/>
        <v>0</v>
      </c>
      <c r="R387" s="229"/>
      <c r="S387" s="229"/>
      <c r="T387" s="229"/>
      <c r="U387" s="229"/>
      <c r="V387" s="229"/>
      <c r="W387" s="229"/>
      <c r="X387" s="229"/>
    </row>
    <row r="388" spans="1:24" ht="15.75" hidden="1">
      <c r="A388" s="343" t="s">
        <v>337</v>
      </c>
      <c r="B388" s="344"/>
      <c r="C388" s="287">
        <v>0</v>
      </c>
      <c r="D388" s="287">
        <v>0</v>
      </c>
      <c r="E388" s="287">
        <v>0</v>
      </c>
      <c r="F388" s="287">
        <v>0</v>
      </c>
      <c r="G388" s="287">
        <v>0</v>
      </c>
      <c r="H388" s="287">
        <v>0</v>
      </c>
      <c r="I388" s="287">
        <v>0</v>
      </c>
      <c r="J388" s="287">
        <v>0</v>
      </c>
      <c r="K388" s="287">
        <v>0</v>
      </c>
      <c r="L388" s="287">
        <v>0</v>
      </c>
      <c r="M388" s="287">
        <v>0</v>
      </c>
      <c r="N388" s="287">
        <v>0</v>
      </c>
      <c r="O388" s="276"/>
      <c r="P388" s="276"/>
      <c r="Q388" s="247">
        <f t="shared" si="11"/>
        <v>0</v>
      </c>
      <c r="R388" s="229"/>
      <c r="S388" s="229"/>
      <c r="T388" s="229"/>
      <c r="U388" s="229"/>
      <c r="V388" s="229"/>
      <c r="W388" s="229"/>
      <c r="X388" s="229"/>
    </row>
    <row r="389" spans="1:24" ht="15.75" hidden="1">
      <c r="A389" s="343" t="s">
        <v>339</v>
      </c>
      <c r="B389" s="344"/>
      <c r="C389" s="287">
        <v>0.15988405196956365</v>
      </c>
      <c r="D389" s="287">
        <v>0.15433969502253764</v>
      </c>
      <c r="E389" s="287">
        <v>0.12916245037752005</v>
      </c>
      <c r="F389" s="287">
        <v>0.14574236626903744</v>
      </c>
      <c r="G389" s="287">
        <v>0.15605055292259085</v>
      </c>
      <c r="H389" s="287">
        <v>0.17166776568357348</v>
      </c>
      <c r="I389" s="287">
        <v>0.15136958450988303</v>
      </c>
      <c r="J389" s="287">
        <v>0.15139210077244236</v>
      </c>
      <c r="K389" s="287">
        <v>0.15903413299095573</v>
      </c>
      <c r="L389" s="287">
        <v>0.14798621455991565</v>
      </c>
      <c r="M389" s="287">
        <v>0.15003279331692645</v>
      </c>
      <c r="N389" s="287">
        <v>0.17876594783262209</v>
      </c>
      <c r="O389" s="276"/>
      <c r="P389" s="276"/>
      <c r="Q389" s="247">
        <f t="shared" si="11"/>
        <v>0</v>
      </c>
      <c r="R389" s="229"/>
      <c r="S389" s="229"/>
      <c r="T389" s="229"/>
      <c r="U389" s="229"/>
      <c r="V389" s="229"/>
      <c r="W389" s="229"/>
      <c r="X389" s="229"/>
    </row>
    <row r="390" spans="1:24" ht="15.75" hidden="1">
      <c r="A390" s="343" t="s">
        <v>340</v>
      </c>
      <c r="B390" s="344"/>
      <c r="C390" s="287">
        <v>0</v>
      </c>
      <c r="D390" s="287">
        <v>0</v>
      </c>
      <c r="E390" s="287">
        <v>0</v>
      </c>
      <c r="F390" s="287">
        <v>0</v>
      </c>
      <c r="G390" s="287">
        <v>0</v>
      </c>
      <c r="H390" s="287">
        <v>9.9363172395104116E-3</v>
      </c>
      <c r="I390" s="287">
        <v>2.1955627269060101E-3</v>
      </c>
      <c r="J390" s="287">
        <v>9.3509351974305682E-2</v>
      </c>
      <c r="K390" s="287">
        <v>0.10046366427840327</v>
      </c>
      <c r="L390" s="287">
        <v>9.5326375711574943E-2</v>
      </c>
      <c r="M390" s="287">
        <v>8.4989132122341257E-2</v>
      </c>
      <c r="N390" s="287">
        <v>5.6851068117694491E-2</v>
      </c>
      <c r="O390" s="276"/>
      <c r="P390" s="276"/>
      <c r="Q390" s="247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9"/>
      <c r="S390" s="229"/>
      <c r="T390" s="229"/>
      <c r="U390" s="229"/>
      <c r="V390" s="229"/>
      <c r="W390" s="229"/>
      <c r="X390" s="229"/>
    </row>
    <row r="391" spans="1:24" ht="15.75" hidden="1">
      <c r="A391" s="343" t="s">
        <v>341</v>
      </c>
      <c r="B391" s="344"/>
      <c r="C391" s="287">
        <v>0.25087219835395203</v>
      </c>
      <c r="D391" s="287">
        <v>0.23240625299702694</v>
      </c>
      <c r="E391" s="287">
        <v>0.18862769518175451</v>
      </c>
      <c r="F391" s="287">
        <v>0.18180658714082076</v>
      </c>
      <c r="G391" s="287">
        <v>0.1914139020537125</v>
      </c>
      <c r="H391" s="287">
        <v>0.21889706878641435</v>
      </c>
      <c r="I391" s="287">
        <v>0.1955062525211779</v>
      </c>
      <c r="J391" s="287">
        <v>0.18313243907047044</v>
      </c>
      <c r="K391" s="287">
        <v>0.19842784032753327</v>
      </c>
      <c r="L391" s="287">
        <v>0.18393168880455407</v>
      </c>
      <c r="M391" s="287">
        <v>0.18811519950318276</v>
      </c>
      <c r="N391" s="287">
        <v>0.24418581217251106</v>
      </c>
      <c r="O391" s="276"/>
      <c r="P391" s="276"/>
      <c r="Q391" s="247">
        <f t="shared" si="12"/>
        <v>0</v>
      </c>
      <c r="R391" s="229"/>
      <c r="S391" s="229"/>
      <c r="T391" s="229"/>
      <c r="U391" s="229"/>
      <c r="V391" s="229"/>
      <c r="W391" s="229"/>
      <c r="X391" s="229"/>
    </row>
    <row r="392" spans="1:24" ht="15.75" hidden="1">
      <c r="A392" s="343" t="s">
        <v>342</v>
      </c>
      <c r="B392" s="344"/>
      <c r="C392" s="287">
        <v>2.1999999999999999E-2</v>
      </c>
      <c r="D392" s="287">
        <v>0.17053323103481347</v>
      </c>
      <c r="E392" s="287">
        <v>2.1999999999999999E-2</v>
      </c>
      <c r="F392" s="287">
        <v>3.3000000000000002E-2</v>
      </c>
      <c r="G392" s="287">
        <v>0.10548183254344393</v>
      </c>
      <c r="H392" s="287">
        <v>1.4523418093130392E-2</v>
      </c>
      <c r="I392" s="287">
        <v>2.1999999999999999E-2</v>
      </c>
      <c r="J392" s="287">
        <v>0.26950000000000002</v>
      </c>
      <c r="K392" s="287">
        <v>0.26950000000000002</v>
      </c>
      <c r="L392" s="287">
        <v>0.26950000000000002</v>
      </c>
      <c r="M392" s="287">
        <v>0.26950000000000002</v>
      </c>
      <c r="N392" s="287">
        <v>0.26950000000000002</v>
      </c>
      <c r="O392" s="276"/>
      <c r="P392" s="276"/>
      <c r="Q392" s="247">
        <f t="shared" si="12"/>
        <v>0</v>
      </c>
      <c r="R392" s="229"/>
      <c r="S392" s="229"/>
      <c r="T392" s="229"/>
      <c r="U392" s="229"/>
      <c r="V392" s="229"/>
      <c r="W392" s="229"/>
      <c r="X392" s="229"/>
    </row>
    <row r="393" spans="1:24" ht="15.75" hidden="1">
      <c r="A393" s="343" t="s">
        <v>343</v>
      </c>
      <c r="B393" s="344"/>
      <c r="C393" s="287">
        <v>9.9358144831513021E-2</v>
      </c>
      <c r="D393" s="287">
        <v>5.2167449889709408E-2</v>
      </c>
      <c r="E393" s="287">
        <v>6.3232661321709349E-2</v>
      </c>
      <c r="F393" s="287">
        <v>4.8071873358841624E-2</v>
      </c>
      <c r="G393" s="287">
        <v>7.5288309636650869E-2</v>
      </c>
      <c r="H393" s="287">
        <v>0.11026380922270899</v>
      </c>
      <c r="I393" s="287">
        <v>8.2610488100040333E-2</v>
      </c>
      <c r="J393" s="287">
        <v>9.8999999999999991E-2</v>
      </c>
      <c r="K393" s="287">
        <v>9.8999999999999991E-2</v>
      </c>
      <c r="L393" s="287">
        <v>9.8999999999999991E-2</v>
      </c>
      <c r="M393" s="287">
        <v>9.8999999999999991E-2</v>
      </c>
      <c r="N393" s="287">
        <v>9.8999999999999991E-2</v>
      </c>
      <c r="O393" s="276"/>
      <c r="P393" s="276"/>
      <c r="Q393" s="247">
        <f t="shared" si="12"/>
        <v>0</v>
      </c>
      <c r="R393" s="229"/>
      <c r="S393" s="229"/>
      <c r="T393" s="229"/>
      <c r="U393" s="229"/>
      <c r="V393" s="229"/>
      <c r="W393" s="229"/>
      <c r="X393" s="229"/>
    </row>
    <row r="394" spans="1:24" ht="15.75" hidden="1">
      <c r="A394" s="343" t="s">
        <v>364</v>
      </c>
      <c r="B394" s="344"/>
      <c r="C394" s="287">
        <v>0.33855789637144779</v>
      </c>
      <c r="D394" s="287">
        <v>0.24517119017934211</v>
      </c>
      <c r="E394" s="287">
        <v>0.16786409278430761</v>
      </c>
      <c r="F394" s="287">
        <v>0.22892940205566809</v>
      </c>
      <c r="G394" s="287">
        <v>0.30284755134281199</v>
      </c>
      <c r="H394" s="287">
        <v>0.91719759721783123</v>
      </c>
      <c r="I394" s="287">
        <v>0.40122355788624448</v>
      </c>
      <c r="J394" s="287">
        <v>0.66161826563385606</v>
      </c>
      <c r="K394" s="287">
        <v>0.64534477993858752</v>
      </c>
      <c r="L394" s="287">
        <v>0.58693244781783682</v>
      </c>
      <c r="M394" s="287">
        <v>0.62022776742741814</v>
      </c>
      <c r="N394" s="287">
        <v>0.63640338170092714</v>
      </c>
      <c r="O394" s="276"/>
      <c r="P394" s="276"/>
      <c r="Q394" s="247">
        <f t="shared" si="12"/>
        <v>0</v>
      </c>
      <c r="R394" s="229"/>
      <c r="S394" s="229"/>
      <c r="T394" s="229"/>
      <c r="U394" s="229"/>
      <c r="V394" s="229"/>
      <c r="W394" s="229"/>
      <c r="X394" s="229"/>
    </row>
    <row r="395" spans="1:24" ht="15.75" hidden="1">
      <c r="A395" s="343" t="s">
        <v>345</v>
      </c>
      <c r="B395" s="344"/>
      <c r="C395" s="287">
        <v>0.16233241886225996</v>
      </c>
      <c r="D395" s="287">
        <v>0.19711805888558551</v>
      </c>
      <c r="E395" s="287">
        <v>0.43663501206507355</v>
      </c>
      <c r="F395" s="287">
        <v>0.26103233550904043</v>
      </c>
      <c r="G395" s="287">
        <v>0.36918641390205376</v>
      </c>
      <c r="H395" s="287">
        <v>0.15139668488324828</v>
      </c>
      <c r="I395" s="287">
        <v>0.13839810407422345</v>
      </c>
      <c r="J395" s="287">
        <v>0.16500000000000001</v>
      </c>
      <c r="K395" s="287">
        <v>0.16500000000000001</v>
      </c>
      <c r="L395" s="287">
        <v>0.16500000000000001</v>
      </c>
      <c r="M395" s="287">
        <v>0.16500000000000001</v>
      </c>
      <c r="N395" s="287">
        <v>0.16500000000000001</v>
      </c>
      <c r="O395" s="276"/>
      <c r="P395" s="276"/>
      <c r="Q395" s="247">
        <f t="shared" si="12"/>
        <v>0</v>
      </c>
      <c r="R395" s="229"/>
      <c r="S395" s="229"/>
      <c r="T395" s="229"/>
      <c r="U395" s="229"/>
      <c r="V395" s="229"/>
      <c r="W395" s="229"/>
      <c r="X395" s="229"/>
    </row>
    <row r="396" spans="1:24" ht="15.75" hidden="1">
      <c r="A396" s="343" t="s">
        <v>346</v>
      </c>
      <c r="B396" s="344"/>
      <c r="C396" s="287">
        <v>0</v>
      </c>
      <c r="D396" s="287">
        <v>0</v>
      </c>
      <c r="E396" s="287">
        <v>0</v>
      </c>
      <c r="F396" s="287">
        <v>0</v>
      </c>
      <c r="G396" s="287">
        <v>0</v>
      </c>
      <c r="H396" s="287">
        <v>1.0433133101485931E-2</v>
      </c>
      <c r="I396" s="287">
        <v>3.2303348124243649E-4</v>
      </c>
      <c r="J396" s="287">
        <v>1.0112601549215944E-2</v>
      </c>
      <c r="K396" s="287">
        <v>1.1281473899692937E-2</v>
      </c>
      <c r="L396" s="287">
        <v>1.0478178368121443E-2</v>
      </c>
      <c r="M396" s="287">
        <v>9.404906070485948E-3</v>
      </c>
      <c r="N396" s="287">
        <v>8.8097541313986311E-3</v>
      </c>
      <c r="O396" s="276"/>
      <c r="P396" s="276"/>
      <c r="Q396" s="247">
        <f t="shared" si="12"/>
        <v>0</v>
      </c>
      <c r="R396" s="229"/>
      <c r="S396" s="229"/>
      <c r="T396" s="229"/>
      <c r="U396" s="229"/>
      <c r="V396" s="229"/>
      <c r="W396" s="229"/>
      <c r="X396" s="229"/>
    </row>
    <row r="397" spans="1:24" ht="15.75" hidden="1">
      <c r="A397" s="343" t="s">
        <v>347</v>
      </c>
      <c r="B397" s="344"/>
      <c r="C397" s="287">
        <v>0</v>
      </c>
      <c r="D397" s="287">
        <v>0.35404238994917042</v>
      </c>
      <c r="E397" s="287">
        <v>0.12757842297812719</v>
      </c>
      <c r="F397" s="287">
        <v>0.36984394928351716</v>
      </c>
      <c r="G397" s="287">
        <v>0.20939968404423381</v>
      </c>
      <c r="H397" s="287">
        <v>0.25149911928097196</v>
      </c>
      <c r="I397" s="287">
        <v>0.20483029447357806</v>
      </c>
      <c r="J397" s="287">
        <v>0.67624827602493864</v>
      </c>
      <c r="K397" s="287">
        <v>0.71059634083930401</v>
      </c>
      <c r="L397" s="287">
        <v>0.69728154648956364</v>
      </c>
      <c r="M397" s="287">
        <v>0.68470324871914301</v>
      </c>
      <c r="N397" s="287">
        <v>0.65217918178153966</v>
      </c>
      <c r="O397" s="276"/>
      <c r="P397" s="276"/>
      <c r="Q397" s="247">
        <f t="shared" si="12"/>
        <v>0</v>
      </c>
      <c r="R397" s="229"/>
      <c r="S397" s="229"/>
      <c r="T397" s="229"/>
      <c r="U397" s="229"/>
      <c r="V397" s="229"/>
      <c r="W397" s="229"/>
      <c r="X397" s="229"/>
    </row>
    <row r="398" spans="1:24" ht="15.75" hidden="1">
      <c r="A398" s="343" t="s">
        <v>348</v>
      </c>
      <c r="B398" s="344"/>
      <c r="C398" s="287">
        <v>0</v>
      </c>
      <c r="D398" s="287">
        <v>0</v>
      </c>
      <c r="E398" s="287">
        <v>0</v>
      </c>
      <c r="F398" s="287">
        <v>0</v>
      </c>
      <c r="G398" s="287">
        <v>0</v>
      </c>
      <c r="H398" s="287">
        <v>0.40457255769838762</v>
      </c>
      <c r="I398" s="287">
        <v>0.67693174667204514</v>
      </c>
      <c r="J398" s="287">
        <v>0.67693174667204514</v>
      </c>
      <c r="K398" s="287">
        <v>0.67693174667204514</v>
      </c>
      <c r="L398" s="287">
        <v>0.67693174667204514</v>
      </c>
      <c r="M398" s="287">
        <v>0.67693174667204514</v>
      </c>
      <c r="N398" s="287">
        <v>0.67693174667204514</v>
      </c>
      <c r="O398" s="276"/>
      <c r="P398" s="276"/>
      <c r="Q398" s="247">
        <f t="shared" si="12"/>
        <v>0</v>
      </c>
      <c r="R398" s="229"/>
      <c r="S398" s="229"/>
      <c r="T398" s="229"/>
      <c r="U398" s="229"/>
      <c r="V398" s="229"/>
      <c r="W398" s="229"/>
      <c r="X398" s="229"/>
    </row>
    <row r="399" spans="1:24" ht="15.75" hidden="1">
      <c r="A399" s="343" t="s">
        <v>349</v>
      </c>
      <c r="B399" s="344"/>
      <c r="C399" s="287">
        <v>0</v>
      </c>
      <c r="D399" s="287">
        <v>0</v>
      </c>
      <c r="E399" s="287">
        <v>0</v>
      </c>
      <c r="F399" s="287">
        <v>0</v>
      </c>
      <c r="G399" s="287">
        <v>0</v>
      </c>
      <c r="H399" s="287">
        <v>1.5240333318278307</v>
      </c>
      <c r="I399" s="287">
        <v>1.3619526421944332</v>
      </c>
      <c r="J399" s="287">
        <v>1.27575310787833</v>
      </c>
      <c r="K399" s="287">
        <v>1.3823052610030706</v>
      </c>
      <c r="L399" s="287">
        <v>1.2805920303605312</v>
      </c>
      <c r="M399" s="287">
        <v>1.3097189877348236</v>
      </c>
      <c r="N399" s="287">
        <v>1.7001007658202338</v>
      </c>
      <c r="O399" s="276"/>
      <c r="P399" s="276"/>
      <c r="Q399" s="247">
        <f t="shared" si="12"/>
        <v>0</v>
      </c>
      <c r="R399" s="229"/>
      <c r="S399" s="229"/>
      <c r="T399" s="229"/>
      <c r="U399" s="229"/>
      <c r="V399" s="229"/>
      <c r="W399" s="229"/>
      <c r="X399" s="229"/>
    </row>
    <row r="400" spans="1:24" ht="15.75" hidden="1">
      <c r="A400" s="343" t="s">
        <v>351</v>
      </c>
      <c r="B400" s="344"/>
      <c r="C400" s="287">
        <v>8.2414466587297461</v>
      </c>
      <c r="D400" s="287">
        <v>7.5855902944279272</v>
      </c>
      <c r="E400" s="287">
        <v>5.8841480501284344</v>
      </c>
      <c r="F400" s="287">
        <v>6.6609873208792862</v>
      </c>
      <c r="G400" s="287">
        <v>8.5125315955766201</v>
      </c>
      <c r="H400" s="287">
        <v>11.289728106228264</v>
      </c>
      <c r="I400" s="287">
        <v>13.074511254538121</v>
      </c>
      <c r="J400" s="287">
        <v>13.376474550259527</v>
      </c>
      <c r="K400" s="287">
        <v>13.696722783450106</v>
      </c>
      <c r="L400" s="287">
        <v>13.055187571478642</v>
      </c>
      <c r="M400" s="287">
        <v>12.738170617771924</v>
      </c>
      <c r="N400" s="287">
        <v>12.954708771564107</v>
      </c>
      <c r="O400" s="276"/>
      <c r="P400" s="276"/>
      <c r="Q400" s="247">
        <f t="shared" si="12"/>
        <v>0</v>
      </c>
      <c r="R400" s="229"/>
      <c r="S400" s="229"/>
      <c r="T400" s="229"/>
      <c r="U400" s="229"/>
      <c r="V400" s="229"/>
      <c r="W400" s="229"/>
      <c r="X400" s="229"/>
    </row>
    <row r="401" spans="1:24" ht="15.75" hidden="1">
      <c r="A401" s="343"/>
      <c r="B401" s="344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6"/>
      <c r="P401" s="276"/>
      <c r="Q401" s="247">
        <f t="shared" si="12"/>
        <v>0</v>
      </c>
      <c r="R401" s="229"/>
      <c r="S401" s="229"/>
      <c r="T401" s="229"/>
      <c r="U401" s="229"/>
      <c r="V401" s="229"/>
      <c r="W401" s="229"/>
      <c r="X401" s="229"/>
    </row>
    <row r="402" spans="1:24" ht="15.75" hidden="1">
      <c r="A402" s="343"/>
      <c r="B402" s="344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6"/>
      <c r="P402" s="276"/>
      <c r="Q402" s="247">
        <f t="shared" si="12"/>
        <v>0</v>
      </c>
      <c r="R402" s="229"/>
      <c r="S402" s="229"/>
      <c r="T402" s="229"/>
      <c r="U402" s="229"/>
      <c r="V402" s="229"/>
      <c r="W402" s="229"/>
      <c r="X402" s="229"/>
    </row>
    <row r="403" spans="1:24" ht="15.75" hidden="1">
      <c r="A403" s="343"/>
      <c r="B403" s="344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6"/>
      <c r="P403" s="276"/>
      <c r="Q403" s="247">
        <f t="shared" si="12"/>
        <v>0</v>
      </c>
      <c r="R403" s="229"/>
      <c r="S403" s="229"/>
      <c r="T403" s="229"/>
      <c r="U403" s="229"/>
      <c r="V403" s="229"/>
      <c r="W403" s="229"/>
      <c r="X403" s="229"/>
    </row>
    <row r="404" spans="1:24" ht="15.75" hidden="1">
      <c r="A404" s="343"/>
      <c r="B404" s="344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6"/>
      <c r="P404" s="276"/>
      <c r="Q404" s="247">
        <f t="shared" si="12"/>
        <v>0</v>
      </c>
      <c r="R404" s="229"/>
      <c r="S404" s="229"/>
      <c r="T404" s="229"/>
      <c r="U404" s="229"/>
      <c r="V404" s="229"/>
      <c r="W404" s="229"/>
      <c r="X404" s="229"/>
    </row>
    <row r="405" spans="1:24" ht="15.75" hidden="1">
      <c r="A405" s="343"/>
      <c r="B405" s="344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6"/>
      <c r="P405" s="276"/>
      <c r="Q405" s="247">
        <f t="shared" si="12"/>
        <v>0</v>
      </c>
      <c r="R405" s="229"/>
      <c r="S405" s="229"/>
      <c r="T405" s="229"/>
      <c r="U405" s="229"/>
      <c r="V405" s="229"/>
      <c r="W405" s="229"/>
      <c r="X405" s="229"/>
    </row>
    <row r="406" spans="1:24" ht="15.75" hidden="1">
      <c r="A406" s="343"/>
      <c r="B406" s="344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6"/>
      <c r="P406" s="276"/>
      <c r="Q406" s="247">
        <f t="shared" si="12"/>
        <v>0</v>
      </c>
      <c r="R406" s="229"/>
      <c r="S406" s="229"/>
      <c r="T406" s="229"/>
      <c r="U406" s="229"/>
      <c r="V406" s="229"/>
      <c r="W406" s="229"/>
      <c r="X406" s="229"/>
    </row>
    <row r="407" spans="1:24" ht="15.75" hidden="1">
      <c r="A407" s="343"/>
      <c r="B407" s="344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6"/>
      <c r="P407" s="276"/>
      <c r="Q407" s="247">
        <f t="shared" si="12"/>
        <v>0</v>
      </c>
      <c r="R407" s="229"/>
      <c r="S407" s="229"/>
      <c r="T407" s="229"/>
      <c r="U407" s="229"/>
      <c r="V407" s="229"/>
      <c r="W407" s="229"/>
      <c r="X407" s="229"/>
    </row>
    <row r="408" spans="1:24" ht="15.75" hidden="1">
      <c r="A408" s="343"/>
      <c r="B408" s="344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6"/>
      <c r="P408" s="276"/>
      <c r="Q408" s="247">
        <f t="shared" si="12"/>
        <v>0</v>
      </c>
      <c r="R408" s="229"/>
      <c r="S408" s="229"/>
      <c r="T408" s="229"/>
      <c r="U408" s="229"/>
      <c r="V408" s="229"/>
      <c r="W408" s="229"/>
      <c r="X408" s="229"/>
    </row>
    <row r="409" spans="1:24" ht="15.75" hidden="1">
      <c r="A409" s="343"/>
      <c r="B409" s="344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6"/>
      <c r="P409" s="276"/>
      <c r="Q409" s="247">
        <f t="shared" si="12"/>
        <v>0</v>
      </c>
      <c r="R409" s="229"/>
      <c r="S409" s="229"/>
      <c r="T409" s="229"/>
      <c r="U409" s="229"/>
      <c r="V409" s="229"/>
      <c r="W409" s="229"/>
      <c r="X409" s="229"/>
    </row>
    <row r="410" spans="1:24" ht="15.75" hidden="1">
      <c r="A410" s="343"/>
      <c r="B410" s="344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6"/>
      <c r="P410" s="276"/>
      <c r="Q410" s="247">
        <f t="shared" si="12"/>
        <v>0</v>
      </c>
      <c r="R410" s="229"/>
      <c r="S410" s="229"/>
      <c r="T410" s="229"/>
      <c r="U410" s="229"/>
      <c r="V410" s="229"/>
      <c r="W410" s="229"/>
      <c r="X410" s="229"/>
    </row>
    <row r="411" spans="1:24" ht="15.75" hidden="1">
      <c r="A411" s="343"/>
      <c r="B411" s="344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6"/>
      <c r="P411" s="276"/>
      <c r="Q411" s="247">
        <f t="shared" si="12"/>
        <v>0</v>
      </c>
      <c r="R411" s="229"/>
      <c r="S411" s="229"/>
      <c r="T411" s="229"/>
      <c r="U411" s="229"/>
      <c r="V411" s="229"/>
      <c r="W411" s="229"/>
      <c r="X411" s="229"/>
    </row>
    <row r="412" spans="1:24" ht="15.75" hidden="1">
      <c r="A412" s="343"/>
      <c r="B412" s="344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6"/>
      <c r="P412" s="276"/>
      <c r="Q412" s="247">
        <f t="shared" si="12"/>
        <v>0</v>
      </c>
      <c r="R412" s="229"/>
      <c r="S412" s="229"/>
      <c r="T412" s="229"/>
      <c r="U412" s="229"/>
      <c r="V412" s="229"/>
      <c r="W412" s="229"/>
      <c r="X412" s="229"/>
    </row>
    <row r="413" spans="1:24" ht="15.75" hidden="1">
      <c r="A413" s="343"/>
      <c r="B413" s="344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6"/>
      <c r="P413" s="276"/>
      <c r="Q413" s="247">
        <f t="shared" si="12"/>
        <v>0</v>
      </c>
      <c r="R413" s="229"/>
      <c r="S413" s="229"/>
      <c r="T413" s="229"/>
      <c r="U413" s="229"/>
      <c r="V413" s="229"/>
      <c r="W413" s="229"/>
      <c r="X413" s="229"/>
    </row>
    <row r="414" spans="1:24" ht="15.75" hidden="1">
      <c r="A414" s="343"/>
      <c r="B414" s="344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6"/>
      <c r="P414" s="276"/>
      <c r="Q414" s="247">
        <f t="shared" si="12"/>
        <v>0</v>
      </c>
      <c r="R414" s="229"/>
      <c r="S414" s="229"/>
      <c r="T414" s="229"/>
      <c r="U414" s="229"/>
      <c r="V414" s="229"/>
      <c r="W414" s="229"/>
      <c r="X414" s="229"/>
    </row>
    <row r="415" spans="1:24" ht="15.75" hidden="1">
      <c r="A415" s="343"/>
      <c r="B415" s="344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6"/>
      <c r="P415" s="276"/>
      <c r="Q415" s="247">
        <f t="shared" si="12"/>
        <v>0</v>
      </c>
      <c r="R415" s="229"/>
      <c r="S415" s="229"/>
      <c r="T415" s="229"/>
      <c r="U415" s="229"/>
      <c r="V415" s="229"/>
      <c r="W415" s="229"/>
      <c r="X415" s="229"/>
    </row>
    <row r="416" spans="1:24" ht="15.75" hidden="1">
      <c r="A416" s="343"/>
      <c r="B416" s="344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6"/>
      <c r="P416" s="276"/>
      <c r="Q416" s="247">
        <f t="shared" si="12"/>
        <v>0</v>
      </c>
      <c r="R416" s="229"/>
      <c r="S416" s="229"/>
      <c r="T416" s="229"/>
      <c r="U416" s="229"/>
      <c r="V416" s="229"/>
      <c r="W416" s="229"/>
      <c r="X416" s="229"/>
    </row>
    <row r="417" spans="1:24" ht="15.75" hidden="1">
      <c r="A417" s="343"/>
      <c r="B417" s="344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6"/>
      <c r="P417" s="276"/>
      <c r="Q417" s="247">
        <f t="shared" si="12"/>
        <v>0</v>
      </c>
      <c r="R417" s="229"/>
      <c r="S417" s="229"/>
      <c r="T417" s="229"/>
      <c r="U417" s="229"/>
      <c r="V417" s="229"/>
      <c r="W417" s="229"/>
      <c r="X417" s="229"/>
    </row>
    <row r="418" spans="1:24" ht="15.75" hidden="1">
      <c r="A418" s="343"/>
      <c r="B418" s="344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6"/>
      <c r="P418" s="276"/>
      <c r="Q418" s="247">
        <f t="shared" si="12"/>
        <v>0</v>
      </c>
      <c r="R418" s="229"/>
      <c r="S418" s="229"/>
      <c r="T418" s="229"/>
      <c r="U418" s="229"/>
      <c r="V418" s="229"/>
      <c r="W418" s="229"/>
      <c r="X418" s="229"/>
    </row>
    <row r="419" spans="1:24" ht="15.75" hidden="1">
      <c r="A419" s="343"/>
      <c r="B419" s="344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6"/>
      <c r="P419" s="276"/>
      <c r="Q419" s="247">
        <f t="shared" si="12"/>
        <v>0</v>
      </c>
      <c r="R419" s="229"/>
      <c r="S419" s="229"/>
      <c r="T419" s="229"/>
      <c r="U419" s="229"/>
      <c r="V419" s="229"/>
      <c r="W419" s="229"/>
      <c r="X419" s="229"/>
    </row>
    <row r="420" spans="1:24" ht="15.75" hidden="1">
      <c r="A420" s="343"/>
      <c r="B420" s="344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6"/>
      <c r="P420" s="276"/>
      <c r="Q420" s="247">
        <f t="shared" si="12"/>
        <v>0</v>
      </c>
      <c r="R420" s="229"/>
      <c r="S420" s="229"/>
      <c r="T420" s="229"/>
      <c r="U420" s="229"/>
      <c r="V420" s="229"/>
      <c r="W420" s="229"/>
      <c r="X420" s="229"/>
    </row>
    <row r="421" spans="1:24" ht="15.75" hidden="1">
      <c r="A421" s="343"/>
      <c r="B421" s="344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6"/>
      <c r="P421" s="276"/>
      <c r="Q421" s="247">
        <f t="shared" si="12"/>
        <v>0</v>
      </c>
      <c r="R421" s="229"/>
      <c r="S421" s="229"/>
      <c r="T421" s="229"/>
      <c r="U421" s="229"/>
      <c r="V421" s="229"/>
      <c r="W421" s="229"/>
      <c r="X421" s="229"/>
    </row>
    <row r="422" spans="1:24" ht="15.75" hidden="1">
      <c r="A422" s="343"/>
      <c r="B422" s="344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6"/>
      <c r="P422" s="276"/>
      <c r="Q422" s="247">
        <f t="shared" si="12"/>
        <v>0</v>
      </c>
      <c r="R422" s="229"/>
      <c r="S422" s="229"/>
      <c r="T422" s="229"/>
      <c r="U422" s="229"/>
      <c r="V422" s="229"/>
      <c r="W422" s="229"/>
      <c r="X422" s="229"/>
    </row>
    <row r="423" spans="1:24" ht="15.75" hidden="1">
      <c r="A423" s="343"/>
      <c r="B423" s="344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6"/>
      <c r="P423" s="276"/>
      <c r="Q423" s="247">
        <f t="shared" si="12"/>
        <v>0</v>
      </c>
      <c r="R423" s="229"/>
      <c r="S423" s="229"/>
      <c r="T423" s="229"/>
      <c r="U423" s="229"/>
      <c r="V423" s="229"/>
      <c r="W423" s="229"/>
      <c r="X423" s="229"/>
    </row>
    <row r="424" spans="1:24" ht="15.75" hidden="1">
      <c r="A424" s="343"/>
      <c r="B424" s="344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6"/>
      <c r="P424" s="276"/>
      <c r="Q424" s="247">
        <f t="shared" si="12"/>
        <v>0</v>
      </c>
      <c r="R424" s="229"/>
      <c r="S424" s="229"/>
      <c r="T424" s="229"/>
      <c r="U424" s="229"/>
      <c r="V424" s="229"/>
      <c r="W424" s="229"/>
      <c r="X424" s="229"/>
    </row>
    <row r="425" spans="1:24" ht="15.75" hidden="1">
      <c r="A425" s="343"/>
      <c r="B425" s="344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6"/>
      <c r="P425" s="276"/>
      <c r="Q425" s="247">
        <f t="shared" si="12"/>
        <v>0</v>
      </c>
      <c r="R425" s="229"/>
      <c r="S425" s="229"/>
      <c r="T425" s="229"/>
      <c r="U425" s="229"/>
      <c r="V425" s="229"/>
      <c r="W425" s="229"/>
      <c r="X425" s="229"/>
    </row>
    <row r="426" spans="1:24" ht="15.75" hidden="1">
      <c r="A426" s="343"/>
      <c r="B426" s="344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6"/>
      <c r="P426" s="276"/>
      <c r="Q426" s="247">
        <f t="shared" si="12"/>
        <v>0</v>
      </c>
      <c r="R426" s="229"/>
      <c r="S426" s="229"/>
      <c r="T426" s="229"/>
      <c r="U426" s="229"/>
      <c r="V426" s="229"/>
      <c r="W426" s="229"/>
      <c r="X426" s="229"/>
    </row>
    <row r="427" spans="1:24" ht="15.75" hidden="1">
      <c r="A427" s="343"/>
      <c r="B427" s="344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6"/>
      <c r="P427" s="276"/>
      <c r="Q427" s="247">
        <f t="shared" si="12"/>
        <v>0</v>
      </c>
      <c r="R427" s="229"/>
      <c r="S427" s="229"/>
      <c r="T427" s="229"/>
      <c r="U427" s="229"/>
      <c r="V427" s="229"/>
      <c r="W427" s="229"/>
      <c r="X427" s="229"/>
    </row>
    <row r="428" spans="1:24" ht="15.75" hidden="1">
      <c r="A428" s="343"/>
      <c r="B428" s="344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6"/>
      <c r="P428" s="276"/>
      <c r="Q428" s="247">
        <f t="shared" si="12"/>
        <v>0</v>
      </c>
      <c r="R428" s="229"/>
      <c r="S428" s="229"/>
      <c r="T428" s="229"/>
      <c r="U428" s="229"/>
      <c r="V428" s="229"/>
      <c r="W428" s="229"/>
      <c r="X428" s="229"/>
    </row>
    <row r="429" spans="1:24" ht="15.75" hidden="1">
      <c r="A429" s="343"/>
      <c r="B429" s="344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6"/>
      <c r="P429" s="276"/>
      <c r="Q429" s="247">
        <f t="shared" si="12"/>
        <v>0</v>
      </c>
      <c r="R429" s="229"/>
      <c r="S429" s="229"/>
      <c r="T429" s="229"/>
      <c r="U429" s="229"/>
      <c r="V429" s="229"/>
      <c r="W429" s="229"/>
      <c r="X429" s="229"/>
    </row>
    <row r="430" spans="1:24" ht="15.75" hidden="1">
      <c r="A430" s="343"/>
      <c r="B430" s="344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6"/>
      <c r="P430" s="276"/>
      <c r="Q430" s="247">
        <f t="shared" si="12"/>
        <v>0</v>
      </c>
      <c r="R430" s="229"/>
      <c r="S430" s="229"/>
      <c r="T430" s="229"/>
      <c r="U430" s="229"/>
      <c r="V430" s="229"/>
      <c r="W430" s="229"/>
      <c r="X430" s="229"/>
    </row>
    <row r="431" spans="1:24" ht="15.75" hidden="1">
      <c r="A431" s="343"/>
      <c r="B431" s="344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6"/>
      <c r="P431" s="276"/>
      <c r="Q431" s="247">
        <f t="shared" si="12"/>
        <v>0</v>
      </c>
      <c r="R431" s="229"/>
      <c r="S431" s="229"/>
      <c r="T431" s="229"/>
      <c r="U431" s="229"/>
      <c r="V431" s="229"/>
      <c r="W431" s="229"/>
      <c r="X431" s="229"/>
    </row>
    <row r="432" spans="1:24" ht="15.75" hidden="1">
      <c r="A432" s="343"/>
      <c r="B432" s="344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6"/>
      <c r="P432" s="276"/>
      <c r="Q432" s="247">
        <f t="shared" si="12"/>
        <v>0</v>
      </c>
      <c r="R432" s="229"/>
      <c r="S432" s="229"/>
      <c r="T432" s="229"/>
      <c r="U432" s="229"/>
      <c r="V432" s="229"/>
      <c r="W432" s="229"/>
      <c r="X432" s="229"/>
    </row>
    <row r="433" spans="1:24" ht="15.75" hidden="1">
      <c r="A433" s="343"/>
      <c r="B433" s="344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6"/>
      <c r="P433" s="276"/>
      <c r="Q433" s="247">
        <f t="shared" si="12"/>
        <v>0</v>
      </c>
      <c r="R433" s="229"/>
      <c r="S433" s="229"/>
      <c r="T433" s="229"/>
      <c r="U433" s="229"/>
      <c r="V433" s="229"/>
      <c r="W433" s="229"/>
      <c r="X433" s="229"/>
    </row>
    <row r="434" spans="1:24" ht="15.75" hidden="1">
      <c r="A434" s="343"/>
      <c r="B434" s="344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6"/>
      <c r="P434" s="276"/>
      <c r="Q434" s="247">
        <f t="shared" si="12"/>
        <v>0</v>
      </c>
      <c r="R434" s="229"/>
      <c r="S434" s="229"/>
      <c r="T434" s="229"/>
      <c r="U434" s="229"/>
      <c r="V434" s="229"/>
      <c r="W434" s="229"/>
      <c r="X434" s="229"/>
    </row>
    <row r="435" spans="1:24" ht="15.75" hidden="1">
      <c r="A435" s="343"/>
      <c r="B435" s="344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6"/>
      <c r="P435" s="276"/>
      <c r="Q435" s="247">
        <f t="shared" si="12"/>
        <v>0</v>
      </c>
      <c r="R435" s="229"/>
      <c r="S435" s="229"/>
      <c r="T435" s="229"/>
      <c r="U435" s="229"/>
      <c r="V435" s="229"/>
      <c r="W435" s="229"/>
      <c r="X435" s="229"/>
    </row>
    <row r="436" spans="1:24" ht="15.75" hidden="1">
      <c r="A436" s="343"/>
      <c r="B436" s="344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6"/>
      <c r="P436" s="276"/>
      <c r="Q436" s="247">
        <f t="shared" si="12"/>
        <v>0</v>
      </c>
      <c r="R436" s="229"/>
      <c r="S436" s="229"/>
      <c r="T436" s="229"/>
      <c r="U436" s="229"/>
      <c r="V436" s="229"/>
      <c r="W436" s="229"/>
      <c r="X436" s="229"/>
    </row>
    <row r="437" spans="1:24" ht="15.75" hidden="1">
      <c r="A437" s="343"/>
      <c r="B437" s="344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6"/>
      <c r="P437" s="276"/>
      <c r="Q437" s="247">
        <f t="shared" si="12"/>
        <v>0</v>
      </c>
      <c r="R437" s="229"/>
      <c r="S437" s="229"/>
      <c r="T437" s="229"/>
      <c r="U437" s="229"/>
      <c r="V437" s="229"/>
      <c r="W437" s="229"/>
      <c r="X437" s="229"/>
    </row>
    <row r="438" spans="1:24" ht="15.75" hidden="1">
      <c r="A438" s="343"/>
      <c r="B438" s="344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6"/>
      <c r="P438" s="276"/>
      <c r="Q438" s="247">
        <f t="shared" si="12"/>
        <v>0</v>
      </c>
      <c r="R438" s="229"/>
      <c r="S438" s="229"/>
      <c r="T438" s="229"/>
      <c r="U438" s="229"/>
      <c r="V438" s="229"/>
      <c r="W438" s="229"/>
      <c r="X438" s="229"/>
    </row>
    <row r="439" spans="1:24" ht="15.75" hidden="1">
      <c r="A439" s="343"/>
      <c r="B439" s="344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6"/>
      <c r="P439" s="276"/>
      <c r="Q439" s="247">
        <f t="shared" si="12"/>
        <v>0</v>
      </c>
      <c r="R439" s="229"/>
      <c r="S439" s="229"/>
      <c r="T439" s="229"/>
      <c r="U439" s="229"/>
      <c r="V439" s="229"/>
      <c r="W439" s="229"/>
      <c r="X439" s="229"/>
    </row>
    <row r="440" spans="1:24" ht="15.75" hidden="1">
      <c r="A440" s="343"/>
      <c r="B440" s="344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6"/>
      <c r="P440" s="276"/>
      <c r="Q440" s="247">
        <f t="shared" si="12"/>
        <v>0</v>
      </c>
      <c r="R440" s="229"/>
      <c r="S440" s="229"/>
      <c r="T440" s="229"/>
      <c r="U440" s="229"/>
      <c r="V440" s="229"/>
      <c r="W440" s="229"/>
      <c r="X440" s="229"/>
    </row>
    <row r="441" spans="1:24" ht="15.75" hidden="1">
      <c r="A441" s="343"/>
      <c r="B441" s="344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6"/>
      <c r="P441" s="276"/>
      <c r="Q441" s="247">
        <f t="shared" si="12"/>
        <v>0</v>
      </c>
      <c r="R441" s="229"/>
      <c r="S441" s="229"/>
      <c r="T441" s="229"/>
      <c r="U441" s="229"/>
      <c r="V441" s="229"/>
      <c r="W441" s="229"/>
      <c r="X441" s="229"/>
    </row>
    <row r="442" spans="1:24" ht="15.75" hidden="1">
      <c r="A442" s="343"/>
      <c r="B442" s="344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6"/>
      <c r="P442" s="276"/>
      <c r="Q442" s="247">
        <f t="shared" si="12"/>
        <v>0</v>
      </c>
      <c r="R442" s="229"/>
      <c r="S442" s="229"/>
      <c r="T442" s="229"/>
      <c r="U442" s="229"/>
      <c r="V442" s="229"/>
      <c r="W442" s="229"/>
      <c r="X442" s="229"/>
    </row>
    <row r="443" spans="1:24" ht="15.75" hidden="1">
      <c r="A443" s="343"/>
      <c r="B443" s="344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6"/>
      <c r="P443" s="276"/>
      <c r="Q443" s="247">
        <f t="shared" si="12"/>
        <v>0</v>
      </c>
      <c r="R443" s="229"/>
      <c r="S443" s="229"/>
      <c r="T443" s="229"/>
      <c r="U443" s="229"/>
      <c r="V443" s="229"/>
      <c r="W443" s="229"/>
      <c r="X443" s="229"/>
    </row>
    <row r="444" spans="1:24" ht="15.75" hidden="1">
      <c r="A444" s="343"/>
      <c r="B444" s="344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6"/>
      <c r="P444" s="276"/>
      <c r="Q444" s="247">
        <f t="shared" si="12"/>
        <v>0</v>
      </c>
      <c r="R444" s="229"/>
      <c r="S444" s="229"/>
      <c r="T444" s="229"/>
      <c r="U444" s="229"/>
      <c r="V444" s="229"/>
      <c r="W444" s="229"/>
      <c r="X444" s="229"/>
    </row>
    <row r="445" spans="1:24" ht="15.75" hidden="1">
      <c r="A445" s="343"/>
      <c r="B445" s="344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6"/>
      <c r="P445" s="276"/>
      <c r="Q445" s="247">
        <f t="shared" si="12"/>
        <v>0</v>
      </c>
      <c r="R445" s="229"/>
      <c r="S445" s="229"/>
      <c r="T445" s="229"/>
      <c r="U445" s="229"/>
      <c r="V445" s="229"/>
      <c r="W445" s="229"/>
      <c r="X445" s="229"/>
    </row>
    <row r="446" spans="1:24" ht="15.75" hidden="1">
      <c r="A446" s="343"/>
      <c r="B446" s="344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6"/>
      <c r="P446" s="276"/>
      <c r="Q446" s="247">
        <f t="shared" si="12"/>
        <v>0</v>
      </c>
      <c r="R446" s="229"/>
      <c r="S446" s="229"/>
      <c r="T446" s="229"/>
      <c r="U446" s="229"/>
      <c r="V446" s="229"/>
      <c r="W446" s="229"/>
      <c r="X446" s="229"/>
    </row>
    <row r="447" spans="1:24" ht="15.75" hidden="1">
      <c r="A447" s="343"/>
      <c r="B447" s="344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6"/>
      <c r="P447" s="276"/>
      <c r="Q447" s="247">
        <f t="shared" si="12"/>
        <v>0</v>
      </c>
      <c r="R447" s="229"/>
      <c r="S447" s="229"/>
      <c r="T447" s="229"/>
      <c r="U447" s="229"/>
      <c r="V447" s="229"/>
      <c r="W447" s="229"/>
      <c r="X447" s="229"/>
    </row>
    <row r="448" spans="1:24" ht="15.75" hidden="1">
      <c r="A448" s="343"/>
      <c r="B448" s="344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6"/>
      <c r="P448" s="276"/>
      <c r="Q448" s="247">
        <f t="shared" si="12"/>
        <v>0</v>
      </c>
      <c r="R448" s="229"/>
      <c r="S448" s="229"/>
      <c r="T448" s="229"/>
      <c r="U448" s="229"/>
      <c r="V448" s="229"/>
      <c r="W448" s="229"/>
      <c r="X448" s="229"/>
    </row>
    <row r="449" spans="1:24" ht="15.75" hidden="1">
      <c r="A449" s="343"/>
      <c r="B449" s="344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6"/>
      <c r="P449" s="276"/>
      <c r="Q449" s="247">
        <f t="shared" si="12"/>
        <v>0</v>
      </c>
      <c r="R449" s="229"/>
      <c r="S449" s="229"/>
      <c r="T449" s="229"/>
      <c r="U449" s="229"/>
      <c r="V449" s="229"/>
      <c r="W449" s="229"/>
      <c r="X449" s="229"/>
    </row>
    <row r="450" spans="1:24" ht="15.75" hidden="1">
      <c r="A450" s="343"/>
      <c r="B450" s="344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6"/>
      <c r="P450" s="276"/>
      <c r="Q450" s="247">
        <f t="shared" si="12"/>
        <v>0</v>
      </c>
      <c r="R450" s="229"/>
      <c r="S450" s="229"/>
      <c r="T450" s="229"/>
      <c r="U450" s="229"/>
      <c r="V450" s="229"/>
      <c r="W450" s="229"/>
      <c r="X450" s="229"/>
    </row>
    <row r="451" spans="1:24" ht="15.75" hidden="1">
      <c r="A451" s="343"/>
      <c r="B451" s="344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6"/>
      <c r="P451" s="276"/>
      <c r="Q451" s="247">
        <f t="shared" si="12"/>
        <v>0</v>
      </c>
      <c r="R451" s="229"/>
      <c r="S451" s="229"/>
      <c r="T451" s="229"/>
      <c r="U451" s="229"/>
      <c r="V451" s="229"/>
      <c r="W451" s="229"/>
      <c r="X451" s="229"/>
    </row>
    <row r="452" spans="1:24" ht="15.75" hidden="1">
      <c r="A452" s="343"/>
      <c r="B452" s="344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6"/>
      <c r="P452" s="276"/>
      <c r="Q452" s="247">
        <f t="shared" si="12"/>
        <v>0</v>
      </c>
      <c r="R452" s="229"/>
      <c r="S452" s="229"/>
      <c r="T452" s="229"/>
      <c r="U452" s="229"/>
      <c r="V452" s="229"/>
      <c r="W452" s="229"/>
      <c r="X452" s="229"/>
    </row>
    <row r="453" spans="1:24" ht="15.75" hidden="1">
      <c r="A453" s="343"/>
      <c r="B453" s="344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6"/>
      <c r="P453" s="276"/>
      <c r="Q453" s="247">
        <f t="shared" si="12"/>
        <v>0</v>
      </c>
      <c r="R453" s="229"/>
      <c r="S453" s="229"/>
      <c r="T453" s="229"/>
      <c r="U453" s="229"/>
      <c r="V453" s="229"/>
      <c r="W453" s="229"/>
      <c r="X453" s="229"/>
    </row>
    <row r="454" spans="1:24" ht="15.75" hidden="1">
      <c r="A454" s="343"/>
      <c r="B454" s="344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6"/>
      <c r="P454" s="276"/>
      <c r="Q454" s="247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9"/>
      <c r="S454" s="229"/>
      <c r="T454" s="229"/>
      <c r="U454" s="229"/>
      <c r="V454" s="229"/>
      <c r="W454" s="229"/>
      <c r="X454" s="229"/>
    </row>
    <row r="455" spans="1:24" ht="15.75" hidden="1">
      <c r="A455" s="343"/>
      <c r="B455" s="344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6"/>
      <c r="P455" s="276"/>
      <c r="Q455" s="247">
        <f t="shared" si="13"/>
        <v>0</v>
      </c>
      <c r="R455" s="229"/>
      <c r="S455" s="229"/>
      <c r="T455" s="229"/>
      <c r="U455" s="229"/>
      <c r="V455" s="229"/>
      <c r="W455" s="229"/>
      <c r="X455" s="229"/>
    </row>
    <row r="456" spans="1:24" ht="15.75" hidden="1">
      <c r="A456" s="343"/>
      <c r="B456" s="344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6"/>
      <c r="P456" s="276"/>
      <c r="Q456" s="247">
        <f t="shared" si="13"/>
        <v>0</v>
      </c>
      <c r="R456" s="229"/>
      <c r="S456" s="229"/>
      <c r="T456" s="229"/>
      <c r="U456" s="229"/>
      <c r="V456" s="229"/>
      <c r="W456" s="229"/>
      <c r="X456" s="229"/>
    </row>
    <row r="457" spans="1:24" ht="15.75" hidden="1">
      <c r="A457" s="343"/>
      <c r="B457" s="344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6"/>
      <c r="P457" s="276"/>
      <c r="Q457" s="247">
        <f t="shared" si="13"/>
        <v>0</v>
      </c>
      <c r="R457" s="229"/>
      <c r="S457" s="229"/>
      <c r="T457" s="229"/>
      <c r="U457" s="229"/>
      <c r="V457" s="229"/>
      <c r="W457" s="229"/>
      <c r="X457" s="229"/>
    </row>
    <row r="458" spans="1:24" ht="15.75" hidden="1">
      <c r="A458" s="343"/>
      <c r="B458" s="344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6"/>
      <c r="P458" s="276"/>
      <c r="Q458" s="247">
        <f t="shared" si="13"/>
        <v>0</v>
      </c>
      <c r="R458" s="229"/>
      <c r="S458" s="229"/>
      <c r="T458" s="229"/>
      <c r="U458" s="229"/>
      <c r="V458" s="229"/>
      <c r="W458" s="229"/>
      <c r="X458" s="229"/>
    </row>
    <row r="459" spans="1:24" ht="15.75" hidden="1">
      <c r="A459" s="343"/>
      <c r="B459" s="344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6"/>
      <c r="P459" s="276"/>
      <c r="Q459" s="247">
        <f t="shared" si="13"/>
        <v>0</v>
      </c>
      <c r="R459" s="229"/>
      <c r="S459" s="229"/>
      <c r="T459" s="229"/>
      <c r="U459" s="229"/>
      <c r="V459" s="229"/>
      <c r="W459" s="229"/>
      <c r="X459" s="229"/>
    </row>
    <row r="460" spans="1:24" ht="15.75" hidden="1">
      <c r="A460" s="343"/>
      <c r="B460" s="344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6"/>
      <c r="P460" s="276"/>
      <c r="Q460" s="247">
        <f t="shared" si="13"/>
        <v>0</v>
      </c>
      <c r="R460" s="229"/>
      <c r="S460" s="229"/>
      <c r="T460" s="229"/>
      <c r="U460" s="229"/>
      <c r="V460" s="229"/>
      <c r="W460" s="229"/>
      <c r="X460" s="229"/>
    </row>
    <row r="461" spans="1:24" ht="15.75" hidden="1">
      <c r="A461" s="343"/>
      <c r="B461" s="344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6"/>
      <c r="P461" s="276"/>
      <c r="Q461" s="247">
        <f t="shared" si="13"/>
        <v>0</v>
      </c>
      <c r="R461" s="229"/>
      <c r="S461" s="229"/>
      <c r="T461" s="229"/>
      <c r="U461" s="229"/>
      <c r="V461" s="229"/>
      <c r="W461" s="229"/>
      <c r="X461" s="229"/>
    </row>
    <row r="462" spans="1:24" ht="15.75" hidden="1">
      <c r="A462" s="343"/>
      <c r="B462" s="344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6"/>
      <c r="P462" s="276"/>
      <c r="Q462" s="247">
        <f t="shared" si="13"/>
        <v>0</v>
      </c>
      <c r="R462" s="229"/>
      <c r="S462" s="229"/>
      <c r="T462" s="229"/>
      <c r="U462" s="229"/>
      <c r="V462" s="229"/>
      <c r="W462" s="229"/>
      <c r="X462" s="229"/>
    </row>
    <row r="463" spans="1:24" ht="15.75" hidden="1">
      <c r="A463" s="343"/>
      <c r="B463" s="344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6"/>
      <c r="P463" s="276"/>
      <c r="Q463" s="247">
        <f t="shared" si="13"/>
        <v>0</v>
      </c>
      <c r="R463" s="229"/>
      <c r="S463" s="229"/>
      <c r="T463" s="229"/>
      <c r="U463" s="229"/>
      <c r="V463" s="229"/>
      <c r="W463" s="229"/>
      <c r="X463" s="229"/>
    </row>
    <row r="464" spans="1:24" ht="15.75" hidden="1">
      <c r="A464" s="343"/>
      <c r="B464" s="344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6"/>
      <c r="P464" s="276"/>
      <c r="Q464" s="247">
        <f t="shared" si="13"/>
        <v>0</v>
      </c>
      <c r="R464" s="229"/>
      <c r="S464" s="229"/>
      <c r="T464" s="229"/>
      <c r="U464" s="229"/>
      <c r="V464" s="229"/>
      <c r="W464" s="229"/>
      <c r="X464" s="229"/>
    </row>
    <row r="465" spans="1:24" ht="15.75" hidden="1">
      <c r="A465" s="343"/>
      <c r="B465" s="344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6"/>
      <c r="P465" s="276"/>
      <c r="Q465" s="247">
        <f t="shared" si="13"/>
        <v>0</v>
      </c>
      <c r="R465" s="229"/>
      <c r="S465" s="229"/>
      <c r="T465" s="229"/>
      <c r="U465" s="229"/>
      <c r="V465" s="229"/>
      <c r="W465" s="229"/>
      <c r="X465" s="229"/>
    </row>
    <row r="466" spans="1:24" ht="15.75" hidden="1">
      <c r="A466" s="343"/>
      <c r="B466" s="344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6"/>
      <c r="P466" s="276"/>
      <c r="Q466" s="247">
        <f t="shared" si="13"/>
        <v>0</v>
      </c>
      <c r="R466" s="229"/>
      <c r="S466" s="229"/>
      <c r="T466" s="229"/>
      <c r="U466" s="229"/>
      <c r="V466" s="229"/>
      <c r="W466" s="229"/>
      <c r="X466" s="229"/>
    </row>
    <row r="467" spans="1:24" ht="15.75" hidden="1">
      <c r="A467" s="343"/>
      <c r="B467" s="344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6"/>
      <c r="P467" s="276"/>
      <c r="Q467" s="247">
        <f t="shared" si="13"/>
        <v>0</v>
      </c>
      <c r="R467" s="229"/>
      <c r="S467" s="229"/>
      <c r="T467" s="229"/>
      <c r="U467" s="229"/>
      <c r="V467" s="229"/>
      <c r="W467" s="229"/>
      <c r="X467" s="229"/>
    </row>
    <row r="468" spans="1:24" ht="15.75" hidden="1">
      <c r="A468" s="343"/>
      <c r="B468" s="344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6"/>
      <c r="P468" s="276"/>
      <c r="Q468" s="247">
        <f t="shared" si="13"/>
        <v>0</v>
      </c>
      <c r="R468" s="229"/>
      <c r="S468" s="229"/>
      <c r="T468" s="229"/>
      <c r="U468" s="229"/>
      <c r="V468" s="229"/>
      <c r="W468" s="229"/>
      <c r="X468" s="229"/>
    </row>
    <row r="469" spans="1:24" ht="15.75" hidden="1">
      <c r="A469" s="343"/>
      <c r="B469" s="344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6"/>
      <c r="P469" s="276"/>
      <c r="Q469" s="247">
        <f t="shared" si="13"/>
        <v>0</v>
      </c>
      <c r="R469" s="229"/>
      <c r="S469" s="229"/>
      <c r="T469" s="229"/>
      <c r="U469" s="229"/>
      <c r="V469" s="229"/>
      <c r="W469" s="229"/>
      <c r="X469" s="229"/>
    </row>
    <row r="470" spans="1:24" ht="15.75" hidden="1">
      <c r="A470" s="343"/>
      <c r="B470" s="344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6"/>
      <c r="P470" s="276"/>
      <c r="Q470" s="247">
        <f t="shared" si="13"/>
        <v>0</v>
      </c>
      <c r="R470" s="229"/>
      <c r="S470" s="229"/>
      <c r="T470" s="229"/>
      <c r="U470" s="229"/>
      <c r="V470" s="229"/>
      <c r="W470" s="229"/>
      <c r="X470" s="229"/>
    </row>
    <row r="471" spans="1:24" ht="15.75" hidden="1">
      <c r="A471" s="343"/>
      <c r="B471" s="344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6"/>
      <c r="P471" s="276"/>
      <c r="Q471" s="247">
        <f t="shared" si="13"/>
        <v>0</v>
      </c>
      <c r="R471" s="229"/>
      <c r="S471" s="229"/>
      <c r="T471" s="229"/>
      <c r="U471" s="229"/>
      <c r="V471" s="229"/>
      <c r="W471" s="229"/>
      <c r="X471" s="229"/>
    </row>
    <row r="472" spans="1:24" ht="15.75" hidden="1">
      <c r="A472" s="343"/>
      <c r="B472" s="344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6"/>
      <c r="P472" s="276"/>
      <c r="Q472" s="247">
        <f t="shared" si="13"/>
        <v>0</v>
      </c>
      <c r="R472" s="229"/>
      <c r="S472" s="229"/>
      <c r="T472" s="229"/>
      <c r="U472" s="229"/>
      <c r="V472" s="229"/>
      <c r="W472" s="229"/>
      <c r="X472" s="229"/>
    </row>
    <row r="473" spans="1:24" ht="15.75" hidden="1">
      <c r="A473" s="343"/>
      <c r="B473" s="344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6"/>
      <c r="P473" s="276"/>
      <c r="Q473" s="247">
        <f t="shared" si="13"/>
        <v>0</v>
      </c>
      <c r="R473" s="229"/>
      <c r="S473" s="229"/>
      <c r="T473" s="229"/>
      <c r="U473" s="229"/>
      <c r="V473" s="229"/>
      <c r="W473" s="229"/>
      <c r="X473" s="229"/>
    </row>
    <row r="474" spans="1:24" ht="15.75" hidden="1">
      <c r="A474" s="343"/>
      <c r="B474" s="344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6"/>
      <c r="P474" s="276"/>
      <c r="Q474" s="247">
        <f t="shared" si="13"/>
        <v>0</v>
      </c>
      <c r="R474" s="229"/>
      <c r="S474" s="229"/>
      <c r="T474" s="229"/>
      <c r="U474" s="229"/>
      <c r="V474" s="229"/>
      <c r="W474" s="229"/>
      <c r="X474" s="229"/>
    </row>
    <row r="475" spans="1:24" ht="15.75" hidden="1">
      <c r="A475" s="343"/>
      <c r="B475" s="344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6"/>
      <c r="P475" s="276"/>
      <c r="Q475" s="247">
        <f t="shared" si="13"/>
        <v>0</v>
      </c>
      <c r="R475" s="229"/>
      <c r="S475" s="229"/>
      <c r="T475" s="229"/>
      <c r="U475" s="229"/>
      <c r="V475" s="229"/>
      <c r="W475" s="229"/>
      <c r="X475" s="229"/>
    </row>
    <row r="476" spans="1:24" ht="15.75" hidden="1">
      <c r="A476" s="343"/>
      <c r="B476" s="344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6"/>
      <c r="P476" s="276"/>
      <c r="Q476" s="247">
        <f t="shared" si="13"/>
        <v>0</v>
      </c>
      <c r="R476" s="229"/>
      <c r="S476" s="229"/>
      <c r="T476" s="229"/>
      <c r="U476" s="229"/>
      <c r="V476" s="229"/>
      <c r="W476" s="229"/>
      <c r="X476" s="229"/>
    </row>
    <row r="477" spans="1:24" ht="15.75" hidden="1">
      <c r="A477" s="343"/>
      <c r="B477" s="344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6"/>
      <c r="P477" s="276"/>
      <c r="Q477" s="247">
        <f t="shared" si="13"/>
        <v>0</v>
      </c>
      <c r="R477" s="229"/>
      <c r="S477" s="229"/>
      <c r="T477" s="229"/>
      <c r="U477" s="229"/>
      <c r="V477" s="229"/>
      <c r="W477" s="229"/>
      <c r="X477" s="229"/>
    </row>
    <row r="478" spans="1:24" ht="15.75" hidden="1">
      <c r="A478" s="343"/>
      <c r="B478" s="344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6"/>
      <c r="P478" s="276"/>
      <c r="Q478" s="247">
        <f t="shared" si="13"/>
        <v>0</v>
      </c>
      <c r="R478" s="229"/>
      <c r="S478" s="229"/>
      <c r="T478" s="229"/>
      <c r="U478" s="229"/>
      <c r="V478" s="229"/>
      <c r="W478" s="229"/>
      <c r="X478" s="229"/>
    </row>
    <row r="479" spans="1:24" ht="15.75" hidden="1">
      <c r="A479" s="343"/>
      <c r="B479" s="344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6"/>
      <c r="P479" s="276"/>
      <c r="Q479" s="247">
        <f t="shared" si="13"/>
        <v>0</v>
      </c>
      <c r="R479" s="229"/>
      <c r="S479" s="229"/>
      <c r="T479" s="229"/>
      <c r="U479" s="229"/>
      <c r="V479" s="229"/>
      <c r="W479" s="229"/>
      <c r="X479" s="229"/>
    </row>
    <row r="480" spans="1:24" ht="15.75" hidden="1">
      <c r="A480" s="343"/>
      <c r="B480" s="344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6"/>
      <c r="P480" s="276"/>
      <c r="Q480" s="247">
        <f t="shared" si="13"/>
        <v>0</v>
      </c>
      <c r="R480" s="229"/>
      <c r="S480" s="229"/>
      <c r="T480" s="229"/>
      <c r="U480" s="229"/>
      <c r="V480" s="229"/>
      <c r="W480" s="229"/>
      <c r="X480" s="229"/>
    </row>
    <row r="481" spans="1:24" ht="15.75" hidden="1">
      <c r="A481" s="343"/>
      <c r="B481" s="344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6"/>
      <c r="P481" s="276"/>
      <c r="Q481" s="247">
        <f t="shared" si="13"/>
        <v>0</v>
      </c>
      <c r="R481" s="229"/>
      <c r="S481" s="229"/>
      <c r="T481" s="229"/>
      <c r="U481" s="229"/>
      <c r="V481" s="229"/>
      <c r="W481" s="229"/>
      <c r="X481" s="229"/>
    </row>
    <row r="482" spans="1:24" ht="15.75" hidden="1">
      <c r="A482" s="343"/>
      <c r="B482" s="344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6"/>
      <c r="P482" s="276"/>
      <c r="Q482" s="247">
        <f t="shared" si="13"/>
        <v>0</v>
      </c>
      <c r="R482" s="229"/>
      <c r="S482" s="229"/>
      <c r="T482" s="229"/>
      <c r="U482" s="229"/>
      <c r="V482" s="229"/>
      <c r="W482" s="229"/>
      <c r="X482" s="229"/>
    </row>
    <row r="483" spans="1:24" ht="15.75" hidden="1">
      <c r="A483" s="343"/>
      <c r="B483" s="344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6"/>
      <c r="P483" s="276"/>
      <c r="Q483" s="247">
        <f t="shared" si="13"/>
        <v>0</v>
      </c>
      <c r="R483" s="229"/>
      <c r="S483" s="229"/>
      <c r="T483" s="229"/>
      <c r="U483" s="229"/>
      <c r="V483" s="229"/>
      <c r="W483" s="229"/>
      <c r="X483" s="229"/>
    </row>
    <row r="484" spans="1:24" ht="15.75" hidden="1">
      <c r="A484" s="343"/>
      <c r="B484" s="344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6"/>
      <c r="P484" s="276"/>
      <c r="Q484" s="247">
        <f t="shared" si="13"/>
        <v>0</v>
      </c>
      <c r="R484" s="229"/>
      <c r="S484" s="229"/>
      <c r="T484" s="229"/>
      <c r="U484" s="229"/>
      <c r="V484" s="229"/>
      <c r="W484" s="229"/>
      <c r="X484" s="229"/>
    </row>
    <row r="485" spans="1:24" ht="15.75" hidden="1">
      <c r="A485" s="343"/>
      <c r="B485" s="344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6"/>
      <c r="P485" s="276"/>
      <c r="Q485" s="247">
        <f t="shared" si="13"/>
        <v>0</v>
      </c>
      <c r="R485" s="229"/>
      <c r="S485" s="229"/>
      <c r="T485" s="229"/>
      <c r="U485" s="229"/>
      <c r="V485" s="229"/>
      <c r="W485" s="229"/>
      <c r="X485" s="229"/>
    </row>
    <row r="486" spans="1:24" ht="15.75" hidden="1">
      <c r="A486" s="343"/>
      <c r="B486" s="344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6"/>
      <c r="P486" s="276"/>
      <c r="Q486" s="247">
        <f t="shared" si="13"/>
        <v>0</v>
      </c>
      <c r="R486" s="229"/>
      <c r="S486" s="229"/>
      <c r="T486" s="229"/>
      <c r="U486" s="229"/>
      <c r="V486" s="229"/>
      <c r="W486" s="229"/>
      <c r="X486" s="229"/>
    </row>
    <row r="487" spans="1:24" ht="15.75" hidden="1">
      <c r="A487" s="343"/>
      <c r="B487" s="344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6"/>
      <c r="P487" s="276"/>
      <c r="Q487" s="247">
        <f t="shared" si="13"/>
        <v>0</v>
      </c>
      <c r="R487" s="229"/>
      <c r="S487" s="229"/>
      <c r="T487" s="229"/>
      <c r="U487" s="229"/>
      <c r="V487" s="229"/>
      <c r="W487" s="229"/>
      <c r="X487" s="229"/>
    </row>
    <row r="488" spans="1:24" ht="15.75" hidden="1">
      <c r="A488" s="343"/>
      <c r="B488" s="344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6"/>
      <c r="P488" s="276"/>
      <c r="Q488" s="247">
        <f t="shared" si="13"/>
        <v>0</v>
      </c>
      <c r="R488" s="229"/>
      <c r="S488" s="229"/>
      <c r="T488" s="229"/>
      <c r="U488" s="229"/>
      <c r="V488" s="229"/>
      <c r="W488" s="229"/>
      <c r="X488" s="229"/>
    </row>
    <row r="489" spans="1:24" ht="15.75" hidden="1">
      <c r="A489" s="343"/>
      <c r="B489" s="344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6"/>
      <c r="P489" s="276"/>
      <c r="Q489" s="247">
        <f t="shared" si="13"/>
        <v>0</v>
      </c>
      <c r="R489" s="229"/>
      <c r="S489" s="229"/>
      <c r="T489" s="229"/>
      <c r="U489" s="229"/>
      <c r="V489" s="229"/>
      <c r="W489" s="229"/>
      <c r="X489" s="229"/>
    </row>
    <row r="490" spans="1:24" ht="15.75" hidden="1">
      <c r="A490" s="343"/>
      <c r="B490" s="344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6"/>
      <c r="P490" s="276"/>
      <c r="Q490" s="247">
        <f t="shared" si="13"/>
        <v>0</v>
      </c>
      <c r="R490" s="229"/>
      <c r="S490" s="229"/>
      <c r="T490" s="229"/>
      <c r="U490" s="229"/>
      <c r="V490" s="229"/>
      <c r="W490" s="229"/>
      <c r="X490" s="229"/>
    </row>
    <row r="491" spans="1:24" ht="15.75" hidden="1">
      <c r="A491" s="343"/>
      <c r="B491" s="344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6"/>
      <c r="P491" s="276"/>
      <c r="Q491" s="247">
        <f t="shared" si="13"/>
        <v>0</v>
      </c>
      <c r="R491" s="229"/>
      <c r="S491" s="229"/>
      <c r="T491" s="229"/>
      <c r="U491" s="229"/>
      <c r="V491" s="229"/>
      <c r="W491" s="229"/>
      <c r="X491" s="229"/>
    </row>
    <row r="492" spans="1:24" ht="15.75" hidden="1">
      <c r="A492" s="343"/>
      <c r="B492" s="344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6"/>
      <c r="P492" s="276"/>
      <c r="Q492" s="247">
        <f t="shared" si="13"/>
        <v>0</v>
      </c>
      <c r="R492" s="229"/>
      <c r="S492" s="229"/>
      <c r="T492" s="229"/>
      <c r="U492" s="229"/>
      <c r="V492" s="229"/>
      <c r="W492" s="229"/>
      <c r="X492" s="229"/>
    </row>
    <row r="493" spans="1:24" ht="15.75" hidden="1">
      <c r="A493" s="343"/>
      <c r="B493" s="344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6"/>
      <c r="P493" s="276"/>
      <c r="Q493" s="247">
        <f t="shared" si="13"/>
        <v>0</v>
      </c>
      <c r="R493" s="229"/>
      <c r="S493" s="229"/>
      <c r="T493" s="229"/>
      <c r="U493" s="229"/>
      <c r="V493" s="229"/>
      <c r="W493" s="229"/>
      <c r="X493" s="229"/>
    </row>
    <row r="494" spans="1:24" ht="15.75" hidden="1">
      <c r="A494" s="343"/>
      <c r="B494" s="344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6"/>
      <c r="P494" s="276"/>
      <c r="Q494" s="247">
        <f t="shared" si="13"/>
        <v>0</v>
      </c>
      <c r="R494" s="229"/>
      <c r="S494" s="229"/>
      <c r="T494" s="229"/>
      <c r="U494" s="229"/>
      <c r="V494" s="229"/>
      <c r="W494" s="229"/>
      <c r="X494" s="229"/>
    </row>
    <row r="495" spans="1:24" ht="15.75" hidden="1">
      <c r="A495" s="343"/>
      <c r="B495" s="344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6"/>
      <c r="P495" s="276"/>
      <c r="Q495" s="247">
        <f t="shared" si="13"/>
        <v>0</v>
      </c>
      <c r="R495" s="229"/>
      <c r="S495" s="229"/>
      <c r="T495" s="229"/>
      <c r="U495" s="229"/>
      <c r="V495" s="229"/>
      <c r="W495" s="229"/>
      <c r="X495" s="229"/>
    </row>
    <row r="496" spans="1:24" ht="15.75" hidden="1">
      <c r="A496" s="343"/>
      <c r="B496" s="344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6"/>
      <c r="P496" s="276"/>
      <c r="Q496" s="247">
        <f t="shared" si="13"/>
        <v>0</v>
      </c>
      <c r="R496" s="229"/>
      <c r="S496" s="229"/>
      <c r="T496" s="229"/>
      <c r="U496" s="229"/>
      <c r="V496" s="229"/>
      <c r="W496" s="229"/>
      <c r="X496" s="229"/>
    </row>
    <row r="497" spans="1:24" ht="15.75" hidden="1">
      <c r="A497" s="343"/>
      <c r="B497" s="344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6"/>
      <c r="P497" s="276"/>
      <c r="Q497" s="247">
        <f t="shared" si="13"/>
        <v>0</v>
      </c>
      <c r="R497" s="229"/>
      <c r="S497" s="229"/>
      <c r="T497" s="229"/>
      <c r="U497" s="229"/>
      <c r="V497" s="229"/>
      <c r="W497" s="229"/>
      <c r="X497" s="229"/>
    </row>
    <row r="498" spans="1:24" ht="15.75" hidden="1">
      <c r="A498" s="343"/>
      <c r="B498" s="344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6"/>
      <c r="P498" s="276"/>
      <c r="Q498" s="247">
        <f t="shared" si="13"/>
        <v>0</v>
      </c>
      <c r="R498" s="229"/>
      <c r="S498" s="229"/>
      <c r="T498" s="229"/>
      <c r="U498" s="229"/>
      <c r="V498" s="229"/>
      <c r="W498" s="229"/>
      <c r="X498" s="229"/>
    </row>
    <row r="499" spans="1:24" ht="15.75" hidden="1">
      <c r="A499" s="343"/>
      <c r="B499" s="344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6"/>
      <c r="P499" s="276"/>
      <c r="Q499" s="247">
        <f t="shared" si="13"/>
        <v>0</v>
      </c>
      <c r="R499" s="229"/>
      <c r="S499" s="229"/>
      <c r="T499" s="229"/>
      <c r="U499" s="229"/>
      <c r="V499" s="229"/>
      <c r="W499" s="229"/>
      <c r="X499" s="229"/>
    </row>
    <row r="500" spans="1:24" ht="15.75" hidden="1">
      <c r="A500" s="343"/>
      <c r="B500" s="344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6"/>
      <c r="P500" s="276"/>
      <c r="Q500" s="247">
        <f t="shared" si="13"/>
        <v>0</v>
      </c>
      <c r="R500" s="229"/>
      <c r="S500" s="229"/>
      <c r="T500" s="229"/>
      <c r="U500" s="229"/>
      <c r="V500" s="229"/>
      <c r="W500" s="229"/>
      <c r="X500" s="229"/>
    </row>
    <row r="501" spans="1:24" ht="15.75" hidden="1">
      <c r="A501" s="343"/>
      <c r="B501" s="344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6"/>
      <c r="P501" s="276"/>
      <c r="Q501" s="247">
        <f t="shared" si="13"/>
        <v>0</v>
      </c>
      <c r="R501" s="229"/>
      <c r="S501" s="229"/>
      <c r="T501" s="229"/>
      <c r="U501" s="229"/>
      <c r="V501" s="229"/>
      <c r="W501" s="229"/>
      <c r="X501" s="229"/>
    </row>
    <row r="502" spans="1:24" ht="15.75" hidden="1">
      <c r="A502" s="343"/>
      <c r="B502" s="344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6"/>
      <c r="P502" s="276"/>
      <c r="Q502" s="247">
        <f t="shared" si="13"/>
        <v>0</v>
      </c>
      <c r="R502" s="229"/>
      <c r="S502" s="229"/>
      <c r="T502" s="229"/>
      <c r="U502" s="229"/>
      <c r="V502" s="229"/>
      <c r="W502" s="229"/>
      <c r="X502" s="229"/>
    </row>
    <row r="503" spans="1:24" ht="15.75" hidden="1">
      <c r="A503" s="343"/>
      <c r="B503" s="344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6"/>
      <c r="P503" s="276"/>
      <c r="Q503" s="247">
        <f t="shared" si="13"/>
        <v>0</v>
      </c>
      <c r="R503" s="229"/>
      <c r="S503" s="229"/>
      <c r="T503" s="229"/>
      <c r="U503" s="229"/>
      <c r="V503" s="229"/>
      <c r="W503" s="229"/>
      <c r="X503" s="229"/>
    </row>
    <row r="504" spans="1:24" ht="15.75" hidden="1">
      <c r="A504" s="343"/>
      <c r="B504" s="344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6"/>
      <c r="P504" s="276"/>
      <c r="Q504" s="247">
        <f t="shared" si="13"/>
        <v>0</v>
      </c>
      <c r="R504" s="229"/>
      <c r="S504" s="229"/>
      <c r="T504" s="229"/>
      <c r="U504" s="229"/>
      <c r="V504" s="229"/>
      <c r="W504" s="229"/>
      <c r="X504" s="229"/>
    </row>
    <row r="505" spans="1:24" ht="15.75" hidden="1">
      <c r="A505" s="343"/>
      <c r="B505" s="344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6"/>
      <c r="P505" s="276"/>
      <c r="Q505" s="247">
        <f t="shared" si="13"/>
        <v>0</v>
      </c>
      <c r="R505" s="229"/>
      <c r="S505" s="229"/>
      <c r="T505" s="229"/>
      <c r="U505" s="229"/>
      <c r="V505" s="229"/>
      <c r="W505" s="229"/>
      <c r="X505" s="229"/>
    </row>
    <row r="506" spans="1:24" ht="15.75" hidden="1">
      <c r="A506" s="343"/>
      <c r="B506" s="344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6"/>
      <c r="P506" s="276"/>
      <c r="Q506" s="247">
        <f t="shared" si="13"/>
        <v>0</v>
      </c>
      <c r="R506" s="229"/>
      <c r="S506" s="229"/>
      <c r="T506" s="229"/>
      <c r="U506" s="229"/>
      <c r="V506" s="229"/>
      <c r="W506" s="229"/>
      <c r="X506" s="229"/>
    </row>
    <row r="507" spans="1:24" ht="15.75" hidden="1">
      <c r="A507" s="343"/>
      <c r="B507" s="344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6"/>
      <c r="P507" s="276"/>
      <c r="Q507" s="247">
        <f t="shared" si="13"/>
        <v>0</v>
      </c>
      <c r="R507" s="229"/>
      <c r="S507" s="229"/>
      <c r="T507" s="229"/>
      <c r="U507" s="229"/>
      <c r="V507" s="229"/>
      <c r="W507" s="229"/>
      <c r="X507" s="229"/>
    </row>
    <row r="508" spans="1:24" ht="15.75" hidden="1">
      <c r="A508" s="343"/>
      <c r="B508" s="344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6"/>
      <c r="P508" s="276"/>
      <c r="Q508" s="247">
        <f t="shared" si="13"/>
        <v>0</v>
      </c>
      <c r="R508" s="229"/>
      <c r="S508" s="229"/>
      <c r="T508" s="229"/>
      <c r="U508" s="229"/>
      <c r="V508" s="229"/>
      <c r="W508" s="229"/>
      <c r="X508" s="229"/>
    </row>
    <row r="509" spans="1:24" ht="15.75" hidden="1">
      <c r="A509" s="343"/>
      <c r="B509" s="344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6"/>
      <c r="P509" s="276"/>
      <c r="Q509" s="247">
        <f t="shared" si="13"/>
        <v>0</v>
      </c>
      <c r="R509" s="229"/>
      <c r="S509" s="229"/>
      <c r="T509" s="229"/>
      <c r="U509" s="229"/>
      <c r="V509" s="229"/>
      <c r="W509" s="229"/>
      <c r="X509" s="229"/>
    </row>
    <row r="510" spans="1:24" ht="15.75" hidden="1">
      <c r="A510" s="343"/>
      <c r="B510" s="344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6"/>
      <c r="P510" s="276"/>
      <c r="Q510" s="247">
        <f t="shared" si="13"/>
        <v>0</v>
      </c>
      <c r="R510" s="229"/>
      <c r="S510" s="229"/>
      <c r="T510" s="229"/>
      <c r="U510" s="229"/>
      <c r="V510" s="229"/>
      <c r="W510" s="229"/>
      <c r="X510" s="229"/>
    </row>
    <row r="511" spans="1:24" ht="15.75" hidden="1">
      <c r="A511" s="343"/>
      <c r="B511" s="344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6"/>
      <c r="P511" s="276"/>
      <c r="Q511" s="247">
        <f t="shared" si="13"/>
        <v>0</v>
      </c>
      <c r="R511" s="229"/>
      <c r="S511" s="229"/>
      <c r="T511" s="229"/>
      <c r="U511" s="229"/>
      <c r="V511" s="229"/>
      <c r="W511" s="229"/>
      <c r="X511" s="229"/>
    </row>
    <row r="512" spans="1:24" ht="15.75" hidden="1">
      <c r="A512" s="343"/>
      <c r="B512" s="344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6"/>
      <c r="P512" s="276"/>
      <c r="Q512" s="247">
        <f t="shared" si="13"/>
        <v>0</v>
      </c>
      <c r="R512" s="229"/>
      <c r="S512" s="229"/>
      <c r="T512" s="229"/>
      <c r="U512" s="229"/>
      <c r="V512" s="229"/>
      <c r="W512" s="229"/>
      <c r="X512" s="229"/>
    </row>
    <row r="513" spans="1:24" ht="15.75" hidden="1">
      <c r="A513" s="343"/>
      <c r="B513" s="344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6"/>
      <c r="P513" s="276"/>
      <c r="Q513" s="247">
        <f t="shared" si="13"/>
        <v>0</v>
      </c>
      <c r="R513" s="229"/>
      <c r="S513" s="229"/>
      <c r="T513" s="229"/>
      <c r="U513" s="229"/>
      <c r="V513" s="229"/>
      <c r="W513" s="229"/>
      <c r="X513" s="229"/>
    </row>
    <row r="514" spans="1:24" ht="15.75" hidden="1">
      <c r="A514" s="343"/>
      <c r="B514" s="344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6"/>
      <c r="P514" s="276"/>
      <c r="Q514" s="247">
        <f t="shared" si="13"/>
        <v>0</v>
      </c>
      <c r="R514" s="229"/>
      <c r="S514" s="229"/>
      <c r="T514" s="229"/>
      <c r="U514" s="229"/>
      <c r="V514" s="229"/>
      <c r="W514" s="229"/>
      <c r="X514" s="229"/>
    </row>
    <row r="515" spans="1:24" ht="15.75" hidden="1">
      <c r="A515" s="343"/>
      <c r="B515" s="344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6"/>
      <c r="P515" s="276"/>
      <c r="Q515" s="247">
        <f t="shared" si="13"/>
        <v>0</v>
      </c>
      <c r="R515" s="229"/>
      <c r="S515" s="229"/>
      <c r="T515" s="229"/>
      <c r="U515" s="229"/>
      <c r="V515" s="229"/>
      <c r="W515" s="229"/>
      <c r="X515" s="229"/>
    </row>
    <row r="516" spans="1:24" ht="15.75" hidden="1">
      <c r="A516" s="343"/>
      <c r="B516" s="344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6"/>
      <c r="P516" s="276"/>
      <c r="Q516" s="247">
        <f t="shared" si="13"/>
        <v>0</v>
      </c>
      <c r="R516" s="229"/>
      <c r="S516" s="229"/>
      <c r="T516" s="229"/>
      <c r="U516" s="229"/>
      <c r="V516" s="229"/>
      <c r="W516" s="229"/>
      <c r="X516" s="229"/>
    </row>
    <row r="517" spans="1:24" ht="15.75" hidden="1">
      <c r="A517" s="343"/>
      <c r="B517" s="344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6"/>
      <c r="P517" s="276"/>
      <c r="Q517" s="247">
        <f t="shared" si="13"/>
        <v>0</v>
      </c>
      <c r="R517" s="229"/>
      <c r="S517" s="229"/>
      <c r="T517" s="229"/>
      <c r="U517" s="229"/>
      <c r="V517" s="229"/>
      <c r="W517" s="229"/>
      <c r="X517" s="229"/>
    </row>
    <row r="518" spans="1:24" ht="15.75" hidden="1">
      <c r="A518" s="343"/>
      <c r="B518" s="344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6"/>
      <c r="P518" s="276"/>
      <c r="Q518" s="247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9"/>
      <c r="S518" s="229"/>
      <c r="T518" s="229"/>
      <c r="U518" s="229"/>
      <c r="V518" s="229"/>
      <c r="W518" s="229"/>
      <c r="X518" s="229"/>
    </row>
    <row r="519" spans="1:24" ht="15.75" hidden="1">
      <c r="A519" s="343"/>
      <c r="B519" s="344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6"/>
      <c r="P519" s="276"/>
      <c r="Q519" s="247">
        <f t="shared" si="14"/>
        <v>0</v>
      </c>
      <c r="R519" s="229"/>
      <c r="S519" s="229"/>
      <c r="T519" s="229"/>
      <c r="U519" s="229"/>
      <c r="V519" s="229"/>
      <c r="W519" s="229"/>
      <c r="X519" s="229"/>
    </row>
    <row r="520" spans="1:24" ht="15.75" hidden="1">
      <c r="A520" s="343"/>
      <c r="B520" s="344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6"/>
      <c r="P520" s="276"/>
      <c r="Q520" s="247">
        <f t="shared" si="14"/>
        <v>0</v>
      </c>
      <c r="R520" s="229"/>
      <c r="S520" s="229"/>
      <c r="T520" s="229"/>
      <c r="U520" s="229"/>
      <c r="V520" s="229"/>
      <c r="W520" s="229"/>
      <c r="X520" s="229"/>
    </row>
    <row r="521" spans="1:24" ht="15.75" hidden="1">
      <c r="A521" s="343"/>
      <c r="B521" s="344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6"/>
      <c r="P521" s="276"/>
      <c r="Q521" s="247">
        <f t="shared" si="14"/>
        <v>0</v>
      </c>
      <c r="R521" s="229"/>
      <c r="S521" s="229"/>
      <c r="T521" s="229"/>
      <c r="U521" s="229"/>
      <c r="V521" s="229"/>
      <c r="W521" s="229"/>
      <c r="X521" s="229"/>
    </row>
    <row r="522" spans="1:24" ht="15.75" hidden="1">
      <c r="A522" s="343"/>
      <c r="B522" s="344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6"/>
      <c r="P522" s="276"/>
      <c r="Q522" s="247">
        <f t="shared" si="14"/>
        <v>0</v>
      </c>
      <c r="R522" s="229"/>
      <c r="S522" s="229"/>
      <c r="T522" s="229"/>
      <c r="U522" s="229"/>
      <c r="V522" s="229"/>
      <c r="W522" s="229"/>
      <c r="X522" s="229"/>
    </row>
    <row r="523" spans="1:24" ht="15.75" hidden="1">
      <c r="A523" s="343"/>
      <c r="B523" s="344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6"/>
      <c r="P523" s="276"/>
      <c r="Q523" s="247">
        <f t="shared" si="14"/>
        <v>0</v>
      </c>
      <c r="R523" s="229"/>
      <c r="S523" s="229"/>
      <c r="T523" s="229"/>
      <c r="U523" s="229"/>
      <c r="V523" s="229"/>
      <c r="W523" s="229"/>
      <c r="X523" s="229"/>
    </row>
    <row r="524" spans="1:24" ht="15.75" hidden="1">
      <c r="A524" s="343"/>
      <c r="B524" s="344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6"/>
      <c r="P524" s="276"/>
      <c r="Q524" s="247">
        <f t="shared" si="14"/>
        <v>0</v>
      </c>
      <c r="R524" s="229"/>
      <c r="S524" s="229"/>
      <c r="T524" s="229"/>
      <c r="U524" s="229"/>
      <c r="V524" s="229"/>
      <c r="W524" s="229"/>
      <c r="X524" s="229"/>
    </row>
    <row r="525" spans="1:24" ht="15.75" hidden="1">
      <c r="A525" s="343"/>
      <c r="B525" s="344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6"/>
      <c r="P525" s="276"/>
      <c r="Q525" s="247">
        <f t="shared" si="14"/>
        <v>0</v>
      </c>
      <c r="R525" s="229"/>
      <c r="S525" s="229"/>
      <c r="T525" s="229"/>
      <c r="U525" s="229"/>
      <c r="V525" s="229"/>
      <c r="W525" s="229"/>
      <c r="X525" s="229"/>
    </row>
    <row r="526" spans="1:24" ht="15.75" hidden="1">
      <c r="A526" s="343"/>
      <c r="B526" s="344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6"/>
      <c r="P526" s="276"/>
      <c r="Q526" s="247">
        <f t="shared" si="14"/>
        <v>0</v>
      </c>
      <c r="R526" s="229"/>
      <c r="S526" s="229"/>
      <c r="T526" s="229"/>
      <c r="U526" s="229"/>
      <c r="V526" s="229"/>
      <c r="W526" s="229"/>
      <c r="X526" s="229"/>
    </row>
    <row r="527" spans="1:24" ht="15.75" hidden="1">
      <c r="A527" s="343"/>
      <c r="B527" s="344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6"/>
      <c r="P527" s="276"/>
      <c r="Q527" s="247">
        <f t="shared" si="14"/>
        <v>0</v>
      </c>
      <c r="R527" s="229"/>
      <c r="S527" s="229"/>
      <c r="T527" s="229"/>
      <c r="U527" s="229"/>
      <c r="V527" s="229"/>
      <c r="W527" s="229"/>
      <c r="X527" s="229"/>
    </row>
    <row r="528" spans="1:24" ht="15.75" hidden="1">
      <c r="A528" s="343"/>
      <c r="B528" s="344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6"/>
      <c r="P528" s="276"/>
      <c r="Q528" s="247">
        <f t="shared" si="14"/>
        <v>0</v>
      </c>
      <c r="R528" s="229"/>
      <c r="S528" s="229"/>
      <c r="T528" s="229"/>
      <c r="U528" s="229"/>
      <c r="V528" s="229"/>
      <c r="W528" s="229"/>
      <c r="X528" s="229"/>
    </row>
    <row r="529" spans="1:24" ht="15.75" hidden="1">
      <c r="A529" s="343"/>
      <c r="B529" s="344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6"/>
      <c r="P529" s="276"/>
      <c r="Q529" s="247">
        <f t="shared" si="14"/>
        <v>0</v>
      </c>
      <c r="R529" s="229"/>
      <c r="S529" s="229"/>
      <c r="T529" s="229"/>
      <c r="U529" s="229"/>
      <c r="V529" s="229"/>
      <c r="W529" s="229"/>
      <c r="X529" s="229"/>
    </row>
    <row r="530" spans="1:24" ht="15.75" hidden="1">
      <c r="A530" s="343"/>
      <c r="B530" s="344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6"/>
      <c r="P530" s="276"/>
      <c r="Q530" s="247">
        <f t="shared" si="14"/>
        <v>0</v>
      </c>
      <c r="R530" s="229"/>
      <c r="S530" s="229"/>
      <c r="T530" s="229"/>
      <c r="U530" s="229"/>
      <c r="V530" s="229"/>
      <c r="W530" s="229"/>
      <c r="X530" s="229"/>
    </row>
    <row r="531" spans="1:24" ht="15.75" hidden="1">
      <c r="A531" s="343"/>
      <c r="B531" s="344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6"/>
      <c r="P531" s="276"/>
      <c r="Q531" s="247">
        <f t="shared" si="14"/>
        <v>0</v>
      </c>
      <c r="R531" s="229"/>
      <c r="S531" s="229"/>
      <c r="T531" s="229"/>
      <c r="U531" s="229"/>
      <c r="V531" s="229"/>
      <c r="W531" s="229"/>
      <c r="X531" s="229"/>
    </row>
    <row r="532" spans="1:24" ht="15.75" hidden="1">
      <c r="A532" s="343"/>
      <c r="B532" s="344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6"/>
      <c r="P532" s="276"/>
      <c r="Q532" s="247">
        <f t="shared" si="14"/>
        <v>0</v>
      </c>
      <c r="R532" s="229"/>
      <c r="S532" s="229"/>
      <c r="T532" s="229"/>
      <c r="U532" s="229"/>
      <c r="V532" s="229"/>
      <c r="W532" s="229"/>
      <c r="X532" s="229"/>
    </row>
    <row r="533" spans="1:24" ht="15.75" hidden="1">
      <c r="A533" s="343"/>
      <c r="B533" s="344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6"/>
      <c r="P533" s="276"/>
      <c r="Q533" s="247">
        <f t="shared" si="14"/>
        <v>0</v>
      </c>
      <c r="R533" s="229"/>
      <c r="S533" s="229"/>
      <c r="T533" s="229"/>
      <c r="U533" s="229"/>
      <c r="V533" s="229"/>
      <c r="W533" s="229"/>
      <c r="X533" s="229"/>
    </row>
    <row r="534" spans="1:24" ht="15.75" hidden="1">
      <c r="A534" s="343"/>
      <c r="B534" s="344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6"/>
      <c r="P534" s="276"/>
      <c r="Q534" s="247">
        <f t="shared" si="14"/>
        <v>0</v>
      </c>
      <c r="R534" s="229"/>
      <c r="S534" s="229"/>
      <c r="T534" s="229"/>
      <c r="U534" s="229"/>
      <c r="V534" s="229"/>
      <c r="W534" s="229"/>
      <c r="X534" s="229"/>
    </row>
    <row r="535" spans="1:24" ht="15.75" hidden="1">
      <c r="A535" s="343"/>
      <c r="B535" s="344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6"/>
      <c r="P535" s="276"/>
      <c r="Q535" s="247">
        <f t="shared" si="14"/>
        <v>0</v>
      </c>
      <c r="R535" s="229"/>
      <c r="S535" s="229"/>
      <c r="T535" s="229"/>
      <c r="U535" s="229"/>
      <c r="V535" s="229"/>
      <c r="W535" s="229"/>
      <c r="X535" s="229"/>
    </row>
    <row r="536" spans="1:24" ht="15.75" hidden="1">
      <c r="A536" s="343"/>
      <c r="B536" s="344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6"/>
      <c r="P536" s="276"/>
      <c r="Q536" s="247">
        <f t="shared" si="14"/>
        <v>0</v>
      </c>
      <c r="R536" s="229"/>
      <c r="S536" s="229"/>
      <c r="T536" s="229"/>
      <c r="U536" s="229"/>
      <c r="V536" s="229"/>
      <c r="W536" s="229"/>
      <c r="X536" s="229"/>
    </row>
    <row r="537" spans="1:24" ht="15.75" hidden="1">
      <c r="A537" s="343"/>
      <c r="B537" s="344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6"/>
      <c r="P537" s="276"/>
      <c r="Q537" s="247">
        <f t="shared" si="14"/>
        <v>0</v>
      </c>
      <c r="R537" s="229"/>
      <c r="S537" s="229"/>
      <c r="T537" s="229"/>
      <c r="U537" s="229"/>
      <c r="V537" s="229"/>
      <c r="W537" s="229"/>
      <c r="X537" s="229"/>
    </row>
    <row r="538" spans="1:24" ht="15.75" hidden="1">
      <c r="A538" s="343"/>
      <c r="B538" s="344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6"/>
      <c r="P538" s="276"/>
      <c r="Q538" s="247">
        <f t="shared" si="14"/>
        <v>0</v>
      </c>
      <c r="R538" s="229"/>
      <c r="S538" s="229"/>
      <c r="T538" s="229"/>
      <c r="U538" s="229"/>
      <c r="V538" s="229"/>
      <c r="W538" s="229"/>
      <c r="X538" s="229"/>
    </row>
    <row r="539" spans="1:24" ht="15.75" hidden="1">
      <c r="A539" s="343"/>
      <c r="B539" s="344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6"/>
      <c r="P539" s="276"/>
      <c r="Q539" s="247">
        <f t="shared" si="14"/>
        <v>0</v>
      </c>
      <c r="R539" s="229"/>
      <c r="S539" s="229"/>
      <c r="T539" s="229"/>
      <c r="U539" s="229"/>
      <c r="V539" s="229"/>
      <c r="W539" s="229"/>
      <c r="X539" s="229"/>
    </row>
    <row r="540" spans="1:24" ht="15.75" hidden="1">
      <c r="A540" s="343"/>
      <c r="B540" s="344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6"/>
      <c r="P540" s="276"/>
      <c r="Q540" s="247">
        <f t="shared" si="14"/>
        <v>0</v>
      </c>
      <c r="R540" s="229"/>
      <c r="S540" s="229"/>
      <c r="T540" s="229"/>
      <c r="U540" s="229"/>
      <c r="V540" s="229"/>
      <c r="W540" s="229"/>
      <c r="X540" s="229"/>
    </row>
    <row r="541" spans="1:24" ht="15.75" hidden="1">
      <c r="A541" s="343"/>
      <c r="B541" s="344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6"/>
      <c r="P541" s="276"/>
      <c r="Q541" s="247">
        <f t="shared" si="14"/>
        <v>0</v>
      </c>
      <c r="R541" s="229"/>
      <c r="S541" s="229"/>
      <c r="T541" s="229"/>
      <c r="U541" s="229"/>
      <c r="V541" s="229"/>
      <c r="W541" s="229"/>
      <c r="X541" s="229"/>
    </row>
    <row r="542" spans="1:24" ht="15.75" hidden="1">
      <c r="A542" s="343"/>
      <c r="B542" s="344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6"/>
      <c r="P542" s="276"/>
      <c r="Q542" s="247">
        <f t="shared" si="14"/>
        <v>0</v>
      </c>
      <c r="R542" s="229"/>
      <c r="S542" s="229"/>
      <c r="T542" s="229"/>
      <c r="U542" s="229"/>
      <c r="V542" s="229"/>
      <c r="W542" s="229"/>
      <c r="X542" s="229"/>
    </row>
    <row r="543" spans="1:24" ht="15.75" hidden="1">
      <c r="A543" s="343"/>
      <c r="B543" s="344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6"/>
      <c r="P543" s="276"/>
      <c r="Q543" s="247">
        <f t="shared" si="14"/>
        <v>0</v>
      </c>
      <c r="R543" s="229"/>
      <c r="S543" s="229"/>
      <c r="T543" s="229"/>
      <c r="U543" s="229"/>
      <c r="V543" s="229"/>
      <c r="W543" s="229"/>
      <c r="X543" s="229"/>
    </row>
    <row r="544" spans="1:24" ht="15.75" hidden="1">
      <c r="A544" s="343"/>
      <c r="B544" s="344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6"/>
      <c r="P544" s="276"/>
      <c r="Q544" s="247">
        <f t="shared" si="14"/>
        <v>0</v>
      </c>
      <c r="R544" s="229"/>
      <c r="S544" s="229"/>
      <c r="T544" s="229"/>
      <c r="U544" s="229"/>
      <c r="V544" s="229"/>
      <c r="W544" s="229"/>
      <c r="X544" s="229"/>
    </row>
    <row r="545" spans="1:24" ht="15.75" hidden="1">
      <c r="A545" s="343"/>
      <c r="B545" s="344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6"/>
      <c r="P545" s="276"/>
      <c r="Q545" s="247">
        <f t="shared" si="14"/>
        <v>0</v>
      </c>
      <c r="R545" s="229"/>
      <c r="S545" s="229"/>
      <c r="T545" s="229"/>
      <c r="U545" s="229"/>
      <c r="V545" s="229"/>
      <c r="W545" s="229"/>
      <c r="X545" s="229"/>
    </row>
    <row r="546" spans="1:24" ht="15.75" hidden="1">
      <c r="A546" s="343"/>
      <c r="B546" s="344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6"/>
      <c r="P546" s="276"/>
      <c r="Q546" s="247">
        <f t="shared" si="14"/>
        <v>0</v>
      </c>
      <c r="R546" s="229"/>
      <c r="S546" s="229"/>
      <c r="T546" s="229"/>
      <c r="U546" s="229"/>
      <c r="V546" s="229"/>
      <c r="W546" s="229"/>
      <c r="X546" s="229"/>
    </row>
    <row r="547" spans="1:24" ht="15.75" hidden="1">
      <c r="A547" s="343"/>
      <c r="B547" s="344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6"/>
      <c r="P547" s="276"/>
      <c r="Q547" s="247">
        <f t="shared" si="14"/>
        <v>0</v>
      </c>
      <c r="R547" s="229"/>
      <c r="S547" s="229"/>
      <c r="T547" s="229"/>
      <c r="U547" s="229"/>
      <c r="V547" s="229"/>
      <c r="W547" s="229"/>
      <c r="X547" s="229"/>
    </row>
    <row r="548" spans="1:24" ht="15.75" hidden="1">
      <c r="A548" s="343"/>
      <c r="B548" s="344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6"/>
      <c r="P548" s="276"/>
      <c r="Q548" s="247">
        <f t="shared" si="14"/>
        <v>0</v>
      </c>
      <c r="R548" s="229"/>
      <c r="S548" s="229"/>
      <c r="T548" s="229"/>
      <c r="U548" s="229"/>
      <c r="V548" s="229"/>
      <c r="W548" s="229"/>
      <c r="X548" s="229"/>
    </row>
    <row r="549" spans="1:24" ht="15.75" hidden="1">
      <c r="A549" s="343"/>
      <c r="B549" s="344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6"/>
      <c r="P549" s="276"/>
      <c r="Q549" s="247">
        <f t="shared" si="14"/>
        <v>0</v>
      </c>
      <c r="R549" s="229"/>
      <c r="S549" s="229"/>
      <c r="T549" s="229"/>
      <c r="U549" s="229"/>
      <c r="V549" s="229"/>
      <c r="W549" s="229"/>
      <c r="X549" s="229"/>
    </row>
    <row r="550" spans="1:24" ht="15.75" hidden="1">
      <c r="A550" s="343"/>
      <c r="B550" s="344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6"/>
      <c r="P550" s="276"/>
      <c r="Q550" s="247">
        <f t="shared" si="14"/>
        <v>0</v>
      </c>
      <c r="R550" s="229"/>
      <c r="S550" s="229"/>
      <c r="T550" s="229"/>
      <c r="U550" s="229"/>
      <c r="V550" s="229"/>
      <c r="W550" s="229"/>
      <c r="X550" s="229"/>
    </row>
    <row r="551" spans="1:24" ht="15.75" hidden="1">
      <c r="A551" s="343"/>
      <c r="B551" s="344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6"/>
      <c r="P551" s="276"/>
      <c r="Q551" s="247">
        <f t="shared" si="14"/>
        <v>0</v>
      </c>
      <c r="R551" s="229"/>
      <c r="S551" s="229"/>
      <c r="T551" s="229"/>
      <c r="U551" s="229"/>
      <c r="V551" s="229"/>
      <c r="W551" s="229"/>
      <c r="X551" s="229"/>
    </row>
    <row r="552" spans="1:24" ht="15.75" hidden="1">
      <c r="A552" s="343"/>
      <c r="B552" s="344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6"/>
      <c r="P552" s="276"/>
      <c r="Q552" s="247">
        <f t="shared" si="14"/>
        <v>0</v>
      </c>
      <c r="R552" s="229"/>
      <c r="S552" s="229"/>
      <c r="T552" s="229"/>
      <c r="U552" s="229"/>
      <c r="V552" s="229"/>
      <c r="W552" s="229"/>
      <c r="X552" s="229"/>
    </row>
    <row r="553" spans="1:24" ht="15.75" hidden="1">
      <c r="A553" s="343"/>
      <c r="B553" s="344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6"/>
      <c r="P553" s="276"/>
      <c r="Q553" s="247">
        <f t="shared" si="14"/>
        <v>0</v>
      </c>
      <c r="R553" s="229"/>
      <c r="S553" s="229"/>
      <c r="T553" s="229"/>
      <c r="U553" s="229"/>
      <c r="V553" s="229"/>
      <c r="W553" s="229"/>
      <c r="X553" s="229"/>
    </row>
    <row r="554" spans="1:24" ht="15.75" hidden="1">
      <c r="A554" s="343"/>
      <c r="B554" s="344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6"/>
      <c r="P554" s="276"/>
      <c r="Q554" s="247">
        <f t="shared" si="14"/>
        <v>0</v>
      </c>
      <c r="R554" s="229"/>
      <c r="S554" s="229"/>
      <c r="T554" s="229"/>
      <c r="U554" s="229"/>
      <c r="V554" s="229"/>
      <c r="W554" s="229"/>
      <c r="X554" s="229"/>
    </row>
    <row r="555" spans="1:24" ht="15.75" hidden="1">
      <c r="A555" s="343"/>
      <c r="B555" s="344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6"/>
      <c r="P555" s="276"/>
      <c r="Q555" s="247">
        <f t="shared" si="14"/>
        <v>0</v>
      </c>
      <c r="R555" s="229"/>
      <c r="S555" s="229"/>
      <c r="T555" s="229"/>
      <c r="U555" s="229"/>
      <c r="V555" s="229"/>
      <c r="W555" s="229"/>
      <c r="X555" s="229"/>
    </row>
    <row r="556" spans="1:24" ht="15.75" hidden="1">
      <c r="A556" s="343"/>
      <c r="B556" s="344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6"/>
      <c r="P556" s="276"/>
      <c r="Q556" s="247">
        <f t="shared" si="14"/>
        <v>0</v>
      </c>
      <c r="R556" s="229"/>
      <c r="S556" s="229"/>
      <c r="T556" s="229"/>
      <c r="U556" s="229"/>
      <c r="V556" s="229"/>
      <c r="W556" s="229"/>
      <c r="X556" s="229"/>
    </row>
    <row r="557" spans="1:24" ht="15.75" hidden="1">
      <c r="A557" s="343"/>
      <c r="B557" s="344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6"/>
      <c r="P557" s="276"/>
      <c r="Q557" s="247">
        <f t="shared" si="14"/>
        <v>0</v>
      </c>
      <c r="R557" s="229"/>
      <c r="S557" s="229"/>
      <c r="T557" s="229"/>
      <c r="U557" s="229"/>
      <c r="V557" s="229"/>
      <c r="W557" s="229"/>
      <c r="X557" s="229"/>
    </row>
    <row r="558" spans="1:24" ht="15.75" hidden="1">
      <c r="A558" s="343"/>
      <c r="B558" s="344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6"/>
      <c r="P558" s="276"/>
      <c r="Q558" s="247">
        <f t="shared" si="14"/>
        <v>0</v>
      </c>
      <c r="R558" s="229"/>
      <c r="S558" s="229"/>
      <c r="T558" s="229"/>
      <c r="U558" s="229"/>
      <c r="V558" s="229"/>
      <c r="W558" s="229"/>
      <c r="X558" s="229"/>
    </row>
    <row r="559" spans="1:24" ht="15.75" hidden="1">
      <c r="A559" s="343"/>
      <c r="B559" s="344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6"/>
      <c r="P559" s="276"/>
      <c r="Q559" s="247">
        <f t="shared" si="14"/>
        <v>0</v>
      </c>
      <c r="R559" s="229"/>
      <c r="S559" s="229"/>
      <c r="T559" s="229"/>
      <c r="U559" s="229"/>
      <c r="V559" s="229"/>
      <c r="W559" s="229"/>
      <c r="X559" s="229"/>
    </row>
    <row r="560" spans="1:24" ht="15.75" hidden="1">
      <c r="A560" s="343"/>
      <c r="B560" s="344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6"/>
      <c r="P560" s="276"/>
      <c r="Q560" s="247">
        <f t="shared" si="14"/>
        <v>0</v>
      </c>
      <c r="R560" s="229"/>
      <c r="S560" s="229"/>
      <c r="T560" s="229"/>
      <c r="U560" s="229"/>
      <c r="V560" s="229"/>
      <c r="W560" s="229"/>
      <c r="X560" s="229"/>
    </row>
    <row r="561" spans="1:24" ht="15.75" hidden="1">
      <c r="A561" s="343"/>
      <c r="B561" s="344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6"/>
      <c r="P561" s="276"/>
      <c r="Q561" s="247">
        <f t="shared" si="14"/>
        <v>0</v>
      </c>
      <c r="R561" s="229"/>
      <c r="S561" s="229"/>
      <c r="T561" s="229"/>
      <c r="U561" s="229"/>
      <c r="V561" s="229"/>
      <c r="W561" s="229"/>
      <c r="X561" s="229"/>
    </row>
    <row r="562" spans="1:24" ht="15.75" hidden="1">
      <c r="A562" s="343"/>
      <c r="B562" s="344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6"/>
      <c r="P562" s="276"/>
      <c r="Q562" s="247">
        <f t="shared" si="14"/>
        <v>0</v>
      </c>
      <c r="R562" s="229"/>
      <c r="S562" s="229"/>
      <c r="T562" s="229"/>
      <c r="U562" s="229"/>
      <c r="V562" s="229"/>
      <c r="W562" s="229"/>
      <c r="X562" s="229"/>
    </row>
    <row r="563" spans="1:24" ht="15.75" hidden="1">
      <c r="A563" s="343"/>
      <c r="B563" s="344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6"/>
      <c r="P563" s="276"/>
      <c r="Q563" s="247">
        <f t="shared" si="14"/>
        <v>0</v>
      </c>
      <c r="R563" s="229"/>
      <c r="S563" s="229"/>
      <c r="T563" s="229"/>
      <c r="U563" s="229"/>
      <c r="V563" s="229"/>
      <c r="W563" s="229"/>
      <c r="X563" s="229"/>
    </row>
    <row r="564" spans="1:24" ht="15.75" hidden="1">
      <c r="A564" s="343"/>
      <c r="B564" s="344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6"/>
      <c r="P564" s="276"/>
      <c r="Q564" s="247">
        <f t="shared" si="14"/>
        <v>0</v>
      </c>
      <c r="R564" s="229"/>
      <c r="S564" s="229"/>
      <c r="T564" s="229"/>
      <c r="U564" s="229"/>
      <c r="V564" s="229"/>
      <c r="W564" s="229"/>
      <c r="X564" s="229"/>
    </row>
    <row r="565" spans="1:24" ht="15.75" hidden="1">
      <c r="A565" s="343"/>
      <c r="B565" s="344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6"/>
      <c r="P565" s="276"/>
      <c r="Q565" s="247">
        <f t="shared" si="14"/>
        <v>0</v>
      </c>
      <c r="R565" s="229"/>
      <c r="S565" s="229"/>
      <c r="T565" s="229"/>
      <c r="U565" s="229"/>
      <c r="V565" s="229"/>
      <c r="W565" s="229"/>
      <c r="X565" s="229"/>
    </row>
    <row r="566" spans="1:24" ht="15.75" hidden="1">
      <c r="A566" s="343"/>
      <c r="B566" s="344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6"/>
      <c r="P566" s="276"/>
      <c r="Q566" s="247">
        <f t="shared" si="14"/>
        <v>0</v>
      </c>
      <c r="R566" s="229"/>
      <c r="S566" s="229"/>
      <c r="T566" s="229"/>
      <c r="U566" s="229"/>
      <c r="V566" s="229"/>
      <c r="W566" s="229"/>
      <c r="X566" s="229"/>
    </row>
    <row r="567" spans="1:24" ht="15.75" hidden="1">
      <c r="A567" s="343"/>
      <c r="B567" s="344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6"/>
      <c r="P567" s="276"/>
      <c r="Q567" s="247">
        <f t="shared" si="14"/>
        <v>0</v>
      </c>
      <c r="R567" s="229"/>
      <c r="S567" s="229"/>
      <c r="T567" s="229"/>
      <c r="U567" s="229"/>
      <c r="V567" s="229"/>
      <c r="W567" s="229"/>
      <c r="X567" s="229"/>
    </row>
    <row r="568" spans="1:24" ht="15.75" hidden="1">
      <c r="A568" s="343"/>
      <c r="B568" s="344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6"/>
      <c r="P568" s="276"/>
      <c r="Q568" s="247">
        <f t="shared" si="14"/>
        <v>0</v>
      </c>
      <c r="R568" s="229"/>
      <c r="S568" s="229"/>
      <c r="T568" s="229"/>
      <c r="U568" s="229"/>
      <c r="V568" s="229"/>
      <c r="W568" s="229"/>
      <c r="X568" s="229"/>
    </row>
    <row r="569" spans="1:24" ht="15.75" hidden="1">
      <c r="A569" s="343"/>
      <c r="B569" s="344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6"/>
      <c r="P569" s="276"/>
      <c r="Q569" s="247">
        <f t="shared" si="14"/>
        <v>0</v>
      </c>
      <c r="R569" s="229"/>
      <c r="S569" s="229"/>
      <c r="T569" s="229"/>
      <c r="U569" s="229"/>
      <c r="V569" s="229"/>
      <c r="W569" s="229"/>
      <c r="X569" s="229"/>
    </row>
    <row r="570" spans="1:24" ht="15.75" hidden="1">
      <c r="A570" s="343"/>
      <c r="B570" s="344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6"/>
      <c r="P570" s="276"/>
      <c r="Q570" s="247">
        <f t="shared" si="14"/>
        <v>0</v>
      </c>
      <c r="R570" s="229"/>
      <c r="S570" s="229"/>
      <c r="T570" s="229"/>
      <c r="U570" s="229"/>
      <c r="V570" s="229"/>
      <c r="W570" s="229"/>
      <c r="X570" s="229"/>
    </row>
    <row r="571" spans="1:24" ht="15.75" hidden="1">
      <c r="A571" s="343"/>
      <c r="B571" s="344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6"/>
      <c r="P571" s="276"/>
      <c r="Q571" s="247">
        <f t="shared" si="14"/>
        <v>0</v>
      </c>
      <c r="R571" s="229"/>
      <c r="S571" s="229"/>
      <c r="T571" s="229"/>
      <c r="U571" s="229"/>
      <c r="V571" s="229"/>
      <c r="W571" s="229"/>
      <c r="X571" s="229"/>
    </row>
    <row r="572" spans="1:24" ht="15.75" hidden="1">
      <c r="A572" s="343"/>
      <c r="B572" s="344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6"/>
      <c r="P572" s="276"/>
      <c r="Q572" s="247">
        <f t="shared" si="14"/>
        <v>0</v>
      </c>
      <c r="R572" s="229"/>
      <c r="S572" s="229"/>
      <c r="T572" s="229"/>
      <c r="U572" s="229"/>
      <c r="V572" s="229"/>
      <c r="W572" s="229"/>
      <c r="X572" s="229"/>
    </row>
    <row r="573" spans="1:24" ht="15.75" hidden="1">
      <c r="A573" s="343"/>
      <c r="B573" s="344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6"/>
      <c r="P573" s="276"/>
      <c r="Q573" s="247">
        <f t="shared" si="14"/>
        <v>0</v>
      </c>
      <c r="R573" s="229"/>
      <c r="S573" s="229"/>
      <c r="T573" s="229"/>
      <c r="U573" s="229"/>
      <c r="V573" s="229"/>
      <c r="W573" s="229"/>
      <c r="X573" s="229"/>
    </row>
    <row r="574" spans="1:24" ht="15.75" hidden="1">
      <c r="A574" s="343"/>
      <c r="B574" s="344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6"/>
      <c r="P574" s="276"/>
      <c r="Q574" s="247">
        <f t="shared" si="14"/>
        <v>0</v>
      </c>
      <c r="R574" s="229"/>
      <c r="S574" s="229"/>
      <c r="T574" s="229"/>
      <c r="U574" s="229"/>
      <c r="V574" s="229"/>
      <c r="W574" s="229"/>
      <c r="X574" s="229"/>
    </row>
    <row r="575" spans="1:24" ht="15.75" hidden="1">
      <c r="A575" s="343"/>
      <c r="B575" s="344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6"/>
      <c r="P575" s="276"/>
      <c r="Q575" s="247">
        <f t="shared" si="14"/>
        <v>0</v>
      </c>
      <c r="R575" s="229"/>
      <c r="S575" s="229"/>
      <c r="T575" s="229"/>
      <c r="U575" s="229"/>
      <c r="V575" s="229"/>
      <c r="W575" s="229"/>
      <c r="X575" s="229"/>
    </row>
    <row r="576" spans="1:24" ht="15.75" hidden="1">
      <c r="A576" s="343"/>
      <c r="B576" s="344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6"/>
      <c r="P576" s="276"/>
      <c r="Q576" s="247">
        <f t="shared" si="14"/>
        <v>0</v>
      </c>
      <c r="R576" s="229"/>
      <c r="S576" s="229"/>
      <c r="T576" s="229"/>
      <c r="U576" s="229"/>
      <c r="V576" s="229"/>
      <c r="W576" s="229"/>
      <c r="X576" s="229"/>
    </row>
    <row r="577" spans="1:24" ht="15.75" hidden="1">
      <c r="A577" s="343"/>
      <c r="B577" s="344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6"/>
      <c r="P577" s="276"/>
      <c r="Q577" s="247">
        <f t="shared" si="14"/>
        <v>0</v>
      </c>
      <c r="R577" s="229"/>
      <c r="S577" s="229"/>
      <c r="T577" s="229"/>
      <c r="U577" s="229"/>
      <c r="V577" s="229"/>
      <c r="W577" s="229"/>
      <c r="X577" s="229"/>
    </row>
    <row r="578" spans="1:24" ht="15.75" hidden="1">
      <c r="A578" s="343"/>
      <c r="B578" s="344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6"/>
      <c r="P578" s="276"/>
      <c r="Q578" s="247">
        <f t="shared" si="14"/>
        <v>0</v>
      </c>
      <c r="R578" s="229"/>
      <c r="S578" s="229"/>
      <c r="T578" s="229"/>
      <c r="U578" s="229"/>
      <c r="V578" s="229"/>
      <c r="W578" s="229"/>
      <c r="X578" s="229"/>
    </row>
    <row r="579" spans="1:24" ht="15.75" hidden="1">
      <c r="A579" s="343"/>
      <c r="B579" s="344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6"/>
      <c r="P579" s="276"/>
      <c r="Q579" s="247">
        <f t="shared" si="14"/>
        <v>0</v>
      </c>
      <c r="R579" s="229"/>
      <c r="S579" s="229"/>
      <c r="T579" s="229"/>
      <c r="U579" s="229"/>
      <c r="V579" s="229"/>
      <c r="W579" s="229"/>
      <c r="X579" s="229"/>
    </row>
    <row r="580" spans="1:24" ht="15.75" hidden="1">
      <c r="A580" s="343"/>
      <c r="B580" s="344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6"/>
      <c r="P580" s="276"/>
      <c r="Q580" s="247">
        <f t="shared" si="14"/>
        <v>0</v>
      </c>
      <c r="R580" s="229"/>
      <c r="S580" s="229"/>
      <c r="T580" s="229"/>
      <c r="U580" s="229"/>
      <c r="V580" s="229"/>
      <c r="W580" s="229"/>
      <c r="X580" s="229"/>
    </row>
    <row r="581" spans="1:24" ht="15.75" hidden="1">
      <c r="A581" s="343"/>
      <c r="B581" s="344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6"/>
      <c r="P581" s="276"/>
      <c r="Q581" s="247">
        <f t="shared" si="14"/>
        <v>0</v>
      </c>
      <c r="R581" s="229"/>
      <c r="S581" s="229"/>
      <c r="T581" s="229"/>
      <c r="U581" s="229"/>
      <c r="V581" s="229"/>
      <c r="W581" s="229"/>
      <c r="X581" s="229"/>
    </row>
    <row r="582" spans="1:24" ht="15.75" hidden="1">
      <c r="A582" s="343"/>
      <c r="B582" s="344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6"/>
      <c r="P582" s="276"/>
      <c r="Q582" s="247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9"/>
      <c r="S582" s="229"/>
      <c r="T582" s="229"/>
      <c r="U582" s="229"/>
      <c r="V582" s="229"/>
      <c r="W582" s="229"/>
      <c r="X582" s="229"/>
    </row>
    <row r="583" spans="1:24" ht="15.75" hidden="1">
      <c r="A583" s="343"/>
      <c r="B583" s="344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6"/>
      <c r="P583" s="276"/>
      <c r="Q583" s="247">
        <f t="shared" si="15"/>
        <v>0</v>
      </c>
      <c r="R583" s="229"/>
      <c r="S583" s="229"/>
      <c r="T583" s="229"/>
      <c r="U583" s="229"/>
      <c r="V583" s="229"/>
      <c r="W583" s="229"/>
      <c r="X583" s="229"/>
    </row>
    <row r="584" spans="1:24" ht="15.75" hidden="1">
      <c r="A584" s="343"/>
      <c r="B584" s="344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6"/>
      <c r="P584" s="276"/>
      <c r="Q584" s="247">
        <f t="shared" si="15"/>
        <v>0</v>
      </c>
      <c r="R584" s="229"/>
      <c r="S584" s="229"/>
      <c r="T584" s="229"/>
      <c r="U584" s="229"/>
      <c r="V584" s="229"/>
      <c r="W584" s="229"/>
      <c r="X584" s="229"/>
    </row>
    <row r="585" spans="1:24" ht="15.75" hidden="1">
      <c r="A585" s="343"/>
      <c r="B585" s="344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6"/>
      <c r="P585" s="276"/>
      <c r="Q585" s="247">
        <f t="shared" si="15"/>
        <v>0</v>
      </c>
      <c r="R585" s="229"/>
      <c r="S585" s="229"/>
      <c r="T585" s="229"/>
      <c r="U585" s="229"/>
      <c r="V585" s="229"/>
      <c r="W585" s="229"/>
      <c r="X585" s="229"/>
    </row>
    <row r="586" spans="1:24" ht="15.75" hidden="1">
      <c r="A586" s="343"/>
      <c r="B586" s="344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6"/>
      <c r="P586" s="276"/>
      <c r="Q586" s="247">
        <f t="shared" si="15"/>
        <v>0</v>
      </c>
      <c r="R586" s="229"/>
      <c r="S586" s="229"/>
      <c r="T586" s="229"/>
      <c r="U586" s="229"/>
      <c r="V586" s="229"/>
      <c r="W586" s="229"/>
      <c r="X586" s="229"/>
    </row>
    <row r="587" spans="1:24" ht="15.75" hidden="1">
      <c r="A587" s="343"/>
      <c r="B587" s="344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6"/>
      <c r="P587" s="276"/>
      <c r="Q587" s="247">
        <f t="shared" si="15"/>
        <v>0</v>
      </c>
      <c r="R587" s="229"/>
      <c r="S587" s="229"/>
      <c r="T587" s="229"/>
      <c r="U587" s="229"/>
      <c r="V587" s="229"/>
      <c r="W587" s="229"/>
      <c r="X587" s="229"/>
    </row>
    <row r="588" spans="1:24" ht="15.75" hidden="1">
      <c r="A588" s="343"/>
      <c r="B588" s="344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6"/>
      <c r="P588" s="276"/>
      <c r="Q588" s="247">
        <f t="shared" si="15"/>
        <v>0</v>
      </c>
      <c r="R588" s="229"/>
      <c r="S588" s="229"/>
      <c r="T588" s="229"/>
      <c r="U588" s="229"/>
      <c r="V588" s="229"/>
      <c r="W588" s="229"/>
      <c r="X588" s="229"/>
    </row>
    <row r="589" spans="1:24" ht="15.75" hidden="1">
      <c r="A589" s="343"/>
      <c r="B589" s="344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6"/>
      <c r="P589" s="276"/>
      <c r="Q589" s="247">
        <f t="shared" si="15"/>
        <v>0</v>
      </c>
      <c r="R589" s="229"/>
      <c r="S589" s="229"/>
      <c r="T589" s="229"/>
      <c r="U589" s="229"/>
      <c r="V589" s="229"/>
      <c r="W589" s="229"/>
      <c r="X589" s="229"/>
    </row>
    <row r="590" spans="1:24" ht="15.75" hidden="1">
      <c r="A590" s="343"/>
      <c r="B590" s="344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6"/>
      <c r="P590" s="276"/>
      <c r="Q590" s="247">
        <f t="shared" si="15"/>
        <v>0</v>
      </c>
      <c r="R590" s="229"/>
      <c r="S590" s="229"/>
      <c r="T590" s="229"/>
      <c r="U590" s="229"/>
      <c r="V590" s="229"/>
      <c r="W590" s="229"/>
      <c r="X590" s="229"/>
    </row>
    <row r="591" spans="1:24" ht="15.75" hidden="1">
      <c r="A591" s="343"/>
      <c r="B591" s="344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6"/>
      <c r="P591" s="276"/>
      <c r="Q591" s="247">
        <f t="shared" si="15"/>
        <v>0</v>
      </c>
      <c r="R591" s="229"/>
      <c r="S591" s="229"/>
      <c r="T591" s="229"/>
      <c r="U591" s="229"/>
      <c r="V591" s="229"/>
      <c r="W591" s="229"/>
      <c r="X591" s="229"/>
    </row>
    <row r="592" spans="1:24" ht="15.75" hidden="1">
      <c r="A592" s="343"/>
      <c r="B592" s="344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6"/>
      <c r="P592" s="276"/>
      <c r="Q592" s="247">
        <f t="shared" si="15"/>
        <v>0</v>
      </c>
      <c r="R592" s="229"/>
      <c r="S592" s="229"/>
      <c r="T592" s="229"/>
      <c r="U592" s="229"/>
      <c r="V592" s="229"/>
      <c r="W592" s="229"/>
      <c r="X592" s="229"/>
    </row>
    <row r="593" spans="1:24" ht="15.75" hidden="1">
      <c r="A593" s="343"/>
      <c r="B593" s="344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6"/>
      <c r="P593" s="276"/>
      <c r="Q593" s="247">
        <f t="shared" si="15"/>
        <v>0</v>
      </c>
      <c r="R593" s="229"/>
      <c r="S593" s="229"/>
      <c r="T593" s="229"/>
      <c r="U593" s="229"/>
      <c r="V593" s="229"/>
      <c r="W593" s="229"/>
      <c r="X593" s="229"/>
    </row>
    <row r="594" spans="1:24" ht="15.75" hidden="1">
      <c r="A594" s="343"/>
      <c r="B594" s="344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6"/>
      <c r="P594" s="276"/>
      <c r="Q594" s="247">
        <f t="shared" si="15"/>
        <v>0</v>
      </c>
      <c r="R594" s="229"/>
      <c r="S594" s="229"/>
      <c r="T594" s="229"/>
      <c r="U594" s="229"/>
      <c r="V594" s="229"/>
      <c r="W594" s="229"/>
      <c r="X594" s="229"/>
    </row>
    <row r="595" spans="1:24" ht="15.75" hidden="1">
      <c r="A595" s="343"/>
      <c r="B595" s="344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6"/>
      <c r="P595" s="276"/>
      <c r="Q595" s="247">
        <f t="shared" si="15"/>
        <v>0</v>
      </c>
      <c r="R595" s="229"/>
      <c r="S595" s="229"/>
      <c r="T595" s="229"/>
      <c r="U595" s="229"/>
      <c r="V595" s="229"/>
      <c r="W595" s="229"/>
      <c r="X595" s="229"/>
    </row>
    <row r="596" spans="1:24" ht="15.75" hidden="1">
      <c r="A596" s="343"/>
      <c r="B596" s="344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6"/>
      <c r="P596" s="276"/>
      <c r="Q596" s="247">
        <f t="shared" si="15"/>
        <v>0</v>
      </c>
      <c r="R596" s="229"/>
      <c r="S596" s="229"/>
      <c r="T596" s="229"/>
      <c r="U596" s="229"/>
      <c r="V596" s="229"/>
      <c r="W596" s="229"/>
      <c r="X596" s="229"/>
    </row>
    <row r="597" spans="1:24" ht="15.75" hidden="1">
      <c r="A597" s="343"/>
      <c r="B597" s="344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6"/>
      <c r="P597" s="276"/>
      <c r="Q597" s="247">
        <f t="shared" si="15"/>
        <v>0</v>
      </c>
      <c r="R597" s="229"/>
      <c r="S597" s="229"/>
      <c r="T597" s="229"/>
      <c r="U597" s="229"/>
      <c r="V597" s="229"/>
      <c r="W597" s="229"/>
      <c r="X597" s="229"/>
    </row>
    <row r="598" spans="1:24" ht="15.75" hidden="1">
      <c r="A598" s="343"/>
      <c r="B598" s="344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6"/>
      <c r="P598" s="276"/>
      <c r="Q598" s="247">
        <f t="shared" si="15"/>
        <v>0</v>
      </c>
      <c r="R598" s="229"/>
      <c r="S598" s="229"/>
      <c r="T598" s="229"/>
      <c r="U598" s="229"/>
      <c r="V598" s="229"/>
      <c r="W598" s="229"/>
      <c r="X598" s="229"/>
    </row>
    <row r="599" spans="1:24" ht="15.75" hidden="1">
      <c r="A599" s="343"/>
      <c r="B599" s="344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6"/>
      <c r="P599" s="276"/>
      <c r="Q599" s="247">
        <f t="shared" si="15"/>
        <v>0</v>
      </c>
      <c r="R599" s="229"/>
      <c r="S599" s="229"/>
      <c r="T599" s="229"/>
      <c r="U599" s="229"/>
      <c r="V599" s="229"/>
      <c r="W599" s="229"/>
      <c r="X599" s="229"/>
    </row>
    <row r="600" spans="1:24" ht="15.75" hidden="1">
      <c r="A600" s="343"/>
      <c r="B600" s="344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6"/>
      <c r="P600" s="276"/>
      <c r="Q600" s="247">
        <f t="shared" si="15"/>
        <v>0</v>
      </c>
      <c r="R600" s="229"/>
      <c r="S600" s="229"/>
      <c r="T600" s="229"/>
      <c r="U600" s="229"/>
      <c r="V600" s="229"/>
      <c r="W600" s="229"/>
      <c r="X600" s="229"/>
    </row>
    <row r="601" spans="1:24" ht="15.75" hidden="1">
      <c r="A601" s="343"/>
      <c r="B601" s="344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6"/>
      <c r="P601" s="276"/>
      <c r="Q601" s="247">
        <f t="shared" si="15"/>
        <v>0</v>
      </c>
      <c r="R601" s="229"/>
      <c r="S601" s="229"/>
      <c r="T601" s="229"/>
      <c r="U601" s="229"/>
      <c r="V601" s="229"/>
      <c r="W601" s="229"/>
      <c r="X601" s="229"/>
    </row>
    <row r="602" spans="1:24" ht="15.75" hidden="1">
      <c r="A602" s="343"/>
      <c r="B602" s="344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6"/>
      <c r="P602" s="276"/>
      <c r="Q602" s="247">
        <f t="shared" si="15"/>
        <v>0</v>
      </c>
      <c r="R602" s="229"/>
      <c r="S602" s="229"/>
      <c r="T602" s="229"/>
      <c r="U602" s="229"/>
      <c r="V602" s="229"/>
      <c r="W602" s="229"/>
      <c r="X602" s="229"/>
    </row>
    <row r="603" spans="1:24" ht="15.75" hidden="1">
      <c r="A603" s="343"/>
      <c r="B603" s="344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6"/>
      <c r="P603" s="276"/>
      <c r="Q603" s="247">
        <f t="shared" si="15"/>
        <v>0</v>
      </c>
      <c r="R603" s="229"/>
      <c r="S603" s="229"/>
      <c r="T603" s="229"/>
      <c r="U603" s="229"/>
      <c r="V603" s="229"/>
      <c r="W603" s="229"/>
      <c r="X603" s="229"/>
    </row>
    <row r="604" spans="1:24" ht="15.75" hidden="1">
      <c r="A604" s="343"/>
      <c r="B604" s="344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6"/>
      <c r="P604" s="276"/>
      <c r="Q604" s="247">
        <f t="shared" si="15"/>
        <v>0</v>
      </c>
      <c r="R604" s="229"/>
      <c r="S604" s="229"/>
      <c r="T604" s="229"/>
      <c r="U604" s="229"/>
      <c r="V604" s="229"/>
      <c r="W604" s="229"/>
      <c r="X604" s="229"/>
    </row>
    <row r="605" spans="1:24" ht="15.75" hidden="1">
      <c r="A605" s="343"/>
      <c r="B605" s="344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6"/>
      <c r="P605" s="276"/>
      <c r="Q605" s="247">
        <f t="shared" si="15"/>
        <v>0</v>
      </c>
      <c r="R605" s="229"/>
      <c r="S605" s="229"/>
      <c r="T605" s="229"/>
      <c r="U605" s="229"/>
      <c r="V605" s="229"/>
      <c r="W605" s="229"/>
      <c r="X605" s="229"/>
    </row>
    <row r="606" spans="1:24" ht="15.75" hidden="1">
      <c r="A606" s="343"/>
      <c r="B606" s="344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6"/>
      <c r="P606" s="276"/>
      <c r="Q606" s="247">
        <f t="shared" si="15"/>
        <v>0</v>
      </c>
      <c r="R606" s="229"/>
      <c r="S606" s="229"/>
      <c r="T606" s="229"/>
      <c r="U606" s="229"/>
      <c r="V606" s="229"/>
      <c r="W606" s="229"/>
      <c r="X606" s="229"/>
    </row>
    <row r="607" spans="1:24" ht="15.75" hidden="1">
      <c r="A607" s="343"/>
      <c r="B607" s="344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6"/>
      <c r="P607" s="276"/>
      <c r="Q607" s="247">
        <f t="shared" si="15"/>
        <v>0</v>
      </c>
      <c r="R607" s="229"/>
      <c r="S607" s="229"/>
      <c r="T607" s="229"/>
      <c r="U607" s="229"/>
      <c r="V607" s="229"/>
      <c r="W607" s="229"/>
      <c r="X607" s="229"/>
    </row>
    <row r="608" spans="1:24" ht="15.75" hidden="1">
      <c r="A608" s="343"/>
      <c r="B608" s="344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6"/>
      <c r="P608" s="276"/>
      <c r="Q608" s="247">
        <f t="shared" si="15"/>
        <v>0</v>
      </c>
      <c r="R608" s="229"/>
      <c r="S608" s="229"/>
      <c r="T608" s="229"/>
      <c r="U608" s="229"/>
      <c r="V608" s="229"/>
      <c r="W608" s="229"/>
      <c r="X608" s="229"/>
    </row>
    <row r="609" spans="1:24" ht="15.75" hidden="1">
      <c r="A609" s="343"/>
      <c r="B609" s="344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6"/>
      <c r="P609" s="276"/>
      <c r="Q609" s="247">
        <f t="shared" si="15"/>
        <v>0</v>
      </c>
      <c r="R609" s="229"/>
      <c r="S609" s="229"/>
      <c r="T609" s="229"/>
      <c r="U609" s="229"/>
      <c r="V609" s="229"/>
      <c r="W609" s="229"/>
      <c r="X609" s="229"/>
    </row>
    <row r="610" spans="1:24" ht="15.75" hidden="1">
      <c r="A610" s="343"/>
      <c r="B610" s="344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6"/>
      <c r="P610" s="276"/>
      <c r="Q610" s="247">
        <f t="shared" si="15"/>
        <v>0</v>
      </c>
      <c r="R610" s="229"/>
      <c r="S610" s="229"/>
      <c r="T610" s="229"/>
      <c r="U610" s="229"/>
      <c r="V610" s="229"/>
      <c r="W610" s="229"/>
      <c r="X610" s="229"/>
    </row>
    <row r="611" spans="1:24" ht="15.75" hidden="1">
      <c r="A611" s="343"/>
      <c r="B611" s="344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6"/>
      <c r="P611" s="276"/>
      <c r="Q611" s="247">
        <f t="shared" si="15"/>
        <v>0</v>
      </c>
      <c r="R611" s="229"/>
      <c r="S611" s="229"/>
      <c r="T611" s="229"/>
      <c r="U611" s="229"/>
      <c r="V611" s="229"/>
      <c r="W611" s="229"/>
      <c r="X611" s="229"/>
    </row>
    <row r="612" spans="1:24" ht="15.75" hidden="1">
      <c r="A612" s="343"/>
      <c r="B612" s="344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6"/>
      <c r="P612" s="276"/>
      <c r="Q612" s="247">
        <f t="shared" si="15"/>
        <v>0</v>
      </c>
      <c r="R612" s="229"/>
      <c r="S612" s="229"/>
      <c r="T612" s="229"/>
      <c r="U612" s="229"/>
      <c r="V612" s="229"/>
      <c r="W612" s="229"/>
      <c r="X612" s="229"/>
    </row>
    <row r="613" spans="1:24" ht="15.75" hidden="1">
      <c r="A613" s="343"/>
      <c r="B613" s="344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6"/>
      <c r="P613" s="276"/>
      <c r="Q613" s="247">
        <f t="shared" si="15"/>
        <v>0</v>
      </c>
      <c r="R613" s="229"/>
      <c r="S613" s="229"/>
      <c r="T613" s="229"/>
      <c r="U613" s="229"/>
      <c r="V613" s="229"/>
      <c r="W613" s="229"/>
      <c r="X613" s="229"/>
    </row>
    <row r="614" spans="1:24" ht="15.75" hidden="1">
      <c r="A614" s="343"/>
      <c r="B614" s="344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6"/>
      <c r="P614" s="276"/>
      <c r="Q614" s="247">
        <f t="shared" si="15"/>
        <v>0</v>
      </c>
      <c r="R614" s="229"/>
      <c r="S614" s="229"/>
      <c r="T614" s="229"/>
      <c r="U614" s="229"/>
      <c r="V614" s="229"/>
      <c r="W614" s="229"/>
      <c r="X614" s="229"/>
    </row>
    <row r="615" spans="1:24" ht="15.75" hidden="1">
      <c r="A615" s="343"/>
      <c r="B615" s="344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6"/>
      <c r="P615" s="276"/>
      <c r="Q615" s="247">
        <f t="shared" si="15"/>
        <v>0</v>
      </c>
      <c r="R615" s="229"/>
      <c r="S615" s="229"/>
      <c r="T615" s="229"/>
      <c r="U615" s="229"/>
      <c r="V615" s="229"/>
      <c r="W615" s="229"/>
      <c r="X615" s="229"/>
    </row>
    <row r="616" spans="1:24" ht="15.75" hidden="1">
      <c r="A616" s="343"/>
      <c r="B616" s="344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6"/>
      <c r="P616" s="276"/>
      <c r="Q616" s="247">
        <f t="shared" si="15"/>
        <v>0</v>
      </c>
      <c r="R616" s="229"/>
      <c r="S616" s="229"/>
      <c r="T616" s="229"/>
      <c r="U616" s="229"/>
      <c r="V616" s="229"/>
      <c r="W616" s="229"/>
      <c r="X616" s="229"/>
    </row>
    <row r="617" spans="1:24" ht="15.75" hidden="1">
      <c r="A617" s="343"/>
      <c r="B617" s="344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6"/>
      <c r="P617" s="276"/>
      <c r="Q617" s="247">
        <f t="shared" si="15"/>
        <v>0</v>
      </c>
      <c r="R617" s="229"/>
      <c r="S617" s="229"/>
      <c r="T617" s="229"/>
      <c r="U617" s="229"/>
      <c r="V617" s="229"/>
      <c r="W617" s="229"/>
      <c r="X617" s="229"/>
    </row>
    <row r="618" spans="1:24" ht="15.75" hidden="1">
      <c r="A618" s="343"/>
      <c r="B618" s="344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6"/>
      <c r="P618" s="276"/>
      <c r="Q618" s="247">
        <f t="shared" si="15"/>
        <v>0</v>
      </c>
      <c r="R618" s="229"/>
      <c r="S618" s="229"/>
      <c r="T618" s="229"/>
      <c r="U618" s="229"/>
      <c r="V618" s="229"/>
      <c r="W618" s="229"/>
      <c r="X618" s="229"/>
    </row>
    <row r="619" spans="1:24" ht="15.75" hidden="1">
      <c r="A619" s="343"/>
      <c r="B619" s="344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6"/>
      <c r="P619" s="276"/>
      <c r="Q619" s="247">
        <f t="shared" si="15"/>
        <v>0</v>
      </c>
      <c r="R619" s="229"/>
      <c r="S619" s="229"/>
      <c r="T619" s="229"/>
      <c r="U619" s="229"/>
      <c r="V619" s="229"/>
      <c r="W619" s="229"/>
      <c r="X619" s="229"/>
    </row>
    <row r="620" spans="1:24" ht="15.75" hidden="1">
      <c r="A620" s="343"/>
      <c r="B620" s="344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6"/>
      <c r="P620" s="276"/>
      <c r="Q620" s="247">
        <f t="shared" si="15"/>
        <v>0</v>
      </c>
      <c r="R620" s="229"/>
      <c r="S620" s="229"/>
      <c r="T620" s="229"/>
      <c r="U620" s="229"/>
      <c r="V620" s="229"/>
      <c r="W620" s="229"/>
      <c r="X620" s="229"/>
    </row>
    <row r="621" spans="1:24" ht="15.75" hidden="1">
      <c r="A621" s="343"/>
      <c r="B621" s="344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6"/>
      <c r="P621" s="276"/>
      <c r="Q621" s="247">
        <f t="shared" si="15"/>
        <v>0</v>
      </c>
      <c r="R621" s="229"/>
      <c r="S621" s="229"/>
      <c r="T621" s="229"/>
      <c r="U621" s="229"/>
      <c r="V621" s="229"/>
      <c r="W621" s="229"/>
      <c r="X621" s="229"/>
    </row>
    <row r="622" spans="1:24" ht="15.75" hidden="1">
      <c r="A622" s="343"/>
      <c r="B622" s="344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6"/>
      <c r="P622" s="276"/>
      <c r="Q622" s="247">
        <f t="shared" si="15"/>
        <v>0</v>
      </c>
      <c r="R622" s="229"/>
      <c r="S622" s="229"/>
      <c r="T622" s="229"/>
      <c r="U622" s="229"/>
      <c r="V622" s="229"/>
      <c r="W622" s="229"/>
      <c r="X622" s="229"/>
    </row>
    <row r="623" spans="1:24" ht="15.75" hidden="1">
      <c r="A623" s="343"/>
      <c r="B623" s="344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6"/>
      <c r="P623" s="276"/>
      <c r="Q623" s="247">
        <f t="shared" si="15"/>
        <v>0</v>
      </c>
      <c r="R623" s="229"/>
      <c r="S623" s="229"/>
      <c r="T623" s="229"/>
      <c r="U623" s="229"/>
      <c r="V623" s="229"/>
      <c r="W623" s="229"/>
      <c r="X623" s="229"/>
    </row>
    <row r="624" spans="1:24" ht="15.75" hidden="1">
      <c r="A624" s="343"/>
      <c r="B624" s="344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6"/>
      <c r="P624" s="276"/>
      <c r="Q624" s="247">
        <f t="shared" si="15"/>
        <v>0</v>
      </c>
      <c r="R624" s="229"/>
      <c r="S624" s="229"/>
      <c r="T624" s="229"/>
      <c r="U624" s="229"/>
      <c r="V624" s="229"/>
      <c r="W624" s="229"/>
      <c r="X624" s="229"/>
    </row>
    <row r="625" spans="1:24" ht="15.75" hidden="1">
      <c r="A625" s="343"/>
      <c r="B625" s="344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6"/>
      <c r="P625" s="276"/>
      <c r="Q625" s="247">
        <f t="shared" si="15"/>
        <v>0</v>
      </c>
      <c r="R625" s="229"/>
      <c r="S625" s="229"/>
      <c r="T625" s="229"/>
      <c r="U625" s="229"/>
      <c r="V625" s="229"/>
      <c r="W625" s="229"/>
      <c r="X625" s="229"/>
    </row>
    <row r="626" spans="1:24" ht="15.75" hidden="1">
      <c r="A626" s="343"/>
      <c r="B626" s="344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6"/>
      <c r="P626" s="276"/>
      <c r="Q626" s="247">
        <f t="shared" si="15"/>
        <v>0</v>
      </c>
      <c r="R626" s="229"/>
      <c r="S626" s="229"/>
      <c r="T626" s="229"/>
      <c r="U626" s="229"/>
      <c r="V626" s="229"/>
      <c r="W626" s="229"/>
      <c r="X626" s="229"/>
    </row>
    <row r="627" spans="1:24" ht="15.75" hidden="1">
      <c r="A627" s="343"/>
      <c r="B627" s="344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6"/>
      <c r="P627" s="276"/>
      <c r="Q627" s="247">
        <f t="shared" si="15"/>
        <v>0</v>
      </c>
      <c r="R627" s="229"/>
      <c r="S627" s="229"/>
      <c r="T627" s="229"/>
      <c r="U627" s="229"/>
      <c r="V627" s="229"/>
      <c r="W627" s="229"/>
      <c r="X627" s="229"/>
    </row>
    <row r="628" spans="1:24" ht="15.75" hidden="1">
      <c r="A628" s="343"/>
      <c r="B628" s="344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6"/>
      <c r="P628" s="276"/>
      <c r="Q628" s="247">
        <f t="shared" si="15"/>
        <v>0</v>
      </c>
      <c r="R628" s="229"/>
      <c r="S628" s="229"/>
      <c r="T628" s="229"/>
      <c r="U628" s="229"/>
      <c r="V628" s="229"/>
      <c r="W628" s="229"/>
      <c r="X628" s="229"/>
    </row>
    <row r="629" spans="1:24" ht="15.75" hidden="1">
      <c r="A629" s="343"/>
      <c r="B629" s="344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6"/>
      <c r="P629" s="276"/>
      <c r="Q629" s="247">
        <f t="shared" si="15"/>
        <v>0</v>
      </c>
      <c r="R629" s="229"/>
      <c r="S629" s="229"/>
      <c r="T629" s="229"/>
      <c r="U629" s="229"/>
      <c r="V629" s="229"/>
      <c r="W629" s="229"/>
      <c r="X629" s="229"/>
    </row>
    <row r="630" spans="1:24" ht="15.75" hidden="1">
      <c r="A630" s="343"/>
      <c r="B630" s="344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6"/>
      <c r="P630" s="276"/>
      <c r="Q630" s="247">
        <f t="shared" si="15"/>
        <v>0</v>
      </c>
      <c r="R630" s="229"/>
      <c r="S630" s="229"/>
      <c r="T630" s="229"/>
      <c r="U630" s="229"/>
      <c r="V630" s="229"/>
      <c r="W630" s="229"/>
      <c r="X630" s="229"/>
    </row>
    <row r="631" spans="1:24" ht="15.75" hidden="1">
      <c r="A631" s="343"/>
      <c r="B631" s="344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6"/>
      <c r="P631" s="276"/>
      <c r="Q631" s="247">
        <f t="shared" si="15"/>
        <v>0</v>
      </c>
      <c r="R631" s="229"/>
      <c r="S631" s="229"/>
      <c r="T631" s="229"/>
      <c r="U631" s="229"/>
      <c r="V631" s="229"/>
      <c r="W631" s="229"/>
      <c r="X631" s="229"/>
    </row>
    <row r="632" spans="1:24" ht="15.75" hidden="1">
      <c r="A632" s="343"/>
      <c r="B632" s="344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6"/>
      <c r="P632" s="276"/>
      <c r="Q632" s="247">
        <f t="shared" si="15"/>
        <v>0</v>
      </c>
      <c r="R632" s="229"/>
      <c r="S632" s="229"/>
      <c r="T632" s="229"/>
      <c r="U632" s="229"/>
      <c r="V632" s="229"/>
      <c r="W632" s="229"/>
      <c r="X632" s="229"/>
    </row>
    <row r="633" spans="1:24" ht="15.75" hidden="1">
      <c r="A633" s="343"/>
      <c r="B633" s="344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6"/>
      <c r="P633" s="276"/>
      <c r="Q633" s="247">
        <f t="shared" si="15"/>
        <v>0</v>
      </c>
      <c r="R633" s="229"/>
      <c r="S633" s="229"/>
      <c r="T633" s="229"/>
      <c r="U633" s="229"/>
      <c r="V633" s="229"/>
      <c r="W633" s="229"/>
      <c r="X633" s="229"/>
    </row>
    <row r="634" spans="1:24" ht="15.75" hidden="1">
      <c r="A634" s="343"/>
      <c r="B634" s="344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6"/>
      <c r="P634" s="276"/>
      <c r="Q634" s="247">
        <f t="shared" si="15"/>
        <v>0</v>
      </c>
      <c r="R634" s="229"/>
      <c r="S634" s="229"/>
      <c r="T634" s="229"/>
      <c r="U634" s="229"/>
      <c r="V634" s="229"/>
      <c r="W634" s="229"/>
      <c r="X634" s="229"/>
    </row>
    <row r="635" spans="1:24" ht="15.75" hidden="1">
      <c r="A635" s="343"/>
      <c r="B635" s="344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6"/>
      <c r="P635" s="276"/>
      <c r="Q635" s="247">
        <f t="shared" si="15"/>
        <v>0</v>
      </c>
      <c r="R635" s="229"/>
      <c r="S635" s="229"/>
      <c r="T635" s="229"/>
      <c r="U635" s="229"/>
      <c r="V635" s="229"/>
      <c r="W635" s="229"/>
      <c r="X635" s="229"/>
    </row>
    <row r="636" spans="1:24" ht="15.75" hidden="1">
      <c r="A636" s="343"/>
      <c r="B636" s="344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6"/>
      <c r="P636" s="276"/>
      <c r="Q636" s="247">
        <f t="shared" si="15"/>
        <v>0</v>
      </c>
      <c r="R636" s="229"/>
      <c r="S636" s="229"/>
      <c r="T636" s="229"/>
      <c r="U636" s="229"/>
      <c r="V636" s="229"/>
      <c r="W636" s="229"/>
      <c r="X636" s="229"/>
    </row>
    <row r="637" spans="1:24" ht="15.75" hidden="1">
      <c r="A637" s="343"/>
      <c r="B637" s="344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6"/>
      <c r="P637" s="276"/>
      <c r="Q637" s="247">
        <f t="shared" si="15"/>
        <v>0</v>
      </c>
      <c r="R637" s="229"/>
      <c r="S637" s="229"/>
      <c r="T637" s="229"/>
      <c r="U637" s="229"/>
      <c r="V637" s="229"/>
      <c r="W637" s="229"/>
      <c r="X637" s="229"/>
    </row>
    <row r="638" spans="1:24" ht="15.75" hidden="1">
      <c r="A638" s="343"/>
      <c r="B638" s="344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6"/>
      <c r="P638" s="276"/>
      <c r="Q638" s="247">
        <f t="shared" si="15"/>
        <v>0</v>
      </c>
      <c r="R638" s="229"/>
      <c r="S638" s="229"/>
      <c r="T638" s="229"/>
      <c r="U638" s="229"/>
      <c r="V638" s="229"/>
      <c r="W638" s="229"/>
      <c r="X638" s="229"/>
    </row>
    <row r="639" spans="1:24" ht="15.75" hidden="1">
      <c r="A639" s="343"/>
      <c r="B639" s="344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6"/>
      <c r="P639" s="276"/>
      <c r="Q639" s="247">
        <f t="shared" si="15"/>
        <v>0</v>
      </c>
      <c r="R639" s="229"/>
      <c r="S639" s="229"/>
      <c r="T639" s="229"/>
      <c r="U639" s="229"/>
      <c r="V639" s="229"/>
      <c r="W639" s="229"/>
      <c r="X639" s="229"/>
    </row>
    <row r="640" spans="1:24" ht="15.75" hidden="1">
      <c r="A640" s="343"/>
      <c r="B640" s="344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6"/>
      <c r="P640" s="276"/>
      <c r="Q640" s="247">
        <f t="shared" si="15"/>
        <v>0</v>
      </c>
      <c r="R640" s="229"/>
      <c r="S640" s="229"/>
      <c r="T640" s="229"/>
      <c r="U640" s="229"/>
      <c r="V640" s="229"/>
      <c r="W640" s="229"/>
      <c r="X640" s="229"/>
    </row>
    <row r="641" spans="1:24" ht="15.75" hidden="1">
      <c r="A641" s="343"/>
      <c r="B641" s="344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6"/>
      <c r="P641" s="276"/>
      <c r="Q641" s="247">
        <f t="shared" si="15"/>
        <v>0</v>
      </c>
      <c r="R641" s="229"/>
      <c r="S641" s="229"/>
      <c r="T641" s="229"/>
      <c r="U641" s="229"/>
      <c r="V641" s="229"/>
      <c r="W641" s="229"/>
      <c r="X641" s="229"/>
    </row>
    <row r="642" spans="1:24" ht="15.75" hidden="1">
      <c r="A642" s="343"/>
      <c r="B642" s="344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6"/>
      <c r="P642" s="276"/>
      <c r="Q642" s="247">
        <f t="shared" si="15"/>
        <v>0</v>
      </c>
      <c r="R642" s="229"/>
      <c r="S642" s="229"/>
      <c r="T642" s="229"/>
      <c r="U642" s="229"/>
      <c r="V642" s="229"/>
      <c r="W642" s="229"/>
      <c r="X642" s="229"/>
    </row>
    <row r="643" spans="1:24" ht="15.75" hidden="1">
      <c r="A643" s="343"/>
      <c r="B643" s="344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6"/>
      <c r="P643" s="276"/>
      <c r="Q643" s="247">
        <f t="shared" si="15"/>
        <v>0</v>
      </c>
      <c r="R643" s="229"/>
      <c r="S643" s="229"/>
      <c r="T643" s="229"/>
      <c r="U643" s="229"/>
      <c r="V643" s="229"/>
      <c r="W643" s="229"/>
      <c r="X643" s="229"/>
    </row>
    <row r="644" spans="1:24" ht="15.75" hidden="1">
      <c r="A644" s="343"/>
      <c r="B644" s="344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6"/>
      <c r="P644" s="276"/>
      <c r="Q644" s="247">
        <f t="shared" si="15"/>
        <v>0</v>
      </c>
      <c r="R644" s="229"/>
      <c r="S644" s="229"/>
      <c r="T644" s="229"/>
      <c r="U644" s="229"/>
      <c r="V644" s="229"/>
      <c r="W644" s="229"/>
      <c r="X644" s="229"/>
    </row>
    <row r="645" spans="1:24" ht="15.75" hidden="1">
      <c r="A645" s="343"/>
      <c r="B645" s="344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6"/>
      <c r="P645" s="276"/>
      <c r="Q645" s="247">
        <f t="shared" si="15"/>
        <v>0</v>
      </c>
      <c r="R645" s="229"/>
      <c r="S645" s="229"/>
      <c r="T645" s="229"/>
      <c r="U645" s="229"/>
      <c r="V645" s="229"/>
      <c r="W645" s="229"/>
      <c r="X645" s="229"/>
    </row>
    <row r="646" spans="1:24" ht="15.75" hidden="1">
      <c r="A646" s="343"/>
      <c r="B646" s="344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6"/>
      <c r="P646" s="276"/>
      <c r="Q646" s="247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9"/>
      <c r="S646" s="229"/>
      <c r="T646" s="229"/>
      <c r="U646" s="229"/>
      <c r="V646" s="229"/>
      <c r="W646" s="229"/>
      <c r="X646" s="229"/>
    </row>
    <row r="647" spans="1:24" ht="15.75" hidden="1">
      <c r="A647" s="343"/>
      <c r="B647" s="344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6"/>
      <c r="P647" s="276"/>
      <c r="Q647" s="247">
        <f t="shared" si="16"/>
        <v>0</v>
      </c>
      <c r="R647" s="229"/>
      <c r="S647" s="229"/>
      <c r="T647" s="229"/>
      <c r="U647" s="229"/>
      <c r="V647" s="229"/>
      <c r="W647" s="229"/>
      <c r="X647" s="229"/>
    </row>
    <row r="648" spans="1:24" ht="15.75" hidden="1">
      <c r="A648" s="343"/>
      <c r="B648" s="344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6"/>
      <c r="P648" s="276"/>
      <c r="Q648" s="247">
        <f t="shared" si="16"/>
        <v>0</v>
      </c>
      <c r="R648" s="229"/>
      <c r="S648" s="229"/>
      <c r="T648" s="229"/>
      <c r="U648" s="229"/>
      <c r="V648" s="229"/>
      <c r="W648" s="229"/>
      <c r="X648" s="229"/>
    </row>
    <row r="649" spans="1:24" ht="15.75" hidden="1">
      <c r="A649" s="343"/>
      <c r="B649" s="344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6"/>
      <c r="P649" s="276"/>
      <c r="Q649" s="247">
        <f t="shared" si="16"/>
        <v>0</v>
      </c>
      <c r="R649" s="229"/>
      <c r="S649" s="229"/>
      <c r="T649" s="229"/>
      <c r="U649" s="229"/>
      <c r="V649" s="229"/>
      <c r="W649" s="229"/>
      <c r="X649" s="229"/>
    </row>
    <row r="650" spans="1:24" ht="15.75" hidden="1">
      <c r="A650" s="343"/>
      <c r="B650" s="344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6"/>
      <c r="P650" s="276"/>
      <c r="Q650" s="247">
        <f t="shared" si="16"/>
        <v>0</v>
      </c>
      <c r="R650" s="229"/>
      <c r="S650" s="229"/>
      <c r="T650" s="229"/>
      <c r="U650" s="229"/>
      <c r="V650" s="229"/>
      <c r="W650" s="229"/>
      <c r="X650" s="229"/>
    </row>
    <row r="651" spans="1:24" ht="15.75" hidden="1">
      <c r="A651" s="343"/>
      <c r="B651" s="344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6"/>
      <c r="P651" s="276"/>
      <c r="Q651" s="247">
        <f t="shared" si="16"/>
        <v>0</v>
      </c>
      <c r="R651" s="229"/>
      <c r="S651" s="229"/>
      <c r="T651" s="229"/>
      <c r="U651" s="229"/>
      <c r="V651" s="229"/>
      <c r="W651" s="229"/>
      <c r="X651" s="229"/>
    </row>
    <row r="652" spans="1:24" ht="15.75" hidden="1">
      <c r="A652" s="343"/>
      <c r="B652" s="344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6"/>
      <c r="P652" s="276"/>
      <c r="Q652" s="247">
        <f t="shared" si="16"/>
        <v>0</v>
      </c>
      <c r="R652" s="229"/>
      <c r="S652" s="229"/>
      <c r="T652" s="229"/>
      <c r="U652" s="229"/>
      <c r="V652" s="229"/>
      <c r="W652" s="229"/>
      <c r="X652" s="229"/>
    </row>
    <row r="653" spans="1:24" ht="15.75" hidden="1">
      <c r="A653" s="343"/>
      <c r="B653" s="344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6"/>
      <c r="P653" s="276"/>
      <c r="Q653" s="247">
        <f t="shared" si="16"/>
        <v>0</v>
      </c>
      <c r="R653" s="229"/>
      <c r="S653" s="229"/>
      <c r="T653" s="229"/>
      <c r="U653" s="229"/>
      <c r="V653" s="229"/>
      <c r="W653" s="229"/>
      <c r="X653" s="229"/>
    </row>
    <row r="654" spans="1:24" ht="15.75" hidden="1">
      <c r="A654" s="343"/>
      <c r="B654" s="344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6"/>
      <c r="P654" s="276"/>
      <c r="Q654" s="247">
        <f t="shared" si="16"/>
        <v>0</v>
      </c>
      <c r="R654" s="229"/>
      <c r="S654" s="229"/>
      <c r="T654" s="229"/>
      <c r="U654" s="229"/>
      <c r="V654" s="229"/>
      <c r="W654" s="229"/>
      <c r="X654" s="229"/>
    </row>
    <row r="655" spans="1:24" ht="15.75" hidden="1">
      <c r="A655" s="343"/>
      <c r="B655" s="344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6"/>
      <c r="P655" s="276"/>
      <c r="Q655" s="247">
        <f t="shared" si="16"/>
        <v>0</v>
      </c>
      <c r="R655" s="229"/>
      <c r="S655" s="229"/>
      <c r="T655" s="229"/>
      <c r="U655" s="229"/>
      <c r="V655" s="229"/>
      <c r="W655" s="229"/>
      <c r="X655" s="229"/>
    </row>
    <row r="656" spans="1:24" ht="15.75" hidden="1">
      <c r="A656" s="343"/>
      <c r="B656" s="344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6"/>
      <c r="P656" s="276"/>
      <c r="Q656" s="247">
        <f t="shared" si="16"/>
        <v>0</v>
      </c>
      <c r="R656" s="229"/>
      <c r="S656" s="229"/>
      <c r="T656" s="229"/>
      <c r="U656" s="229"/>
      <c r="V656" s="229"/>
      <c r="W656" s="229"/>
      <c r="X656" s="229"/>
    </row>
    <row r="657" spans="1:24" ht="15.75" hidden="1">
      <c r="A657" s="343"/>
      <c r="B657" s="344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6"/>
      <c r="P657" s="276"/>
      <c r="Q657" s="247">
        <f t="shared" si="16"/>
        <v>0</v>
      </c>
      <c r="R657" s="229"/>
      <c r="S657" s="229"/>
      <c r="T657" s="229"/>
      <c r="U657" s="229"/>
      <c r="V657" s="229"/>
      <c r="W657" s="229"/>
      <c r="X657" s="229"/>
    </row>
    <row r="658" spans="1:24" ht="15.75" hidden="1">
      <c r="A658" s="343"/>
      <c r="B658" s="344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6"/>
      <c r="P658" s="276"/>
      <c r="Q658" s="247">
        <f t="shared" si="16"/>
        <v>0</v>
      </c>
      <c r="R658" s="229"/>
      <c r="S658" s="229"/>
      <c r="T658" s="229"/>
      <c r="U658" s="229"/>
      <c r="V658" s="229"/>
      <c r="W658" s="229"/>
      <c r="X658" s="229"/>
    </row>
    <row r="659" spans="1:24" ht="15.75" hidden="1">
      <c r="A659" s="343"/>
      <c r="B659" s="344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6"/>
      <c r="P659" s="276"/>
      <c r="Q659" s="247">
        <f t="shared" si="16"/>
        <v>0</v>
      </c>
      <c r="R659" s="229"/>
      <c r="S659" s="229"/>
      <c r="T659" s="229"/>
      <c r="U659" s="229"/>
      <c r="V659" s="229"/>
      <c r="W659" s="229"/>
      <c r="X659" s="229"/>
    </row>
    <row r="660" spans="1:24" ht="15.75" hidden="1">
      <c r="A660" s="343"/>
      <c r="B660" s="344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6"/>
      <c r="P660" s="276"/>
      <c r="Q660" s="247">
        <f t="shared" si="16"/>
        <v>0</v>
      </c>
      <c r="R660" s="229"/>
      <c r="S660" s="229"/>
      <c r="T660" s="229"/>
      <c r="U660" s="229"/>
      <c r="V660" s="229"/>
      <c r="W660" s="229"/>
      <c r="X660" s="229"/>
    </row>
    <row r="661" spans="1:24" ht="15.75" hidden="1">
      <c r="A661" s="343"/>
      <c r="B661" s="344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6"/>
      <c r="P661" s="276"/>
      <c r="Q661" s="247">
        <f t="shared" si="16"/>
        <v>0</v>
      </c>
      <c r="R661" s="229"/>
      <c r="S661" s="229"/>
      <c r="T661" s="229"/>
      <c r="U661" s="229"/>
      <c r="V661" s="229"/>
      <c r="W661" s="229"/>
      <c r="X661" s="229"/>
    </row>
    <row r="662" spans="1:24" ht="15.75" hidden="1">
      <c r="A662" s="343"/>
      <c r="B662" s="344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6"/>
      <c r="P662" s="276"/>
      <c r="Q662" s="247">
        <f t="shared" si="16"/>
        <v>0</v>
      </c>
      <c r="R662" s="229"/>
      <c r="S662" s="229"/>
      <c r="T662" s="229"/>
      <c r="U662" s="229"/>
      <c r="V662" s="229"/>
      <c r="W662" s="229"/>
      <c r="X662" s="229"/>
    </row>
    <row r="663" spans="1:24" ht="15.75" hidden="1">
      <c r="A663" s="343"/>
      <c r="B663" s="344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6"/>
      <c r="P663" s="276"/>
      <c r="Q663" s="247">
        <f t="shared" si="16"/>
        <v>0</v>
      </c>
      <c r="R663" s="229"/>
      <c r="S663" s="229"/>
      <c r="T663" s="229"/>
      <c r="U663" s="229"/>
      <c r="V663" s="229"/>
      <c r="W663" s="229"/>
      <c r="X663" s="229"/>
    </row>
    <row r="664" spans="1:24" ht="15.75" hidden="1">
      <c r="A664" s="343"/>
      <c r="B664" s="344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6"/>
      <c r="P664" s="276"/>
      <c r="Q664" s="247">
        <f t="shared" si="16"/>
        <v>0</v>
      </c>
      <c r="R664" s="229"/>
      <c r="S664" s="229"/>
      <c r="T664" s="229"/>
      <c r="U664" s="229"/>
      <c r="V664" s="229"/>
      <c r="W664" s="229"/>
      <c r="X664" s="229"/>
    </row>
    <row r="665" spans="1:24" ht="15.75" hidden="1">
      <c r="A665" s="343"/>
      <c r="B665" s="344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6"/>
      <c r="P665" s="276"/>
      <c r="Q665" s="247">
        <f t="shared" si="16"/>
        <v>0</v>
      </c>
      <c r="R665" s="229"/>
      <c r="S665" s="229"/>
      <c r="T665" s="229"/>
      <c r="U665" s="229"/>
      <c r="V665" s="229"/>
      <c r="W665" s="229"/>
      <c r="X665" s="229"/>
    </row>
    <row r="666" spans="1:24" ht="15.75" hidden="1">
      <c r="A666" s="343"/>
      <c r="B666" s="344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6"/>
      <c r="P666" s="276"/>
      <c r="Q666" s="247">
        <f t="shared" si="16"/>
        <v>0</v>
      </c>
      <c r="R666" s="229"/>
      <c r="S666" s="229"/>
      <c r="T666" s="229"/>
      <c r="U666" s="229"/>
      <c r="V666" s="229"/>
      <c r="W666" s="229"/>
      <c r="X666" s="229"/>
    </row>
    <row r="667" spans="1:24" ht="15.75" hidden="1">
      <c r="A667" s="343"/>
      <c r="B667" s="344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6"/>
      <c r="P667" s="276"/>
      <c r="Q667" s="247">
        <f t="shared" si="16"/>
        <v>0</v>
      </c>
      <c r="R667" s="229"/>
      <c r="S667" s="229"/>
      <c r="T667" s="229"/>
      <c r="U667" s="229"/>
      <c r="V667" s="229"/>
      <c r="W667" s="229"/>
      <c r="X667" s="229"/>
    </row>
    <row r="668" spans="1:24" ht="15.75" hidden="1">
      <c r="A668" s="343"/>
      <c r="B668" s="344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6"/>
      <c r="P668" s="276"/>
      <c r="Q668" s="247">
        <f t="shared" si="16"/>
        <v>0</v>
      </c>
      <c r="R668" s="229"/>
      <c r="S668" s="229"/>
      <c r="T668" s="229"/>
      <c r="U668" s="229"/>
      <c r="V668" s="229"/>
      <c r="W668" s="229"/>
      <c r="X668" s="229"/>
    </row>
    <row r="669" spans="1:24" ht="15.75" hidden="1">
      <c r="A669" s="343"/>
      <c r="B669" s="344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6"/>
      <c r="P669" s="276"/>
      <c r="Q669" s="247">
        <f t="shared" si="16"/>
        <v>0</v>
      </c>
      <c r="R669" s="229"/>
      <c r="S669" s="229"/>
      <c r="T669" s="229"/>
      <c r="U669" s="229"/>
      <c r="V669" s="229"/>
      <c r="W669" s="229"/>
      <c r="X669" s="229"/>
    </row>
    <row r="670" spans="1:24" ht="15.75" hidden="1">
      <c r="A670" s="343"/>
      <c r="B670" s="344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6"/>
      <c r="P670" s="276"/>
      <c r="Q670" s="247">
        <f t="shared" si="16"/>
        <v>0</v>
      </c>
      <c r="R670" s="229"/>
      <c r="S670" s="229"/>
      <c r="T670" s="229"/>
      <c r="U670" s="229"/>
      <c r="V670" s="229"/>
      <c r="W670" s="229"/>
      <c r="X670" s="229"/>
    </row>
    <row r="671" spans="1:24" ht="15.75" hidden="1">
      <c r="A671" s="343"/>
      <c r="B671" s="344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6"/>
      <c r="P671" s="276"/>
      <c r="Q671" s="247">
        <f t="shared" si="16"/>
        <v>0</v>
      </c>
      <c r="R671" s="229"/>
      <c r="S671" s="229"/>
      <c r="T671" s="229"/>
      <c r="U671" s="229"/>
      <c r="V671" s="229"/>
      <c r="W671" s="229"/>
      <c r="X671" s="229"/>
    </row>
    <row r="672" spans="1:24" ht="15.75" hidden="1">
      <c r="A672" s="343"/>
      <c r="B672" s="344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6"/>
      <c r="P672" s="276"/>
      <c r="Q672" s="247">
        <f t="shared" si="16"/>
        <v>0</v>
      </c>
      <c r="R672" s="229"/>
      <c r="S672" s="229"/>
      <c r="T672" s="229"/>
      <c r="U672" s="229"/>
      <c r="V672" s="229"/>
      <c r="W672" s="229"/>
      <c r="X672" s="229"/>
    </row>
    <row r="673" spans="1:24" ht="15.75" hidden="1">
      <c r="A673" s="343"/>
      <c r="B673" s="344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6"/>
      <c r="P673" s="276"/>
      <c r="Q673" s="247">
        <f t="shared" si="16"/>
        <v>0</v>
      </c>
      <c r="R673" s="229"/>
      <c r="S673" s="229"/>
      <c r="T673" s="229"/>
      <c r="U673" s="229"/>
      <c r="V673" s="229"/>
      <c r="W673" s="229"/>
      <c r="X673" s="229"/>
    </row>
    <row r="674" spans="1:24" ht="15.75" hidden="1">
      <c r="A674" s="343"/>
      <c r="B674" s="344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6"/>
      <c r="P674" s="276"/>
      <c r="Q674" s="247">
        <f t="shared" si="16"/>
        <v>0</v>
      </c>
      <c r="R674" s="229"/>
      <c r="S674" s="229"/>
      <c r="T674" s="229"/>
      <c r="U674" s="229"/>
      <c r="V674" s="229"/>
      <c r="W674" s="229"/>
      <c r="X674" s="229"/>
    </row>
    <row r="675" spans="1:24" ht="15.75" hidden="1">
      <c r="A675" s="343"/>
      <c r="B675" s="344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6"/>
      <c r="P675" s="276"/>
      <c r="Q675" s="247">
        <f t="shared" si="16"/>
        <v>0</v>
      </c>
      <c r="R675" s="229"/>
      <c r="S675" s="229"/>
      <c r="T675" s="229"/>
      <c r="U675" s="229"/>
      <c r="V675" s="229"/>
      <c r="W675" s="229"/>
      <c r="X675" s="229"/>
    </row>
    <row r="676" spans="1:24" ht="15.75" hidden="1">
      <c r="A676" s="343"/>
      <c r="B676" s="344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6"/>
      <c r="P676" s="276"/>
      <c r="Q676" s="247">
        <f t="shared" si="16"/>
        <v>0</v>
      </c>
      <c r="R676" s="229"/>
      <c r="S676" s="229"/>
      <c r="T676" s="229"/>
      <c r="U676" s="229"/>
      <c r="V676" s="229"/>
      <c r="W676" s="229"/>
      <c r="X676" s="229"/>
    </row>
    <row r="677" spans="1:24" ht="15.75" hidden="1">
      <c r="A677" s="343"/>
      <c r="B677" s="344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6"/>
      <c r="P677" s="276"/>
      <c r="Q677" s="247">
        <f t="shared" si="16"/>
        <v>0</v>
      </c>
      <c r="R677" s="229"/>
      <c r="S677" s="229"/>
      <c r="T677" s="229"/>
      <c r="U677" s="229"/>
      <c r="V677" s="229"/>
      <c r="W677" s="229"/>
      <c r="X677" s="229"/>
    </row>
    <row r="678" spans="1:24" ht="15.75" hidden="1">
      <c r="A678" s="343"/>
      <c r="B678" s="344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6"/>
      <c r="P678" s="276"/>
      <c r="Q678" s="247">
        <f t="shared" si="16"/>
        <v>0</v>
      </c>
      <c r="R678" s="229"/>
      <c r="S678" s="229"/>
      <c r="T678" s="229"/>
      <c r="U678" s="229"/>
      <c r="V678" s="229"/>
      <c r="W678" s="229"/>
      <c r="X678" s="229"/>
    </row>
    <row r="679" spans="1:24" ht="15.75" hidden="1">
      <c r="A679" s="343"/>
      <c r="B679" s="344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6"/>
      <c r="P679" s="276"/>
      <c r="Q679" s="247">
        <f t="shared" si="16"/>
        <v>0</v>
      </c>
      <c r="R679" s="229"/>
      <c r="S679" s="229"/>
      <c r="T679" s="229"/>
      <c r="U679" s="229"/>
      <c r="V679" s="229"/>
      <c r="W679" s="229"/>
      <c r="X679" s="229"/>
    </row>
    <row r="680" spans="1:24" ht="15.75" hidden="1">
      <c r="A680" s="343"/>
      <c r="B680" s="344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6"/>
      <c r="P680" s="276"/>
      <c r="Q680" s="247">
        <f t="shared" si="16"/>
        <v>0</v>
      </c>
      <c r="R680" s="229"/>
      <c r="S680" s="229"/>
      <c r="T680" s="229"/>
      <c r="U680" s="229"/>
      <c r="V680" s="229"/>
      <c r="W680" s="229"/>
      <c r="X680" s="229"/>
    </row>
    <row r="681" spans="1:24" ht="15.75" hidden="1">
      <c r="A681" s="343"/>
      <c r="B681" s="344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6"/>
      <c r="P681" s="276"/>
      <c r="Q681" s="247">
        <f t="shared" si="16"/>
        <v>0</v>
      </c>
      <c r="R681" s="229"/>
      <c r="S681" s="229"/>
      <c r="T681" s="229"/>
      <c r="U681" s="229"/>
      <c r="V681" s="229"/>
      <c r="W681" s="229"/>
      <c r="X681" s="229"/>
    </row>
    <row r="682" spans="1:24" ht="15.75" hidden="1">
      <c r="A682" s="343"/>
      <c r="B682" s="344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6"/>
      <c r="P682" s="276"/>
      <c r="Q682" s="247">
        <f t="shared" si="16"/>
        <v>0</v>
      </c>
      <c r="R682" s="229"/>
      <c r="S682" s="229"/>
      <c r="T682" s="229"/>
      <c r="U682" s="229"/>
      <c r="V682" s="229"/>
      <c r="W682" s="229"/>
      <c r="X682" s="229"/>
    </row>
    <row r="683" spans="1:24" ht="15.75" hidden="1">
      <c r="A683" s="343"/>
      <c r="B683" s="344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6"/>
      <c r="P683" s="276"/>
      <c r="Q683" s="247">
        <f t="shared" si="16"/>
        <v>0</v>
      </c>
      <c r="R683" s="229"/>
      <c r="S683" s="229"/>
      <c r="T683" s="229"/>
      <c r="U683" s="229"/>
      <c r="V683" s="229"/>
      <c r="W683" s="229"/>
      <c r="X683" s="229"/>
    </row>
    <row r="684" spans="1:24" ht="15.75" hidden="1">
      <c r="A684" s="343"/>
      <c r="B684" s="344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6"/>
      <c r="P684" s="276"/>
      <c r="Q684" s="247">
        <f t="shared" si="16"/>
        <v>0</v>
      </c>
      <c r="R684" s="229"/>
      <c r="S684" s="229"/>
      <c r="T684" s="229"/>
      <c r="U684" s="229"/>
      <c r="V684" s="229"/>
      <c r="W684" s="229"/>
      <c r="X684" s="229"/>
    </row>
    <row r="685" spans="1:24" ht="15.75" hidden="1">
      <c r="A685" s="343"/>
      <c r="B685" s="344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6"/>
      <c r="P685" s="276"/>
      <c r="Q685" s="247">
        <f t="shared" si="16"/>
        <v>0</v>
      </c>
      <c r="R685" s="229"/>
      <c r="S685" s="229"/>
      <c r="T685" s="229"/>
      <c r="U685" s="229"/>
      <c r="V685" s="229"/>
      <c r="W685" s="229"/>
      <c r="X685" s="229"/>
    </row>
    <row r="686" spans="1:24" ht="15.75" hidden="1">
      <c r="A686" s="343"/>
      <c r="B686" s="344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6"/>
      <c r="P686" s="276"/>
      <c r="Q686" s="247">
        <f t="shared" si="16"/>
        <v>0</v>
      </c>
      <c r="R686" s="229"/>
      <c r="S686" s="229"/>
      <c r="T686" s="229"/>
      <c r="U686" s="229"/>
      <c r="V686" s="229"/>
      <c r="W686" s="229"/>
      <c r="X686" s="229"/>
    </row>
    <row r="687" spans="1:24" ht="15.75" hidden="1">
      <c r="A687" s="343"/>
      <c r="B687" s="344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6"/>
      <c r="P687" s="276"/>
      <c r="Q687" s="247">
        <f t="shared" si="16"/>
        <v>0</v>
      </c>
      <c r="R687" s="229"/>
      <c r="S687" s="229"/>
      <c r="T687" s="229"/>
      <c r="U687" s="229"/>
      <c r="V687" s="229"/>
      <c r="W687" s="229"/>
      <c r="X687" s="229"/>
    </row>
    <row r="688" spans="1:24" ht="15.75" hidden="1">
      <c r="A688" s="343"/>
      <c r="B688" s="344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6"/>
      <c r="P688" s="276"/>
      <c r="Q688" s="247">
        <f t="shared" si="16"/>
        <v>0</v>
      </c>
      <c r="R688" s="229"/>
      <c r="S688" s="229"/>
      <c r="T688" s="229"/>
      <c r="U688" s="229"/>
      <c r="V688" s="229"/>
      <c r="W688" s="229"/>
      <c r="X688" s="229"/>
    </row>
    <row r="689" spans="1:24" ht="15.75" hidden="1">
      <c r="A689" s="343"/>
      <c r="B689" s="344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6"/>
      <c r="P689" s="276"/>
      <c r="Q689" s="247">
        <f t="shared" si="16"/>
        <v>0</v>
      </c>
      <c r="R689" s="229"/>
      <c r="S689" s="229"/>
      <c r="T689" s="229"/>
      <c r="U689" s="229"/>
      <c r="V689" s="229"/>
      <c r="W689" s="229"/>
      <c r="X689" s="229"/>
    </row>
    <row r="690" spans="1:24" ht="15.75" hidden="1">
      <c r="A690" s="343"/>
      <c r="B690" s="344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6"/>
      <c r="P690" s="276"/>
      <c r="Q690" s="247">
        <f t="shared" si="16"/>
        <v>0</v>
      </c>
      <c r="R690" s="229"/>
      <c r="S690" s="229"/>
      <c r="T690" s="229"/>
      <c r="U690" s="229"/>
      <c r="V690" s="229"/>
      <c r="W690" s="229"/>
      <c r="X690" s="229"/>
    </row>
    <row r="691" spans="1:24" ht="15.75" hidden="1">
      <c r="A691" s="343"/>
      <c r="B691" s="344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6"/>
      <c r="P691" s="276"/>
      <c r="Q691" s="247">
        <f t="shared" si="16"/>
        <v>0</v>
      </c>
      <c r="R691" s="229"/>
      <c r="S691" s="229"/>
      <c r="T691" s="229"/>
      <c r="U691" s="229"/>
      <c r="V691" s="229"/>
      <c r="W691" s="229"/>
      <c r="X691" s="229"/>
    </row>
    <row r="692" spans="1:24" ht="15.75" hidden="1">
      <c r="A692" s="343"/>
      <c r="B692" s="344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6"/>
      <c r="P692" s="276"/>
      <c r="Q692" s="247">
        <f t="shared" si="16"/>
        <v>0</v>
      </c>
      <c r="R692" s="229"/>
      <c r="S692" s="229"/>
      <c r="T692" s="229"/>
      <c r="U692" s="229"/>
      <c r="V692" s="229"/>
      <c r="W692" s="229"/>
      <c r="X692" s="229"/>
    </row>
    <row r="693" spans="1:24" ht="15.75" hidden="1">
      <c r="A693" s="343"/>
      <c r="B693" s="344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6"/>
      <c r="P693" s="276"/>
      <c r="Q693" s="247">
        <f t="shared" si="16"/>
        <v>0</v>
      </c>
      <c r="R693" s="229"/>
      <c r="S693" s="229"/>
      <c r="T693" s="229"/>
      <c r="U693" s="229"/>
      <c r="V693" s="229"/>
      <c r="W693" s="229"/>
      <c r="X693" s="229"/>
    </row>
    <row r="694" spans="1:24" ht="15.75" hidden="1">
      <c r="A694" s="343"/>
      <c r="B694" s="344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6"/>
      <c r="P694" s="276"/>
      <c r="Q694" s="247">
        <f t="shared" si="16"/>
        <v>0</v>
      </c>
      <c r="R694" s="229"/>
      <c r="S694" s="229"/>
      <c r="T694" s="229"/>
      <c r="U694" s="229"/>
      <c r="V694" s="229"/>
      <c r="W694" s="229"/>
      <c r="X694" s="229"/>
    </row>
    <row r="695" spans="1:24" ht="15.75" hidden="1">
      <c r="A695" s="343"/>
      <c r="B695" s="344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6"/>
      <c r="P695" s="276"/>
      <c r="Q695" s="247">
        <f t="shared" si="16"/>
        <v>0</v>
      </c>
      <c r="R695" s="229"/>
      <c r="S695" s="229"/>
      <c r="T695" s="229"/>
      <c r="U695" s="229"/>
      <c r="V695" s="229"/>
      <c r="W695" s="229"/>
      <c r="X695" s="229"/>
    </row>
    <row r="696" spans="1:24" ht="15.75" hidden="1">
      <c r="A696" s="343"/>
      <c r="B696" s="344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6"/>
      <c r="P696" s="276"/>
      <c r="Q696" s="247">
        <f t="shared" si="16"/>
        <v>0</v>
      </c>
      <c r="R696" s="229"/>
      <c r="S696" s="229"/>
      <c r="T696" s="229"/>
      <c r="U696" s="229"/>
      <c r="V696" s="229"/>
      <c r="W696" s="229"/>
      <c r="X696" s="229"/>
    </row>
    <row r="697" spans="1:24" ht="15.75" hidden="1">
      <c r="A697" s="343"/>
      <c r="B697" s="344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6"/>
      <c r="P697" s="276"/>
      <c r="Q697" s="247">
        <f t="shared" si="16"/>
        <v>0</v>
      </c>
      <c r="R697" s="229"/>
      <c r="S697" s="229"/>
      <c r="T697" s="229"/>
      <c r="U697" s="229"/>
      <c r="V697" s="229"/>
      <c r="W697" s="229"/>
      <c r="X697" s="229"/>
    </row>
    <row r="698" spans="1:24" ht="15.75" hidden="1">
      <c r="A698" s="343"/>
      <c r="B698" s="344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6"/>
      <c r="P698" s="276"/>
      <c r="Q698" s="247">
        <f t="shared" si="16"/>
        <v>0</v>
      </c>
      <c r="R698" s="229"/>
      <c r="S698" s="229"/>
      <c r="T698" s="229"/>
      <c r="U698" s="229"/>
      <c r="V698" s="229"/>
      <c r="W698" s="229"/>
      <c r="X698" s="229"/>
    </row>
    <row r="699" spans="1:24" ht="15.75" hidden="1">
      <c r="A699" s="343"/>
      <c r="B699" s="344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6"/>
      <c r="P699" s="276"/>
      <c r="Q699" s="247">
        <f t="shared" si="16"/>
        <v>0</v>
      </c>
      <c r="R699" s="229"/>
      <c r="S699" s="229"/>
      <c r="T699" s="229"/>
      <c r="U699" s="229"/>
      <c r="V699" s="229"/>
      <c r="W699" s="229"/>
      <c r="X699" s="229"/>
    </row>
    <row r="700" spans="1:24" ht="15.75" hidden="1">
      <c r="A700" s="343"/>
      <c r="B700" s="344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6"/>
      <c r="P700" s="276"/>
      <c r="Q700" s="247">
        <f t="shared" si="16"/>
        <v>0</v>
      </c>
      <c r="R700" s="229"/>
      <c r="S700" s="229"/>
      <c r="T700" s="229"/>
      <c r="U700" s="229"/>
      <c r="V700" s="229"/>
      <c r="W700" s="229"/>
      <c r="X700" s="229"/>
    </row>
    <row r="701" spans="1:24" ht="15.75" hidden="1">
      <c r="A701" s="343"/>
      <c r="B701" s="344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6"/>
      <c r="P701" s="276"/>
      <c r="Q701" s="247">
        <f t="shared" si="16"/>
        <v>0</v>
      </c>
      <c r="R701" s="229"/>
      <c r="S701" s="229"/>
      <c r="T701" s="229"/>
      <c r="U701" s="229"/>
      <c r="V701" s="229"/>
      <c r="W701" s="229"/>
      <c r="X701" s="229"/>
    </row>
    <row r="702" spans="1:24" ht="15.75" hidden="1">
      <c r="A702" s="343"/>
      <c r="B702" s="344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6"/>
      <c r="P702" s="276"/>
      <c r="Q702" s="247">
        <f t="shared" si="16"/>
        <v>0</v>
      </c>
      <c r="R702" s="229"/>
      <c r="S702" s="229"/>
      <c r="T702" s="229"/>
      <c r="U702" s="229"/>
      <c r="V702" s="229"/>
      <c r="W702" s="229"/>
      <c r="X702" s="229"/>
    </row>
    <row r="703" spans="1:24" ht="15.75" hidden="1">
      <c r="A703" s="343"/>
      <c r="B703" s="344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6"/>
      <c r="P703" s="276"/>
      <c r="Q703" s="247">
        <f t="shared" si="16"/>
        <v>0</v>
      </c>
      <c r="R703" s="229"/>
      <c r="S703" s="229"/>
      <c r="T703" s="229"/>
      <c r="U703" s="229"/>
      <c r="V703" s="229"/>
      <c r="W703" s="229"/>
      <c r="X703" s="229"/>
    </row>
    <row r="704" spans="1:24" ht="15.75" hidden="1">
      <c r="A704" s="343"/>
      <c r="B704" s="344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6"/>
      <c r="P704" s="276"/>
      <c r="Q704" s="247">
        <f t="shared" si="16"/>
        <v>0</v>
      </c>
      <c r="R704" s="229"/>
      <c r="S704" s="229"/>
      <c r="T704" s="229"/>
      <c r="U704" s="229"/>
      <c r="V704" s="229"/>
      <c r="W704" s="229"/>
      <c r="X704" s="229"/>
    </row>
    <row r="705" spans="1:24" ht="15.75" hidden="1">
      <c r="A705" s="343"/>
      <c r="B705" s="344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6"/>
      <c r="P705" s="276"/>
      <c r="Q705" s="247">
        <f t="shared" si="16"/>
        <v>0</v>
      </c>
      <c r="R705" s="229"/>
      <c r="S705" s="229"/>
      <c r="T705" s="229"/>
      <c r="U705" s="229"/>
      <c r="V705" s="229"/>
      <c r="W705" s="229"/>
      <c r="X705" s="229"/>
    </row>
    <row r="706" spans="1:24" ht="15.75" hidden="1">
      <c r="A706" s="343"/>
      <c r="B706" s="344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6"/>
      <c r="P706" s="276"/>
      <c r="Q706" s="247">
        <f t="shared" si="16"/>
        <v>0</v>
      </c>
      <c r="R706" s="229"/>
      <c r="S706" s="229"/>
      <c r="T706" s="229"/>
      <c r="U706" s="229"/>
      <c r="V706" s="229"/>
      <c r="W706" s="229"/>
      <c r="X706" s="229"/>
    </row>
    <row r="707" spans="1:24" ht="15.75" hidden="1">
      <c r="A707" s="343"/>
      <c r="B707" s="344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6"/>
      <c r="P707" s="276"/>
      <c r="Q707" s="247">
        <f t="shared" si="16"/>
        <v>0</v>
      </c>
      <c r="R707" s="229"/>
      <c r="S707" s="229"/>
      <c r="T707" s="229"/>
      <c r="U707" s="229"/>
      <c r="V707" s="229"/>
      <c r="W707" s="229"/>
      <c r="X707" s="229"/>
    </row>
    <row r="708" spans="1:24" ht="15.75" hidden="1">
      <c r="A708" s="343"/>
      <c r="B708" s="344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6"/>
      <c r="P708" s="276"/>
      <c r="Q708" s="247">
        <f t="shared" si="16"/>
        <v>0</v>
      </c>
      <c r="R708" s="229"/>
      <c r="S708" s="229"/>
      <c r="T708" s="229"/>
      <c r="U708" s="229"/>
      <c r="V708" s="229"/>
      <c r="W708" s="229"/>
      <c r="X708" s="229"/>
    </row>
    <row r="709" spans="1:24" ht="15.75" hidden="1">
      <c r="A709" s="343"/>
      <c r="B709" s="344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6"/>
      <c r="P709" s="276"/>
      <c r="Q709" s="247">
        <f t="shared" si="16"/>
        <v>0</v>
      </c>
      <c r="R709" s="229"/>
      <c r="S709" s="229"/>
      <c r="T709" s="229"/>
      <c r="U709" s="229"/>
      <c r="V709" s="229"/>
      <c r="W709" s="229"/>
      <c r="X709" s="229"/>
    </row>
    <row r="710" spans="1:24" ht="15.75" hidden="1">
      <c r="A710" s="343"/>
      <c r="B710" s="344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6"/>
      <c r="P710" s="276"/>
      <c r="Q710" s="247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9"/>
      <c r="S710" s="229"/>
      <c r="T710" s="229"/>
      <c r="U710" s="229"/>
      <c r="V710" s="229"/>
      <c r="W710" s="229"/>
      <c r="X710" s="229"/>
    </row>
    <row r="711" spans="1:24" ht="15.75" hidden="1">
      <c r="A711" s="343"/>
      <c r="B711" s="344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6"/>
      <c r="P711" s="276"/>
      <c r="Q711" s="247">
        <f t="shared" si="17"/>
        <v>0</v>
      </c>
      <c r="R711" s="229"/>
      <c r="S711" s="229"/>
      <c r="T711" s="229"/>
      <c r="U711" s="229"/>
      <c r="V711" s="229"/>
      <c r="W711" s="229"/>
      <c r="X711" s="229"/>
    </row>
    <row r="712" spans="1:24" ht="15.75" hidden="1">
      <c r="A712" s="343"/>
      <c r="B712" s="344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6"/>
      <c r="P712" s="276"/>
      <c r="Q712" s="247">
        <f t="shared" si="17"/>
        <v>0</v>
      </c>
      <c r="R712" s="229"/>
      <c r="S712" s="229"/>
      <c r="T712" s="229"/>
      <c r="U712" s="229"/>
      <c r="V712" s="229"/>
      <c r="W712" s="229"/>
      <c r="X712" s="229"/>
    </row>
    <row r="713" spans="1:24" ht="15.75" hidden="1">
      <c r="A713" s="343"/>
      <c r="B713" s="344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6"/>
      <c r="P713" s="276"/>
      <c r="Q713" s="247">
        <f t="shared" si="17"/>
        <v>0</v>
      </c>
      <c r="R713" s="229"/>
      <c r="S713" s="229"/>
      <c r="T713" s="229"/>
      <c r="U713" s="229"/>
      <c r="V713" s="229"/>
      <c r="W713" s="229"/>
      <c r="X713" s="229"/>
    </row>
    <row r="714" spans="1:24" ht="15.75" hidden="1">
      <c r="A714" s="343"/>
      <c r="B714" s="344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6"/>
      <c r="P714" s="276"/>
      <c r="Q714" s="247">
        <f t="shared" si="17"/>
        <v>0</v>
      </c>
      <c r="R714" s="229"/>
      <c r="S714" s="229"/>
      <c r="T714" s="229"/>
      <c r="U714" s="229"/>
      <c r="V714" s="229"/>
      <c r="W714" s="229"/>
      <c r="X714" s="229"/>
    </row>
    <row r="715" spans="1:24" ht="15.75" hidden="1">
      <c r="A715" s="343"/>
      <c r="B715" s="344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6"/>
      <c r="P715" s="276"/>
      <c r="Q715" s="247">
        <f t="shared" si="17"/>
        <v>0</v>
      </c>
      <c r="R715" s="229"/>
      <c r="S715" s="229"/>
      <c r="T715" s="229"/>
      <c r="U715" s="229"/>
      <c r="V715" s="229"/>
      <c r="W715" s="229"/>
      <c r="X715" s="229"/>
    </row>
    <row r="716" spans="1:24" ht="15.75" hidden="1">
      <c r="A716" s="343"/>
      <c r="B716" s="344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6"/>
      <c r="P716" s="276"/>
      <c r="Q716" s="247">
        <f t="shared" si="17"/>
        <v>0</v>
      </c>
      <c r="R716" s="229"/>
      <c r="S716" s="229"/>
      <c r="T716" s="229"/>
      <c r="U716" s="229"/>
      <c r="V716" s="229"/>
      <c r="W716" s="229"/>
      <c r="X716" s="229"/>
    </row>
    <row r="717" spans="1:24" ht="15.75" hidden="1">
      <c r="A717" s="343"/>
      <c r="B717" s="344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6"/>
      <c r="P717" s="276"/>
      <c r="Q717" s="247">
        <f t="shared" si="17"/>
        <v>0</v>
      </c>
      <c r="R717" s="229"/>
      <c r="S717" s="229"/>
      <c r="T717" s="229"/>
      <c r="U717" s="229"/>
      <c r="V717" s="229"/>
      <c r="W717" s="229"/>
      <c r="X717" s="229"/>
    </row>
    <row r="718" spans="1:24" ht="15.75" hidden="1">
      <c r="A718" s="343"/>
      <c r="B718" s="344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6"/>
      <c r="P718" s="276"/>
      <c r="Q718" s="247">
        <f t="shared" si="17"/>
        <v>0</v>
      </c>
      <c r="R718" s="229"/>
      <c r="S718" s="229"/>
      <c r="T718" s="229"/>
      <c r="U718" s="229"/>
      <c r="V718" s="229"/>
      <c r="W718" s="229"/>
      <c r="X718" s="229"/>
    </row>
    <row r="719" spans="1:24" ht="15.75" hidden="1">
      <c r="A719" s="343"/>
      <c r="B719" s="344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6"/>
      <c r="P719" s="276"/>
      <c r="Q719" s="247">
        <f t="shared" si="17"/>
        <v>0</v>
      </c>
      <c r="R719" s="229"/>
      <c r="S719" s="229"/>
      <c r="T719" s="229"/>
      <c r="U719" s="229"/>
      <c r="V719" s="229"/>
      <c r="W719" s="229"/>
      <c r="X719" s="229"/>
    </row>
    <row r="720" spans="1:24" ht="15.75" hidden="1">
      <c r="A720" s="343"/>
      <c r="B720" s="344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6"/>
      <c r="P720" s="276"/>
      <c r="Q720" s="247">
        <f t="shared" si="17"/>
        <v>0</v>
      </c>
      <c r="R720" s="229"/>
      <c r="S720" s="229"/>
      <c r="T720" s="229"/>
      <c r="U720" s="229"/>
      <c r="V720" s="229"/>
      <c r="W720" s="229"/>
      <c r="X720" s="229"/>
    </row>
    <row r="721" spans="1:24" ht="15.75" hidden="1">
      <c r="A721" s="343"/>
      <c r="B721" s="344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6"/>
      <c r="P721" s="276"/>
      <c r="Q721" s="247">
        <f t="shared" si="17"/>
        <v>0</v>
      </c>
      <c r="R721" s="229"/>
      <c r="S721" s="229"/>
      <c r="T721" s="229"/>
      <c r="U721" s="229"/>
      <c r="V721" s="229"/>
      <c r="W721" s="229"/>
      <c r="X721" s="229"/>
    </row>
    <row r="722" spans="1:24" ht="15.75" hidden="1">
      <c r="A722" s="343"/>
      <c r="B722" s="344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6"/>
      <c r="P722" s="276"/>
      <c r="Q722" s="247">
        <f t="shared" si="17"/>
        <v>0</v>
      </c>
      <c r="R722" s="229"/>
      <c r="S722" s="229"/>
      <c r="T722" s="229"/>
      <c r="U722" s="229"/>
      <c r="V722" s="229"/>
      <c r="W722" s="229"/>
      <c r="X722" s="229"/>
    </row>
    <row r="723" spans="1:24" ht="15.75" hidden="1">
      <c r="A723" s="343"/>
      <c r="B723" s="344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6"/>
      <c r="P723" s="276"/>
      <c r="Q723" s="247">
        <f t="shared" si="17"/>
        <v>0</v>
      </c>
      <c r="R723" s="229"/>
      <c r="S723" s="229"/>
      <c r="T723" s="229"/>
      <c r="U723" s="229"/>
      <c r="V723" s="229"/>
      <c r="W723" s="229"/>
      <c r="X723" s="229"/>
    </row>
    <row r="724" spans="1:24" ht="15.75" hidden="1">
      <c r="A724" s="343"/>
      <c r="B724" s="344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6"/>
      <c r="P724" s="276"/>
      <c r="Q724" s="247">
        <f t="shared" si="17"/>
        <v>0</v>
      </c>
      <c r="R724" s="229"/>
      <c r="S724" s="229"/>
      <c r="T724" s="229"/>
      <c r="U724" s="229"/>
      <c r="V724" s="229"/>
      <c r="W724" s="229"/>
      <c r="X724" s="229"/>
    </row>
    <row r="725" spans="1:24" ht="15.75" hidden="1">
      <c r="A725" s="343"/>
      <c r="B725" s="344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6"/>
      <c r="P725" s="276"/>
      <c r="Q725" s="247">
        <f t="shared" si="17"/>
        <v>0</v>
      </c>
      <c r="R725" s="229"/>
      <c r="S725" s="229"/>
      <c r="T725" s="229"/>
      <c r="U725" s="229"/>
      <c r="V725" s="229"/>
      <c r="W725" s="229"/>
      <c r="X725" s="229"/>
    </row>
    <row r="726" spans="1:24" ht="15.75" hidden="1">
      <c r="A726" s="343"/>
      <c r="B726" s="344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6"/>
      <c r="P726" s="276"/>
      <c r="Q726" s="247">
        <f t="shared" si="17"/>
        <v>0</v>
      </c>
      <c r="R726" s="229"/>
      <c r="S726" s="229"/>
      <c r="T726" s="229"/>
      <c r="U726" s="229"/>
      <c r="V726" s="229"/>
      <c r="W726" s="229"/>
      <c r="X726" s="229"/>
    </row>
    <row r="727" spans="1:24" ht="15.75" hidden="1">
      <c r="A727" s="343"/>
      <c r="B727" s="344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6"/>
      <c r="P727" s="276"/>
      <c r="Q727" s="247">
        <f t="shared" si="17"/>
        <v>0</v>
      </c>
      <c r="R727" s="229"/>
      <c r="S727" s="229"/>
      <c r="T727" s="229"/>
      <c r="U727" s="229"/>
      <c r="V727" s="229"/>
      <c r="W727" s="229"/>
      <c r="X727" s="229"/>
    </row>
    <row r="728" spans="1:24" ht="15.75" hidden="1">
      <c r="A728" s="343"/>
      <c r="B728" s="344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6"/>
      <c r="P728" s="276"/>
      <c r="Q728" s="247">
        <f t="shared" si="17"/>
        <v>0</v>
      </c>
      <c r="R728" s="229"/>
      <c r="S728" s="229"/>
      <c r="T728" s="229"/>
      <c r="U728" s="229"/>
      <c r="V728" s="229"/>
      <c r="W728" s="229"/>
      <c r="X728" s="229"/>
    </row>
    <row r="729" spans="1:24" ht="15.75" hidden="1">
      <c r="A729" s="343"/>
      <c r="B729" s="344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6"/>
      <c r="P729" s="276"/>
      <c r="Q729" s="247">
        <f t="shared" si="17"/>
        <v>0</v>
      </c>
      <c r="R729" s="229"/>
      <c r="S729" s="229"/>
      <c r="T729" s="229"/>
      <c r="U729" s="229"/>
      <c r="V729" s="229"/>
      <c r="W729" s="229"/>
      <c r="X729" s="229"/>
    </row>
    <row r="730" spans="1:24" ht="15.75" hidden="1">
      <c r="A730" s="343"/>
      <c r="B730" s="344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6"/>
      <c r="P730" s="276"/>
      <c r="Q730" s="247">
        <f t="shared" si="17"/>
        <v>0</v>
      </c>
      <c r="R730" s="229"/>
      <c r="S730" s="229"/>
      <c r="T730" s="229"/>
      <c r="U730" s="229"/>
      <c r="V730" s="229"/>
      <c r="W730" s="229"/>
      <c r="X730" s="229"/>
    </row>
    <row r="731" spans="1:24" ht="15.75" hidden="1">
      <c r="A731" s="343"/>
      <c r="B731" s="344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6"/>
      <c r="P731" s="276"/>
      <c r="Q731" s="247">
        <f t="shared" si="17"/>
        <v>0</v>
      </c>
      <c r="R731" s="229"/>
      <c r="S731" s="229"/>
      <c r="T731" s="229"/>
      <c r="U731" s="229"/>
      <c r="V731" s="229"/>
      <c r="W731" s="229"/>
      <c r="X731" s="229"/>
    </row>
    <row r="732" spans="1:24" ht="15.75" hidden="1">
      <c r="A732" s="343"/>
      <c r="B732" s="344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6"/>
      <c r="P732" s="276"/>
      <c r="Q732" s="247">
        <f t="shared" si="17"/>
        <v>0</v>
      </c>
      <c r="R732" s="229"/>
      <c r="S732" s="229"/>
      <c r="T732" s="229"/>
      <c r="U732" s="229"/>
      <c r="V732" s="229"/>
      <c r="W732" s="229"/>
      <c r="X732" s="229"/>
    </row>
    <row r="733" spans="1:24" ht="15.75" hidden="1">
      <c r="A733" s="343"/>
      <c r="B733" s="344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6"/>
      <c r="P733" s="276"/>
      <c r="Q733" s="247">
        <f t="shared" si="17"/>
        <v>0</v>
      </c>
      <c r="R733" s="229"/>
      <c r="S733" s="229"/>
      <c r="T733" s="229"/>
      <c r="U733" s="229"/>
      <c r="V733" s="229"/>
      <c r="W733" s="229"/>
      <c r="X733" s="229"/>
    </row>
    <row r="734" spans="1:24" ht="15.75" hidden="1">
      <c r="A734" s="343"/>
      <c r="B734" s="344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6"/>
      <c r="P734" s="276"/>
      <c r="Q734" s="247">
        <f t="shared" si="17"/>
        <v>0</v>
      </c>
      <c r="R734" s="229"/>
      <c r="S734" s="229"/>
      <c r="T734" s="229"/>
      <c r="U734" s="229"/>
      <c r="V734" s="229"/>
      <c r="W734" s="229"/>
      <c r="X734" s="229"/>
    </row>
    <row r="735" spans="1:24" ht="15.75" hidden="1">
      <c r="A735" s="343"/>
      <c r="B735" s="344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6"/>
      <c r="P735" s="276"/>
      <c r="Q735" s="247">
        <f t="shared" si="17"/>
        <v>0</v>
      </c>
      <c r="R735" s="229"/>
      <c r="S735" s="229"/>
      <c r="T735" s="229"/>
      <c r="U735" s="229"/>
      <c r="V735" s="229"/>
      <c r="W735" s="229"/>
      <c r="X735" s="229"/>
    </row>
    <row r="736" spans="1:24" ht="15.75" hidden="1">
      <c r="A736" s="343"/>
      <c r="B736" s="344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6"/>
      <c r="P736" s="276"/>
      <c r="Q736" s="247">
        <f t="shared" si="17"/>
        <v>0</v>
      </c>
      <c r="R736" s="229"/>
      <c r="S736" s="229"/>
      <c r="T736" s="229"/>
      <c r="U736" s="229"/>
      <c r="V736" s="229"/>
      <c r="W736" s="229"/>
      <c r="X736" s="229"/>
    </row>
    <row r="737" spans="1:24" ht="15.75" hidden="1">
      <c r="A737" s="343"/>
      <c r="B737" s="344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6"/>
      <c r="P737" s="276"/>
      <c r="Q737" s="247">
        <f t="shared" si="17"/>
        <v>0</v>
      </c>
      <c r="R737" s="229"/>
      <c r="S737" s="229"/>
      <c r="T737" s="229"/>
      <c r="U737" s="229"/>
      <c r="V737" s="229"/>
      <c r="W737" s="229"/>
      <c r="X737" s="229"/>
    </row>
    <row r="738" spans="1:24" ht="15.75" hidden="1">
      <c r="A738" s="343"/>
      <c r="B738" s="344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6"/>
      <c r="P738" s="276"/>
      <c r="Q738" s="247">
        <f t="shared" si="17"/>
        <v>0</v>
      </c>
      <c r="R738" s="229"/>
      <c r="S738" s="229"/>
      <c r="T738" s="229"/>
      <c r="U738" s="229"/>
      <c r="V738" s="229"/>
      <c r="W738" s="229"/>
      <c r="X738" s="229"/>
    </row>
    <row r="739" spans="1:24" ht="15.75" hidden="1">
      <c r="A739" s="343"/>
      <c r="B739" s="344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6"/>
      <c r="P739" s="276"/>
      <c r="Q739" s="247">
        <f t="shared" si="17"/>
        <v>0</v>
      </c>
      <c r="R739" s="229"/>
      <c r="S739" s="229"/>
      <c r="T739" s="229"/>
      <c r="U739" s="229"/>
      <c r="V739" s="229"/>
      <c r="W739" s="229"/>
      <c r="X739" s="229"/>
    </row>
    <row r="740" spans="1:24" ht="15.75" hidden="1">
      <c r="A740" s="343"/>
      <c r="B740" s="344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6"/>
      <c r="P740" s="276"/>
      <c r="Q740" s="247">
        <f t="shared" si="17"/>
        <v>0</v>
      </c>
      <c r="R740" s="229"/>
      <c r="S740" s="229"/>
      <c r="T740" s="229"/>
      <c r="U740" s="229"/>
      <c r="V740" s="229"/>
      <c r="W740" s="229"/>
      <c r="X740" s="229"/>
    </row>
    <row r="741" spans="1:24" ht="15.75" hidden="1">
      <c r="A741" s="343"/>
      <c r="B741" s="344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6"/>
      <c r="P741" s="276"/>
      <c r="Q741" s="247">
        <f t="shared" si="17"/>
        <v>0</v>
      </c>
      <c r="R741" s="229"/>
      <c r="S741" s="229"/>
      <c r="T741" s="229"/>
      <c r="U741" s="229"/>
      <c r="V741" s="229"/>
      <c r="W741" s="229"/>
      <c r="X741" s="229"/>
    </row>
    <row r="742" spans="1:24" ht="15.75" hidden="1">
      <c r="A742" s="343"/>
      <c r="B742" s="344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6"/>
      <c r="P742" s="276"/>
      <c r="Q742" s="247">
        <f t="shared" si="17"/>
        <v>0</v>
      </c>
      <c r="R742" s="229"/>
      <c r="S742" s="229"/>
      <c r="T742" s="229"/>
      <c r="U742" s="229"/>
      <c r="V742" s="229"/>
      <c r="W742" s="229"/>
      <c r="X742" s="229"/>
    </row>
    <row r="743" spans="1:24" ht="15.75" hidden="1">
      <c r="A743" s="343"/>
      <c r="B743" s="344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6"/>
      <c r="P743" s="276"/>
      <c r="Q743" s="247">
        <f t="shared" si="17"/>
        <v>0</v>
      </c>
      <c r="R743" s="229"/>
      <c r="S743" s="229"/>
      <c r="T743" s="229"/>
      <c r="U743" s="229"/>
      <c r="V743" s="229"/>
      <c r="W743" s="229"/>
      <c r="X743" s="229"/>
    </row>
    <row r="744" spans="1:24" ht="15.75" hidden="1">
      <c r="A744" s="343"/>
      <c r="B744" s="344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6"/>
      <c r="P744" s="276"/>
      <c r="Q744" s="247">
        <f t="shared" si="17"/>
        <v>0</v>
      </c>
      <c r="R744" s="229"/>
      <c r="S744" s="229"/>
      <c r="T744" s="229"/>
      <c r="U744" s="229"/>
      <c r="V744" s="229"/>
      <c r="W744" s="229"/>
      <c r="X744" s="229"/>
    </row>
    <row r="745" spans="1:24" ht="15.75" hidden="1">
      <c r="A745" s="343"/>
      <c r="B745" s="344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6"/>
      <c r="P745" s="276"/>
      <c r="Q745" s="247">
        <f t="shared" si="17"/>
        <v>0</v>
      </c>
      <c r="R745" s="229"/>
      <c r="S745" s="229"/>
      <c r="T745" s="229"/>
      <c r="U745" s="229"/>
      <c r="V745" s="229"/>
      <c r="W745" s="229"/>
      <c r="X745" s="229"/>
    </row>
    <row r="746" spans="1:24" ht="15.75" hidden="1">
      <c r="A746" s="343"/>
      <c r="B746" s="344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6"/>
      <c r="P746" s="276"/>
      <c r="Q746" s="247">
        <f t="shared" si="17"/>
        <v>0</v>
      </c>
      <c r="R746" s="229"/>
      <c r="S746" s="229"/>
      <c r="T746" s="229"/>
      <c r="U746" s="229"/>
      <c r="V746" s="229"/>
      <c r="W746" s="229"/>
      <c r="X746" s="229"/>
    </row>
    <row r="747" spans="1:24" ht="15.75" hidden="1">
      <c r="A747" s="343"/>
      <c r="B747" s="344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6"/>
      <c r="P747" s="276"/>
      <c r="Q747" s="247">
        <f t="shared" si="17"/>
        <v>0</v>
      </c>
      <c r="R747" s="229"/>
      <c r="S747" s="229"/>
      <c r="T747" s="229"/>
      <c r="U747" s="229"/>
      <c r="V747" s="229"/>
      <c r="W747" s="229"/>
      <c r="X747" s="229"/>
    </row>
    <row r="748" spans="1:24" ht="15.75" hidden="1">
      <c r="A748" s="343"/>
      <c r="B748" s="344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6"/>
      <c r="P748" s="276"/>
      <c r="Q748" s="247">
        <f t="shared" si="17"/>
        <v>0</v>
      </c>
      <c r="R748" s="229"/>
      <c r="S748" s="229"/>
      <c r="T748" s="229"/>
      <c r="U748" s="229"/>
      <c r="V748" s="229"/>
      <c r="W748" s="229"/>
      <c r="X748" s="229"/>
    </row>
    <row r="749" spans="1:24" ht="15.75" hidden="1">
      <c r="A749" s="343"/>
      <c r="B749" s="344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6"/>
      <c r="P749" s="276"/>
      <c r="Q749" s="247">
        <f t="shared" si="17"/>
        <v>0</v>
      </c>
      <c r="R749" s="229"/>
      <c r="S749" s="229"/>
      <c r="T749" s="229"/>
      <c r="U749" s="229"/>
      <c r="V749" s="229"/>
      <c r="W749" s="229"/>
      <c r="X749" s="229"/>
    </row>
    <row r="750" spans="1:24" ht="15.75" hidden="1">
      <c r="A750" s="343"/>
      <c r="B750" s="344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6"/>
      <c r="P750" s="276"/>
      <c r="Q750" s="247">
        <f t="shared" si="17"/>
        <v>0</v>
      </c>
      <c r="R750" s="229"/>
      <c r="S750" s="229"/>
      <c r="T750" s="229"/>
      <c r="U750" s="229"/>
      <c r="V750" s="229"/>
      <c r="W750" s="229"/>
      <c r="X750" s="229"/>
    </row>
    <row r="751" spans="1:24" ht="15.75" hidden="1">
      <c r="A751" s="343"/>
      <c r="B751" s="344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6"/>
      <c r="P751" s="276"/>
      <c r="Q751" s="247">
        <f t="shared" si="17"/>
        <v>0</v>
      </c>
      <c r="R751" s="229"/>
      <c r="S751" s="229"/>
      <c r="T751" s="229"/>
      <c r="U751" s="229"/>
      <c r="V751" s="229"/>
      <c r="W751" s="229"/>
      <c r="X751" s="229"/>
    </row>
    <row r="752" spans="1:24" ht="15.75" hidden="1">
      <c r="A752" s="343"/>
      <c r="B752" s="344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6"/>
      <c r="P752" s="276"/>
      <c r="Q752" s="247">
        <f t="shared" si="17"/>
        <v>0</v>
      </c>
      <c r="R752" s="229"/>
      <c r="S752" s="229"/>
      <c r="T752" s="229"/>
      <c r="U752" s="229"/>
      <c r="V752" s="229"/>
      <c r="W752" s="229"/>
      <c r="X752" s="229"/>
    </row>
    <row r="753" spans="1:24" ht="15.75" hidden="1">
      <c r="A753" s="343"/>
      <c r="B753" s="344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6"/>
      <c r="P753" s="276"/>
      <c r="Q753" s="247">
        <f t="shared" si="17"/>
        <v>0</v>
      </c>
      <c r="R753" s="229"/>
      <c r="S753" s="229"/>
      <c r="T753" s="229"/>
      <c r="U753" s="229"/>
      <c r="V753" s="229"/>
      <c r="W753" s="229"/>
      <c r="X753" s="229"/>
    </row>
    <row r="754" spans="1:24" ht="15.75" hidden="1">
      <c r="A754" s="343"/>
      <c r="B754" s="344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6"/>
      <c r="P754" s="276"/>
      <c r="Q754" s="247">
        <f t="shared" si="17"/>
        <v>0</v>
      </c>
      <c r="R754" s="229"/>
      <c r="S754" s="229"/>
      <c r="T754" s="229"/>
      <c r="U754" s="229"/>
      <c r="V754" s="229"/>
      <c r="W754" s="229"/>
      <c r="X754" s="229"/>
    </row>
    <row r="755" spans="1:24" ht="15.75" hidden="1">
      <c r="A755" s="343"/>
      <c r="B755" s="344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6"/>
      <c r="P755" s="276"/>
      <c r="Q755" s="247">
        <f t="shared" si="17"/>
        <v>0</v>
      </c>
      <c r="R755" s="229"/>
      <c r="S755" s="229"/>
      <c r="T755" s="229"/>
      <c r="U755" s="229"/>
      <c r="V755" s="229"/>
      <c r="W755" s="229"/>
      <c r="X755" s="229"/>
    </row>
    <row r="756" spans="1:24" ht="15.75" hidden="1">
      <c r="A756" s="343"/>
      <c r="B756" s="344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6"/>
      <c r="P756" s="276"/>
      <c r="Q756" s="247">
        <f t="shared" si="17"/>
        <v>0</v>
      </c>
      <c r="R756" s="229"/>
      <c r="S756" s="229"/>
      <c r="T756" s="229"/>
      <c r="U756" s="229"/>
      <c r="V756" s="229"/>
      <c r="W756" s="229"/>
      <c r="X756" s="229"/>
    </row>
    <row r="757" spans="1:24" ht="15.75" hidden="1">
      <c r="A757" s="343"/>
      <c r="B757" s="344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6"/>
      <c r="P757" s="276"/>
      <c r="Q757" s="247">
        <f t="shared" si="17"/>
        <v>0</v>
      </c>
      <c r="R757" s="229"/>
      <c r="S757" s="229"/>
      <c r="T757" s="229"/>
      <c r="U757" s="229"/>
      <c r="V757" s="229"/>
      <c r="W757" s="229"/>
      <c r="X757" s="229"/>
    </row>
    <row r="758" spans="1:24" ht="15.75" hidden="1">
      <c r="A758" s="343"/>
      <c r="B758" s="344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6"/>
      <c r="P758" s="276"/>
      <c r="Q758" s="247">
        <f t="shared" si="17"/>
        <v>0</v>
      </c>
      <c r="R758" s="229"/>
      <c r="S758" s="229"/>
      <c r="T758" s="229"/>
      <c r="U758" s="229"/>
      <c r="V758" s="229"/>
      <c r="W758" s="229"/>
      <c r="X758" s="229"/>
    </row>
    <row r="759" spans="1:24" ht="15.75" hidden="1">
      <c r="A759" s="343"/>
      <c r="B759" s="344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6"/>
      <c r="P759" s="276"/>
      <c r="Q759" s="247">
        <f t="shared" si="17"/>
        <v>0</v>
      </c>
      <c r="R759" s="229"/>
      <c r="S759" s="229"/>
      <c r="T759" s="229"/>
      <c r="U759" s="229"/>
      <c r="V759" s="229"/>
      <c r="W759" s="229"/>
      <c r="X759" s="229"/>
    </row>
    <row r="760" spans="1:24" ht="15.75" hidden="1">
      <c r="A760" s="343"/>
      <c r="B760" s="344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6"/>
      <c r="P760" s="276"/>
      <c r="Q760" s="247">
        <f t="shared" si="17"/>
        <v>0</v>
      </c>
      <c r="R760" s="229"/>
      <c r="S760" s="229"/>
      <c r="T760" s="229"/>
      <c r="U760" s="229"/>
      <c r="V760" s="229"/>
      <c r="W760" s="229"/>
      <c r="X760" s="229"/>
    </row>
    <row r="761" spans="1:24" ht="15.75" hidden="1">
      <c r="A761" s="343"/>
      <c r="B761" s="344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6"/>
      <c r="P761" s="276"/>
      <c r="Q761" s="247">
        <f t="shared" si="17"/>
        <v>0</v>
      </c>
      <c r="R761" s="229"/>
      <c r="S761" s="229"/>
      <c r="T761" s="229"/>
      <c r="U761" s="229"/>
      <c r="V761" s="229"/>
      <c r="W761" s="229"/>
      <c r="X761" s="229"/>
    </row>
    <row r="762" spans="1:24" ht="15.75" hidden="1">
      <c r="A762" s="343"/>
      <c r="B762" s="344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6"/>
      <c r="P762" s="276"/>
      <c r="Q762" s="247">
        <f t="shared" si="17"/>
        <v>0</v>
      </c>
      <c r="R762" s="229"/>
      <c r="S762" s="229"/>
      <c r="T762" s="229"/>
      <c r="U762" s="229"/>
      <c r="V762" s="229"/>
      <c r="W762" s="229"/>
      <c r="X762" s="229"/>
    </row>
    <row r="763" spans="1:24" ht="15.75" hidden="1">
      <c r="A763" s="343"/>
      <c r="B763" s="344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6"/>
      <c r="P763" s="276"/>
      <c r="Q763" s="247">
        <f t="shared" si="17"/>
        <v>0</v>
      </c>
      <c r="R763" s="229"/>
      <c r="S763" s="229"/>
      <c r="T763" s="229"/>
      <c r="U763" s="229"/>
      <c r="V763" s="229"/>
      <c r="W763" s="229"/>
      <c r="X763" s="229"/>
    </row>
    <row r="764" spans="1:24" ht="15.75" hidden="1">
      <c r="A764" s="343"/>
      <c r="B764" s="344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6"/>
      <c r="P764" s="276"/>
      <c r="Q764" s="247">
        <f t="shared" si="17"/>
        <v>0</v>
      </c>
      <c r="R764" s="229"/>
      <c r="S764" s="229"/>
      <c r="T764" s="229"/>
      <c r="U764" s="229"/>
      <c r="V764" s="229"/>
      <c r="W764" s="229"/>
      <c r="X764" s="229"/>
    </row>
    <row r="765" spans="1:24" ht="15.75" hidden="1">
      <c r="A765" s="343"/>
      <c r="B765" s="344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6"/>
      <c r="P765" s="276"/>
      <c r="Q765" s="247">
        <f t="shared" si="17"/>
        <v>0</v>
      </c>
      <c r="R765" s="229"/>
      <c r="S765" s="229"/>
      <c r="T765" s="229"/>
      <c r="U765" s="229"/>
      <c r="V765" s="229"/>
      <c r="W765" s="229"/>
      <c r="X765" s="229"/>
    </row>
    <row r="766" spans="1:24" ht="15.75" hidden="1">
      <c r="A766" s="343"/>
      <c r="B766" s="344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6"/>
      <c r="P766" s="276"/>
      <c r="Q766" s="247">
        <f t="shared" si="17"/>
        <v>0</v>
      </c>
      <c r="R766" s="229"/>
      <c r="S766" s="229"/>
      <c r="T766" s="229"/>
      <c r="U766" s="229"/>
      <c r="V766" s="229"/>
      <c r="W766" s="229"/>
      <c r="X766" s="229"/>
    </row>
    <row r="767" spans="1:24" ht="15.75" hidden="1">
      <c r="A767" s="343"/>
      <c r="B767" s="344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6"/>
      <c r="P767" s="276"/>
      <c r="Q767" s="247">
        <f t="shared" si="17"/>
        <v>0</v>
      </c>
      <c r="R767" s="229"/>
      <c r="S767" s="229"/>
      <c r="T767" s="229"/>
      <c r="U767" s="229"/>
      <c r="V767" s="229"/>
      <c r="W767" s="229"/>
      <c r="X767" s="229"/>
    </row>
    <row r="768" spans="1:24" ht="15.75" hidden="1">
      <c r="A768" s="343"/>
      <c r="B768" s="344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6"/>
      <c r="P768" s="276"/>
      <c r="Q768" s="247">
        <f t="shared" si="17"/>
        <v>0</v>
      </c>
      <c r="R768" s="229"/>
      <c r="S768" s="229"/>
      <c r="T768" s="229"/>
      <c r="U768" s="229"/>
      <c r="V768" s="229"/>
      <c r="W768" s="229"/>
      <c r="X768" s="229"/>
    </row>
    <row r="769" spans="1:24" ht="15.75" hidden="1">
      <c r="A769" s="343"/>
      <c r="B769" s="344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6"/>
      <c r="P769" s="276"/>
      <c r="Q769" s="247">
        <f t="shared" si="17"/>
        <v>0</v>
      </c>
      <c r="R769" s="229"/>
      <c r="S769" s="229"/>
      <c r="T769" s="229"/>
      <c r="U769" s="229"/>
      <c r="V769" s="229"/>
      <c r="W769" s="229"/>
      <c r="X769" s="229"/>
    </row>
    <row r="770" spans="1:24" ht="15.75" hidden="1">
      <c r="A770" s="343"/>
      <c r="B770" s="344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6"/>
      <c r="P770" s="276"/>
      <c r="Q770" s="247">
        <f t="shared" si="17"/>
        <v>0</v>
      </c>
      <c r="R770" s="229"/>
      <c r="S770" s="229"/>
      <c r="T770" s="229"/>
      <c r="U770" s="229"/>
      <c r="V770" s="229"/>
      <c r="W770" s="229"/>
      <c r="X770" s="229"/>
    </row>
    <row r="771" spans="1:24" ht="15.75" hidden="1">
      <c r="A771" s="343"/>
      <c r="B771" s="344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6"/>
      <c r="P771" s="276"/>
      <c r="Q771" s="247">
        <f t="shared" si="17"/>
        <v>0</v>
      </c>
      <c r="R771" s="229"/>
      <c r="S771" s="229"/>
      <c r="T771" s="229"/>
      <c r="U771" s="229"/>
      <c r="V771" s="229"/>
      <c r="W771" s="229"/>
      <c r="X771" s="229"/>
    </row>
    <row r="772" spans="1:24" ht="15.75" hidden="1">
      <c r="A772" s="343"/>
      <c r="B772" s="344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6"/>
      <c r="P772" s="276"/>
      <c r="Q772" s="247">
        <f t="shared" si="17"/>
        <v>0</v>
      </c>
      <c r="R772" s="229"/>
      <c r="S772" s="229"/>
      <c r="T772" s="229"/>
      <c r="U772" s="229"/>
      <c r="V772" s="229"/>
      <c r="W772" s="229"/>
      <c r="X772" s="229"/>
    </row>
    <row r="773" spans="1:24" ht="15.75" hidden="1">
      <c r="A773" s="343"/>
      <c r="B773" s="344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6"/>
      <c r="P773" s="276"/>
      <c r="Q773" s="247">
        <f t="shared" si="17"/>
        <v>0</v>
      </c>
      <c r="R773" s="229"/>
      <c r="S773" s="229"/>
      <c r="T773" s="229"/>
      <c r="U773" s="229"/>
      <c r="V773" s="229"/>
      <c r="W773" s="229"/>
      <c r="X773" s="229"/>
    </row>
    <row r="774" spans="1:24" ht="15.75" hidden="1">
      <c r="A774" s="343"/>
      <c r="B774" s="344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6"/>
      <c r="P774" s="276"/>
      <c r="Q774" s="247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9"/>
      <c r="S774" s="229"/>
      <c r="T774" s="229"/>
      <c r="U774" s="229"/>
      <c r="V774" s="229"/>
      <c r="W774" s="229"/>
      <c r="X774" s="229"/>
    </row>
    <row r="775" spans="1:24" ht="15.75" hidden="1">
      <c r="A775" s="343"/>
      <c r="B775" s="344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6"/>
      <c r="P775" s="276"/>
      <c r="Q775" s="247">
        <f t="shared" si="18"/>
        <v>0</v>
      </c>
      <c r="R775" s="229"/>
      <c r="S775" s="229"/>
      <c r="T775" s="229"/>
      <c r="U775" s="229"/>
      <c r="V775" s="229"/>
      <c r="W775" s="229"/>
      <c r="X775" s="229"/>
    </row>
    <row r="776" spans="1:24" ht="15.75" hidden="1">
      <c r="A776" s="343"/>
      <c r="B776" s="344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6"/>
      <c r="P776" s="276"/>
      <c r="Q776" s="247">
        <f t="shared" si="18"/>
        <v>0</v>
      </c>
      <c r="R776" s="229"/>
      <c r="S776" s="229"/>
      <c r="T776" s="229"/>
      <c r="U776" s="229"/>
      <c r="V776" s="229"/>
      <c r="W776" s="229"/>
      <c r="X776" s="229"/>
    </row>
    <row r="777" spans="1:24" ht="15.75" hidden="1">
      <c r="A777" s="343"/>
      <c r="B777" s="344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6"/>
      <c r="P777" s="276"/>
      <c r="Q777" s="247">
        <f t="shared" si="18"/>
        <v>0</v>
      </c>
      <c r="R777" s="229"/>
      <c r="S777" s="229"/>
      <c r="T777" s="229"/>
      <c r="U777" s="229"/>
      <c r="V777" s="229"/>
      <c r="W777" s="229"/>
      <c r="X777" s="229"/>
    </row>
    <row r="778" spans="1:24" ht="15.75" hidden="1">
      <c r="A778" s="343"/>
      <c r="B778" s="344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6"/>
      <c r="P778" s="276"/>
      <c r="Q778" s="247">
        <f t="shared" si="18"/>
        <v>0</v>
      </c>
      <c r="R778" s="229"/>
      <c r="S778" s="229"/>
      <c r="T778" s="229"/>
      <c r="U778" s="229"/>
      <c r="V778" s="229"/>
      <c r="W778" s="229"/>
      <c r="X778" s="229"/>
    </row>
    <row r="779" spans="1:24" ht="15.75" hidden="1">
      <c r="A779" s="343"/>
      <c r="B779" s="344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6"/>
      <c r="P779" s="276"/>
      <c r="Q779" s="247">
        <f t="shared" si="18"/>
        <v>0</v>
      </c>
      <c r="R779" s="229"/>
      <c r="S779" s="229"/>
      <c r="T779" s="229"/>
      <c r="U779" s="229"/>
      <c r="V779" s="229"/>
      <c r="W779" s="229"/>
      <c r="X779" s="229"/>
    </row>
    <row r="780" spans="1:24" ht="15.75" hidden="1">
      <c r="A780" s="343"/>
      <c r="B780" s="344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6"/>
      <c r="P780" s="276"/>
      <c r="Q780" s="247">
        <f t="shared" si="18"/>
        <v>0</v>
      </c>
      <c r="R780" s="229"/>
      <c r="S780" s="229"/>
      <c r="T780" s="229"/>
      <c r="U780" s="229"/>
      <c r="V780" s="229"/>
      <c r="W780" s="229"/>
      <c r="X780" s="229"/>
    </row>
    <row r="781" spans="1:24" ht="15.75" hidden="1">
      <c r="A781" s="343"/>
      <c r="B781" s="344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6"/>
      <c r="P781" s="276"/>
      <c r="Q781" s="247">
        <f t="shared" si="18"/>
        <v>0</v>
      </c>
      <c r="R781" s="229"/>
      <c r="S781" s="229"/>
      <c r="T781" s="229"/>
      <c r="U781" s="229"/>
      <c r="V781" s="229"/>
      <c r="W781" s="229"/>
      <c r="X781" s="229"/>
    </row>
    <row r="782" spans="1:24" ht="15.75" hidden="1">
      <c r="A782" s="343"/>
      <c r="B782" s="344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6"/>
      <c r="P782" s="276"/>
      <c r="Q782" s="247">
        <f t="shared" si="18"/>
        <v>0</v>
      </c>
      <c r="R782" s="229"/>
      <c r="S782" s="229"/>
      <c r="T782" s="229"/>
      <c r="U782" s="229"/>
      <c r="V782" s="229"/>
      <c r="W782" s="229"/>
      <c r="X782" s="229"/>
    </row>
    <row r="783" spans="1:24" ht="15.75" hidden="1">
      <c r="A783" s="343"/>
      <c r="B783" s="344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6"/>
      <c r="P783" s="276"/>
      <c r="Q783" s="247">
        <f t="shared" si="18"/>
        <v>0</v>
      </c>
      <c r="R783" s="229"/>
      <c r="S783" s="229"/>
      <c r="T783" s="229"/>
      <c r="U783" s="229"/>
      <c r="V783" s="229"/>
      <c r="W783" s="229"/>
      <c r="X783" s="229"/>
    </row>
    <row r="784" spans="1:24" ht="15.75" hidden="1">
      <c r="A784" s="343"/>
      <c r="B784" s="344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6"/>
      <c r="P784" s="276"/>
      <c r="Q784" s="247">
        <f t="shared" si="18"/>
        <v>0</v>
      </c>
      <c r="R784" s="229"/>
      <c r="S784" s="229"/>
      <c r="T784" s="229"/>
      <c r="U784" s="229"/>
      <c r="V784" s="229"/>
      <c r="W784" s="229"/>
      <c r="X784" s="229"/>
    </row>
    <row r="785" spans="1:24" ht="15.75" hidden="1">
      <c r="A785" s="343"/>
      <c r="B785" s="344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6"/>
      <c r="P785" s="276"/>
      <c r="Q785" s="247">
        <f t="shared" si="18"/>
        <v>0</v>
      </c>
      <c r="R785" s="229"/>
      <c r="S785" s="229"/>
      <c r="T785" s="229"/>
      <c r="U785" s="229"/>
      <c r="V785" s="229"/>
      <c r="W785" s="229"/>
      <c r="X785" s="229"/>
    </row>
    <row r="786" spans="1:24" ht="15.75" hidden="1">
      <c r="A786" s="343"/>
      <c r="B786" s="344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6"/>
      <c r="P786" s="276"/>
      <c r="Q786" s="247">
        <f t="shared" si="18"/>
        <v>0</v>
      </c>
      <c r="R786" s="229"/>
      <c r="S786" s="229"/>
      <c r="T786" s="229"/>
      <c r="U786" s="229"/>
      <c r="V786" s="229"/>
      <c r="W786" s="229"/>
      <c r="X786" s="229"/>
    </row>
    <row r="787" spans="1:24" ht="15.75" hidden="1">
      <c r="A787" s="343"/>
      <c r="B787" s="344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6"/>
      <c r="P787" s="276"/>
      <c r="Q787" s="247">
        <f t="shared" si="18"/>
        <v>0</v>
      </c>
      <c r="R787" s="229"/>
      <c r="S787" s="229"/>
      <c r="T787" s="229"/>
      <c r="U787" s="229"/>
      <c r="V787" s="229"/>
      <c r="W787" s="229"/>
      <c r="X787" s="229"/>
    </row>
    <row r="788" spans="1:24" ht="15.75" hidden="1">
      <c r="A788" s="343"/>
      <c r="B788" s="344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6"/>
      <c r="P788" s="276"/>
      <c r="Q788" s="247">
        <f t="shared" si="18"/>
        <v>0</v>
      </c>
      <c r="R788" s="229"/>
      <c r="S788" s="229"/>
      <c r="T788" s="229"/>
      <c r="U788" s="229"/>
      <c r="V788" s="229"/>
      <c r="W788" s="229"/>
      <c r="X788" s="229"/>
    </row>
    <row r="789" spans="1:24" ht="15.75" hidden="1">
      <c r="A789" s="343"/>
      <c r="B789" s="344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6"/>
      <c r="P789" s="276"/>
      <c r="Q789" s="247">
        <f t="shared" si="18"/>
        <v>0</v>
      </c>
      <c r="R789" s="229"/>
      <c r="S789" s="229"/>
      <c r="T789" s="229"/>
      <c r="U789" s="229"/>
      <c r="V789" s="229"/>
      <c r="W789" s="229"/>
      <c r="X789" s="229"/>
    </row>
    <row r="790" spans="1:24" ht="15.75" hidden="1">
      <c r="A790" s="343"/>
      <c r="B790" s="344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6"/>
      <c r="P790" s="276"/>
      <c r="Q790" s="247">
        <f t="shared" si="18"/>
        <v>0</v>
      </c>
      <c r="R790" s="229"/>
      <c r="S790" s="229"/>
      <c r="T790" s="229"/>
      <c r="U790" s="229"/>
      <c r="V790" s="229"/>
      <c r="W790" s="229"/>
      <c r="X790" s="229"/>
    </row>
    <row r="791" spans="1:24" ht="15.75" hidden="1">
      <c r="A791" s="343"/>
      <c r="B791" s="344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6"/>
      <c r="P791" s="276"/>
      <c r="Q791" s="247">
        <f t="shared" si="18"/>
        <v>0</v>
      </c>
      <c r="R791" s="229"/>
      <c r="S791" s="229"/>
      <c r="T791" s="229"/>
      <c r="U791" s="229"/>
      <c r="V791" s="229"/>
      <c r="W791" s="229"/>
      <c r="X791" s="229"/>
    </row>
    <row r="792" spans="1:24" ht="15.75" hidden="1">
      <c r="A792" s="343"/>
      <c r="B792" s="344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6"/>
      <c r="P792" s="276"/>
      <c r="Q792" s="247">
        <f t="shared" si="18"/>
        <v>0</v>
      </c>
      <c r="R792" s="229"/>
      <c r="S792" s="229"/>
      <c r="T792" s="229"/>
      <c r="U792" s="229"/>
      <c r="V792" s="229"/>
      <c r="W792" s="229"/>
      <c r="X792" s="229"/>
    </row>
    <row r="793" spans="1:24" ht="15.75" hidden="1">
      <c r="A793" s="343"/>
      <c r="B793" s="344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6"/>
      <c r="P793" s="276"/>
      <c r="Q793" s="247">
        <f t="shared" si="18"/>
        <v>0</v>
      </c>
      <c r="R793" s="229"/>
      <c r="S793" s="229"/>
      <c r="T793" s="229"/>
      <c r="U793" s="229"/>
      <c r="V793" s="229"/>
      <c r="W793" s="229"/>
      <c r="X793" s="229"/>
    </row>
    <row r="794" spans="1:24" ht="15.75" hidden="1">
      <c r="A794" s="343"/>
      <c r="B794" s="344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6"/>
      <c r="P794" s="276"/>
      <c r="Q794" s="247">
        <f t="shared" si="18"/>
        <v>0</v>
      </c>
      <c r="R794" s="229"/>
      <c r="S794" s="229"/>
      <c r="T794" s="229"/>
      <c r="U794" s="229"/>
      <c r="V794" s="229"/>
      <c r="W794" s="229"/>
      <c r="X794" s="229"/>
    </row>
    <row r="795" spans="1:24" ht="15.75" hidden="1">
      <c r="A795" s="343"/>
      <c r="B795" s="344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6"/>
      <c r="P795" s="276"/>
      <c r="Q795" s="247">
        <f t="shared" si="18"/>
        <v>0</v>
      </c>
      <c r="R795" s="229"/>
      <c r="S795" s="229"/>
      <c r="T795" s="229"/>
      <c r="U795" s="229"/>
      <c r="V795" s="229"/>
      <c r="W795" s="229"/>
      <c r="X795" s="229"/>
    </row>
    <row r="796" spans="1:24" ht="15.75" hidden="1">
      <c r="A796" s="343"/>
      <c r="B796" s="344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6"/>
      <c r="P796" s="276"/>
      <c r="Q796" s="247">
        <f t="shared" si="18"/>
        <v>0</v>
      </c>
      <c r="R796" s="229"/>
      <c r="S796" s="229"/>
      <c r="T796" s="229"/>
      <c r="U796" s="229"/>
      <c r="V796" s="229"/>
      <c r="W796" s="229"/>
      <c r="X796" s="229"/>
    </row>
    <row r="797" spans="1:24" ht="15.75" hidden="1">
      <c r="A797" s="343"/>
      <c r="B797" s="344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6"/>
      <c r="P797" s="276"/>
      <c r="Q797" s="247">
        <f t="shared" si="18"/>
        <v>0</v>
      </c>
      <c r="R797" s="229"/>
      <c r="S797" s="229"/>
      <c r="T797" s="229"/>
      <c r="U797" s="229"/>
      <c r="V797" s="229"/>
      <c r="W797" s="229"/>
      <c r="X797" s="229"/>
    </row>
    <row r="798" spans="1:24" ht="15.75" hidden="1">
      <c r="A798" s="343"/>
      <c r="B798" s="344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6"/>
      <c r="P798" s="276"/>
      <c r="Q798" s="247">
        <f t="shared" si="18"/>
        <v>0</v>
      </c>
      <c r="R798" s="229"/>
      <c r="S798" s="229"/>
      <c r="T798" s="229"/>
      <c r="U798" s="229"/>
      <c r="V798" s="229"/>
      <c r="W798" s="229"/>
      <c r="X798" s="229"/>
    </row>
    <row r="799" spans="1:24" ht="15.75" hidden="1">
      <c r="A799" s="343"/>
      <c r="B799" s="344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6"/>
      <c r="P799" s="276"/>
      <c r="Q799" s="247">
        <f t="shared" si="18"/>
        <v>0</v>
      </c>
      <c r="R799" s="229"/>
      <c r="S799" s="229"/>
      <c r="T799" s="229"/>
      <c r="U799" s="229"/>
      <c r="V799" s="229"/>
      <c r="W799" s="229"/>
      <c r="X799" s="229"/>
    </row>
    <row r="800" spans="1:24" ht="15.75" hidden="1">
      <c r="A800" s="343"/>
      <c r="B800" s="344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6"/>
      <c r="P800" s="276"/>
      <c r="Q800" s="247">
        <f t="shared" si="18"/>
        <v>0</v>
      </c>
      <c r="R800" s="229"/>
      <c r="S800" s="229"/>
      <c r="T800" s="229"/>
      <c r="U800" s="229"/>
      <c r="V800" s="229"/>
      <c r="W800" s="229"/>
      <c r="X800" s="229"/>
    </row>
    <row r="801" spans="1:24" ht="15.75" hidden="1">
      <c r="A801" s="343"/>
      <c r="B801" s="344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6"/>
      <c r="P801" s="276"/>
      <c r="Q801" s="247">
        <f t="shared" si="18"/>
        <v>0</v>
      </c>
      <c r="R801" s="229"/>
      <c r="S801" s="229"/>
      <c r="T801" s="229"/>
      <c r="U801" s="229"/>
      <c r="V801" s="229"/>
      <c r="W801" s="229"/>
      <c r="X801" s="229"/>
    </row>
    <row r="802" spans="1:24" ht="15.75" hidden="1">
      <c r="A802" s="343"/>
      <c r="B802" s="344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6"/>
      <c r="P802" s="276"/>
      <c r="Q802" s="247">
        <f t="shared" si="18"/>
        <v>0</v>
      </c>
      <c r="R802" s="229"/>
      <c r="S802" s="229"/>
      <c r="T802" s="229"/>
      <c r="U802" s="229"/>
      <c r="V802" s="229"/>
      <c r="W802" s="229"/>
      <c r="X802" s="229"/>
    </row>
    <row r="803" spans="1:24" ht="15.75" hidden="1">
      <c r="A803" s="343"/>
      <c r="B803" s="344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6"/>
      <c r="P803" s="276"/>
      <c r="Q803" s="247">
        <f t="shared" si="18"/>
        <v>0</v>
      </c>
      <c r="R803" s="229"/>
      <c r="S803" s="229"/>
      <c r="T803" s="229"/>
      <c r="U803" s="229"/>
      <c r="V803" s="229"/>
      <c r="W803" s="229"/>
      <c r="X803" s="229"/>
    </row>
    <row r="804" spans="1:24" ht="15.75" hidden="1">
      <c r="A804" s="343"/>
      <c r="B804" s="344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6"/>
      <c r="P804" s="276"/>
      <c r="Q804" s="247">
        <f t="shared" si="18"/>
        <v>0</v>
      </c>
      <c r="R804" s="229"/>
      <c r="S804" s="229"/>
      <c r="T804" s="229"/>
      <c r="U804" s="229"/>
      <c r="V804" s="229"/>
      <c r="W804" s="229"/>
      <c r="X804" s="229"/>
    </row>
    <row r="805" spans="1:24" ht="15.75" hidden="1">
      <c r="A805" s="343"/>
      <c r="B805" s="344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6"/>
      <c r="P805" s="276"/>
      <c r="Q805" s="247">
        <f t="shared" si="18"/>
        <v>0</v>
      </c>
      <c r="R805" s="229"/>
      <c r="S805" s="229"/>
      <c r="T805" s="229"/>
      <c r="U805" s="229"/>
      <c r="V805" s="229"/>
      <c r="W805" s="229"/>
      <c r="X805" s="229"/>
    </row>
    <row r="806" spans="1:24" ht="15.75" hidden="1">
      <c r="A806" s="343"/>
      <c r="B806" s="344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6"/>
      <c r="P806" s="276"/>
      <c r="Q806" s="247">
        <f t="shared" si="18"/>
        <v>0</v>
      </c>
      <c r="R806" s="229"/>
      <c r="S806" s="229"/>
      <c r="T806" s="229"/>
      <c r="U806" s="229"/>
      <c r="V806" s="229"/>
      <c r="W806" s="229"/>
      <c r="X806" s="229"/>
    </row>
    <row r="807" spans="1:24" ht="15.75" hidden="1">
      <c r="A807" s="343"/>
      <c r="B807" s="344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6"/>
      <c r="P807" s="276"/>
      <c r="Q807" s="247">
        <f t="shared" si="18"/>
        <v>0</v>
      </c>
      <c r="R807" s="229"/>
      <c r="S807" s="229"/>
      <c r="T807" s="229"/>
      <c r="U807" s="229"/>
      <c r="V807" s="229"/>
      <c r="W807" s="229"/>
      <c r="X807" s="229"/>
    </row>
    <row r="808" spans="1:24" ht="15.75" hidden="1">
      <c r="A808" s="343"/>
      <c r="B808" s="344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6"/>
      <c r="P808" s="276"/>
      <c r="Q808" s="247">
        <f t="shared" si="18"/>
        <v>0</v>
      </c>
      <c r="R808" s="229"/>
      <c r="S808" s="229"/>
      <c r="T808" s="229"/>
      <c r="U808" s="229"/>
      <c r="V808" s="229"/>
      <c r="W808" s="229"/>
      <c r="X808" s="229"/>
    </row>
    <row r="809" spans="1:24" ht="15.75" hidden="1">
      <c r="A809" s="343"/>
      <c r="B809" s="344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6"/>
      <c r="P809" s="276"/>
      <c r="Q809" s="247">
        <f t="shared" si="18"/>
        <v>0</v>
      </c>
      <c r="R809" s="229"/>
      <c r="S809" s="229"/>
      <c r="T809" s="229"/>
      <c r="U809" s="229"/>
      <c r="V809" s="229"/>
      <c r="W809" s="229"/>
      <c r="X809" s="229"/>
    </row>
    <row r="810" spans="1:24" ht="15.75" hidden="1">
      <c r="A810" s="343"/>
      <c r="B810" s="344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6"/>
      <c r="P810" s="276"/>
      <c r="Q810" s="247">
        <f t="shared" si="18"/>
        <v>0</v>
      </c>
      <c r="R810" s="229"/>
      <c r="S810" s="229"/>
      <c r="T810" s="229"/>
      <c r="U810" s="229"/>
      <c r="V810" s="229"/>
      <c r="W810" s="229"/>
      <c r="X810" s="229"/>
    </row>
    <row r="811" spans="1:24" ht="15.75" hidden="1">
      <c r="A811" s="343"/>
      <c r="B811" s="344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6"/>
      <c r="P811" s="276"/>
      <c r="Q811" s="247">
        <f t="shared" si="18"/>
        <v>0</v>
      </c>
      <c r="R811" s="229"/>
      <c r="S811" s="229"/>
      <c r="T811" s="229"/>
      <c r="U811" s="229"/>
      <c r="V811" s="229"/>
      <c r="W811" s="229"/>
      <c r="X811" s="229"/>
    </row>
    <row r="812" spans="1:24" ht="15.75" hidden="1">
      <c r="A812" s="343"/>
      <c r="B812" s="344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6"/>
      <c r="P812" s="276"/>
      <c r="Q812" s="247">
        <f t="shared" si="18"/>
        <v>0</v>
      </c>
      <c r="R812" s="229"/>
      <c r="S812" s="229"/>
      <c r="T812" s="229"/>
      <c r="U812" s="229"/>
      <c r="V812" s="229"/>
      <c r="W812" s="229"/>
      <c r="X812" s="229"/>
    </row>
    <row r="813" spans="1:24" ht="15.75" hidden="1">
      <c r="A813" s="343"/>
      <c r="B813" s="344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6"/>
      <c r="P813" s="276"/>
      <c r="Q813" s="247">
        <f t="shared" si="18"/>
        <v>0</v>
      </c>
      <c r="R813" s="229"/>
      <c r="S813" s="229"/>
      <c r="T813" s="229"/>
      <c r="U813" s="229"/>
      <c r="V813" s="229"/>
      <c r="W813" s="229"/>
      <c r="X813" s="229"/>
    </row>
    <row r="814" spans="1:24" ht="15.75" hidden="1">
      <c r="A814" s="343"/>
      <c r="B814" s="344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6"/>
      <c r="P814" s="276"/>
      <c r="Q814" s="247">
        <f t="shared" si="18"/>
        <v>0</v>
      </c>
      <c r="R814" s="229"/>
      <c r="S814" s="229"/>
      <c r="T814" s="229"/>
      <c r="U814" s="229"/>
      <c r="V814" s="229"/>
      <c r="W814" s="229"/>
      <c r="X814" s="229"/>
    </row>
    <row r="815" spans="1:24" ht="15.75" hidden="1">
      <c r="A815" s="343"/>
      <c r="B815" s="344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6"/>
      <c r="P815" s="276"/>
      <c r="Q815" s="247">
        <f t="shared" si="18"/>
        <v>0</v>
      </c>
      <c r="R815" s="229"/>
      <c r="S815" s="229"/>
      <c r="T815" s="229"/>
      <c r="U815" s="229"/>
      <c r="V815" s="229"/>
      <c r="W815" s="229"/>
      <c r="X815" s="229"/>
    </row>
    <row r="816" spans="1:24" ht="15.75" hidden="1">
      <c r="A816" s="343"/>
      <c r="B816" s="344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6"/>
      <c r="P816" s="276"/>
      <c r="Q816" s="247">
        <f t="shared" si="18"/>
        <v>0</v>
      </c>
      <c r="R816" s="229"/>
      <c r="S816" s="229"/>
      <c r="T816" s="229"/>
      <c r="U816" s="229"/>
      <c r="V816" s="229"/>
      <c r="W816" s="229"/>
      <c r="X816" s="229"/>
    </row>
    <row r="817" spans="1:24" ht="15.75" hidden="1">
      <c r="A817" s="343"/>
      <c r="B817" s="344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6"/>
      <c r="P817" s="276"/>
      <c r="Q817" s="247">
        <f t="shared" si="18"/>
        <v>0</v>
      </c>
      <c r="R817" s="229"/>
      <c r="S817" s="229"/>
      <c r="T817" s="229"/>
      <c r="U817" s="229"/>
      <c r="V817" s="229"/>
      <c r="W817" s="229"/>
      <c r="X817" s="229"/>
    </row>
    <row r="818" spans="1:24" ht="15.75" hidden="1">
      <c r="A818" s="343"/>
      <c r="B818" s="344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6"/>
      <c r="P818" s="276"/>
      <c r="Q818" s="247">
        <f t="shared" si="18"/>
        <v>0</v>
      </c>
      <c r="R818" s="229"/>
      <c r="S818" s="229"/>
      <c r="T818" s="229"/>
      <c r="U818" s="229"/>
      <c r="V818" s="229"/>
      <c r="W818" s="229"/>
      <c r="X818" s="229"/>
    </row>
    <row r="819" spans="1:24" ht="15.75" hidden="1">
      <c r="A819" s="343"/>
      <c r="B819" s="344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6"/>
      <c r="P819" s="276"/>
      <c r="Q819" s="247">
        <f t="shared" si="18"/>
        <v>0</v>
      </c>
      <c r="R819" s="229"/>
      <c r="S819" s="229"/>
      <c r="T819" s="229"/>
      <c r="U819" s="229"/>
      <c r="V819" s="229"/>
      <c r="W819" s="229"/>
      <c r="X819" s="229"/>
    </row>
    <row r="820" spans="1:24" ht="15.75" hidden="1">
      <c r="A820" s="343"/>
      <c r="B820" s="344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6"/>
      <c r="P820" s="276"/>
      <c r="Q820" s="247">
        <f t="shared" si="18"/>
        <v>0</v>
      </c>
      <c r="R820" s="229"/>
      <c r="S820" s="229"/>
      <c r="T820" s="229"/>
      <c r="U820" s="229"/>
      <c r="V820" s="229"/>
      <c r="W820" s="229"/>
      <c r="X820" s="229"/>
    </row>
    <row r="821" spans="1:24" ht="15.75" hidden="1">
      <c r="A821" s="343"/>
      <c r="B821" s="344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6"/>
      <c r="P821" s="276"/>
      <c r="Q821" s="247">
        <f t="shared" si="18"/>
        <v>0</v>
      </c>
      <c r="R821" s="229"/>
      <c r="S821" s="229"/>
      <c r="T821" s="229"/>
      <c r="U821" s="229"/>
      <c r="V821" s="229"/>
      <c r="W821" s="229"/>
      <c r="X821" s="229"/>
    </row>
    <row r="822" spans="1:24" ht="15.75" hidden="1">
      <c r="A822" s="343"/>
      <c r="B822" s="344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6"/>
      <c r="P822" s="276"/>
      <c r="Q822" s="247">
        <f t="shared" si="18"/>
        <v>0</v>
      </c>
      <c r="R822" s="229"/>
      <c r="S822" s="229"/>
      <c r="T822" s="229"/>
      <c r="U822" s="229"/>
      <c r="V822" s="229"/>
      <c r="W822" s="229"/>
      <c r="X822" s="229"/>
    </row>
    <row r="823" spans="1:24" ht="15.75" hidden="1">
      <c r="A823" s="343"/>
      <c r="B823" s="344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6"/>
      <c r="P823" s="276"/>
      <c r="Q823" s="247">
        <f t="shared" si="18"/>
        <v>0</v>
      </c>
      <c r="R823" s="229"/>
      <c r="S823" s="229"/>
      <c r="T823" s="229"/>
      <c r="U823" s="229"/>
      <c r="V823" s="229"/>
      <c r="W823" s="229"/>
      <c r="X823" s="229"/>
    </row>
    <row r="824" spans="1:24" ht="15.75" hidden="1">
      <c r="A824" s="343"/>
      <c r="B824" s="344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6"/>
      <c r="P824" s="276"/>
      <c r="Q824" s="247">
        <f t="shared" si="18"/>
        <v>0</v>
      </c>
      <c r="R824" s="229"/>
      <c r="S824" s="229"/>
      <c r="T824" s="229"/>
      <c r="U824" s="229"/>
      <c r="V824" s="229"/>
      <c r="W824" s="229"/>
      <c r="X824" s="229"/>
    </row>
    <row r="825" spans="1:24" ht="15.75" hidden="1">
      <c r="A825" s="343"/>
      <c r="B825" s="344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6"/>
      <c r="P825" s="276"/>
      <c r="Q825" s="247">
        <f t="shared" si="18"/>
        <v>0</v>
      </c>
      <c r="R825" s="229"/>
      <c r="S825" s="229"/>
      <c r="T825" s="229"/>
      <c r="U825" s="229"/>
      <c r="V825" s="229"/>
      <c r="W825" s="229"/>
      <c r="X825" s="229"/>
    </row>
    <row r="826" spans="1:24" ht="15.75" hidden="1">
      <c r="A826" s="343"/>
      <c r="B826" s="344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6"/>
      <c r="P826" s="276"/>
      <c r="Q826" s="247">
        <f t="shared" si="18"/>
        <v>0</v>
      </c>
      <c r="R826" s="229"/>
      <c r="S826" s="229"/>
      <c r="T826" s="229"/>
      <c r="U826" s="229"/>
      <c r="V826" s="229"/>
      <c r="W826" s="229"/>
      <c r="X826" s="229"/>
    </row>
    <row r="827" spans="1:24" ht="15.75" hidden="1">
      <c r="A827" s="343"/>
      <c r="B827" s="344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6"/>
      <c r="P827" s="276"/>
      <c r="Q827" s="247">
        <f t="shared" si="18"/>
        <v>0</v>
      </c>
      <c r="R827" s="229"/>
      <c r="S827" s="229"/>
      <c r="T827" s="229"/>
      <c r="U827" s="229"/>
      <c r="V827" s="229"/>
      <c r="W827" s="229"/>
      <c r="X827" s="229"/>
    </row>
    <row r="828" spans="1:24" ht="15.75" hidden="1">
      <c r="A828" s="343"/>
      <c r="B828" s="344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6"/>
      <c r="P828" s="276"/>
      <c r="Q828" s="247">
        <f t="shared" si="18"/>
        <v>0</v>
      </c>
      <c r="R828" s="229"/>
      <c r="S828" s="229"/>
      <c r="T828" s="229"/>
      <c r="U828" s="229"/>
      <c r="V828" s="229"/>
      <c r="W828" s="229"/>
      <c r="X828" s="229"/>
    </row>
    <row r="829" spans="1:24" ht="15.75" hidden="1">
      <c r="A829" s="343"/>
      <c r="B829" s="344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6"/>
      <c r="P829" s="276"/>
      <c r="Q829" s="247">
        <f t="shared" si="18"/>
        <v>0</v>
      </c>
      <c r="R829" s="229"/>
      <c r="S829" s="229"/>
      <c r="T829" s="229"/>
      <c r="U829" s="229"/>
      <c r="V829" s="229"/>
      <c r="W829" s="229"/>
      <c r="X829" s="229"/>
    </row>
    <row r="830" spans="1:24" ht="15.75" hidden="1">
      <c r="A830" s="343"/>
      <c r="B830" s="344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6"/>
      <c r="P830" s="276"/>
      <c r="Q830" s="247">
        <f t="shared" si="18"/>
        <v>0</v>
      </c>
      <c r="R830" s="229"/>
      <c r="S830" s="229"/>
      <c r="T830" s="229"/>
      <c r="U830" s="229"/>
      <c r="V830" s="229"/>
      <c r="W830" s="229"/>
      <c r="X830" s="229"/>
    </row>
    <row r="831" spans="1:24" ht="15.75" hidden="1">
      <c r="A831" s="343"/>
      <c r="B831" s="344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6"/>
      <c r="P831" s="276"/>
      <c r="Q831" s="247">
        <f t="shared" si="18"/>
        <v>0</v>
      </c>
      <c r="R831" s="229"/>
      <c r="S831" s="229"/>
      <c r="T831" s="229"/>
      <c r="U831" s="229"/>
      <c r="V831" s="229"/>
      <c r="W831" s="229"/>
      <c r="X831" s="229"/>
    </row>
    <row r="832" spans="1:24" ht="15.75" hidden="1">
      <c r="A832" s="343"/>
      <c r="B832" s="344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6"/>
      <c r="P832" s="276"/>
      <c r="Q832" s="247">
        <f t="shared" si="18"/>
        <v>0</v>
      </c>
      <c r="R832" s="229"/>
      <c r="S832" s="229"/>
      <c r="T832" s="229"/>
      <c r="U832" s="229"/>
      <c r="V832" s="229"/>
      <c r="W832" s="229"/>
      <c r="X832" s="229"/>
    </row>
    <row r="833" spans="1:24" ht="15.75" hidden="1">
      <c r="A833" s="343"/>
      <c r="B833" s="344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6"/>
      <c r="P833" s="276"/>
      <c r="Q833" s="247">
        <f t="shared" si="18"/>
        <v>0</v>
      </c>
      <c r="R833" s="229"/>
      <c r="S833" s="229"/>
      <c r="T833" s="229"/>
      <c r="U833" s="229"/>
      <c r="V833" s="229"/>
      <c r="W833" s="229"/>
      <c r="X833" s="229"/>
    </row>
    <row r="834" spans="1:24" ht="15.75" hidden="1">
      <c r="A834" s="343"/>
      <c r="B834" s="344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6"/>
      <c r="P834" s="276"/>
      <c r="Q834" s="247">
        <f t="shared" si="18"/>
        <v>0</v>
      </c>
      <c r="R834" s="229"/>
      <c r="S834" s="229"/>
      <c r="T834" s="229"/>
      <c r="U834" s="229"/>
      <c r="V834" s="229"/>
      <c r="W834" s="229"/>
      <c r="X834" s="229"/>
    </row>
    <row r="835" spans="1:24" ht="15.75" hidden="1">
      <c r="A835" s="343"/>
      <c r="B835" s="344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6"/>
      <c r="P835" s="276"/>
      <c r="Q835" s="247">
        <f t="shared" si="18"/>
        <v>0</v>
      </c>
      <c r="R835" s="229"/>
      <c r="S835" s="229"/>
      <c r="T835" s="229"/>
      <c r="U835" s="229"/>
      <c r="V835" s="229"/>
      <c r="W835" s="229"/>
      <c r="X835" s="229"/>
    </row>
    <row r="836" spans="1:24" ht="15.75" hidden="1">
      <c r="A836" s="343"/>
      <c r="B836" s="344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6"/>
      <c r="P836" s="276"/>
      <c r="Q836" s="247">
        <f t="shared" si="18"/>
        <v>0</v>
      </c>
      <c r="R836" s="229"/>
      <c r="S836" s="229"/>
      <c r="T836" s="229"/>
      <c r="U836" s="229"/>
      <c r="V836" s="229"/>
      <c r="W836" s="229"/>
      <c r="X836" s="229"/>
    </row>
    <row r="837" spans="1:24" ht="15.75" hidden="1">
      <c r="A837" s="343"/>
      <c r="B837" s="344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6"/>
      <c r="P837" s="276"/>
      <c r="Q837" s="247">
        <f t="shared" si="18"/>
        <v>0</v>
      </c>
      <c r="R837" s="229"/>
      <c r="S837" s="229"/>
      <c r="T837" s="229"/>
      <c r="U837" s="229"/>
      <c r="V837" s="229"/>
      <c r="W837" s="229"/>
      <c r="X837" s="229"/>
    </row>
    <row r="838" spans="1:24" ht="15.75" hidden="1">
      <c r="A838" s="343"/>
      <c r="B838" s="344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6"/>
      <c r="P838" s="276"/>
      <c r="Q838" s="247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9"/>
      <c r="S838" s="229"/>
      <c r="T838" s="229"/>
      <c r="U838" s="229"/>
      <c r="V838" s="229"/>
      <c r="W838" s="229"/>
      <c r="X838" s="229"/>
    </row>
    <row r="839" spans="1:24" ht="15.75" hidden="1">
      <c r="A839" s="343"/>
      <c r="B839" s="344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6"/>
      <c r="P839" s="276"/>
      <c r="Q839" s="247">
        <f t="shared" si="19"/>
        <v>0</v>
      </c>
      <c r="R839" s="229"/>
      <c r="S839" s="229"/>
      <c r="T839" s="229"/>
      <c r="U839" s="229"/>
      <c r="V839" s="229"/>
      <c r="W839" s="229"/>
      <c r="X839" s="229"/>
    </row>
    <row r="840" spans="1:24" ht="15.75" hidden="1">
      <c r="A840" s="343"/>
      <c r="B840" s="344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6"/>
      <c r="P840" s="276"/>
      <c r="Q840" s="247">
        <f t="shared" si="19"/>
        <v>0</v>
      </c>
      <c r="R840" s="229"/>
      <c r="S840" s="229"/>
      <c r="T840" s="229"/>
      <c r="U840" s="229"/>
      <c r="V840" s="229"/>
      <c r="W840" s="229"/>
      <c r="X840" s="229"/>
    </row>
    <row r="841" spans="1:24" ht="15.75" hidden="1">
      <c r="A841" s="343"/>
      <c r="B841" s="344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6"/>
      <c r="P841" s="276"/>
      <c r="Q841" s="247">
        <f t="shared" si="19"/>
        <v>0</v>
      </c>
      <c r="R841" s="229"/>
      <c r="S841" s="229"/>
      <c r="T841" s="229"/>
      <c r="U841" s="229"/>
      <c r="V841" s="229"/>
      <c r="W841" s="229"/>
      <c r="X841" s="229"/>
    </row>
    <row r="842" spans="1:24" ht="15.75" hidden="1">
      <c r="A842" s="343"/>
      <c r="B842" s="344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6"/>
      <c r="P842" s="276"/>
      <c r="Q842" s="247">
        <f t="shared" si="19"/>
        <v>0</v>
      </c>
      <c r="R842" s="229"/>
      <c r="S842" s="229"/>
      <c r="T842" s="229"/>
      <c r="U842" s="229"/>
      <c r="V842" s="229"/>
      <c r="W842" s="229"/>
      <c r="X842" s="229"/>
    </row>
    <row r="843" spans="1:24" ht="15.75" hidden="1">
      <c r="A843" s="343"/>
      <c r="B843" s="344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6"/>
      <c r="P843" s="276"/>
      <c r="Q843" s="247">
        <f t="shared" si="19"/>
        <v>0</v>
      </c>
      <c r="R843" s="229"/>
      <c r="S843" s="229"/>
      <c r="T843" s="229"/>
      <c r="U843" s="229"/>
      <c r="V843" s="229"/>
      <c r="W843" s="229"/>
      <c r="X843" s="229"/>
    </row>
    <row r="844" spans="1:24" ht="15.75" hidden="1">
      <c r="A844" s="343"/>
      <c r="B844" s="344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6"/>
      <c r="P844" s="276"/>
      <c r="Q844" s="247">
        <f t="shared" si="19"/>
        <v>0</v>
      </c>
      <c r="R844" s="229"/>
      <c r="S844" s="229"/>
      <c r="T844" s="229"/>
      <c r="U844" s="229"/>
      <c r="V844" s="229"/>
      <c r="W844" s="229"/>
      <c r="X844" s="229"/>
    </row>
    <row r="845" spans="1:24" ht="15.75" hidden="1">
      <c r="A845" s="343"/>
      <c r="B845" s="344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6"/>
      <c r="P845" s="276"/>
      <c r="Q845" s="247">
        <f t="shared" si="19"/>
        <v>0</v>
      </c>
      <c r="R845" s="229"/>
      <c r="S845" s="229"/>
      <c r="T845" s="229"/>
      <c r="U845" s="229"/>
      <c r="V845" s="229"/>
      <c r="W845" s="229"/>
      <c r="X845" s="229"/>
    </row>
    <row r="846" spans="1:24" ht="15.75" hidden="1">
      <c r="A846" s="343"/>
      <c r="B846" s="344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6"/>
      <c r="P846" s="276"/>
      <c r="Q846" s="247">
        <f t="shared" si="19"/>
        <v>0</v>
      </c>
      <c r="R846" s="229"/>
      <c r="S846" s="229"/>
      <c r="T846" s="229"/>
      <c r="U846" s="229"/>
      <c r="V846" s="229"/>
      <c r="W846" s="229"/>
      <c r="X846" s="229"/>
    </row>
    <row r="847" spans="1:24" ht="15.75" hidden="1">
      <c r="A847" s="343"/>
      <c r="B847" s="344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6"/>
      <c r="P847" s="276"/>
      <c r="Q847" s="247">
        <f t="shared" si="19"/>
        <v>0</v>
      </c>
      <c r="R847" s="229"/>
      <c r="S847" s="229"/>
      <c r="T847" s="229"/>
      <c r="U847" s="229"/>
      <c r="V847" s="229"/>
      <c r="W847" s="229"/>
      <c r="X847" s="229"/>
    </row>
    <row r="848" spans="1:24" ht="15.75" hidden="1">
      <c r="A848" s="343"/>
      <c r="B848" s="344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6"/>
      <c r="P848" s="276"/>
      <c r="Q848" s="247">
        <f t="shared" si="19"/>
        <v>0</v>
      </c>
      <c r="R848" s="229"/>
      <c r="S848" s="229"/>
      <c r="T848" s="229"/>
      <c r="U848" s="229"/>
      <c r="V848" s="229"/>
      <c r="W848" s="229"/>
      <c r="X848" s="229"/>
    </row>
    <row r="849" spans="1:24" ht="15.75" hidden="1">
      <c r="A849" s="343"/>
      <c r="B849" s="344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6"/>
      <c r="P849" s="276"/>
      <c r="Q849" s="247">
        <f t="shared" si="19"/>
        <v>0</v>
      </c>
      <c r="R849" s="229"/>
      <c r="S849" s="229"/>
      <c r="T849" s="229"/>
      <c r="U849" s="229"/>
      <c r="V849" s="229"/>
      <c r="W849" s="229"/>
      <c r="X849" s="229"/>
    </row>
    <row r="850" spans="1:24" ht="15.75" hidden="1">
      <c r="A850" s="343"/>
      <c r="B850" s="344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6"/>
      <c r="P850" s="276"/>
      <c r="Q850" s="247">
        <f t="shared" si="19"/>
        <v>0</v>
      </c>
      <c r="R850" s="229"/>
      <c r="S850" s="229"/>
      <c r="T850" s="229"/>
      <c r="U850" s="229"/>
      <c r="V850" s="229"/>
      <c r="W850" s="229"/>
      <c r="X850" s="229"/>
    </row>
    <row r="851" spans="1:24" ht="15.75" hidden="1">
      <c r="A851" s="343"/>
      <c r="B851" s="344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6"/>
      <c r="P851" s="276"/>
      <c r="Q851" s="247">
        <f t="shared" si="19"/>
        <v>0</v>
      </c>
      <c r="R851" s="229"/>
      <c r="S851" s="229"/>
      <c r="T851" s="229"/>
      <c r="U851" s="229"/>
      <c r="V851" s="229"/>
      <c r="W851" s="229"/>
      <c r="X851" s="229"/>
    </row>
    <row r="852" spans="1:24" ht="15.75" hidden="1">
      <c r="A852" s="343"/>
      <c r="B852" s="344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6"/>
      <c r="P852" s="276"/>
      <c r="Q852" s="247">
        <f t="shared" si="19"/>
        <v>0</v>
      </c>
      <c r="R852" s="229"/>
      <c r="S852" s="229"/>
      <c r="T852" s="229"/>
      <c r="U852" s="229"/>
      <c r="V852" s="229"/>
      <c r="W852" s="229"/>
      <c r="X852" s="229"/>
    </row>
    <row r="853" spans="1:24" ht="15.75" hidden="1">
      <c r="A853" s="343"/>
      <c r="B853" s="344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6"/>
      <c r="P853" s="276"/>
      <c r="Q853" s="247">
        <f t="shared" si="19"/>
        <v>0</v>
      </c>
      <c r="R853" s="229"/>
      <c r="S853" s="229"/>
      <c r="T853" s="229"/>
      <c r="U853" s="229"/>
      <c r="V853" s="229"/>
      <c r="W853" s="229"/>
      <c r="X853" s="229"/>
    </row>
    <row r="854" spans="1:24" ht="15.75" hidden="1">
      <c r="A854" s="343"/>
      <c r="B854" s="344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6"/>
      <c r="P854" s="276"/>
      <c r="Q854" s="247">
        <f t="shared" si="19"/>
        <v>0</v>
      </c>
      <c r="R854" s="229"/>
      <c r="S854" s="229"/>
      <c r="T854" s="229"/>
      <c r="U854" s="229"/>
      <c r="V854" s="229"/>
      <c r="W854" s="229"/>
      <c r="X854" s="229"/>
    </row>
    <row r="855" spans="1:24" ht="15.75" hidden="1">
      <c r="A855" s="343"/>
      <c r="B855" s="344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6"/>
      <c r="P855" s="276"/>
      <c r="Q855" s="247">
        <f t="shared" si="19"/>
        <v>0</v>
      </c>
      <c r="R855" s="229"/>
      <c r="S855" s="229"/>
      <c r="T855" s="229"/>
      <c r="U855" s="229"/>
      <c r="V855" s="229"/>
      <c r="W855" s="229"/>
      <c r="X855" s="229"/>
    </row>
    <row r="856" spans="1:24" ht="15.75" hidden="1">
      <c r="A856" s="343"/>
      <c r="B856" s="344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6"/>
      <c r="P856" s="276"/>
      <c r="Q856" s="247">
        <f t="shared" si="19"/>
        <v>0</v>
      </c>
      <c r="R856" s="229"/>
      <c r="S856" s="229"/>
      <c r="T856" s="229"/>
      <c r="U856" s="229"/>
      <c r="V856" s="229"/>
      <c r="W856" s="229"/>
      <c r="X856" s="229"/>
    </row>
    <row r="857" spans="1:24" ht="15.75" hidden="1">
      <c r="A857" s="343"/>
      <c r="B857" s="344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6"/>
      <c r="P857" s="276"/>
      <c r="Q857" s="247">
        <f t="shared" si="19"/>
        <v>0</v>
      </c>
      <c r="R857" s="229"/>
      <c r="S857" s="229"/>
      <c r="T857" s="229"/>
      <c r="U857" s="229"/>
      <c r="V857" s="229"/>
      <c r="W857" s="229"/>
      <c r="X857" s="229"/>
    </row>
    <row r="858" spans="1:24" ht="15.75" hidden="1">
      <c r="A858" s="343"/>
      <c r="B858" s="344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6"/>
      <c r="P858" s="276"/>
      <c r="Q858" s="247">
        <f t="shared" si="19"/>
        <v>0</v>
      </c>
      <c r="R858" s="229"/>
      <c r="S858" s="229"/>
      <c r="T858" s="229"/>
      <c r="U858" s="229"/>
      <c r="V858" s="229"/>
      <c r="W858" s="229"/>
      <c r="X858" s="229"/>
    </row>
    <row r="859" spans="1:24" ht="15.75" hidden="1">
      <c r="A859" s="343"/>
      <c r="B859" s="344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6"/>
      <c r="P859" s="276"/>
      <c r="Q859" s="247">
        <f t="shared" si="19"/>
        <v>0</v>
      </c>
      <c r="R859" s="229"/>
      <c r="S859" s="229"/>
      <c r="T859" s="229"/>
      <c r="U859" s="229"/>
      <c r="V859" s="229"/>
      <c r="W859" s="229"/>
      <c r="X859" s="229"/>
    </row>
    <row r="860" spans="1:24" ht="15.75" hidden="1">
      <c r="A860" s="343"/>
      <c r="B860" s="344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6"/>
      <c r="P860" s="276"/>
      <c r="Q860" s="247">
        <f t="shared" si="19"/>
        <v>0</v>
      </c>
      <c r="R860" s="229"/>
      <c r="S860" s="229"/>
      <c r="T860" s="229"/>
      <c r="U860" s="229"/>
      <c r="V860" s="229"/>
      <c r="W860" s="229"/>
      <c r="X860" s="229"/>
    </row>
    <row r="861" spans="1:24" ht="15.75" hidden="1">
      <c r="A861" s="343"/>
      <c r="B861" s="344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6"/>
      <c r="P861" s="276"/>
      <c r="Q861" s="247">
        <f t="shared" si="19"/>
        <v>0</v>
      </c>
      <c r="R861" s="229"/>
      <c r="S861" s="229"/>
      <c r="T861" s="229"/>
      <c r="U861" s="229"/>
      <c r="V861" s="229"/>
      <c r="W861" s="229"/>
      <c r="X861" s="229"/>
    </row>
    <row r="862" spans="1:24" ht="15.75" hidden="1">
      <c r="A862" s="343"/>
      <c r="B862" s="344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6"/>
      <c r="P862" s="276"/>
      <c r="Q862" s="247">
        <f t="shared" si="19"/>
        <v>0</v>
      </c>
      <c r="R862" s="229"/>
      <c r="S862" s="229"/>
      <c r="T862" s="229"/>
      <c r="U862" s="229"/>
      <c r="V862" s="229"/>
      <c r="W862" s="229"/>
      <c r="X862" s="229"/>
    </row>
    <row r="863" spans="1:24" ht="15.75" hidden="1">
      <c r="A863" s="343"/>
      <c r="B863" s="344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6"/>
      <c r="P863" s="276"/>
      <c r="Q863" s="247">
        <f t="shared" si="19"/>
        <v>0</v>
      </c>
      <c r="R863" s="229"/>
      <c r="S863" s="229"/>
      <c r="T863" s="229"/>
      <c r="U863" s="229"/>
      <c r="V863" s="229"/>
      <c r="W863" s="229"/>
      <c r="X863" s="229"/>
    </row>
    <row r="864" spans="1:24" ht="15.75" hidden="1">
      <c r="A864" s="343"/>
      <c r="B864" s="344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6"/>
      <c r="P864" s="276"/>
      <c r="Q864" s="247">
        <f t="shared" si="19"/>
        <v>0</v>
      </c>
      <c r="R864" s="229"/>
      <c r="S864" s="229"/>
      <c r="T864" s="229"/>
      <c r="U864" s="229"/>
      <c r="V864" s="229"/>
      <c r="W864" s="229"/>
      <c r="X864" s="229"/>
    </row>
    <row r="865" spans="1:24" ht="15.75" hidden="1">
      <c r="A865" s="343"/>
      <c r="B865" s="344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6"/>
      <c r="P865" s="276"/>
      <c r="Q865" s="247">
        <f t="shared" si="19"/>
        <v>0</v>
      </c>
      <c r="R865" s="229"/>
      <c r="S865" s="229"/>
      <c r="T865" s="229"/>
      <c r="U865" s="229"/>
      <c r="V865" s="229"/>
      <c r="W865" s="229"/>
      <c r="X865" s="229"/>
    </row>
    <row r="866" spans="1:24" ht="15.75" hidden="1">
      <c r="A866" s="343"/>
      <c r="B866" s="344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6"/>
      <c r="P866" s="276"/>
      <c r="Q866" s="247">
        <f t="shared" si="19"/>
        <v>0</v>
      </c>
      <c r="R866" s="229"/>
      <c r="S866" s="229"/>
      <c r="T866" s="229"/>
      <c r="U866" s="229"/>
      <c r="V866" s="229"/>
      <c r="W866" s="229"/>
      <c r="X866" s="229"/>
    </row>
    <row r="867" spans="1:24" ht="15.75" hidden="1">
      <c r="A867" s="343"/>
      <c r="B867" s="344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6"/>
      <c r="P867" s="276"/>
      <c r="Q867" s="247">
        <f t="shared" si="19"/>
        <v>0</v>
      </c>
      <c r="R867" s="229"/>
      <c r="S867" s="229"/>
      <c r="T867" s="229"/>
      <c r="U867" s="229"/>
      <c r="V867" s="229"/>
      <c r="W867" s="229"/>
      <c r="X867" s="229"/>
    </row>
    <row r="868" spans="1:24" ht="15.75" hidden="1">
      <c r="A868" s="343"/>
      <c r="B868" s="344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6"/>
      <c r="P868" s="276"/>
      <c r="Q868" s="247">
        <f t="shared" si="19"/>
        <v>0</v>
      </c>
      <c r="R868" s="229"/>
      <c r="S868" s="229"/>
      <c r="T868" s="229"/>
      <c r="U868" s="229"/>
      <c r="V868" s="229"/>
      <c r="W868" s="229"/>
      <c r="X868" s="229"/>
    </row>
    <row r="869" spans="1:24" ht="15.75" hidden="1">
      <c r="A869" s="343"/>
      <c r="B869" s="344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6"/>
      <c r="P869" s="276"/>
      <c r="Q869" s="247">
        <f t="shared" si="19"/>
        <v>0</v>
      </c>
      <c r="R869" s="229"/>
      <c r="S869" s="229"/>
      <c r="T869" s="229"/>
      <c r="U869" s="229"/>
      <c r="V869" s="229"/>
      <c r="W869" s="229"/>
      <c r="X869" s="229"/>
    </row>
    <row r="870" spans="1:24" ht="15.75" hidden="1">
      <c r="A870" s="343"/>
      <c r="B870" s="344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6"/>
      <c r="P870" s="276"/>
      <c r="Q870" s="247">
        <f t="shared" si="19"/>
        <v>0</v>
      </c>
      <c r="R870" s="229"/>
      <c r="S870" s="229"/>
      <c r="T870" s="229"/>
      <c r="U870" s="229"/>
      <c r="V870" s="229"/>
      <c r="W870" s="229"/>
      <c r="X870" s="229"/>
    </row>
    <row r="871" spans="1:24" ht="15.75" hidden="1">
      <c r="A871" s="343"/>
      <c r="B871" s="344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6"/>
      <c r="P871" s="276"/>
      <c r="Q871" s="247">
        <f t="shared" si="19"/>
        <v>0</v>
      </c>
      <c r="R871" s="229"/>
      <c r="S871" s="229"/>
      <c r="T871" s="229"/>
      <c r="U871" s="229"/>
      <c r="V871" s="229"/>
      <c r="W871" s="229"/>
      <c r="X871" s="229"/>
    </row>
    <row r="872" spans="1:24" ht="15.75" hidden="1">
      <c r="A872" s="343"/>
      <c r="B872" s="344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6"/>
      <c r="P872" s="276"/>
      <c r="Q872" s="247">
        <f t="shared" si="19"/>
        <v>0</v>
      </c>
      <c r="R872" s="229"/>
      <c r="S872" s="229"/>
      <c r="T872" s="229"/>
      <c r="U872" s="229"/>
      <c r="V872" s="229"/>
      <c r="W872" s="229"/>
      <c r="X872" s="229"/>
    </row>
    <row r="873" spans="1:24" ht="15.75" hidden="1">
      <c r="A873" s="343"/>
      <c r="B873" s="344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6"/>
      <c r="P873" s="276"/>
      <c r="Q873" s="247">
        <f t="shared" si="19"/>
        <v>0</v>
      </c>
      <c r="R873" s="229"/>
      <c r="S873" s="229"/>
      <c r="T873" s="229"/>
      <c r="U873" s="229"/>
      <c r="V873" s="229"/>
      <c r="W873" s="229"/>
      <c r="X873" s="229"/>
    </row>
    <row r="874" spans="1:24" ht="15.75" hidden="1">
      <c r="A874" s="343"/>
      <c r="B874" s="344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6"/>
      <c r="P874" s="276"/>
      <c r="Q874" s="247">
        <f t="shared" si="19"/>
        <v>0</v>
      </c>
      <c r="R874" s="229"/>
      <c r="S874" s="229"/>
      <c r="T874" s="229"/>
      <c r="U874" s="229"/>
      <c r="V874" s="229"/>
      <c r="W874" s="229"/>
      <c r="X874" s="229"/>
    </row>
    <row r="875" spans="1:24" ht="15.75" hidden="1">
      <c r="A875" s="343"/>
      <c r="B875" s="344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6"/>
      <c r="P875" s="276"/>
      <c r="Q875" s="247">
        <f t="shared" si="19"/>
        <v>0</v>
      </c>
      <c r="R875" s="229"/>
      <c r="S875" s="229"/>
      <c r="T875" s="229"/>
      <c r="U875" s="229"/>
      <c r="V875" s="229"/>
      <c r="W875" s="229"/>
      <c r="X875" s="229"/>
    </row>
    <row r="876" spans="1:24" ht="15.75" hidden="1">
      <c r="A876" s="343"/>
      <c r="B876" s="344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6"/>
      <c r="P876" s="276"/>
      <c r="Q876" s="247">
        <f t="shared" si="19"/>
        <v>0</v>
      </c>
      <c r="R876" s="229"/>
      <c r="S876" s="229"/>
      <c r="T876" s="229"/>
      <c r="U876" s="229"/>
      <c r="V876" s="229"/>
      <c r="W876" s="229"/>
      <c r="X876" s="229"/>
    </row>
    <row r="877" spans="1:24" ht="15.75" hidden="1">
      <c r="A877" s="343"/>
      <c r="B877" s="344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6"/>
      <c r="P877" s="276"/>
      <c r="Q877" s="247">
        <f t="shared" si="19"/>
        <v>0</v>
      </c>
      <c r="R877" s="229"/>
      <c r="S877" s="229"/>
      <c r="T877" s="229"/>
      <c r="U877" s="229"/>
      <c r="V877" s="229"/>
      <c r="W877" s="229"/>
      <c r="X877" s="229"/>
    </row>
    <row r="878" spans="1:24" ht="15.75" hidden="1">
      <c r="A878" s="343"/>
      <c r="B878" s="344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6"/>
      <c r="P878" s="276"/>
      <c r="Q878" s="247">
        <f t="shared" si="19"/>
        <v>0</v>
      </c>
      <c r="R878" s="229"/>
      <c r="S878" s="229"/>
      <c r="T878" s="229"/>
      <c r="U878" s="229"/>
      <c r="V878" s="229"/>
      <c r="W878" s="229"/>
      <c r="X878" s="229"/>
    </row>
    <row r="879" spans="1:24" ht="15.75" hidden="1">
      <c r="A879" s="343"/>
      <c r="B879" s="344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6"/>
      <c r="P879" s="276"/>
      <c r="Q879" s="247">
        <f t="shared" si="19"/>
        <v>0</v>
      </c>
      <c r="R879" s="229"/>
      <c r="S879" s="229"/>
      <c r="T879" s="229"/>
      <c r="U879" s="229"/>
      <c r="V879" s="229"/>
      <c r="W879" s="229"/>
      <c r="X879" s="229"/>
    </row>
    <row r="880" spans="1:24" ht="15.75" hidden="1">
      <c r="A880" s="343"/>
      <c r="B880" s="344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6"/>
      <c r="P880" s="276"/>
      <c r="Q880" s="247">
        <f t="shared" si="19"/>
        <v>0</v>
      </c>
      <c r="R880" s="229"/>
      <c r="S880" s="229"/>
      <c r="T880" s="229"/>
      <c r="U880" s="229"/>
      <c r="V880" s="229"/>
      <c r="W880" s="229"/>
      <c r="X880" s="229"/>
    </row>
    <row r="881" spans="1:24" ht="15.75" hidden="1">
      <c r="A881" s="343"/>
      <c r="B881" s="344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6"/>
      <c r="P881" s="276"/>
      <c r="Q881" s="247">
        <f t="shared" si="19"/>
        <v>0</v>
      </c>
      <c r="R881" s="229"/>
      <c r="S881" s="229"/>
      <c r="T881" s="229"/>
      <c r="U881" s="229"/>
      <c r="V881" s="229"/>
      <c r="W881" s="229"/>
      <c r="X881" s="229"/>
    </row>
    <row r="882" spans="1:24" ht="15.75" hidden="1">
      <c r="A882" s="343"/>
      <c r="B882" s="344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6"/>
      <c r="P882" s="276"/>
      <c r="Q882" s="247">
        <f t="shared" si="19"/>
        <v>0</v>
      </c>
      <c r="R882" s="229"/>
      <c r="S882" s="229"/>
      <c r="T882" s="229"/>
      <c r="U882" s="229"/>
      <c r="V882" s="229"/>
      <c r="W882" s="229"/>
      <c r="X882" s="229"/>
    </row>
    <row r="883" spans="1:24" ht="15.75" hidden="1">
      <c r="A883" s="343"/>
      <c r="B883" s="344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6"/>
      <c r="P883" s="276"/>
      <c r="Q883" s="247">
        <f t="shared" si="19"/>
        <v>0</v>
      </c>
      <c r="R883" s="229"/>
      <c r="S883" s="229"/>
      <c r="T883" s="229"/>
      <c r="U883" s="229"/>
      <c r="V883" s="229"/>
      <c r="W883" s="229"/>
      <c r="X883" s="229"/>
    </row>
    <row r="884" spans="1:24" ht="15.75" hidden="1">
      <c r="A884" s="343"/>
      <c r="B884" s="344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6"/>
      <c r="P884" s="276"/>
      <c r="Q884" s="247">
        <f t="shared" si="19"/>
        <v>0</v>
      </c>
      <c r="R884" s="229"/>
      <c r="S884" s="229"/>
      <c r="T884" s="229"/>
      <c r="U884" s="229"/>
      <c r="V884" s="229"/>
      <c r="W884" s="229"/>
      <c r="X884" s="229"/>
    </row>
    <row r="885" spans="1:24" ht="15.75" hidden="1">
      <c r="A885" s="343"/>
      <c r="B885" s="344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6"/>
      <c r="P885" s="276"/>
      <c r="Q885" s="247">
        <f t="shared" si="19"/>
        <v>0</v>
      </c>
      <c r="R885" s="229"/>
      <c r="S885" s="229"/>
      <c r="T885" s="229"/>
      <c r="U885" s="229"/>
      <c r="V885" s="229"/>
      <c r="W885" s="229"/>
      <c r="X885" s="229"/>
    </row>
    <row r="886" spans="1:24" ht="15.75" hidden="1">
      <c r="A886" s="343"/>
      <c r="B886" s="344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6"/>
      <c r="P886" s="276"/>
      <c r="Q886" s="247">
        <f t="shared" si="19"/>
        <v>0</v>
      </c>
      <c r="R886" s="229"/>
      <c r="S886" s="229"/>
      <c r="T886" s="229"/>
      <c r="U886" s="229"/>
      <c r="V886" s="229"/>
      <c r="W886" s="229"/>
      <c r="X886" s="229"/>
    </row>
    <row r="887" spans="1:24" ht="15.75" hidden="1">
      <c r="A887" s="343"/>
      <c r="B887" s="344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6"/>
      <c r="P887" s="276"/>
      <c r="Q887" s="247">
        <f t="shared" si="19"/>
        <v>0</v>
      </c>
      <c r="R887" s="229"/>
      <c r="S887" s="229"/>
      <c r="T887" s="229"/>
      <c r="U887" s="229"/>
      <c r="V887" s="229"/>
      <c r="W887" s="229"/>
      <c r="X887" s="229"/>
    </row>
    <row r="888" spans="1:24" ht="15.75" hidden="1">
      <c r="A888" s="343"/>
      <c r="B888" s="344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6"/>
      <c r="P888" s="276"/>
      <c r="Q888" s="247">
        <f t="shared" si="19"/>
        <v>0</v>
      </c>
      <c r="R888" s="229"/>
      <c r="S888" s="229"/>
      <c r="T888" s="229"/>
      <c r="U888" s="229"/>
      <c r="V888" s="229"/>
      <c r="W888" s="229"/>
      <c r="X888" s="229"/>
    </row>
    <row r="889" spans="1:24" ht="15.75" hidden="1">
      <c r="A889" s="343"/>
      <c r="B889" s="344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6"/>
      <c r="P889" s="276"/>
      <c r="Q889" s="247">
        <f t="shared" si="19"/>
        <v>0</v>
      </c>
      <c r="R889" s="229"/>
      <c r="S889" s="229"/>
      <c r="T889" s="229"/>
      <c r="U889" s="229"/>
      <c r="V889" s="229"/>
      <c r="W889" s="229"/>
      <c r="X889" s="229"/>
    </row>
    <row r="890" spans="1:24" ht="15.75" hidden="1">
      <c r="A890" s="343"/>
      <c r="B890" s="344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6"/>
      <c r="P890" s="276"/>
      <c r="Q890" s="247">
        <f t="shared" si="19"/>
        <v>0</v>
      </c>
      <c r="R890" s="229"/>
      <c r="S890" s="229"/>
      <c r="T890" s="229"/>
      <c r="U890" s="229"/>
      <c r="V890" s="229"/>
      <c r="W890" s="229"/>
      <c r="X890" s="229"/>
    </row>
    <row r="891" spans="1:24" ht="15.75" hidden="1">
      <c r="A891" s="343"/>
      <c r="B891" s="344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6"/>
      <c r="P891" s="276"/>
      <c r="Q891" s="247">
        <f t="shared" si="19"/>
        <v>0</v>
      </c>
      <c r="R891" s="229"/>
      <c r="S891" s="229"/>
      <c r="T891" s="229"/>
      <c r="U891" s="229"/>
      <c r="V891" s="229"/>
      <c r="W891" s="229"/>
      <c r="X891" s="229"/>
    </row>
    <row r="892" spans="1:24" ht="15.75" hidden="1">
      <c r="A892" s="343"/>
      <c r="B892" s="344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6"/>
      <c r="P892" s="276"/>
      <c r="Q892" s="247">
        <f t="shared" si="19"/>
        <v>0</v>
      </c>
      <c r="R892" s="229"/>
      <c r="S892" s="229"/>
      <c r="T892" s="229"/>
      <c r="U892" s="229"/>
      <c r="V892" s="229"/>
      <c r="W892" s="229"/>
      <c r="X892" s="229"/>
    </row>
    <row r="893" spans="1:24" ht="15.75" hidden="1">
      <c r="A893" s="343"/>
      <c r="B893" s="344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6"/>
      <c r="P893" s="276"/>
      <c r="Q893" s="247">
        <f t="shared" si="19"/>
        <v>0</v>
      </c>
      <c r="R893" s="229"/>
      <c r="S893" s="229"/>
      <c r="T893" s="229"/>
      <c r="U893" s="229"/>
      <c r="V893" s="229"/>
      <c r="W893" s="229"/>
      <c r="X893" s="229"/>
    </row>
    <row r="894" spans="1:24" ht="15.75" hidden="1">
      <c r="A894" s="343"/>
      <c r="B894" s="344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6"/>
      <c r="P894" s="276"/>
      <c r="Q894" s="247">
        <f t="shared" si="19"/>
        <v>0</v>
      </c>
      <c r="R894" s="229"/>
      <c r="S894" s="229"/>
      <c r="T894" s="229"/>
      <c r="U894" s="229"/>
      <c r="V894" s="229"/>
      <c r="W894" s="229"/>
      <c r="X894" s="229"/>
    </row>
    <row r="895" spans="1:24" ht="15.75" hidden="1">
      <c r="A895" s="343"/>
      <c r="B895" s="344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6"/>
      <c r="P895" s="276"/>
      <c r="Q895" s="247">
        <f t="shared" si="19"/>
        <v>0</v>
      </c>
      <c r="R895" s="229"/>
      <c r="S895" s="229"/>
      <c r="T895" s="229"/>
      <c r="U895" s="229"/>
      <c r="V895" s="229"/>
      <c r="W895" s="229"/>
      <c r="X895" s="229"/>
    </row>
    <row r="896" spans="1:24" ht="15.75" hidden="1">
      <c r="A896" s="343"/>
      <c r="B896" s="344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6"/>
      <c r="P896" s="276"/>
      <c r="Q896" s="247">
        <f t="shared" si="19"/>
        <v>0</v>
      </c>
      <c r="R896" s="229"/>
      <c r="S896" s="229"/>
      <c r="T896" s="229"/>
      <c r="U896" s="229"/>
      <c r="V896" s="229"/>
      <c r="W896" s="229"/>
      <c r="X896" s="229"/>
    </row>
    <row r="897" spans="1:24" ht="15.75" hidden="1">
      <c r="A897" s="343"/>
      <c r="B897" s="344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6"/>
      <c r="P897" s="276"/>
      <c r="Q897" s="247">
        <f t="shared" si="19"/>
        <v>0</v>
      </c>
      <c r="R897" s="229"/>
      <c r="S897" s="229"/>
      <c r="T897" s="229"/>
      <c r="U897" s="229"/>
      <c r="V897" s="229"/>
      <c r="W897" s="229"/>
      <c r="X897" s="229"/>
    </row>
    <row r="898" spans="1:24" ht="15.75" hidden="1">
      <c r="A898" s="343"/>
      <c r="B898" s="344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6"/>
      <c r="P898" s="276"/>
      <c r="Q898" s="247">
        <f t="shared" si="19"/>
        <v>0</v>
      </c>
      <c r="R898" s="229"/>
      <c r="S898" s="229"/>
      <c r="T898" s="229"/>
      <c r="U898" s="229"/>
      <c r="V898" s="229"/>
      <c r="W898" s="229"/>
      <c r="X898" s="229"/>
    </row>
    <row r="899" spans="1:24" ht="15.75" hidden="1">
      <c r="A899" s="343"/>
      <c r="B899" s="344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6"/>
      <c r="P899" s="276"/>
      <c r="Q899" s="247">
        <f t="shared" si="19"/>
        <v>0</v>
      </c>
      <c r="R899" s="229"/>
      <c r="S899" s="229"/>
      <c r="T899" s="229"/>
      <c r="U899" s="229"/>
      <c r="V899" s="229"/>
      <c r="W899" s="229"/>
      <c r="X899" s="229"/>
    </row>
    <row r="900" spans="1:24" ht="15.75" hidden="1">
      <c r="A900" s="343"/>
      <c r="B900" s="344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6"/>
      <c r="P900" s="276"/>
      <c r="Q900" s="247">
        <f t="shared" si="19"/>
        <v>0</v>
      </c>
      <c r="R900" s="229"/>
      <c r="S900" s="229"/>
      <c r="T900" s="229"/>
      <c r="U900" s="229"/>
      <c r="V900" s="229"/>
      <c r="W900" s="229"/>
      <c r="X900" s="229"/>
    </row>
    <row r="901" spans="1:24" ht="15.75" hidden="1">
      <c r="A901" s="343"/>
      <c r="B901" s="344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6"/>
      <c r="P901" s="276"/>
      <c r="Q901" s="247">
        <f t="shared" si="19"/>
        <v>0</v>
      </c>
      <c r="R901" s="229"/>
      <c r="S901" s="229"/>
      <c r="T901" s="229"/>
      <c r="U901" s="229"/>
      <c r="V901" s="229"/>
      <c r="W901" s="229"/>
      <c r="X901" s="229"/>
    </row>
    <row r="902" spans="1:24" ht="15.75" hidden="1">
      <c r="A902" s="343"/>
      <c r="B902" s="344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6"/>
      <c r="P902" s="276"/>
      <c r="Q902" s="247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9"/>
      <c r="S902" s="229"/>
      <c r="T902" s="229"/>
      <c r="U902" s="229"/>
      <c r="V902" s="229"/>
      <c r="W902" s="229"/>
      <c r="X902" s="229"/>
    </row>
    <row r="903" spans="1:24" ht="15.75" hidden="1">
      <c r="A903" s="343"/>
      <c r="B903" s="344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6"/>
      <c r="P903" s="276"/>
      <c r="Q903" s="247">
        <f t="shared" si="20"/>
        <v>0</v>
      </c>
      <c r="R903" s="229"/>
      <c r="S903" s="229"/>
      <c r="T903" s="229"/>
      <c r="U903" s="229"/>
      <c r="V903" s="229"/>
      <c r="W903" s="229"/>
      <c r="X903" s="229"/>
    </row>
    <row r="904" spans="1:24" ht="15.75" hidden="1">
      <c r="A904" s="343"/>
      <c r="B904" s="344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6"/>
      <c r="P904" s="276"/>
      <c r="Q904" s="247">
        <f t="shared" si="20"/>
        <v>0</v>
      </c>
      <c r="R904" s="229"/>
      <c r="S904" s="229"/>
      <c r="T904" s="229"/>
      <c r="U904" s="229"/>
      <c r="V904" s="229"/>
      <c r="W904" s="229"/>
      <c r="X904" s="229"/>
    </row>
    <row r="905" spans="1:24" ht="15.75" hidden="1">
      <c r="A905" s="343"/>
      <c r="B905" s="344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6"/>
      <c r="P905" s="276"/>
      <c r="Q905" s="247">
        <f t="shared" si="20"/>
        <v>0</v>
      </c>
      <c r="R905" s="229"/>
      <c r="S905" s="229"/>
      <c r="T905" s="229"/>
      <c r="U905" s="229"/>
      <c r="V905" s="229"/>
      <c r="W905" s="229"/>
      <c r="X905" s="229"/>
    </row>
    <row r="906" spans="1:24" ht="15.75" hidden="1">
      <c r="A906" s="343"/>
      <c r="B906" s="344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6"/>
      <c r="P906" s="276"/>
      <c r="Q906" s="247">
        <f t="shared" si="20"/>
        <v>0</v>
      </c>
      <c r="R906" s="229"/>
      <c r="S906" s="229"/>
      <c r="T906" s="229"/>
      <c r="U906" s="229"/>
      <c r="V906" s="229"/>
      <c r="W906" s="229"/>
      <c r="X906" s="229"/>
    </row>
    <row r="907" spans="1:24" ht="15.75" hidden="1">
      <c r="A907" s="343"/>
      <c r="B907" s="344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6"/>
      <c r="P907" s="276"/>
      <c r="Q907" s="247">
        <f t="shared" si="20"/>
        <v>0</v>
      </c>
      <c r="R907" s="229"/>
      <c r="S907" s="229"/>
      <c r="T907" s="229"/>
      <c r="U907" s="229"/>
      <c r="V907" s="229"/>
      <c r="W907" s="229"/>
      <c r="X907" s="229"/>
    </row>
    <row r="908" spans="1:24" ht="15.75" hidden="1">
      <c r="A908" s="343"/>
      <c r="B908" s="344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6"/>
      <c r="P908" s="276"/>
      <c r="Q908" s="247">
        <f t="shared" si="20"/>
        <v>0</v>
      </c>
      <c r="R908" s="229"/>
      <c r="S908" s="229"/>
      <c r="T908" s="229"/>
      <c r="U908" s="229"/>
      <c r="V908" s="229"/>
      <c r="W908" s="229"/>
      <c r="X908" s="229"/>
    </row>
    <row r="909" spans="1:24" ht="15.75" hidden="1">
      <c r="A909" s="343"/>
      <c r="B909" s="344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6"/>
      <c r="P909" s="276"/>
      <c r="Q909" s="247">
        <f t="shared" si="20"/>
        <v>0</v>
      </c>
      <c r="R909" s="229"/>
      <c r="S909" s="229"/>
      <c r="T909" s="229"/>
      <c r="U909" s="229"/>
      <c r="V909" s="229"/>
      <c r="W909" s="229"/>
      <c r="X909" s="229"/>
    </row>
    <row r="910" spans="1:24" ht="15.75" hidden="1">
      <c r="A910" s="343"/>
      <c r="B910" s="344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6"/>
      <c r="P910" s="276"/>
      <c r="Q910" s="247">
        <f t="shared" si="20"/>
        <v>0</v>
      </c>
      <c r="R910" s="229"/>
      <c r="S910" s="229"/>
      <c r="T910" s="229"/>
      <c r="U910" s="229"/>
      <c r="V910" s="229"/>
      <c r="W910" s="229"/>
      <c r="X910" s="229"/>
    </row>
    <row r="911" spans="1:24" ht="15.75" hidden="1">
      <c r="A911" s="343"/>
      <c r="B911" s="344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6"/>
      <c r="P911" s="276"/>
      <c r="Q911" s="247">
        <f t="shared" si="20"/>
        <v>0</v>
      </c>
      <c r="R911" s="229"/>
      <c r="S911" s="229"/>
      <c r="T911" s="229"/>
      <c r="U911" s="229"/>
      <c r="V911" s="229"/>
      <c r="W911" s="229"/>
      <c r="X911" s="229"/>
    </row>
    <row r="912" spans="1:24" ht="15.75" hidden="1">
      <c r="A912" s="343"/>
      <c r="B912" s="344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6"/>
      <c r="P912" s="276"/>
      <c r="Q912" s="247">
        <f t="shared" si="20"/>
        <v>0</v>
      </c>
      <c r="R912" s="229"/>
      <c r="S912" s="229"/>
      <c r="T912" s="229"/>
      <c r="U912" s="229"/>
      <c r="V912" s="229"/>
      <c r="W912" s="229"/>
      <c r="X912" s="229"/>
    </row>
    <row r="913" spans="1:24" ht="15.75" hidden="1">
      <c r="A913" s="343"/>
      <c r="B913" s="344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6"/>
      <c r="P913" s="276"/>
      <c r="Q913" s="247">
        <f t="shared" si="20"/>
        <v>0</v>
      </c>
      <c r="R913" s="229"/>
      <c r="S913" s="229"/>
      <c r="T913" s="229"/>
      <c r="U913" s="229"/>
      <c r="V913" s="229"/>
      <c r="W913" s="229"/>
      <c r="X913" s="229"/>
    </row>
    <row r="914" spans="1:24" ht="15.75" hidden="1">
      <c r="A914" s="343"/>
      <c r="B914" s="344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6"/>
      <c r="P914" s="276"/>
      <c r="Q914" s="247">
        <f t="shared" si="20"/>
        <v>0</v>
      </c>
      <c r="R914" s="229"/>
      <c r="S914" s="229"/>
      <c r="T914" s="229"/>
      <c r="U914" s="229"/>
      <c r="V914" s="229"/>
      <c r="W914" s="229"/>
      <c r="X914" s="229"/>
    </row>
    <row r="915" spans="1:24" ht="15.75" hidden="1">
      <c r="A915" s="343"/>
      <c r="B915" s="344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6"/>
      <c r="P915" s="276"/>
      <c r="Q915" s="247">
        <f t="shared" si="20"/>
        <v>0</v>
      </c>
      <c r="R915" s="229"/>
      <c r="S915" s="229"/>
      <c r="T915" s="229"/>
      <c r="U915" s="229"/>
      <c r="V915" s="229"/>
      <c r="W915" s="229"/>
      <c r="X915" s="229"/>
    </row>
    <row r="916" spans="1:24" ht="15.75" hidden="1">
      <c r="A916" s="343"/>
      <c r="B916" s="344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6"/>
      <c r="P916" s="276"/>
      <c r="Q916" s="247">
        <f t="shared" si="20"/>
        <v>0</v>
      </c>
      <c r="R916" s="229"/>
      <c r="S916" s="229"/>
      <c r="T916" s="229"/>
      <c r="U916" s="229"/>
      <c r="V916" s="229"/>
      <c r="W916" s="229"/>
      <c r="X916" s="229"/>
    </row>
    <row r="917" spans="1:24" ht="15.75" hidden="1">
      <c r="A917" s="343"/>
      <c r="B917" s="344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6"/>
      <c r="P917" s="276"/>
      <c r="Q917" s="247">
        <f t="shared" si="20"/>
        <v>0</v>
      </c>
      <c r="R917" s="229"/>
      <c r="S917" s="229"/>
      <c r="T917" s="229"/>
      <c r="U917" s="229"/>
      <c r="V917" s="229"/>
      <c r="W917" s="229"/>
      <c r="X917" s="229"/>
    </row>
    <row r="918" spans="1:24" ht="15.75" hidden="1">
      <c r="A918" s="343"/>
      <c r="B918" s="344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6"/>
      <c r="P918" s="276"/>
      <c r="Q918" s="247">
        <f t="shared" si="20"/>
        <v>0</v>
      </c>
      <c r="R918" s="229"/>
      <c r="S918" s="229"/>
      <c r="T918" s="229"/>
      <c r="U918" s="229"/>
      <c r="V918" s="229"/>
      <c r="W918" s="229"/>
      <c r="X918" s="229"/>
    </row>
    <row r="919" spans="1:24" ht="15.75" hidden="1">
      <c r="A919" s="343"/>
      <c r="B919" s="344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6"/>
      <c r="P919" s="276"/>
      <c r="Q919" s="247">
        <f t="shared" si="20"/>
        <v>0</v>
      </c>
      <c r="R919" s="229"/>
      <c r="S919" s="229"/>
      <c r="T919" s="229"/>
      <c r="U919" s="229"/>
      <c r="V919" s="229"/>
      <c r="W919" s="229"/>
      <c r="X919" s="229"/>
    </row>
    <row r="920" spans="1:24" ht="15.75" hidden="1">
      <c r="A920" s="343"/>
      <c r="B920" s="344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6"/>
      <c r="P920" s="276"/>
      <c r="Q920" s="247">
        <f t="shared" si="20"/>
        <v>0</v>
      </c>
      <c r="R920" s="229"/>
      <c r="S920" s="229"/>
      <c r="T920" s="229"/>
      <c r="U920" s="229"/>
      <c r="V920" s="229"/>
      <c r="W920" s="229"/>
      <c r="X920" s="229"/>
    </row>
    <row r="921" spans="1:24" ht="15.75" hidden="1">
      <c r="A921" s="343"/>
      <c r="B921" s="344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6"/>
      <c r="P921" s="276"/>
      <c r="Q921" s="247">
        <f t="shared" si="20"/>
        <v>0</v>
      </c>
      <c r="R921" s="229"/>
      <c r="S921" s="229"/>
      <c r="T921" s="229"/>
      <c r="U921" s="229"/>
      <c r="V921" s="229"/>
      <c r="W921" s="229"/>
      <c r="X921" s="229"/>
    </row>
    <row r="922" spans="1:24" ht="15.75" hidden="1">
      <c r="A922" s="343"/>
      <c r="B922" s="344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6"/>
      <c r="P922" s="276"/>
      <c r="Q922" s="247">
        <f t="shared" si="20"/>
        <v>0</v>
      </c>
      <c r="R922" s="229"/>
      <c r="S922" s="229"/>
      <c r="T922" s="229"/>
      <c r="U922" s="229"/>
      <c r="V922" s="229"/>
      <c r="W922" s="229"/>
      <c r="X922" s="229"/>
    </row>
    <row r="923" spans="1:24" ht="15.75" hidden="1">
      <c r="A923" s="343"/>
      <c r="B923" s="344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6"/>
      <c r="P923" s="276"/>
      <c r="Q923" s="247">
        <f t="shared" si="20"/>
        <v>0</v>
      </c>
      <c r="R923" s="229"/>
      <c r="S923" s="229"/>
      <c r="T923" s="229"/>
      <c r="U923" s="229"/>
      <c r="V923" s="229"/>
      <c r="W923" s="229"/>
      <c r="X923" s="229"/>
    </row>
    <row r="924" spans="1:24" ht="15.75" hidden="1">
      <c r="A924" s="343"/>
      <c r="B924" s="344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6"/>
      <c r="P924" s="276"/>
      <c r="Q924" s="247">
        <f t="shared" si="20"/>
        <v>0</v>
      </c>
      <c r="R924" s="229"/>
      <c r="S924" s="229"/>
      <c r="T924" s="229"/>
      <c r="U924" s="229"/>
      <c r="V924" s="229"/>
      <c r="W924" s="229"/>
      <c r="X924" s="229"/>
    </row>
    <row r="925" spans="1:24" ht="15.75" hidden="1">
      <c r="A925" s="343"/>
      <c r="B925" s="344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6"/>
      <c r="P925" s="276"/>
      <c r="Q925" s="247">
        <f t="shared" si="20"/>
        <v>0</v>
      </c>
      <c r="R925" s="229"/>
      <c r="S925" s="229"/>
      <c r="T925" s="229"/>
      <c r="U925" s="229"/>
      <c r="V925" s="229"/>
      <c r="W925" s="229"/>
      <c r="X925" s="229"/>
    </row>
    <row r="926" spans="1:24" ht="15.75" hidden="1">
      <c r="A926" s="343"/>
      <c r="B926" s="344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6"/>
      <c r="P926" s="276"/>
      <c r="Q926" s="247">
        <f t="shared" si="20"/>
        <v>0</v>
      </c>
      <c r="R926" s="229"/>
      <c r="S926" s="229"/>
      <c r="T926" s="229"/>
      <c r="U926" s="229"/>
      <c r="V926" s="229"/>
      <c r="W926" s="229"/>
      <c r="X926" s="229"/>
    </row>
    <row r="927" spans="1:24" ht="15.75" hidden="1">
      <c r="A927" s="343"/>
      <c r="B927" s="344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6"/>
      <c r="P927" s="276"/>
      <c r="Q927" s="247">
        <f t="shared" si="20"/>
        <v>0</v>
      </c>
      <c r="R927" s="229"/>
      <c r="S927" s="229"/>
      <c r="T927" s="229"/>
      <c r="U927" s="229"/>
      <c r="V927" s="229"/>
      <c r="W927" s="229"/>
      <c r="X927" s="229"/>
    </row>
    <row r="928" spans="1:24" ht="15.75" hidden="1">
      <c r="A928" s="343"/>
      <c r="B928" s="344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6"/>
      <c r="P928" s="276"/>
      <c r="Q928" s="247">
        <f t="shared" si="20"/>
        <v>0</v>
      </c>
      <c r="R928" s="229"/>
      <c r="S928" s="229"/>
      <c r="T928" s="229"/>
      <c r="U928" s="229"/>
      <c r="V928" s="229"/>
      <c r="W928" s="229"/>
      <c r="X928" s="229"/>
    </row>
    <row r="929" spans="1:24" ht="15.75" hidden="1">
      <c r="A929" s="343"/>
      <c r="B929" s="344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6"/>
      <c r="P929" s="276"/>
      <c r="Q929" s="247">
        <f t="shared" si="20"/>
        <v>0</v>
      </c>
      <c r="R929" s="229"/>
      <c r="S929" s="229"/>
      <c r="T929" s="229"/>
      <c r="U929" s="229"/>
      <c r="V929" s="229"/>
      <c r="W929" s="229"/>
      <c r="X929" s="229"/>
    </row>
    <row r="930" spans="1:24" ht="15.75" hidden="1">
      <c r="A930" s="343"/>
      <c r="B930" s="344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6"/>
      <c r="P930" s="276"/>
      <c r="Q930" s="247">
        <f t="shared" si="20"/>
        <v>0</v>
      </c>
      <c r="R930" s="229"/>
      <c r="S930" s="229"/>
      <c r="T930" s="229"/>
      <c r="U930" s="229"/>
      <c r="V930" s="229"/>
      <c r="W930" s="229"/>
      <c r="X930" s="229"/>
    </row>
    <row r="931" spans="1:24" ht="15.75" hidden="1">
      <c r="A931" s="343"/>
      <c r="B931" s="344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6"/>
      <c r="P931" s="276"/>
      <c r="Q931" s="247">
        <f t="shared" si="20"/>
        <v>0</v>
      </c>
      <c r="R931" s="229"/>
      <c r="S931" s="229"/>
      <c r="T931" s="229"/>
      <c r="U931" s="229"/>
      <c r="V931" s="229"/>
      <c r="W931" s="229"/>
      <c r="X931" s="229"/>
    </row>
    <row r="932" spans="1:24" ht="15.75" hidden="1">
      <c r="A932" s="343"/>
      <c r="B932" s="344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6"/>
      <c r="P932" s="276"/>
      <c r="Q932" s="247">
        <f t="shared" si="20"/>
        <v>0</v>
      </c>
      <c r="R932" s="229"/>
      <c r="S932" s="229"/>
      <c r="T932" s="229"/>
      <c r="U932" s="229"/>
      <c r="V932" s="229"/>
      <c r="W932" s="229"/>
      <c r="X932" s="229"/>
    </row>
    <row r="933" spans="1:24" ht="15.75" hidden="1">
      <c r="A933" s="343"/>
      <c r="B933" s="344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6"/>
      <c r="P933" s="276"/>
      <c r="Q933" s="247">
        <f t="shared" si="20"/>
        <v>0</v>
      </c>
      <c r="R933" s="229"/>
      <c r="S933" s="229"/>
      <c r="T933" s="229"/>
      <c r="U933" s="229"/>
      <c r="V933" s="229"/>
      <c r="W933" s="229"/>
      <c r="X933" s="229"/>
    </row>
    <row r="934" spans="1:24" ht="15.75" hidden="1">
      <c r="A934" s="343"/>
      <c r="B934" s="344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6"/>
      <c r="P934" s="276"/>
      <c r="Q934" s="247">
        <f t="shared" si="20"/>
        <v>0</v>
      </c>
      <c r="R934" s="229"/>
      <c r="S934" s="229"/>
      <c r="T934" s="229"/>
      <c r="U934" s="229"/>
      <c r="V934" s="229"/>
      <c r="W934" s="229"/>
      <c r="X934" s="229"/>
    </row>
    <row r="935" spans="1:24" ht="15.75" hidden="1">
      <c r="A935" s="343"/>
      <c r="B935" s="344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6"/>
      <c r="P935" s="276"/>
      <c r="Q935" s="247">
        <f t="shared" si="20"/>
        <v>0</v>
      </c>
      <c r="R935" s="229"/>
      <c r="S935" s="229"/>
      <c r="T935" s="229"/>
      <c r="U935" s="229"/>
      <c r="V935" s="229"/>
      <c r="W935" s="229"/>
      <c r="X935" s="229"/>
    </row>
    <row r="936" spans="1:24" ht="15.75" hidden="1">
      <c r="A936" s="343"/>
      <c r="B936" s="344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6"/>
      <c r="P936" s="276"/>
      <c r="Q936" s="247">
        <f t="shared" si="20"/>
        <v>0</v>
      </c>
      <c r="R936" s="229"/>
      <c r="S936" s="229"/>
      <c r="T936" s="229"/>
      <c r="U936" s="229"/>
      <c r="V936" s="229"/>
      <c r="W936" s="229"/>
      <c r="X936" s="229"/>
    </row>
    <row r="937" spans="1:24" ht="15.75" hidden="1">
      <c r="A937" s="343"/>
      <c r="B937" s="344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6"/>
      <c r="P937" s="276"/>
      <c r="Q937" s="247">
        <f t="shared" si="20"/>
        <v>0</v>
      </c>
      <c r="R937" s="229"/>
      <c r="S937" s="229"/>
      <c r="T937" s="229"/>
      <c r="U937" s="229"/>
      <c r="V937" s="229"/>
      <c r="W937" s="229"/>
      <c r="X937" s="229"/>
    </row>
    <row r="938" spans="1:24" ht="15.75" hidden="1">
      <c r="A938" s="343"/>
      <c r="B938" s="344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6"/>
      <c r="P938" s="276"/>
      <c r="Q938" s="247">
        <f t="shared" si="20"/>
        <v>0</v>
      </c>
      <c r="R938" s="229"/>
      <c r="S938" s="229"/>
      <c r="T938" s="229"/>
      <c r="U938" s="229"/>
      <c r="V938" s="229"/>
      <c r="W938" s="229"/>
      <c r="X938" s="229"/>
    </row>
    <row r="939" spans="1:24" ht="15.75" hidden="1">
      <c r="A939" s="343"/>
      <c r="B939" s="344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6"/>
      <c r="P939" s="276"/>
      <c r="Q939" s="247">
        <f t="shared" si="20"/>
        <v>0</v>
      </c>
      <c r="R939" s="229"/>
      <c r="S939" s="229"/>
      <c r="T939" s="229"/>
      <c r="U939" s="229"/>
      <c r="V939" s="229"/>
      <c r="W939" s="229"/>
      <c r="X939" s="229"/>
    </row>
    <row r="940" spans="1:24" ht="15.75" hidden="1">
      <c r="A940" s="343"/>
      <c r="B940" s="344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6"/>
      <c r="P940" s="276"/>
      <c r="Q940" s="247">
        <f t="shared" si="20"/>
        <v>0</v>
      </c>
      <c r="R940" s="229"/>
      <c r="S940" s="229"/>
      <c r="T940" s="229"/>
      <c r="U940" s="229"/>
      <c r="V940" s="229"/>
      <c r="W940" s="229"/>
      <c r="X940" s="229"/>
    </row>
    <row r="941" spans="1:24" ht="15.75" hidden="1">
      <c r="A941" s="343"/>
      <c r="B941" s="344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6"/>
      <c r="P941" s="276"/>
      <c r="Q941" s="247">
        <f t="shared" si="20"/>
        <v>0</v>
      </c>
      <c r="R941" s="229"/>
      <c r="S941" s="229"/>
      <c r="T941" s="229"/>
      <c r="U941" s="229"/>
      <c r="V941" s="229"/>
      <c r="W941" s="229"/>
      <c r="X941" s="229"/>
    </row>
    <row r="942" spans="1:24" ht="15.75" hidden="1">
      <c r="A942" s="343"/>
      <c r="B942" s="344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6"/>
      <c r="P942" s="276"/>
      <c r="Q942" s="247">
        <f t="shared" si="20"/>
        <v>0</v>
      </c>
      <c r="R942" s="229"/>
      <c r="S942" s="229"/>
      <c r="T942" s="229"/>
      <c r="U942" s="229"/>
      <c r="V942" s="229"/>
      <c r="W942" s="229"/>
      <c r="X942" s="229"/>
    </row>
    <row r="943" spans="1:24" ht="15.75" hidden="1">
      <c r="A943" s="343"/>
      <c r="B943" s="344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6"/>
      <c r="P943" s="276"/>
      <c r="Q943" s="247">
        <f t="shared" si="20"/>
        <v>0</v>
      </c>
      <c r="R943" s="229"/>
      <c r="S943" s="229"/>
      <c r="T943" s="229"/>
      <c r="U943" s="229"/>
      <c r="V943" s="229"/>
      <c r="W943" s="229"/>
      <c r="X943" s="229"/>
    </row>
    <row r="944" spans="1:24" ht="15.75" hidden="1">
      <c r="A944" s="343"/>
      <c r="B944" s="344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6"/>
      <c r="P944" s="276"/>
      <c r="Q944" s="247">
        <f t="shared" si="20"/>
        <v>0</v>
      </c>
      <c r="R944" s="229"/>
      <c r="S944" s="229"/>
      <c r="T944" s="229"/>
      <c r="U944" s="229"/>
      <c r="V944" s="229"/>
      <c r="W944" s="229"/>
      <c r="X944" s="229"/>
    </row>
    <row r="945" spans="1:24" ht="15.75" hidden="1">
      <c r="A945" s="343"/>
      <c r="B945" s="344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6"/>
      <c r="P945" s="276"/>
      <c r="Q945" s="247">
        <f t="shared" si="20"/>
        <v>0</v>
      </c>
      <c r="R945" s="229"/>
      <c r="S945" s="229"/>
      <c r="T945" s="229"/>
      <c r="U945" s="229"/>
      <c r="V945" s="229"/>
      <c r="W945" s="229"/>
      <c r="X945" s="229"/>
    </row>
    <row r="946" spans="1:24" ht="15.75" hidden="1">
      <c r="A946" s="343"/>
      <c r="B946" s="344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6"/>
      <c r="P946" s="276"/>
      <c r="Q946" s="247">
        <f t="shared" si="20"/>
        <v>0</v>
      </c>
      <c r="R946" s="229"/>
      <c r="S946" s="229"/>
      <c r="T946" s="229"/>
      <c r="U946" s="229"/>
      <c r="V946" s="229"/>
      <c r="W946" s="229"/>
      <c r="X946" s="229"/>
    </row>
    <row r="947" spans="1:24" ht="15.75" hidden="1">
      <c r="A947" s="343"/>
      <c r="B947" s="344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6"/>
      <c r="P947" s="276"/>
      <c r="Q947" s="247">
        <f t="shared" si="20"/>
        <v>0</v>
      </c>
      <c r="R947" s="229"/>
      <c r="S947" s="229"/>
      <c r="T947" s="229"/>
      <c r="U947" s="229"/>
      <c r="V947" s="229"/>
      <c r="W947" s="229"/>
      <c r="X947" s="229"/>
    </row>
    <row r="948" spans="1:24" ht="15.75" hidden="1">
      <c r="A948" s="343"/>
      <c r="B948" s="344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6"/>
      <c r="P948" s="276"/>
      <c r="Q948" s="247">
        <f t="shared" si="20"/>
        <v>0</v>
      </c>
      <c r="R948" s="229"/>
      <c r="S948" s="229"/>
      <c r="T948" s="229"/>
      <c r="U948" s="229"/>
      <c r="V948" s="229"/>
      <c r="W948" s="229"/>
      <c r="X948" s="229"/>
    </row>
    <row r="949" spans="1:24" ht="15.75" hidden="1">
      <c r="A949" s="343"/>
      <c r="B949" s="344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6"/>
      <c r="P949" s="276"/>
      <c r="Q949" s="247">
        <f t="shared" si="20"/>
        <v>0</v>
      </c>
      <c r="R949" s="229"/>
      <c r="S949" s="229"/>
      <c r="T949" s="229"/>
      <c r="U949" s="229"/>
      <c r="V949" s="229"/>
      <c r="W949" s="229"/>
      <c r="X949" s="229"/>
    </row>
    <row r="950" spans="1:24" ht="15.75" hidden="1">
      <c r="A950" s="343"/>
      <c r="B950" s="344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6"/>
      <c r="P950" s="276"/>
      <c r="Q950" s="247">
        <f t="shared" si="20"/>
        <v>0</v>
      </c>
      <c r="R950" s="229"/>
      <c r="S950" s="229"/>
      <c r="T950" s="229"/>
      <c r="U950" s="229"/>
      <c r="V950" s="229"/>
      <c r="W950" s="229"/>
      <c r="X950" s="229"/>
    </row>
    <row r="951" spans="1:24" ht="15.75" hidden="1">
      <c r="A951" s="343"/>
      <c r="B951" s="344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6"/>
      <c r="P951" s="276"/>
      <c r="Q951" s="247">
        <f t="shared" si="20"/>
        <v>0</v>
      </c>
      <c r="R951" s="229"/>
      <c r="S951" s="229"/>
      <c r="T951" s="229"/>
      <c r="U951" s="229"/>
      <c r="V951" s="229"/>
      <c r="W951" s="229"/>
      <c r="X951" s="229"/>
    </row>
    <row r="952" spans="1:24" ht="15.75" hidden="1">
      <c r="A952" s="343"/>
      <c r="B952" s="344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6"/>
      <c r="P952" s="276"/>
      <c r="Q952" s="247">
        <f t="shared" si="20"/>
        <v>0</v>
      </c>
      <c r="R952" s="229"/>
      <c r="S952" s="229"/>
      <c r="T952" s="229"/>
      <c r="U952" s="229"/>
      <c r="V952" s="229"/>
      <c r="W952" s="229"/>
      <c r="X952" s="229"/>
    </row>
    <row r="953" spans="1:24" ht="15.75" hidden="1">
      <c r="A953" s="343"/>
      <c r="B953" s="344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6"/>
      <c r="P953" s="276"/>
      <c r="Q953" s="247">
        <f t="shared" si="20"/>
        <v>0</v>
      </c>
      <c r="R953" s="229"/>
      <c r="S953" s="229"/>
      <c r="T953" s="229"/>
      <c r="U953" s="229"/>
      <c r="V953" s="229"/>
      <c r="W953" s="229"/>
      <c r="X953" s="229"/>
    </row>
    <row r="954" spans="1:24" ht="15.75" hidden="1">
      <c r="A954" s="343"/>
      <c r="B954" s="344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6"/>
      <c r="P954" s="276"/>
      <c r="Q954" s="247">
        <f t="shared" si="20"/>
        <v>0</v>
      </c>
      <c r="R954" s="229"/>
      <c r="S954" s="229"/>
      <c r="T954" s="229"/>
      <c r="U954" s="229"/>
      <c r="V954" s="229"/>
      <c r="W954" s="229"/>
      <c r="X954" s="229"/>
    </row>
    <row r="955" spans="1:24" ht="15.75" hidden="1">
      <c r="A955" s="343"/>
      <c r="B955" s="344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6"/>
      <c r="P955" s="276"/>
      <c r="Q955" s="247">
        <f t="shared" si="20"/>
        <v>0</v>
      </c>
      <c r="R955" s="229"/>
      <c r="S955" s="229"/>
      <c r="T955" s="229"/>
      <c r="U955" s="229"/>
      <c r="V955" s="229"/>
      <c r="W955" s="229"/>
      <c r="X955" s="229"/>
    </row>
    <row r="956" spans="1:24" ht="15.75" hidden="1">
      <c r="A956" s="343"/>
      <c r="B956" s="344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6"/>
      <c r="P956" s="276"/>
      <c r="Q956" s="247">
        <f t="shared" si="20"/>
        <v>0</v>
      </c>
      <c r="R956" s="229"/>
      <c r="S956" s="229"/>
      <c r="T956" s="229"/>
      <c r="U956" s="229"/>
      <c r="V956" s="229"/>
      <c r="W956" s="229"/>
      <c r="X956" s="229"/>
    </row>
    <row r="957" spans="1:24" ht="15.75" hidden="1">
      <c r="A957" s="343"/>
      <c r="B957" s="344"/>
      <c r="C957" s="275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6"/>
      <c r="P957" s="276"/>
      <c r="Q957" s="247">
        <f t="shared" si="20"/>
        <v>0</v>
      </c>
      <c r="R957" s="229"/>
      <c r="S957" s="229"/>
      <c r="T957" s="229"/>
      <c r="U957" s="229"/>
      <c r="V957" s="229"/>
      <c r="W957" s="229"/>
      <c r="X957" s="229"/>
    </row>
    <row r="958" spans="1:24" ht="15.75" hidden="1">
      <c r="A958" s="343"/>
      <c r="B958" s="344"/>
      <c r="C958" s="275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6"/>
      <c r="P958" s="276"/>
      <c r="Q958" s="247">
        <f t="shared" si="20"/>
        <v>0</v>
      </c>
      <c r="R958" s="229"/>
      <c r="S958" s="229"/>
      <c r="T958" s="229"/>
      <c r="U958" s="229"/>
      <c r="V958" s="229"/>
      <c r="W958" s="229"/>
      <c r="X958" s="229"/>
    </row>
    <row r="959" spans="1:24" ht="15.75" hidden="1">
      <c r="A959" s="343"/>
      <c r="B959" s="344"/>
      <c r="C959" s="275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6"/>
      <c r="P959" s="276"/>
      <c r="Q959" s="247">
        <f t="shared" si="20"/>
        <v>0</v>
      </c>
      <c r="R959" s="229"/>
      <c r="S959" s="229"/>
      <c r="T959" s="229"/>
      <c r="U959" s="229"/>
      <c r="V959" s="229"/>
      <c r="W959" s="229"/>
      <c r="X959" s="229"/>
    </row>
    <row r="960" spans="1:24" ht="15.75" hidden="1">
      <c r="A960" s="343"/>
      <c r="B960" s="344"/>
      <c r="C960" s="275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6"/>
      <c r="P960" s="276"/>
      <c r="Q960" s="247">
        <f t="shared" si="20"/>
        <v>0</v>
      </c>
      <c r="R960" s="229"/>
      <c r="S960" s="229"/>
      <c r="T960" s="229"/>
      <c r="U960" s="229"/>
      <c r="V960" s="229"/>
      <c r="W960" s="229"/>
      <c r="X960" s="229"/>
    </row>
    <row r="961" spans="1:24" ht="15.75" hidden="1">
      <c r="A961" s="343"/>
      <c r="B961" s="344"/>
      <c r="C961" s="275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6"/>
      <c r="P961" s="276"/>
      <c r="Q961" s="247">
        <f t="shared" si="20"/>
        <v>0</v>
      </c>
      <c r="R961" s="229"/>
      <c r="S961" s="229"/>
      <c r="T961" s="229"/>
      <c r="U961" s="229"/>
      <c r="V961" s="229"/>
      <c r="W961" s="229"/>
      <c r="X961" s="229"/>
    </row>
    <row r="962" spans="1:24" ht="15.75" hidden="1">
      <c r="A962" s="343"/>
      <c r="B962" s="344"/>
      <c r="C962" s="275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6"/>
      <c r="P962" s="276"/>
      <c r="Q962" s="247">
        <f t="shared" si="20"/>
        <v>0</v>
      </c>
      <c r="R962" s="229"/>
      <c r="S962" s="229"/>
      <c r="T962" s="229"/>
      <c r="U962" s="229"/>
      <c r="V962" s="229"/>
      <c r="W962" s="229"/>
      <c r="X962" s="229"/>
    </row>
    <row r="963" spans="1:24" ht="15.75" hidden="1">
      <c r="A963" s="343"/>
      <c r="B963" s="344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6"/>
      <c r="P963" s="276"/>
      <c r="Q963" s="247">
        <f t="shared" si="20"/>
        <v>0</v>
      </c>
      <c r="R963" s="229"/>
      <c r="S963" s="229"/>
      <c r="T963" s="229"/>
      <c r="U963" s="229"/>
      <c r="V963" s="229"/>
      <c r="W963" s="229"/>
      <c r="X963" s="229"/>
    </row>
    <row r="964" spans="1:24" ht="15.75" hidden="1">
      <c r="A964" s="343"/>
      <c r="B964" s="344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6"/>
      <c r="P964" s="276"/>
      <c r="Q964" s="247">
        <f t="shared" si="20"/>
        <v>0</v>
      </c>
      <c r="R964" s="229"/>
      <c r="S964" s="229"/>
      <c r="T964" s="229"/>
      <c r="U964" s="229"/>
      <c r="V964" s="229"/>
      <c r="W964" s="229"/>
      <c r="X964" s="229"/>
    </row>
    <row r="965" spans="1:24" ht="15.75" hidden="1">
      <c r="A965" s="343"/>
      <c r="B965" s="344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6"/>
      <c r="P965" s="276"/>
      <c r="Q965" s="247">
        <f t="shared" si="20"/>
        <v>0</v>
      </c>
      <c r="R965" s="229"/>
      <c r="S965" s="229"/>
      <c r="T965" s="229"/>
      <c r="U965" s="229"/>
      <c r="V965" s="229"/>
      <c r="W965" s="229"/>
      <c r="X965" s="229"/>
    </row>
    <row r="966" spans="1:24" ht="15.75" hidden="1">
      <c r="A966" s="343"/>
      <c r="B966" s="344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6"/>
      <c r="P966" s="276"/>
      <c r="Q966" s="247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9"/>
      <c r="S966" s="229"/>
      <c r="T966" s="229"/>
      <c r="U966" s="229"/>
      <c r="V966" s="229"/>
      <c r="W966" s="229"/>
      <c r="X966" s="229"/>
    </row>
    <row r="967" spans="1:24" ht="15.75" hidden="1">
      <c r="A967" s="343"/>
      <c r="B967" s="344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6"/>
      <c r="P967" s="276"/>
      <c r="Q967" s="247">
        <f t="shared" si="21"/>
        <v>0</v>
      </c>
      <c r="R967" s="229"/>
      <c r="S967" s="229"/>
      <c r="T967" s="229"/>
      <c r="U967" s="229"/>
      <c r="V967" s="229"/>
      <c r="W967" s="229"/>
      <c r="X967" s="229"/>
    </row>
    <row r="968" spans="1:24" ht="15.75" hidden="1">
      <c r="A968" s="343"/>
      <c r="B968" s="344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6"/>
      <c r="P968" s="276"/>
      <c r="Q968" s="247">
        <f t="shared" si="21"/>
        <v>0</v>
      </c>
      <c r="R968" s="229"/>
      <c r="S968" s="229"/>
      <c r="T968" s="229"/>
      <c r="U968" s="229"/>
      <c r="V968" s="229"/>
      <c r="W968" s="229"/>
      <c r="X968" s="229"/>
    </row>
    <row r="969" spans="1:24" ht="15.75" hidden="1">
      <c r="A969" s="343"/>
      <c r="B969" s="344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6"/>
      <c r="P969" s="276"/>
      <c r="Q969" s="247">
        <f t="shared" si="21"/>
        <v>0</v>
      </c>
      <c r="R969" s="229"/>
      <c r="S969" s="229"/>
      <c r="T969" s="229"/>
      <c r="U969" s="229"/>
      <c r="V969" s="229"/>
      <c r="W969" s="229"/>
      <c r="X969" s="229"/>
    </row>
    <row r="970" spans="1:24" ht="15.75" hidden="1">
      <c r="A970" s="343"/>
      <c r="B970" s="344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6"/>
      <c r="P970" s="276"/>
      <c r="Q970" s="247">
        <f t="shared" si="21"/>
        <v>0</v>
      </c>
      <c r="R970" s="229"/>
      <c r="S970" s="229"/>
      <c r="T970" s="229"/>
      <c r="U970" s="229"/>
      <c r="V970" s="229"/>
      <c r="W970" s="229"/>
      <c r="X970" s="229"/>
    </row>
    <row r="971" spans="1:24" ht="15.75" hidden="1">
      <c r="A971" s="343"/>
      <c r="B971" s="344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6"/>
      <c r="P971" s="276"/>
      <c r="Q971" s="247">
        <f t="shared" si="21"/>
        <v>0</v>
      </c>
      <c r="R971" s="229"/>
      <c r="S971" s="229"/>
      <c r="T971" s="229"/>
      <c r="U971" s="229"/>
      <c r="V971" s="229"/>
      <c r="W971" s="229"/>
      <c r="X971" s="229"/>
    </row>
    <row r="972" spans="1:24" ht="15.75" hidden="1">
      <c r="A972" s="343"/>
      <c r="B972" s="344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6"/>
      <c r="P972" s="276"/>
      <c r="Q972" s="247">
        <f t="shared" si="21"/>
        <v>0</v>
      </c>
      <c r="R972" s="229"/>
      <c r="S972" s="229"/>
      <c r="T972" s="229"/>
      <c r="U972" s="229"/>
      <c r="V972" s="229"/>
      <c r="W972" s="229"/>
      <c r="X972" s="229"/>
    </row>
    <row r="973" spans="1:24" ht="15.75" hidden="1">
      <c r="A973" s="343"/>
      <c r="B973" s="344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6"/>
      <c r="P973" s="276"/>
      <c r="Q973" s="247">
        <f t="shared" si="21"/>
        <v>0</v>
      </c>
      <c r="R973" s="229"/>
      <c r="S973" s="229"/>
      <c r="T973" s="229"/>
      <c r="U973" s="229"/>
      <c r="V973" s="229"/>
      <c r="W973" s="229"/>
      <c r="X973" s="229"/>
    </row>
    <row r="974" spans="1:24" ht="15.75" hidden="1">
      <c r="A974" s="343"/>
      <c r="B974" s="344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6"/>
      <c r="P974" s="276"/>
      <c r="Q974" s="247">
        <f t="shared" si="21"/>
        <v>0</v>
      </c>
      <c r="R974" s="229"/>
      <c r="S974" s="229"/>
      <c r="T974" s="229"/>
      <c r="U974" s="229"/>
      <c r="V974" s="229"/>
      <c r="W974" s="229"/>
      <c r="X974" s="229"/>
    </row>
    <row r="975" spans="1:24" ht="15.75" hidden="1">
      <c r="A975" s="343"/>
      <c r="B975" s="344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6"/>
      <c r="P975" s="276"/>
      <c r="Q975" s="247">
        <f t="shared" si="21"/>
        <v>0</v>
      </c>
      <c r="R975" s="229"/>
      <c r="S975" s="229"/>
      <c r="T975" s="229"/>
      <c r="U975" s="229"/>
      <c r="V975" s="229"/>
      <c r="W975" s="229"/>
      <c r="X975" s="229"/>
    </row>
    <row r="976" spans="1:24" ht="15.75" hidden="1">
      <c r="A976" s="343"/>
      <c r="B976" s="344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6"/>
      <c r="P976" s="276"/>
      <c r="Q976" s="247">
        <f t="shared" si="21"/>
        <v>0</v>
      </c>
      <c r="R976" s="229"/>
      <c r="S976" s="229"/>
      <c r="T976" s="229"/>
      <c r="U976" s="229"/>
      <c r="V976" s="229"/>
      <c r="W976" s="229"/>
      <c r="X976" s="229"/>
    </row>
    <row r="977" spans="1:24" ht="15.75" hidden="1">
      <c r="A977" s="343"/>
      <c r="B977" s="344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6"/>
      <c r="P977" s="276"/>
      <c r="Q977" s="247">
        <f t="shared" si="21"/>
        <v>0</v>
      </c>
      <c r="R977" s="229"/>
      <c r="S977" s="229"/>
      <c r="T977" s="229"/>
      <c r="U977" s="229"/>
      <c r="V977" s="229"/>
      <c r="W977" s="229"/>
      <c r="X977" s="229"/>
    </row>
    <row r="978" spans="1:24" ht="15.75" hidden="1">
      <c r="A978" s="343"/>
      <c r="B978" s="344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6"/>
      <c r="P978" s="276"/>
      <c r="Q978" s="247">
        <f t="shared" si="21"/>
        <v>0</v>
      </c>
      <c r="R978" s="229"/>
      <c r="S978" s="229"/>
      <c r="T978" s="229"/>
      <c r="U978" s="229"/>
      <c r="V978" s="229"/>
      <c r="W978" s="229"/>
      <c r="X978" s="229"/>
    </row>
    <row r="979" spans="1:24" ht="15.75" hidden="1">
      <c r="A979" s="343"/>
      <c r="B979" s="344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6"/>
      <c r="P979" s="276"/>
      <c r="Q979" s="247">
        <f t="shared" si="21"/>
        <v>0</v>
      </c>
      <c r="R979" s="229"/>
      <c r="S979" s="229"/>
      <c r="T979" s="229"/>
      <c r="U979" s="229"/>
      <c r="V979" s="229"/>
      <c r="W979" s="229"/>
      <c r="X979" s="229"/>
    </row>
    <row r="980" spans="1:24" ht="15.75" hidden="1">
      <c r="A980" s="343"/>
      <c r="B980" s="344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6"/>
      <c r="P980" s="276"/>
      <c r="Q980" s="247">
        <f t="shared" si="21"/>
        <v>0</v>
      </c>
      <c r="R980" s="229"/>
      <c r="S980" s="229"/>
      <c r="T980" s="229"/>
      <c r="U980" s="229"/>
      <c r="V980" s="229"/>
      <c r="W980" s="229"/>
      <c r="X980" s="229"/>
    </row>
    <row r="981" spans="1:24" ht="15.75" hidden="1">
      <c r="A981" s="343"/>
      <c r="B981" s="344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6"/>
      <c r="P981" s="276"/>
      <c r="Q981" s="247">
        <f t="shared" si="21"/>
        <v>0</v>
      </c>
      <c r="R981" s="229"/>
      <c r="S981" s="229"/>
      <c r="T981" s="229"/>
      <c r="U981" s="229"/>
      <c r="V981" s="229"/>
      <c r="W981" s="229"/>
      <c r="X981" s="229"/>
    </row>
    <row r="982" spans="1:24" ht="15.75" hidden="1">
      <c r="A982" s="343"/>
      <c r="B982" s="344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6"/>
      <c r="P982" s="276"/>
      <c r="Q982" s="247">
        <f t="shared" si="21"/>
        <v>0</v>
      </c>
      <c r="R982" s="229"/>
      <c r="S982" s="229"/>
      <c r="T982" s="229"/>
      <c r="U982" s="229"/>
      <c r="V982" s="229"/>
      <c r="W982" s="229"/>
      <c r="X982" s="229"/>
    </row>
    <row r="983" spans="1:24" ht="15.75" hidden="1">
      <c r="A983" s="343"/>
      <c r="B983" s="344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6"/>
      <c r="P983" s="276"/>
      <c r="Q983" s="247">
        <f t="shared" si="21"/>
        <v>0</v>
      </c>
      <c r="R983" s="229"/>
      <c r="S983" s="229"/>
      <c r="T983" s="229"/>
      <c r="U983" s="229"/>
      <c r="V983" s="229"/>
      <c r="W983" s="229"/>
      <c r="X983" s="229"/>
    </row>
    <row r="984" spans="1:24" ht="15.75" hidden="1">
      <c r="A984" s="343"/>
      <c r="B984" s="344"/>
      <c r="C984" s="275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6"/>
      <c r="P984" s="276"/>
      <c r="Q984" s="247">
        <f t="shared" si="21"/>
        <v>0</v>
      </c>
      <c r="R984" s="229"/>
      <c r="S984" s="229"/>
      <c r="T984" s="229"/>
      <c r="U984" s="229"/>
      <c r="V984" s="229"/>
      <c r="W984" s="229"/>
      <c r="X984" s="229"/>
    </row>
    <row r="985" spans="1:24" ht="15.75" hidden="1">
      <c r="A985" s="343"/>
      <c r="B985" s="344"/>
      <c r="C985" s="275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6"/>
      <c r="P985" s="276"/>
      <c r="Q985" s="247">
        <f t="shared" si="21"/>
        <v>0</v>
      </c>
      <c r="R985" s="229"/>
      <c r="S985" s="229"/>
      <c r="T985" s="229"/>
      <c r="U985" s="229"/>
      <c r="V985" s="229"/>
      <c r="W985" s="229"/>
      <c r="X985" s="229"/>
    </row>
    <row r="986" spans="1:24" ht="15.75" hidden="1">
      <c r="A986" s="343"/>
      <c r="B986" s="344"/>
      <c r="C986" s="275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6"/>
      <c r="P986" s="276"/>
      <c r="Q986" s="247">
        <f t="shared" si="21"/>
        <v>0</v>
      </c>
      <c r="R986" s="229"/>
      <c r="S986" s="229"/>
      <c r="T986" s="229"/>
      <c r="U986" s="229"/>
      <c r="V986" s="229"/>
      <c r="W986" s="229"/>
      <c r="X986" s="229"/>
    </row>
    <row r="987" spans="1:24" ht="15.75" hidden="1">
      <c r="A987" s="343"/>
      <c r="B987" s="344"/>
      <c r="C987" s="275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6"/>
      <c r="P987" s="276"/>
      <c r="Q987" s="247">
        <f t="shared" si="21"/>
        <v>0</v>
      </c>
      <c r="R987" s="229"/>
      <c r="S987" s="229"/>
      <c r="T987" s="229"/>
      <c r="U987" s="229"/>
      <c r="V987" s="229"/>
      <c r="W987" s="229"/>
      <c r="X987" s="229"/>
    </row>
    <row r="988" spans="1:24" ht="15.75" hidden="1">
      <c r="A988" s="343"/>
      <c r="B988" s="344"/>
      <c r="C988" s="275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6"/>
      <c r="P988" s="276"/>
      <c r="Q988" s="247">
        <f t="shared" si="21"/>
        <v>0</v>
      </c>
      <c r="R988" s="229"/>
      <c r="S988" s="229"/>
      <c r="T988" s="229"/>
      <c r="U988" s="229"/>
      <c r="V988" s="229"/>
      <c r="W988" s="229"/>
      <c r="X988" s="229"/>
    </row>
    <row r="989" spans="1:24" ht="15.75" hidden="1">
      <c r="A989" s="343"/>
      <c r="B989" s="344"/>
      <c r="C989" s="275"/>
      <c r="D989" s="275"/>
      <c r="E989" s="275"/>
      <c r="F989" s="275"/>
      <c r="G989" s="275"/>
      <c r="H989" s="275"/>
      <c r="I989" s="275"/>
      <c r="J989" s="275"/>
      <c r="K989" s="275"/>
      <c r="L989" s="275"/>
      <c r="M989" s="275"/>
      <c r="N989" s="275"/>
      <c r="O989" s="276"/>
      <c r="P989" s="276"/>
      <c r="Q989" s="247">
        <f t="shared" si="21"/>
        <v>0</v>
      </c>
      <c r="R989" s="229"/>
      <c r="S989" s="229"/>
      <c r="T989" s="229"/>
      <c r="U989" s="229"/>
      <c r="V989" s="229"/>
      <c r="W989" s="229"/>
      <c r="X989" s="229"/>
    </row>
    <row r="990" spans="1:24" ht="15.75" hidden="1">
      <c r="A990" s="343"/>
      <c r="B990" s="344"/>
      <c r="C990" s="275"/>
      <c r="D990" s="275"/>
      <c r="E990" s="275"/>
      <c r="F990" s="275"/>
      <c r="G990" s="275"/>
      <c r="H990" s="275"/>
      <c r="I990" s="275"/>
      <c r="J990" s="275"/>
      <c r="K990" s="275"/>
      <c r="L990" s="275"/>
      <c r="M990" s="275"/>
      <c r="N990" s="275"/>
      <c r="O990" s="276"/>
      <c r="P990" s="276"/>
      <c r="Q990" s="247">
        <f t="shared" si="21"/>
        <v>0</v>
      </c>
      <c r="R990" s="229"/>
      <c r="S990" s="229"/>
      <c r="T990" s="229"/>
      <c r="U990" s="229"/>
      <c r="V990" s="229"/>
      <c r="W990" s="229"/>
      <c r="X990" s="229"/>
    </row>
    <row r="991" spans="1:24" ht="15.75" hidden="1">
      <c r="A991" s="343"/>
      <c r="B991" s="344"/>
      <c r="C991" s="275"/>
      <c r="D991" s="275"/>
      <c r="E991" s="275"/>
      <c r="F991" s="275"/>
      <c r="G991" s="275"/>
      <c r="H991" s="275"/>
      <c r="I991" s="275"/>
      <c r="J991" s="275"/>
      <c r="K991" s="275"/>
      <c r="L991" s="275"/>
      <c r="M991" s="275"/>
      <c r="N991" s="275"/>
      <c r="O991" s="276"/>
      <c r="P991" s="276"/>
      <c r="Q991" s="247">
        <f t="shared" si="21"/>
        <v>0</v>
      </c>
      <c r="R991" s="229"/>
      <c r="S991" s="229"/>
      <c r="T991" s="229"/>
      <c r="U991" s="229"/>
      <c r="V991" s="229"/>
      <c r="W991" s="229"/>
      <c r="X991" s="229"/>
    </row>
    <row r="992" spans="1:24" ht="15.75" hidden="1">
      <c r="A992" s="343"/>
      <c r="B992" s="344"/>
      <c r="C992" s="275"/>
      <c r="D992" s="275"/>
      <c r="E992" s="275"/>
      <c r="F992" s="275"/>
      <c r="G992" s="275"/>
      <c r="H992" s="275"/>
      <c r="I992" s="275"/>
      <c r="J992" s="275"/>
      <c r="K992" s="275"/>
      <c r="L992" s="275"/>
      <c r="M992" s="275"/>
      <c r="N992" s="275"/>
      <c r="O992" s="276"/>
      <c r="P992" s="276"/>
      <c r="Q992" s="247">
        <f t="shared" si="21"/>
        <v>0</v>
      </c>
      <c r="R992" s="229"/>
      <c r="S992" s="229"/>
      <c r="T992" s="229"/>
      <c r="U992" s="229"/>
      <c r="V992" s="229"/>
      <c r="W992" s="229"/>
      <c r="X992" s="229"/>
    </row>
    <row r="993" spans="1:24" ht="15.75" hidden="1">
      <c r="A993" s="343"/>
      <c r="B993" s="344"/>
      <c r="C993" s="275"/>
      <c r="D993" s="275"/>
      <c r="E993" s="275"/>
      <c r="F993" s="275"/>
      <c r="G993" s="275"/>
      <c r="H993" s="275"/>
      <c r="I993" s="275"/>
      <c r="J993" s="275"/>
      <c r="K993" s="275"/>
      <c r="L993" s="275"/>
      <c r="M993" s="275"/>
      <c r="N993" s="275"/>
      <c r="O993" s="276"/>
      <c r="P993" s="276"/>
      <c r="Q993" s="247">
        <f t="shared" si="21"/>
        <v>0</v>
      </c>
      <c r="R993" s="229"/>
      <c r="S993" s="229"/>
      <c r="T993" s="229"/>
      <c r="U993" s="229"/>
      <c r="V993" s="229"/>
      <c r="W993" s="229"/>
      <c r="X993" s="229"/>
    </row>
    <row r="994" spans="1:24" ht="15.75" hidden="1">
      <c r="A994" s="343"/>
      <c r="B994" s="344"/>
      <c r="C994" s="275"/>
      <c r="D994" s="275"/>
      <c r="E994" s="275"/>
      <c r="F994" s="275"/>
      <c r="G994" s="275"/>
      <c r="H994" s="275"/>
      <c r="I994" s="275"/>
      <c r="J994" s="275"/>
      <c r="K994" s="275"/>
      <c r="L994" s="275"/>
      <c r="M994" s="275"/>
      <c r="N994" s="275"/>
      <c r="O994" s="276"/>
      <c r="P994" s="276"/>
      <c r="Q994" s="247">
        <f t="shared" si="21"/>
        <v>0</v>
      </c>
      <c r="R994" s="229"/>
      <c r="S994" s="229"/>
      <c r="T994" s="229"/>
      <c r="U994" s="229"/>
      <c r="V994" s="229"/>
      <c r="W994" s="229"/>
      <c r="X994" s="229"/>
    </row>
    <row r="995" spans="1:24" ht="15.75" hidden="1">
      <c r="A995" s="343"/>
      <c r="B995" s="344"/>
      <c r="C995" s="275"/>
      <c r="D995" s="275"/>
      <c r="E995" s="275"/>
      <c r="F995" s="275"/>
      <c r="G995" s="275"/>
      <c r="H995" s="275"/>
      <c r="I995" s="275"/>
      <c r="J995" s="275"/>
      <c r="K995" s="275"/>
      <c r="L995" s="275"/>
      <c r="M995" s="275"/>
      <c r="N995" s="275"/>
      <c r="O995" s="276"/>
      <c r="P995" s="276"/>
      <c r="Q995" s="247">
        <f t="shared" si="21"/>
        <v>0</v>
      </c>
      <c r="R995" s="229"/>
      <c r="S995" s="229"/>
      <c r="T995" s="229"/>
      <c r="U995" s="229"/>
      <c r="V995" s="229"/>
      <c r="W995" s="229"/>
      <c r="X995" s="229"/>
    </row>
    <row r="996" spans="1:24" ht="15.75" hidden="1">
      <c r="A996" s="343"/>
      <c r="B996" s="344"/>
      <c r="C996" s="275"/>
      <c r="D996" s="275"/>
      <c r="E996" s="275"/>
      <c r="F996" s="275"/>
      <c r="G996" s="275"/>
      <c r="H996" s="275"/>
      <c r="I996" s="275"/>
      <c r="J996" s="275"/>
      <c r="K996" s="275"/>
      <c r="L996" s="275"/>
      <c r="M996" s="275"/>
      <c r="N996" s="275"/>
      <c r="O996" s="276"/>
      <c r="P996" s="276"/>
      <c r="Q996" s="247">
        <f t="shared" si="21"/>
        <v>0</v>
      </c>
      <c r="R996" s="229"/>
      <c r="S996" s="229"/>
      <c r="T996" s="229"/>
      <c r="U996" s="229"/>
      <c r="V996" s="229"/>
      <c r="W996" s="229"/>
      <c r="X996" s="229"/>
    </row>
    <row r="997" spans="1:24" ht="15.75" hidden="1">
      <c r="A997" s="343"/>
      <c r="B997" s="344"/>
      <c r="C997" s="275"/>
      <c r="D997" s="275"/>
      <c r="E997" s="275"/>
      <c r="F997" s="275"/>
      <c r="G997" s="275"/>
      <c r="H997" s="275"/>
      <c r="I997" s="275"/>
      <c r="J997" s="275"/>
      <c r="K997" s="275"/>
      <c r="L997" s="275"/>
      <c r="M997" s="275"/>
      <c r="N997" s="275"/>
      <c r="O997" s="276"/>
      <c r="P997" s="276"/>
      <c r="Q997" s="247">
        <f t="shared" si="21"/>
        <v>0</v>
      </c>
      <c r="R997" s="229"/>
      <c r="S997" s="229"/>
      <c r="T997" s="229"/>
      <c r="U997" s="229"/>
      <c r="V997" s="229"/>
      <c r="W997" s="229"/>
      <c r="X997" s="229"/>
    </row>
    <row r="998" spans="1:24" ht="15.75" hidden="1">
      <c r="A998" s="343"/>
      <c r="B998" s="344"/>
      <c r="C998" s="275"/>
      <c r="D998" s="275"/>
      <c r="E998" s="275"/>
      <c r="F998" s="275"/>
      <c r="G998" s="275"/>
      <c r="H998" s="275"/>
      <c r="I998" s="275"/>
      <c r="J998" s="275"/>
      <c r="K998" s="275"/>
      <c r="L998" s="275"/>
      <c r="M998" s="275"/>
      <c r="N998" s="275"/>
      <c r="O998" s="276"/>
      <c r="P998" s="276"/>
      <c r="Q998" s="247">
        <f t="shared" si="21"/>
        <v>0</v>
      </c>
      <c r="R998" s="229"/>
      <c r="S998" s="229"/>
      <c r="T998" s="229"/>
      <c r="U998" s="229"/>
      <c r="V998" s="229"/>
      <c r="W998" s="229"/>
      <c r="X998" s="229"/>
    </row>
    <row r="999" spans="1:24" ht="15.75" hidden="1">
      <c r="A999" s="343"/>
      <c r="B999" s="344"/>
      <c r="C999" s="275"/>
      <c r="D999" s="275"/>
      <c r="E999" s="275"/>
      <c r="F999" s="275"/>
      <c r="G999" s="275"/>
      <c r="H999" s="275"/>
      <c r="I999" s="275"/>
      <c r="J999" s="275"/>
      <c r="K999" s="275"/>
      <c r="L999" s="275"/>
      <c r="M999" s="275"/>
      <c r="N999" s="275"/>
      <c r="O999" s="276"/>
      <c r="P999" s="276"/>
      <c r="Q999" s="247">
        <f t="shared" si="21"/>
        <v>0</v>
      </c>
      <c r="R999" s="229"/>
      <c r="S999" s="229"/>
      <c r="T999" s="229"/>
      <c r="U999" s="229"/>
      <c r="V999" s="229"/>
      <c r="W999" s="229"/>
      <c r="X999" s="229"/>
    </row>
    <row r="1000" spans="1:24" ht="15.75" hidden="1">
      <c r="A1000" s="343"/>
      <c r="B1000" s="344"/>
      <c r="C1000" s="275"/>
      <c r="D1000" s="275"/>
      <c r="E1000" s="275"/>
      <c r="F1000" s="275"/>
      <c r="G1000" s="275"/>
      <c r="H1000" s="275"/>
      <c r="I1000" s="275"/>
      <c r="J1000" s="275"/>
      <c r="K1000" s="275"/>
      <c r="L1000" s="275"/>
      <c r="M1000" s="275"/>
      <c r="N1000" s="275"/>
      <c r="O1000" s="276"/>
      <c r="P1000" s="276"/>
      <c r="Q1000" s="247">
        <f t="shared" si="21"/>
        <v>0</v>
      </c>
      <c r="R1000" s="229"/>
      <c r="S1000" s="229"/>
      <c r="T1000" s="229"/>
      <c r="U1000" s="229"/>
      <c r="V1000" s="229"/>
      <c r="W1000" s="229"/>
      <c r="X1000" s="229"/>
    </row>
    <row r="1001" spans="1:24" ht="15.75" hidden="1">
      <c r="A1001" s="343"/>
      <c r="B1001" s="344"/>
      <c r="C1001" s="275"/>
      <c r="D1001" s="275"/>
      <c r="E1001" s="275"/>
      <c r="F1001" s="275"/>
      <c r="G1001" s="275"/>
      <c r="H1001" s="275"/>
      <c r="I1001" s="275"/>
      <c r="J1001" s="275"/>
      <c r="K1001" s="275"/>
      <c r="L1001" s="275"/>
      <c r="M1001" s="275"/>
      <c r="N1001" s="275"/>
      <c r="O1001" s="276"/>
      <c r="P1001" s="276"/>
      <c r="Q1001" s="247">
        <f t="shared" si="21"/>
        <v>0</v>
      </c>
      <c r="R1001" s="229"/>
      <c r="S1001" s="229"/>
      <c r="T1001" s="229"/>
      <c r="U1001" s="229"/>
      <c r="V1001" s="229"/>
      <c r="W1001" s="229"/>
      <c r="X1001" s="229"/>
    </row>
    <row r="1002" spans="1:24" ht="15.75" hidden="1">
      <c r="A1002" s="343"/>
      <c r="B1002" s="344"/>
      <c r="C1002" s="275"/>
      <c r="D1002" s="275"/>
      <c r="E1002" s="275"/>
      <c r="F1002" s="275"/>
      <c r="G1002" s="275"/>
      <c r="H1002" s="275"/>
      <c r="I1002" s="275"/>
      <c r="J1002" s="275"/>
      <c r="K1002" s="275"/>
      <c r="L1002" s="275"/>
      <c r="M1002" s="275"/>
      <c r="N1002" s="275"/>
      <c r="O1002" s="276"/>
      <c r="P1002" s="276"/>
      <c r="Q1002" s="247">
        <f t="shared" si="21"/>
        <v>0</v>
      </c>
      <c r="R1002" s="229"/>
      <c r="S1002" s="229"/>
      <c r="T1002" s="229"/>
      <c r="U1002" s="229"/>
      <c r="V1002" s="229"/>
      <c r="W1002" s="229"/>
      <c r="X1002" s="229"/>
    </row>
    <row r="1003" spans="1:24" ht="15.75" hidden="1">
      <c r="A1003" s="343"/>
      <c r="B1003" s="344"/>
      <c r="C1003" s="275"/>
      <c r="D1003" s="275"/>
      <c r="E1003" s="275"/>
      <c r="F1003" s="275"/>
      <c r="G1003" s="275"/>
      <c r="H1003" s="275"/>
      <c r="I1003" s="275"/>
      <c r="J1003" s="275"/>
      <c r="K1003" s="275"/>
      <c r="L1003" s="275"/>
      <c r="M1003" s="275"/>
      <c r="N1003" s="275"/>
      <c r="O1003" s="276"/>
      <c r="P1003" s="276"/>
      <c r="Q1003" s="247">
        <f t="shared" si="21"/>
        <v>0</v>
      </c>
      <c r="R1003" s="229"/>
      <c r="S1003" s="229"/>
      <c r="T1003" s="229"/>
      <c r="U1003" s="229"/>
      <c r="V1003" s="229"/>
      <c r="W1003" s="229"/>
      <c r="X1003" s="229"/>
    </row>
    <row r="1004" spans="1:24" ht="15.75" hidden="1">
      <c r="A1004" s="343"/>
      <c r="B1004" s="344"/>
      <c r="C1004" s="275"/>
      <c r="D1004" s="275"/>
      <c r="E1004" s="275"/>
      <c r="F1004" s="275"/>
      <c r="G1004" s="275"/>
      <c r="H1004" s="275"/>
      <c r="I1004" s="275"/>
      <c r="J1004" s="275"/>
      <c r="K1004" s="275"/>
      <c r="L1004" s="275"/>
      <c r="M1004" s="275"/>
      <c r="N1004" s="275"/>
      <c r="O1004" s="276"/>
      <c r="P1004" s="276"/>
      <c r="Q1004" s="247">
        <f t="shared" si="21"/>
        <v>0</v>
      </c>
      <c r="R1004" s="229"/>
      <c r="S1004" s="229"/>
      <c r="T1004" s="229"/>
      <c r="U1004" s="229"/>
      <c r="V1004" s="229"/>
      <c r="W1004" s="229"/>
      <c r="X1004" s="229"/>
    </row>
    <row r="1005" spans="1:24" ht="15.75" hidden="1">
      <c r="A1005" s="343"/>
      <c r="B1005" s="344"/>
      <c r="C1005" s="275"/>
      <c r="D1005" s="275"/>
      <c r="E1005" s="275"/>
      <c r="F1005" s="275"/>
      <c r="G1005" s="275"/>
      <c r="H1005" s="275"/>
      <c r="I1005" s="275"/>
      <c r="J1005" s="275"/>
      <c r="K1005" s="275"/>
      <c r="L1005" s="275"/>
      <c r="M1005" s="275"/>
      <c r="N1005" s="275"/>
      <c r="O1005" s="276"/>
      <c r="P1005" s="276"/>
      <c r="Q1005" s="247">
        <f t="shared" si="21"/>
        <v>0</v>
      </c>
      <c r="R1005" s="229"/>
      <c r="S1005" s="229"/>
      <c r="T1005" s="229"/>
      <c r="U1005" s="229"/>
      <c r="V1005" s="229"/>
      <c r="W1005" s="229"/>
      <c r="X1005" s="229"/>
    </row>
    <row r="1006" spans="1:24" ht="15.75" hidden="1">
      <c r="A1006" s="343"/>
      <c r="B1006" s="344"/>
      <c r="C1006" s="275"/>
      <c r="D1006" s="275"/>
      <c r="E1006" s="275"/>
      <c r="F1006" s="275"/>
      <c r="G1006" s="275"/>
      <c r="H1006" s="275"/>
      <c r="I1006" s="275"/>
      <c r="J1006" s="275"/>
      <c r="K1006" s="275"/>
      <c r="L1006" s="275"/>
      <c r="M1006" s="275"/>
      <c r="N1006" s="275"/>
      <c r="O1006" s="276"/>
      <c r="P1006" s="276"/>
      <c r="Q1006" s="247">
        <f t="shared" si="21"/>
        <v>0</v>
      </c>
      <c r="R1006" s="229"/>
      <c r="S1006" s="229"/>
      <c r="T1006" s="229"/>
      <c r="U1006" s="229"/>
      <c r="V1006" s="229"/>
      <c r="W1006" s="229"/>
      <c r="X1006" s="229"/>
    </row>
    <row r="1007" spans="1:24" ht="15.75" hidden="1">
      <c r="A1007" s="343"/>
      <c r="B1007" s="344"/>
      <c r="C1007" s="275"/>
      <c r="D1007" s="275"/>
      <c r="E1007" s="275"/>
      <c r="F1007" s="275"/>
      <c r="G1007" s="275"/>
      <c r="H1007" s="275"/>
      <c r="I1007" s="275"/>
      <c r="J1007" s="275"/>
      <c r="K1007" s="275"/>
      <c r="L1007" s="275"/>
      <c r="M1007" s="275"/>
      <c r="N1007" s="275"/>
      <c r="O1007" s="276"/>
      <c r="P1007" s="276"/>
      <c r="Q1007" s="247">
        <f t="shared" si="21"/>
        <v>0</v>
      </c>
      <c r="R1007" s="229"/>
      <c r="S1007" s="229"/>
      <c r="T1007" s="229"/>
      <c r="U1007" s="229"/>
      <c r="V1007" s="229"/>
      <c r="W1007" s="229"/>
      <c r="X1007" s="229"/>
    </row>
    <row r="1008" spans="1:24" ht="15.75" hidden="1">
      <c r="A1008" s="343"/>
      <c r="B1008" s="344"/>
      <c r="C1008" s="275"/>
      <c r="D1008" s="275"/>
      <c r="E1008" s="275"/>
      <c r="F1008" s="275"/>
      <c r="G1008" s="275"/>
      <c r="H1008" s="275"/>
      <c r="I1008" s="275"/>
      <c r="J1008" s="275"/>
      <c r="K1008" s="275"/>
      <c r="L1008" s="275"/>
      <c r="M1008" s="275"/>
      <c r="N1008" s="275"/>
      <c r="O1008" s="276"/>
      <c r="P1008" s="276"/>
      <c r="Q1008" s="247">
        <f t="shared" si="21"/>
        <v>0</v>
      </c>
      <c r="R1008" s="229"/>
      <c r="S1008" s="229"/>
      <c r="T1008" s="229"/>
      <c r="U1008" s="229"/>
      <c r="V1008" s="229"/>
      <c r="W1008" s="229"/>
      <c r="X1008" s="229"/>
    </row>
    <row r="1009" spans="1:24" ht="15.75" hidden="1">
      <c r="A1009" s="343"/>
      <c r="B1009" s="344"/>
      <c r="C1009" s="275"/>
      <c r="D1009" s="275"/>
      <c r="E1009" s="275"/>
      <c r="F1009" s="275"/>
      <c r="G1009" s="275"/>
      <c r="H1009" s="275"/>
      <c r="I1009" s="275"/>
      <c r="J1009" s="275"/>
      <c r="K1009" s="275"/>
      <c r="L1009" s="275"/>
      <c r="M1009" s="275"/>
      <c r="N1009" s="275"/>
      <c r="O1009" s="276"/>
      <c r="P1009" s="276"/>
      <c r="Q1009" s="247">
        <f t="shared" si="21"/>
        <v>0</v>
      </c>
      <c r="R1009" s="229"/>
      <c r="S1009" s="229"/>
      <c r="T1009" s="229"/>
      <c r="U1009" s="229"/>
      <c r="V1009" s="229"/>
      <c r="W1009" s="229"/>
      <c r="X1009" s="229"/>
    </row>
    <row r="1010" spans="1:24" ht="15.75" hidden="1">
      <c r="A1010" s="343"/>
      <c r="B1010" s="344"/>
      <c r="C1010" s="275"/>
      <c r="D1010" s="275"/>
      <c r="E1010" s="275"/>
      <c r="F1010" s="275"/>
      <c r="G1010" s="275"/>
      <c r="H1010" s="275"/>
      <c r="I1010" s="275"/>
      <c r="J1010" s="275"/>
      <c r="K1010" s="275"/>
      <c r="L1010" s="275"/>
      <c r="M1010" s="275"/>
      <c r="N1010" s="275"/>
      <c r="O1010" s="276"/>
      <c r="P1010" s="276"/>
      <c r="Q1010" s="247">
        <f t="shared" si="21"/>
        <v>0</v>
      </c>
      <c r="R1010" s="229"/>
      <c r="S1010" s="229"/>
      <c r="T1010" s="229"/>
      <c r="U1010" s="229"/>
      <c r="V1010" s="229"/>
      <c r="W1010" s="229"/>
      <c r="X1010" s="229"/>
    </row>
    <row r="1011" spans="1:24" ht="15.75" hidden="1">
      <c r="A1011" s="343"/>
      <c r="B1011" s="344"/>
      <c r="C1011" s="275"/>
      <c r="D1011" s="275"/>
      <c r="E1011" s="275"/>
      <c r="F1011" s="275"/>
      <c r="G1011" s="275"/>
      <c r="H1011" s="275"/>
      <c r="I1011" s="275"/>
      <c r="J1011" s="275"/>
      <c r="K1011" s="275"/>
      <c r="L1011" s="275"/>
      <c r="M1011" s="275"/>
      <c r="N1011" s="275"/>
      <c r="O1011" s="276"/>
      <c r="P1011" s="276"/>
      <c r="Q1011" s="247">
        <f t="shared" si="21"/>
        <v>0</v>
      </c>
      <c r="R1011" s="229"/>
      <c r="S1011" s="229"/>
      <c r="T1011" s="229"/>
      <c r="U1011" s="229"/>
      <c r="V1011" s="229"/>
      <c r="W1011" s="229"/>
      <c r="X1011" s="229"/>
    </row>
    <row r="1012" spans="1:24" ht="15.75" hidden="1">
      <c r="A1012" s="343"/>
      <c r="B1012" s="344"/>
      <c r="C1012" s="275"/>
      <c r="D1012" s="275"/>
      <c r="E1012" s="275"/>
      <c r="F1012" s="275"/>
      <c r="G1012" s="275"/>
      <c r="H1012" s="275"/>
      <c r="I1012" s="275"/>
      <c r="J1012" s="275"/>
      <c r="K1012" s="275"/>
      <c r="L1012" s="275"/>
      <c r="M1012" s="275"/>
      <c r="N1012" s="275"/>
      <c r="O1012" s="276"/>
      <c r="P1012" s="276"/>
      <c r="Q1012" s="247">
        <f t="shared" si="21"/>
        <v>0</v>
      </c>
      <c r="R1012" s="229"/>
      <c r="S1012" s="229"/>
      <c r="T1012" s="229"/>
      <c r="U1012" s="229"/>
      <c r="V1012" s="229"/>
      <c r="W1012" s="229"/>
      <c r="X1012" s="229"/>
    </row>
    <row r="1013" spans="1:24" ht="15.75" hidden="1">
      <c r="A1013" s="343"/>
      <c r="B1013" s="344"/>
      <c r="C1013" s="275"/>
      <c r="D1013" s="275"/>
      <c r="E1013" s="275"/>
      <c r="F1013" s="275"/>
      <c r="G1013" s="275"/>
      <c r="H1013" s="275"/>
      <c r="I1013" s="275"/>
      <c r="J1013" s="275"/>
      <c r="K1013" s="275"/>
      <c r="L1013" s="275"/>
      <c r="M1013" s="275"/>
      <c r="N1013" s="275"/>
      <c r="O1013" s="276"/>
      <c r="P1013" s="276"/>
      <c r="Q1013" s="247">
        <f t="shared" si="21"/>
        <v>0</v>
      </c>
      <c r="R1013" s="229"/>
      <c r="S1013" s="229"/>
      <c r="T1013" s="229"/>
      <c r="U1013" s="229"/>
      <c r="V1013" s="229"/>
      <c r="W1013" s="229"/>
      <c r="X1013" s="229"/>
    </row>
    <row r="1014" spans="1:24" ht="15.75" hidden="1">
      <c r="A1014" s="343"/>
      <c r="B1014" s="344"/>
      <c r="C1014" s="275"/>
      <c r="D1014" s="275"/>
      <c r="E1014" s="275"/>
      <c r="F1014" s="275"/>
      <c r="G1014" s="275"/>
      <c r="H1014" s="275"/>
      <c r="I1014" s="275"/>
      <c r="J1014" s="275"/>
      <c r="K1014" s="275"/>
      <c r="L1014" s="275"/>
      <c r="M1014" s="275"/>
      <c r="N1014" s="275"/>
      <c r="O1014" s="276"/>
      <c r="P1014" s="276"/>
      <c r="Q1014" s="247">
        <f t="shared" si="21"/>
        <v>0</v>
      </c>
      <c r="R1014" s="229"/>
      <c r="S1014" s="229"/>
      <c r="T1014" s="229"/>
      <c r="U1014" s="229"/>
      <c r="V1014" s="229"/>
      <c r="W1014" s="229"/>
      <c r="X1014" s="229"/>
    </row>
    <row r="1015" spans="1:24" ht="15.75" hidden="1">
      <c r="A1015" s="343"/>
      <c r="B1015" s="344"/>
      <c r="C1015" s="275"/>
      <c r="D1015" s="275"/>
      <c r="E1015" s="275"/>
      <c r="F1015" s="275"/>
      <c r="G1015" s="275"/>
      <c r="H1015" s="275"/>
      <c r="I1015" s="275"/>
      <c r="J1015" s="275"/>
      <c r="K1015" s="275"/>
      <c r="L1015" s="275"/>
      <c r="M1015" s="275"/>
      <c r="N1015" s="275"/>
      <c r="O1015" s="276"/>
      <c r="P1015" s="276"/>
      <c r="Q1015" s="247">
        <f t="shared" si="21"/>
        <v>0</v>
      </c>
      <c r="R1015" s="229"/>
      <c r="S1015" s="229"/>
      <c r="T1015" s="229"/>
      <c r="U1015" s="229"/>
      <c r="V1015" s="229"/>
      <c r="W1015" s="229"/>
      <c r="X1015" s="229"/>
    </row>
    <row r="1016" spans="1:24" ht="15.75" hidden="1">
      <c r="A1016" s="343"/>
      <c r="B1016" s="344"/>
      <c r="C1016" s="275"/>
      <c r="D1016" s="275"/>
      <c r="E1016" s="275"/>
      <c r="F1016" s="275"/>
      <c r="G1016" s="275"/>
      <c r="H1016" s="275"/>
      <c r="I1016" s="275"/>
      <c r="J1016" s="275"/>
      <c r="K1016" s="275"/>
      <c r="L1016" s="275"/>
      <c r="M1016" s="275"/>
      <c r="N1016" s="275"/>
      <c r="O1016" s="276"/>
      <c r="P1016" s="276"/>
      <c r="Q1016" s="247">
        <f t="shared" si="21"/>
        <v>0</v>
      </c>
      <c r="R1016" s="229"/>
      <c r="S1016" s="229"/>
      <c r="T1016" s="229"/>
      <c r="U1016" s="229"/>
      <c r="V1016" s="229"/>
      <c r="W1016" s="229"/>
      <c r="X1016" s="229"/>
    </row>
    <row r="1017" spans="1:24" ht="15.75" hidden="1">
      <c r="A1017" s="343"/>
      <c r="B1017" s="344"/>
      <c r="C1017" s="275"/>
      <c r="D1017" s="275"/>
      <c r="E1017" s="275"/>
      <c r="F1017" s="275"/>
      <c r="G1017" s="275"/>
      <c r="H1017" s="275"/>
      <c r="I1017" s="275"/>
      <c r="J1017" s="275"/>
      <c r="K1017" s="275"/>
      <c r="L1017" s="275"/>
      <c r="M1017" s="275"/>
      <c r="N1017" s="275"/>
      <c r="O1017" s="276"/>
      <c r="P1017" s="276"/>
      <c r="Q1017" s="247">
        <f t="shared" si="21"/>
        <v>0</v>
      </c>
      <c r="R1017" s="229"/>
      <c r="S1017" s="229"/>
      <c r="T1017" s="229"/>
      <c r="U1017" s="229"/>
      <c r="V1017" s="229"/>
      <c r="W1017" s="229"/>
      <c r="X1017" s="229"/>
    </row>
    <row r="1018" spans="1:24" ht="15.75" hidden="1">
      <c r="A1018" s="343"/>
      <c r="B1018" s="344"/>
      <c r="C1018" s="275"/>
      <c r="D1018" s="275"/>
      <c r="E1018" s="275"/>
      <c r="F1018" s="275"/>
      <c r="G1018" s="275"/>
      <c r="H1018" s="275"/>
      <c r="I1018" s="275"/>
      <c r="J1018" s="275"/>
      <c r="K1018" s="275"/>
      <c r="L1018" s="275"/>
      <c r="M1018" s="275"/>
      <c r="N1018" s="275"/>
      <c r="O1018" s="276"/>
      <c r="P1018" s="276"/>
      <c r="Q1018" s="247">
        <f t="shared" si="21"/>
        <v>0</v>
      </c>
      <c r="R1018" s="229"/>
      <c r="S1018" s="229"/>
      <c r="T1018" s="229"/>
      <c r="U1018" s="229"/>
      <c r="V1018" s="229"/>
      <c r="W1018" s="229"/>
      <c r="X1018" s="229"/>
    </row>
    <row r="1019" spans="1:24" ht="15.75" hidden="1">
      <c r="A1019" s="343"/>
      <c r="B1019" s="344"/>
      <c r="C1019" s="275"/>
      <c r="D1019" s="275"/>
      <c r="E1019" s="275"/>
      <c r="F1019" s="275"/>
      <c r="G1019" s="275"/>
      <c r="H1019" s="275"/>
      <c r="I1019" s="275"/>
      <c r="J1019" s="275"/>
      <c r="K1019" s="275"/>
      <c r="L1019" s="275"/>
      <c r="M1019" s="275"/>
      <c r="N1019" s="275"/>
      <c r="O1019" s="276"/>
      <c r="P1019" s="276"/>
      <c r="Q1019" s="247">
        <f t="shared" si="21"/>
        <v>0</v>
      </c>
      <c r="R1019" s="229"/>
      <c r="S1019" s="229"/>
      <c r="T1019" s="229"/>
      <c r="U1019" s="229"/>
      <c r="V1019" s="229"/>
      <c r="W1019" s="229"/>
      <c r="X1019" s="229"/>
    </row>
    <row r="1020" spans="1:24" ht="15.75" hidden="1">
      <c r="A1020" s="343"/>
      <c r="B1020" s="344"/>
      <c r="C1020" s="275"/>
      <c r="D1020" s="275"/>
      <c r="E1020" s="275"/>
      <c r="F1020" s="275"/>
      <c r="G1020" s="275"/>
      <c r="H1020" s="275"/>
      <c r="I1020" s="275"/>
      <c r="J1020" s="275"/>
      <c r="K1020" s="275"/>
      <c r="L1020" s="275"/>
      <c r="M1020" s="275"/>
      <c r="N1020" s="275"/>
      <c r="O1020" s="276"/>
      <c r="P1020" s="276"/>
      <c r="Q1020" s="247">
        <f t="shared" si="21"/>
        <v>0</v>
      </c>
      <c r="R1020" s="229"/>
      <c r="S1020" s="229"/>
      <c r="T1020" s="229"/>
      <c r="U1020" s="229"/>
      <c r="V1020" s="229"/>
      <c r="W1020" s="229"/>
      <c r="X1020" s="229"/>
    </row>
    <row r="1021" spans="1:24" ht="15.75" hidden="1">
      <c r="A1021" s="343"/>
      <c r="B1021" s="344"/>
      <c r="C1021" s="275"/>
      <c r="D1021" s="275"/>
      <c r="E1021" s="275"/>
      <c r="F1021" s="275"/>
      <c r="G1021" s="275"/>
      <c r="H1021" s="275"/>
      <c r="I1021" s="275"/>
      <c r="J1021" s="275"/>
      <c r="K1021" s="275"/>
      <c r="L1021" s="275"/>
      <c r="M1021" s="275"/>
      <c r="N1021" s="275"/>
      <c r="O1021" s="276"/>
      <c r="P1021" s="276"/>
      <c r="Q1021" s="247">
        <f t="shared" si="21"/>
        <v>0</v>
      </c>
      <c r="R1021" s="229"/>
      <c r="S1021" s="229"/>
      <c r="T1021" s="229"/>
      <c r="U1021" s="229"/>
      <c r="V1021" s="229"/>
      <c r="W1021" s="229"/>
      <c r="X1021" s="229"/>
    </row>
    <row r="1022" spans="1:24" ht="15.75" hidden="1">
      <c r="A1022" s="343"/>
      <c r="B1022" s="344"/>
      <c r="C1022" s="275"/>
      <c r="D1022" s="275"/>
      <c r="E1022" s="275"/>
      <c r="F1022" s="275"/>
      <c r="G1022" s="275"/>
      <c r="H1022" s="275"/>
      <c r="I1022" s="275"/>
      <c r="J1022" s="275"/>
      <c r="K1022" s="275"/>
      <c r="L1022" s="275"/>
      <c r="M1022" s="275"/>
      <c r="N1022" s="275"/>
      <c r="O1022" s="276"/>
      <c r="P1022" s="276"/>
      <c r="Q1022" s="247">
        <f t="shared" si="21"/>
        <v>0</v>
      </c>
      <c r="R1022" s="229"/>
      <c r="S1022" s="229"/>
      <c r="T1022" s="229"/>
      <c r="U1022" s="229"/>
      <c r="V1022" s="229"/>
      <c r="W1022" s="229"/>
      <c r="X1022" s="229"/>
    </row>
    <row r="1023" spans="1:24" ht="15.75" hidden="1">
      <c r="A1023" s="343"/>
      <c r="B1023" s="344"/>
      <c r="C1023" s="275"/>
      <c r="D1023" s="275"/>
      <c r="E1023" s="275"/>
      <c r="F1023" s="275"/>
      <c r="G1023" s="275"/>
      <c r="H1023" s="275"/>
      <c r="I1023" s="275"/>
      <c r="J1023" s="275"/>
      <c r="K1023" s="275"/>
      <c r="L1023" s="275"/>
      <c r="M1023" s="275"/>
      <c r="N1023" s="275"/>
      <c r="O1023" s="276"/>
      <c r="P1023" s="276"/>
      <c r="Q1023" s="247">
        <f t="shared" si="21"/>
        <v>0</v>
      </c>
      <c r="R1023" s="229"/>
      <c r="S1023" s="229"/>
      <c r="T1023" s="229"/>
      <c r="U1023" s="229"/>
      <c r="V1023" s="229"/>
      <c r="W1023" s="229"/>
      <c r="X1023" s="229"/>
    </row>
    <row r="1024" spans="1:24" ht="15.75" hidden="1">
      <c r="A1024" s="343"/>
      <c r="B1024" s="344"/>
      <c r="C1024" s="275"/>
      <c r="D1024" s="275"/>
      <c r="E1024" s="275"/>
      <c r="F1024" s="275"/>
      <c r="G1024" s="275"/>
      <c r="H1024" s="275"/>
      <c r="I1024" s="275"/>
      <c r="J1024" s="275"/>
      <c r="K1024" s="275"/>
      <c r="L1024" s="275"/>
      <c r="M1024" s="275"/>
      <c r="N1024" s="275"/>
      <c r="O1024" s="276"/>
      <c r="P1024" s="276"/>
      <c r="Q1024" s="247">
        <f t="shared" si="21"/>
        <v>0</v>
      </c>
      <c r="R1024" s="229"/>
      <c r="S1024" s="229"/>
      <c r="T1024" s="229"/>
      <c r="U1024" s="229"/>
      <c r="V1024" s="229"/>
      <c r="W1024" s="229"/>
      <c r="X1024" s="229"/>
    </row>
    <row r="1025" spans="1:24" ht="15.75" hidden="1">
      <c r="A1025" s="343"/>
      <c r="B1025" s="344"/>
      <c r="C1025" s="275"/>
      <c r="D1025" s="275"/>
      <c r="E1025" s="275"/>
      <c r="F1025" s="275"/>
      <c r="G1025" s="275"/>
      <c r="H1025" s="275"/>
      <c r="I1025" s="275"/>
      <c r="J1025" s="275"/>
      <c r="K1025" s="275"/>
      <c r="L1025" s="275"/>
      <c r="M1025" s="275"/>
      <c r="N1025" s="275"/>
      <c r="O1025" s="276"/>
      <c r="P1025" s="276"/>
      <c r="Q1025" s="247">
        <f t="shared" si="21"/>
        <v>0</v>
      </c>
      <c r="R1025" s="229"/>
      <c r="S1025" s="229"/>
      <c r="T1025" s="229"/>
      <c r="U1025" s="229"/>
      <c r="V1025" s="229"/>
      <c r="W1025" s="229"/>
      <c r="X1025" s="229"/>
    </row>
    <row r="1026" spans="1:24" ht="15.75" hidden="1">
      <c r="A1026" s="343"/>
      <c r="B1026" s="344"/>
      <c r="C1026" s="275"/>
      <c r="D1026" s="275"/>
      <c r="E1026" s="275"/>
      <c r="F1026" s="275"/>
      <c r="G1026" s="275"/>
      <c r="H1026" s="275"/>
      <c r="I1026" s="275"/>
      <c r="J1026" s="275"/>
      <c r="K1026" s="275"/>
      <c r="L1026" s="275"/>
      <c r="M1026" s="275"/>
      <c r="N1026" s="275"/>
      <c r="O1026" s="276"/>
      <c r="P1026" s="276"/>
      <c r="Q1026" s="247">
        <f t="shared" si="21"/>
        <v>0</v>
      </c>
      <c r="R1026" s="229"/>
      <c r="S1026" s="229"/>
      <c r="T1026" s="229"/>
      <c r="U1026" s="229"/>
      <c r="V1026" s="229"/>
      <c r="W1026" s="229"/>
      <c r="X1026" s="229"/>
    </row>
    <row r="1027" spans="1:24" ht="15.75" hidden="1">
      <c r="A1027" s="343"/>
      <c r="B1027" s="344"/>
      <c r="C1027" s="275"/>
      <c r="D1027" s="275"/>
      <c r="E1027" s="275"/>
      <c r="F1027" s="275"/>
      <c r="G1027" s="275"/>
      <c r="H1027" s="275"/>
      <c r="I1027" s="275"/>
      <c r="J1027" s="275"/>
      <c r="K1027" s="275"/>
      <c r="L1027" s="275"/>
      <c r="M1027" s="275"/>
      <c r="N1027" s="275"/>
      <c r="O1027" s="276"/>
      <c r="P1027" s="276"/>
      <c r="Q1027" s="247">
        <f t="shared" si="21"/>
        <v>0</v>
      </c>
      <c r="R1027" s="229"/>
      <c r="S1027" s="229"/>
      <c r="T1027" s="229"/>
      <c r="U1027" s="229"/>
      <c r="V1027" s="229"/>
      <c r="W1027" s="229"/>
      <c r="X1027" s="229"/>
    </row>
    <row r="1028" spans="1:24" ht="15.75" hidden="1">
      <c r="A1028" s="343"/>
      <c r="B1028" s="344"/>
      <c r="C1028" s="275"/>
      <c r="D1028" s="275"/>
      <c r="E1028" s="275"/>
      <c r="F1028" s="275"/>
      <c r="G1028" s="275"/>
      <c r="H1028" s="275"/>
      <c r="I1028" s="275"/>
      <c r="J1028" s="275"/>
      <c r="K1028" s="275"/>
      <c r="L1028" s="275"/>
      <c r="M1028" s="275"/>
      <c r="N1028" s="275"/>
      <c r="O1028" s="276"/>
      <c r="P1028" s="276"/>
      <c r="Q1028" s="247">
        <f t="shared" si="21"/>
        <v>0</v>
      </c>
      <c r="R1028" s="229"/>
      <c r="S1028" s="229"/>
      <c r="T1028" s="229"/>
      <c r="U1028" s="229"/>
      <c r="V1028" s="229"/>
      <c r="W1028" s="229"/>
      <c r="X1028" s="229"/>
    </row>
    <row r="1029" spans="1:24" ht="15.75" hidden="1">
      <c r="A1029" s="343"/>
      <c r="B1029" s="344"/>
      <c r="C1029" s="275"/>
      <c r="D1029" s="275"/>
      <c r="E1029" s="275"/>
      <c r="F1029" s="275"/>
      <c r="G1029" s="275"/>
      <c r="H1029" s="275"/>
      <c r="I1029" s="275"/>
      <c r="J1029" s="275"/>
      <c r="K1029" s="275"/>
      <c r="L1029" s="275"/>
      <c r="M1029" s="275"/>
      <c r="N1029" s="275"/>
      <c r="O1029" s="276"/>
      <c r="P1029" s="276"/>
      <c r="Q1029" s="247">
        <f t="shared" si="21"/>
        <v>0</v>
      </c>
      <c r="R1029" s="229"/>
      <c r="S1029" s="229"/>
      <c r="T1029" s="229"/>
      <c r="U1029" s="229"/>
      <c r="V1029" s="229"/>
      <c r="W1029" s="229"/>
      <c r="X1029" s="229"/>
    </row>
    <row r="1030" spans="1:24" ht="15.75" hidden="1">
      <c r="A1030" s="343"/>
      <c r="B1030" s="344"/>
      <c r="C1030" s="275"/>
      <c r="D1030" s="275"/>
      <c r="E1030" s="275"/>
      <c r="F1030" s="275"/>
      <c r="G1030" s="275"/>
      <c r="H1030" s="275"/>
      <c r="I1030" s="275"/>
      <c r="J1030" s="275"/>
      <c r="K1030" s="275"/>
      <c r="L1030" s="275"/>
      <c r="M1030" s="275"/>
      <c r="N1030" s="275"/>
      <c r="O1030" s="276"/>
      <c r="P1030" s="276"/>
      <c r="Q1030" s="247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9"/>
      <c r="S1030" s="229"/>
      <c r="T1030" s="229"/>
      <c r="U1030" s="229"/>
      <c r="V1030" s="229"/>
      <c r="W1030" s="229"/>
      <c r="X1030" s="229"/>
    </row>
    <row r="1031" spans="1:24" ht="15.75" hidden="1">
      <c r="A1031" s="343"/>
      <c r="B1031" s="344"/>
      <c r="C1031" s="275"/>
      <c r="D1031" s="275"/>
      <c r="E1031" s="275"/>
      <c r="F1031" s="275"/>
      <c r="G1031" s="275"/>
      <c r="H1031" s="275"/>
      <c r="I1031" s="275"/>
      <c r="J1031" s="275"/>
      <c r="K1031" s="275"/>
      <c r="L1031" s="275"/>
      <c r="M1031" s="275"/>
      <c r="N1031" s="275"/>
      <c r="O1031" s="276"/>
      <c r="P1031" s="276"/>
      <c r="Q1031" s="247">
        <f t="shared" si="22"/>
        <v>0</v>
      </c>
      <c r="R1031" s="229"/>
      <c r="S1031" s="229"/>
      <c r="T1031" s="229"/>
      <c r="U1031" s="229"/>
      <c r="V1031" s="229"/>
      <c r="W1031" s="229"/>
      <c r="X1031" s="229"/>
    </row>
    <row r="1032" spans="1:24" ht="15.75" hidden="1">
      <c r="A1032" s="343"/>
      <c r="B1032" s="344"/>
      <c r="C1032" s="275"/>
      <c r="D1032" s="275"/>
      <c r="E1032" s="275"/>
      <c r="F1032" s="275"/>
      <c r="G1032" s="275"/>
      <c r="H1032" s="275"/>
      <c r="I1032" s="275"/>
      <c r="J1032" s="275"/>
      <c r="K1032" s="275"/>
      <c r="L1032" s="275"/>
      <c r="M1032" s="275"/>
      <c r="N1032" s="275"/>
      <c r="O1032" s="276"/>
      <c r="P1032" s="276"/>
      <c r="Q1032" s="247">
        <f t="shared" si="22"/>
        <v>0</v>
      </c>
      <c r="R1032" s="229"/>
      <c r="S1032" s="229"/>
      <c r="T1032" s="229"/>
      <c r="U1032" s="229"/>
      <c r="V1032" s="229"/>
      <c r="W1032" s="229"/>
      <c r="X1032" s="229"/>
    </row>
    <row r="1033" spans="1:24" ht="15.75" hidden="1">
      <c r="A1033" s="343"/>
      <c r="B1033" s="344"/>
      <c r="C1033" s="275"/>
      <c r="D1033" s="275"/>
      <c r="E1033" s="275"/>
      <c r="F1033" s="275"/>
      <c r="G1033" s="275"/>
      <c r="H1033" s="275"/>
      <c r="I1033" s="275"/>
      <c r="J1033" s="275"/>
      <c r="K1033" s="275"/>
      <c r="L1033" s="275"/>
      <c r="M1033" s="275"/>
      <c r="N1033" s="275"/>
      <c r="O1033" s="276"/>
      <c r="P1033" s="276"/>
      <c r="Q1033" s="247">
        <f t="shared" si="22"/>
        <v>0</v>
      </c>
      <c r="R1033" s="229"/>
      <c r="S1033" s="229"/>
      <c r="T1033" s="229"/>
      <c r="U1033" s="229"/>
      <c r="V1033" s="229"/>
      <c r="W1033" s="229"/>
      <c r="X1033" s="229"/>
    </row>
    <row r="1034" spans="1:24" ht="15.75" hidden="1">
      <c r="A1034" s="343"/>
      <c r="B1034" s="344"/>
      <c r="C1034" s="275"/>
      <c r="D1034" s="275"/>
      <c r="E1034" s="275"/>
      <c r="F1034" s="275"/>
      <c r="G1034" s="275"/>
      <c r="H1034" s="275"/>
      <c r="I1034" s="275"/>
      <c r="J1034" s="275"/>
      <c r="K1034" s="275"/>
      <c r="L1034" s="275"/>
      <c r="M1034" s="275"/>
      <c r="N1034" s="275"/>
      <c r="O1034" s="276"/>
      <c r="P1034" s="276"/>
      <c r="Q1034" s="247">
        <f t="shared" si="22"/>
        <v>0</v>
      </c>
      <c r="R1034" s="229"/>
      <c r="S1034" s="229"/>
      <c r="T1034" s="229"/>
      <c r="U1034" s="229"/>
      <c r="V1034" s="229"/>
      <c r="W1034" s="229"/>
      <c r="X1034" s="229"/>
    </row>
    <row r="1035" spans="1:24" ht="15.75" hidden="1">
      <c r="A1035" s="343"/>
      <c r="B1035" s="344"/>
      <c r="C1035" s="275"/>
      <c r="D1035" s="275"/>
      <c r="E1035" s="275"/>
      <c r="F1035" s="275"/>
      <c r="G1035" s="275"/>
      <c r="H1035" s="275"/>
      <c r="I1035" s="275"/>
      <c r="J1035" s="275"/>
      <c r="K1035" s="275"/>
      <c r="L1035" s="275"/>
      <c r="M1035" s="275"/>
      <c r="N1035" s="275"/>
      <c r="O1035" s="276"/>
      <c r="P1035" s="276"/>
      <c r="Q1035" s="247">
        <f t="shared" si="22"/>
        <v>0</v>
      </c>
      <c r="R1035" s="229"/>
      <c r="S1035" s="229"/>
      <c r="T1035" s="229"/>
      <c r="U1035" s="229"/>
      <c r="V1035" s="229"/>
      <c r="W1035" s="229"/>
      <c r="X1035" s="229"/>
    </row>
    <row r="1036" spans="1:24" ht="15.75" hidden="1">
      <c r="A1036" s="343"/>
      <c r="B1036" s="344"/>
      <c r="C1036" s="275"/>
      <c r="D1036" s="275"/>
      <c r="E1036" s="275"/>
      <c r="F1036" s="275"/>
      <c r="G1036" s="275"/>
      <c r="H1036" s="275"/>
      <c r="I1036" s="275"/>
      <c r="J1036" s="275"/>
      <c r="K1036" s="275"/>
      <c r="L1036" s="275"/>
      <c r="M1036" s="275"/>
      <c r="N1036" s="275"/>
      <c r="O1036" s="276"/>
      <c r="P1036" s="276"/>
      <c r="Q1036" s="247">
        <f t="shared" si="22"/>
        <v>0</v>
      </c>
      <c r="R1036" s="229"/>
      <c r="S1036" s="229"/>
      <c r="T1036" s="229"/>
      <c r="U1036" s="229"/>
      <c r="V1036" s="229"/>
      <c r="W1036" s="229"/>
      <c r="X1036" s="229"/>
    </row>
    <row r="1037" spans="1:24" ht="15.75" hidden="1">
      <c r="A1037" s="343"/>
      <c r="B1037" s="344"/>
      <c r="C1037" s="275"/>
      <c r="D1037" s="275"/>
      <c r="E1037" s="275"/>
      <c r="F1037" s="275"/>
      <c r="G1037" s="275"/>
      <c r="H1037" s="275"/>
      <c r="I1037" s="275"/>
      <c r="J1037" s="275"/>
      <c r="K1037" s="275"/>
      <c r="L1037" s="275"/>
      <c r="M1037" s="275"/>
      <c r="N1037" s="275"/>
      <c r="O1037" s="276"/>
      <c r="P1037" s="276"/>
      <c r="Q1037" s="247">
        <f t="shared" si="22"/>
        <v>0</v>
      </c>
      <c r="R1037" s="229"/>
      <c r="S1037" s="229"/>
      <c r="T1037" s="229"/>
      <c r="U1037" s="229"/>
      <c r="V1037" s="229"/>
      <c r="W1037" s="229"/>
      <c r="X1037" s="229"/>
    </row>
    <row r="1038" spans="1:24" ht="15.75" hidden="1">
      <c r="A1038" s="343"/>
      <c r="B1038" s="344"/>
      <c r="C1038" s="275"/>
      <c r="D1038" s="275"/>
      <c r="E1038" s="275"/>
      <c r="F1038" s="275"/>
      <c r="G1038" s="275"/>
      <c r="H1038" s="275"/>
      <c r="I1038" s="275"/>
      <c r="J1038" s="275"/>
      <c r="K1038" s="275"/>
      <c r="L1038" s="275"/>
      <c r="M1038" s="275"/>
      <c r="N1038" s="275"/>
      <c r="O1038" s="276"/>
      <c r="P1038" s="276"/>
      <c r="Q1038" s="247">
        <f t="shared" si="22"/>
        <v>0</v>
      </c>
      <c r="R1038" s="229"/>
      <c r="S1038" s="229"/>
      <c r="T1038" s="229"/>
      <c r="U1038" s="229"/>
      <c r="V1038" s="229"/>
      <c r="W1038" s="229"/>
      <c r="X1038" s="229"/>
    </row>
    <row r="1039" spans="1:24" ht="15.75" hidden="1">
      <c r="A1039" s="343"/>
      <c r="B1039" s="344"/>
      <c r="C1039" s="275"/>
      <c r="D1039" s="275"/>
      <c r="E1039" s="275"/>
      <c r="F1039" s="275"/>
      <c r="G1039" s="275"/>
      <c r="H1039" s="275"/>
      <c r="I1039" s="275"/>
      <c r="J1039" s="275"/>
      <c r="K1039" s="275"/>
      <c r="L1039" s="275"/>
      <c r="M1039" s="275"/>
      <c r="N1039" s="275"/>
      <c r="O1039" s="276"/>
      <c r="P1039" s="276"/>
      <c r="Q1039" s="247">
        <f t="shared" si="22"/>
        <v>0</v>
      </c>
      <c r="R1039" s="229"/>
      <c r="S1039" s="229"/>
      <c r="T1039" s="229"/>
      <c r="U1039" s="229"/>
      <c r="V1039" s="229"/>
      <c r="W1039" s="229"/>
      <c r="X1039" s="229"/>
    </row>
    <row r="1040" spans="1:24" ht="15.75" hidden="1">
      <c r="A1040" s="343"/>
      <c r="B1040" s="344"/>
      <c r="C1040" s="275"/>
      <c r="D1040" s="275"/>
      <c r="E1040" s="275"/>
      <c r="F1040" s="275"/>
      <c r="G1040" s="275"/>
      <c r="H1040" s="275"/>
      <c r="I1040" s="275"/>
      <c r="J1040" s="275"/>
      <c r="K1040" s="275"/>
      <c r="L1040" s="275"/>
      <c r="M1040" s="275"/>
      <c r="N1040" s="275"/>
      <c r="O1040" s="276"/>
      <c r="P1040" s="276"/>
      <c r="Q1040" s="247">
        <f t="shared" si="22"/>
        <v>0</v>
      </c>
      <c r="R1040" s="229"/>
      <c r="S1040" s="229"/>
      <c r="T1040" s="229"/>
      <c r="U1040" s="229"/>
      <c r="V1040" s="229"/>
      <c r="W1040" s="229"/>
      <c r="X1040" s="229"/>
    </row>
    <row r="1041" spans="1:24" ht="15.75" hidden="1">
      <c r="A1041" s="343"/>
      <c r="B1041" s="344"/>
      <c r="C1041" s="275"/>
      <c r="D1041" s="275"/>
      <c r="E1041" s="275"/>
      <c r="F1041" s="275"/>
      <c r="G1041" s="275"/>
      <c r="H1041" s="275"/>
      <c r="I1041" s="275"/>
      <c r="J1041" s="275"/>
      <c r="K1041" s="275"/>
      <c r="L1041" s="275"/>
      <c r="M1041" s="275"/>
      <c r="N1041" s="275"/>
      <c r="O1041" s="276"/>
      <c r="P1041" s="276"/>
      <c r="Q1041" s="247">
        <f t="shared" si="22"/>
        <v>0</v>
      </c>
      <c r="R1041" s="229"/>
      <c r="S1041" s="229"/>
      <c r="T1041" s="229"/>
      <c r="U1041" s="229"/>
      <c r="V1041" s="229"/>
      <c r="W1041" s="229"/>
      <c r="X1041" s="229"/>
    </row>
    <row r="1042" spans="1:24" ht="15.75" hidden="1">
      <c r="A1042" s="343"/>
      <c r="B1042" s="344"/>
      <c r="C1042" s="275"/>
      <c r="D1042" s="275"/>
      <c r="E1042" s="275"/>
      <c r="F1042" s="275"/>
      <c r="G1042" s="275"/>
      <c r="H1042" s="275"/>
      <c r="I1042" s="275"/>
      <c r="J1042" s="275"/>
      <c r="K1042" s="275"/>
      <c r="L1042" s="275"/>
      <c r="M1042" s="275"/>
      <c r="N1042" s="275"/>
      <c r="O1042" s="276"/>
      <c r="P1042" s="276"/>
      <c r="Q1042" s="247">
        <f t="shared" si="22"/>
        <v>0</v>
      </c>
      <c r="R1042" s="229"/>
      <c r="S1042" s="229"/>
      <c r="T1042" s="229"/>
      <c r="U1042" s="229"/>
      <c r="V1042" s="229"/>
      <c r="W1042" s="229"/>
      <c r="X1042" s="229"/>
    </row>
    <row r="1043" spans="1:24" ht="15.75" hidden="1">
      <c r="A1043" s="343"/>
      <c r="B1043" s="344"/>
      <c r="C1043" s="275"/>
      <c r="D1043" s="275"/>
      <c r="E1043" s="275"/>
      <c r="F1043" s="275"/>
      <c r="G1043" s="275"/>
      <c r="H1043" s="275"/>
      <c r="I1043" s="275"/>
      <c r="J1043" s="275"/>
      <c r="K1043" s="275"/>
      <c r="L1043" s="275"/>
      <c r="M1043" s="275"/>
      <c r="N1043" s="275"/>
      <c r="O1043" s="276"/>
      <c r="P1043" s="276"/>
      <c r="Q1043" s="247">
        <f t="shared" si="22"/>
        <v>0</v>
      </c>
      <c r="R1043" s="229"/>
      <c r="S1043" s="229"/>
      <c r="T1043" s="229"/>
      <c r="U1043" s="229"/>
      <c r="V1043" s="229"/>
      <c r="W1043" s="229"/>
      <c r="X1043" s="229"/>
    </row>
    <row r="1044" spans="1:24" ht="15.75" hidden="1">
      <c r="A1044" s="343"/>
      <c r="B1044" s="344"/>
      <c r="C1044" s="275"/>
      <c r="D1044" s="275"/>
      <c r="E1044" s="275"/>
      <c r="F1044" s="275"/>
      <c r="G1044" s="275"/>
      <c r="H1044" s="275"/>
      <c r="I1044" s="275"/>
      <c r="J1044" s="275"/>
      <c r="K1044" s="275"/>
      <c r="L1044" s="275"/>
      <c r="M1044" s="275"/>
      <c r="N1044" s="275"/>
      <c r="O1044" s="276"/>
      <c r="P1044" s="276"/>
      <c r="Q1044" s="247">
        <f t="shared" si="22"/>
        <v>0</v>
      </c>
      <c r="R1044" s="229"/>
      <c r="S1044" s="229"/>
      <c r="T1044" s="229"/>
      <c r="U1044" s="229"/>
      <c r="V1044" s="229"/>
      <c r="W1044" s="229"/>
      <c r="X1044" s="229"/>
    </row>
    <row r="1045" spans="1:24" ht="15.75" hidden="1">
      <c r="A1045" s="343"/>
      <c r="B1045" s="344"/>
      <c r="C1045" s="275"/>
      <c r="D1045" s="275"/>
      <c r="E1045" s="275"/>
      <c r="F1045" s="275"/>
      <c r="G1045" s="275"/>
      <c r="H1045" s="275"/>
      <c r="I1045" s="275"/>
      <c r="J1045" s="275"/>
      <c r="K1045" s="275"/>
      <c r="L1045" s="275"/>
      <c r="M1045" s="275"/>
      <c r="N1045" s="275"/>
      <c r="O1045" s="276"/>
      <c r="P1045" s="276"/>
      <c r="Q1045" s="247">
        <f t="shared" si="22"/>
        <v>0</v>
      </c>
      <c r="R1045" s="229"/>
      <c r="S1045" s="229"/>
      <c r="T1045" s="229"/>
      <c r="U1045" s="229"/>
      <c r="V1045" s="229"/>
      <c r="W1045" s="229"/>
      <c r="X1045" s="229"/>
    </row>
    <row r="1046" spans="1:24" ht="15.75" hidden="1">
      <c r="A1046" s="343"/>
      <c r="B1046" s="344"/>
      <c r="C1046" s="275"/>
      <c r="D1046" s="275"/>
      <c r="E1046" s="275"/>
      <c r="F1046" s="275"/>
      <c r="G1046" s="275"/>
      <c r="H1046" s="275"/>
      <c r="I1046" s="275"/>
      <c r="J1046" s="275"/>
      <c r="K1046" s="275"/>
      <c r="L1046" s="275"/>
      <c r="M1046" s="275"/>
      <c r="N1046" s="275"/>
      <c r="O1046" s="276"/>
      <c r="P1046" s="276"/>
      <c r="Q1046" s="247">
        <f t="shared" si="22"/>
        <v>0</v>
      </c>
      <c r="R1046" s="229"/>
      <c r="S1046" s="229"/>
      <c r="T1046" s="229"/>
      <c r="U1046" s="229"/>
      <c r="V1046" s="229"/>
      <c r="W1046" s="229"/>
      <c r="X1046" s="229"/>
    </row>
    <row r="1047" spans="1:24" ht="15.75" hidden="1">
      <c r="A1047" s="343"/>
      <c r="B1047" s="344"/>
      <c r="C1047" s="275"/>
      <c r="D1047" s="275"/>
      <c r="E1047" s="275"/>
      <c r="F1047" s="275"/>
      <c r="G1047" s="275"/>
      <c r="H1047" s="275"/>
      <c r="I1047" s="275"/>
      <c r="J1047" s="275"/>
      <c r="K1047" s="275"/>
      <c r="L1047" s="275"/>
      <c r="M1047" s="275"/>
      <c r="N1047" s="275"/>
      <c r="O1047" s="276"/>
      <c r="P1047" s="276"/>
      <c r="Q1047" s="247">
        <f t="shared" si="22"/>
        <v>0</v>
      </c>
      <c r="R1047" s="229"/>
      <c r="S1047" s="229"/>
      <c r="T1047" s="229"/>
      <c r="U1047" s="229"/>
      <c r="V1047" s="229"/>
      <c r="W1047" s="229"/>
      <c r="X1047" s="229"/>
    </row>
    <row r="1048" spans="1:24" ht="15.75" hidden="1">
      <c r="A1048" s="343"/>
      <c r="B1048" s="344"/>
      <c r="C1048" s="275"/>
      <c r="D1048" s="275"/>
      <c r="E1048" s="275"/>
      <c r="F1048" s="275"/>
      <c r="G1048" s="275"/>
      <c r="H1048" s="275"/>
      <c r="I1048" s="275"/>
      <c r="J1048" s="275"/>
      <c r="K1048" s="275"/>
      <c r="L1048" s="275"/>
      <c r="M1048" s="275"/>
      <c r="N1048" s="275"/>
      <c r="O1048" s="276"/>
      <c r="P1048" s="276"/>
      <c r="Q1048" s="247">
        <f t="shared" si="22"/>
        <v>0</v>
      </c>
      <c r="R1048" s="229"/>
      <c r="S1048" s="229"/>
      <c r="T1048" s="229"/>
      <c r="U1048" s="229"/>
      <c r="V1048" s="229"/>
      <c r="W1048" s="229"/>
      <c r="X1048" s="229"/>
    </row>
    <row r="1049" spans="1:24" ht="15.75" hidden="1">
      <c r="A1049" s="343"/>
      <c r="B1049" s="344"/>
      <c r="C1049" s="275"/>
      <c r="D1049" s="275"/>
      <c r="E1049" s="275"/>
      <c r="F1049" s="275"/>
      <c r="G1049" s="275"/>
      <c r="H1049" s="275"/>
      <c r="I1049" s="275"/>
      <c r="J1049" s="275"/>
      <c r="K1049" s="275"/>
      <c r="L1049" s="275"/>
      <c r="M1049" s="275"/>
      <c r="N1049" s="275"/>
      <c r="O1049" s="276"/>
      <c r="P1049" s="276"/>
      <c r="Q1049" s="247">
        <f t="shared" si="22"/>
        <v>0</v>
      </c>
      <c r="R1049" s="229"/>
      <c r="S1049" s="229"/>
      <c r="T1049" s="229"/>
      <c r="U1049" s="229"/>
      <c r="V1049" s="229"/>
      <c r="W1049" s="229"/>
      <c r="X1049" s="229"/>
    </row>
    <row r="1050" spans="1:24" ht="15.75" hidden="1">
      <c r="A1050" s="343"/>
      <c r="B1050" s="344"/>
      <c r="C1050" s="275"/>
      <c r="D1050" s="275"/>
      <c r="E1050" s="275"/>
      <c r="F1050" s="275"/>
      <c r="G1050" s="275"/>
      <c r="H1050" s="275"/>
      <c r="I1050" s="275"/>
      <c r="J1050" s="275"/>
      <c r="K1050" s="275"/>
      <c r="L1050" s="275"/>
      <c r="M1050" s="275"/>
      <c r="N1050" s="275"/>
      <c r="O1050" s="276"/>
      <c r="P1050" s="276"/>
      <c r="Q1050" s="247">
        <f t="shared" si="22"/>
        <v>0</v>
      </c>
      <c r="R1050" s="229"/>
      <c r="S1050" s="229"/>
      <c r="T1050" s="229"/>
      <c r="U1050" s="229"/>
      <c r="V1050" s="229"/>
      <c r="W1050" s="229"/>
      <c r="X1050" s="229"/>
    </row>
    <row r="1051" spans="1:24" ht="15.75" hidden="1">
      <c r="A1051" s="343"/>
      <c r="B1051" s="344"/>
      <c r="C1051" s="275"/>
      <c r="D1051" s="275"/>
      <c r="E1051" s="275"/>
      <c r="F1051" s="275"/>
      <c r="G1051" s="275"/>
      <c r="H1051" s="275"/>
      <c r="I1051" s="275"/>
      <c r="J1051" s="275"/>
      <c r="K1051" s="275"/>
      <c r="L1051" s="275"/>
      <c r="M1051" s="275"/>
      <c r="N1051" s="275"/>
      <c r="O1051" s="276"/>
      <c r="P1051" s="276"/>
      <c r="Q1051" s="247">
        <f t="shared" si="22"/>
        <v>0</v>
      </c>
      <c r="R1051" s="229"/>
      <c r="S1051" s="229"/>
      <c r="T1051" s="229"/>
      <c r="U1051" s="229"/>
      <c r="V1051" s="229"/>
      <c r="W1051" s="229"/>
      <c r="X1051" s="229"/>
    </row>
    <row r="1052" spans="1:24" ht="15.75" hidden="1">
      <c r="A1052" s="343"/>
      <c r="B1052" s="344"/>
      <c r="C1052" s="275"/>
      <c r="D1052" s="275"/>
      <c r="E1052" s="275"/>
      <c r="F1052" s="275"/>
      <c r="G1052" s="275"/>
      <c r="H1052" s="275"/>
      <c r="I1052" s="275"/>
      <c r="J1052" s="275"/>
      <c r="K1052" s="275"/>
      <c r="L1052" s="275"/>
      <c r="M1052" s="275"/>
      <c r="N1052" s="275"/>
      <c r="O1052" s="276"/>
      <c r="P1052" s="276"/>
      <c r="Q1052" s="247">
        <f t="shared" si="22"/>
        <v>0</v>
      </c>
      <c r="R1052" s="229"/>
      <c r="S1052" s="229"/>
      <c r="T1052" s="229"/>
      <c r="U1052" s="229"/>
      <c r="V1052" s="229"/>
      <c r="W1052" s="229"/>
      <c r="X1052" s="229"/>
    </row>
    <row r="1053" spans="1:24" ht="15.75" hidden="1">
      <c r="A1053" s="343"/>
      <c r="B1053" s="344"/>
      <c r="C1053" s="275"/>
      <c r="D1053" s="275"/>
      <c r="E1053" s="275"/>
      <c r="F1053" s="275"/>
      <c r="G1053" s="275"/>
      <c r="H1053" s="275"/>
      <c r="I1053" s="275"/>
      <c r="J1053" s="275"/>
      <c r="K1053" s="275"/>
      <c r="L1053" s="275"/>
      <c r="M1053" s="275"/>
      <c r="N1053" s="275"/>
      <c r="O1053" s="276"/>
      <c r="P1053" s="276"/>
      <c r="Q1053" s="247">
        <f t="shared" si="22"/>
        <v>0</v>
      </c>
      <c r="R1053" s="229"/>
      <c r="S1053" s="229"/>
      <c r="T1053" s="229"/>
      <c r="U1053" s="229"/>
      <c r="V1053" s="229"/>
      <c r="W1053" s="229"/>
      <c r="X1053" s="229"/>
    </row>
    <row r="1054" spans="1:24" ht="15.75" hidden="1">
      <c r="A1054" s="343"/>
      <c r="B1054" s="344"/>
      <c r="C1054" s="275"/>
      <c r="D1054" s="275"/>
      <c r="E1054" s="275"/>
      <c r="F1054" s="275"/>
      <c r="G1054" s="275"/>
      <c r="H1054" s="275"/>
      <c r="I1054" s="275"/>
      <c r="J1054" s="275"/>
      <c r="K1054" s="275"/>
      <c r="L1054" s="275"/>
      <c r="M1054" s="275"/>
      <c r="N1054" s="275"/>
      <c r="O1054" s="276"/>
      <c r="P1054" s="276"/>
      <c r="Q1054" s="247">
        <f t="shared" si="22"/>
        <v>0</v>
      </c>
      <c r="R1054" s="229"/>
      <c r="S1054" s="229"/>
      <c r="T1054" s="229"/>
      <c r="U1054" s="229"/>
      <c r="V1054" s="229"/>
      <c r="W1054" s="229"/>
      <c r="X1054" s="229"/>
    </row>
    <row r="1055" spans="1:24" ht="15.75" hidden="1">
      <c r="A1055" s="343"/>
      <c r="B1055" s="344"/>
      <c r="C1055" s="275"/>
      <c r="D1055" s="275"/>
      <c r="E1055" s="275"/>
      <c r="F1055" s="275"/>
      <c r="G1055" s="275"/>
      <c r="H1055" s="275"/>
      <c r="I1055" s="275"/>
      <c r="J1055" s="275"/>
      <c r="K1055" s="275"/>
      <c r="L1055" s="275"/>
      <c r="M1055" s="275"/>
      <c r="N1055" s="275"/>
      <c r="O1055" s="276"/>
      <c r="P1055" s="276"/>
      <c r="Q1055" s="247">
        <f t="shared" si="22"/>
        <v>0</v>
      </c>
      <c r="R1055" s="229"/>
      <c r="S1055" s="229"/>
      <c r="T1055" s="229"/>
      <c r="U1055" s="229"/>
      <c r="V1055" s="229"/>
      <c r="W1055" s="229"/>
      <c r="X1055" s="229"/>
    </row>
    <row r="1056" spans="1:24" ht="15.75" hidden="1">
      <c r="A1056" s="343"/>
      <c r="B1056" s="344"/>
      <c r="C1056" s="275"/>
      <c r="D1056" s="275"/>
      <c r="E1056" s="275"/>
      <c r="F1056" s="275"/>
      <c r="G1056" s="275"/>
      <c r="H1056" s="275"/>
      <c r="I1056" s="275"/>
      <c r="J1056" s="275"/>
      <c r="K1056" s="275"/>
      <c r="L1056" s="275"/>
      <c r="M1056" s="275"/>
      <c r="N1056" s="275"/>
      <c r="O1056" s="276"/>
      <c r="P1056" s="276"/>
      <c r="Q1056" s="247">
        <f t="shared" si="22"/>
        <v>0</v>
      </c>
      <c r="R1056" s="229"/>
      <c r="S1056" s="229"/>
      <c r="T1056" s="229"/>
      <c r="U1056" s="229"/>
      <c r="V1056" s="229"/>
      <c r="W1056" s="229"/>
      <c r="X1056" s="229"/>
    </row>
    <row r="1057" spans="1:24" ht="15.75" hidden="1">
      <c r="A1057" s="343"/>
      <c r="B1057" s="344"/>
      <c r="C1057" s="275"/>
      <c r="D1057" s="275"/>
      <c r="E1057" s="275"/>
      <c r="F1057" s="275"/>
      <c r="G1057" s="275"/>
      <c r="H1057" s="275"/>
      <c r="I1057" s="275"/>
      <c r="J1057" s="275"/>
      <c r="K1057" s="275"/>
      <c r="L1057" s="275"/>
      <c r="M1057" s="275"/>
      <c r="N1057" s="275"/>
      <c r="O1057" s="276"/>
      <c r="P1057" s="276"/>
      <c r="Q1057" s="247">
        <f t="shared" si="22"/>
        <v>0</v>
      </c>
      <c r="R1057" s="229"/>
      <c r="S1057" s="229"/>
      <c r="T1057" s="229"/>
      <c r="U1057" s="229"/>
      <c r="V1057" s="229"/>
      <c r="W1057" s="229"/>
      <c r="X1057" s="229"/>
    </row>
    <row r="1058" spans="1:24" ht="15.75" hidden="1">
      <c r="A1058" s="343"/>
      <c r="B1058" s="344"/>
      <c r="C1058" s="275"/>
      <c r="D1058" s="275"/>
      <c r="E1058" s="275"/>
      <c r="F1058" s="275"/>
      <c r="G1058" s="275"/>
      <c r="H1058" s="275"/>
      <c r="I1058" s="275"/>
      <c r="J1058" s="275"/>
      <c r="K1058" s="275"/>
      <c r="L1058" s="275"/>
      <c r="M1058" s="275"/>
      <c r="N1058" s="275"/>
      <c r="O1058" s="276"/>
      <c r="P1058" s="276"/>
      <c r="Q1058" s="247">
        <f t="shared" si="22"/>
        <v>0</v>
      </c>
      <c r="R1058" s="229"/>
      <c r="S1058" s="229"/>
      <c r="T1058" s="229"/>
      <c r="U1058" s="229"/>
      <c r="V1058" s="229"/>
      <c r="W1058" s="229"/>
      <c r="X1058" s="229"/>
    </row>
    <row r="1059" spans="1:24" ht="15.75" hidden="1">
      <c r="A1059" s="343"/>
      <c r="B1059" s="344"/>
      <c r="C1059" s="275"/>
      <c r="D1059" s="275"/>
      <c r="E1059" s="275"/>
      <c r="F1059" s="275"/>
      <c r="G1059" s="275"/>
      <c r="H1059" s="275"/>
      <c r="I1059" s="275"/>
      <c r="J1059" s="275"/>
      <c r="K1059" s="275"/>
      <c r="L1059" s="275"/>
      <c r="M1059" s="275"/>
      <c r="N1059" s="275"/>
      <c r="O1059" s="276"/>
      <c r="P1059" s="276"/>
      <c r="Q1059" s="247">
        <f t="shared" si="22"/>
        <v>0</v>
      </c>
      <c r="R1059" s="229"/>
      <c r="S1059" s="229"/>
      <c r="T1059" s="229"/>
      <c r="U1059" s="229"/>
      <c r="V1059" s="229"/>
      <c r="W1059" s="229"/>
      <c r="X1059" s="229"/>
    </row>
    <row r="1060" spans="1:24" ht="15.75" hidden="1">
      <c r="A1060" s="343"/>
      <c r="B1060" s="344"/>
      <c r="C1060" s="275"/>
      <c r="D1060" s="275"/>
      <c r="E1060" s="275"/>
      <c r="F1060" s="275"/>
      <c r="G1060" s="275"/>
      <c r="H1060" s="275"/>
      <c r="I1060" s="275"/>
      <c r="J1060" s="275"/>
      <c r="K1060" s="275"/>
      <c r="L1060" s="275"/>
      <c r="M1060" s="275"/>
      <c r="N1060" s="275"/>
      <c r="O1060" s="276"/>
      <c r="P1060" s="276"/>
      <c r="Q1060" s="247">
        <f t="shared" si="22"/>
        <v>0</v>
      </c>
      <c r="R1060" s="229"/>
      <c r="S1060" s="229"/>
      <c r="T1060" s="229"/>
      <c r="U1060" s="229"/>
      <c r="V1060" s="229"/>
      <c r="W1060" s="229"/>
      <c r="X1060" s="229"/>
    </row>
    <row r="1061" spans="1:24" ht="15.75" hidden="1">
      <c r="A1061" s="343"/>
      <c r="B1061" s="344"/>
      <c r="C1061" s="275"/>
      <c r="D1061" s="275"/>
      <c r="E1061" s="275"/>
      <c r="F1061" s="275"/>
      <c r="G1061" s="275"/>
      <c r="H1061" s="275"/>
      <c r="I1061" s="275"/>
      <c r="J1061" s="275"/>
      <c r="K1061" s="275"/>
      <c r="L1061" s="275"/>
      <c r="M1061" s="275"/>
      <c r="N1061" s="275"/>
      <c r="O1061" s="276"/>
      <c r="P1061" s="276"/>
      <c r="Q1061" s="247">
        <f t="shared" si="22"/>
        <v>0</v>
      </c>
      <c r="R1061" s="229"/>
      <c r="S1061" s="229"/>
      <c r="T1061" s="229"/>
      <c r="U1061" s="229"/>
      <c r="V1061" s="229"/>
      <c r="W1061" s="229"/>
      <c r="X1061" s="229"/>
    </row>
    <row r="1062" spans="1:24" ht="15.75" hidden="1">
      <c r="A1062" s="343"/>
      <c r="B1062" s="344"/>
      <c r="C1062" s="275"/>
      <c r="D1062" s="275"/>
      <c r="E1062" s="275"/>
      <c r="F1062" s="275"/>
      <c r="G1062" s="275"/>
      <c r="H1062" s="275"/>
      <c r="I1062" s="275"/>
      <c r="J1062" s="275"/>
      <c r="K1062" s="275"/>
      <c r="L1062" s="275"/>
      <c r="M1062" s="275"/>
      <c r="N1062" s="275"/>
      <c r="O1062" s="276"/>
      <c r="P1062" s="276"/>
      <c r="Q1062" s="247">
        <f t="shared" si="22"/>
        <v>0</v>
      </c>
      <c r="R1062" s="229"/>
      <c r="S1062" s="229"/>
      <c r="T1062" s="229"/>
      <c r="U1062" s="229"/>
      <c r="V1062" s="229"/>
      <c r="W1062" s="229"/>
      <c r="X1062" s="229"/>
    </row>
    <row r="1063" spans="1:24" ht="15.75" hidden="1">
      <c r="A1063" s="343"/>
      <c r="B1063" s="344"/>
      <c r="C1063" s="275"/>
      <c r="D1063" s="275"/>
      <c r="E1063" s="275"/>
      <c r="F1063" s="275"/>
      <c r="G1063" s="275"/>
      <c r="H1063" s="275"/>
      <c r="I1063" s="275"/>
      <c r="J1063" s="275"/>
      <c r="K1063" s="275"/>
      <c r="L1063" s="275"/>
      <c r="M1063" s="275"/>
      <c r="N1063" s="275"/>
      <c r="O1063" s="276"/>
      <c r="P1063" s="276"/>
      <c r="Q1063" s="247">
        <f t="shared" si="22"/>
        <v>0</v>
      </c>
      <c r="R1063" s="229"/>
      <c r="S1063" s="229"/>
      <c r="T1063" s="229"/>
      <c r="U1063" s="229"/>
      <c r="V1063" s="229"/>
      <c r="W1063" s="229"/>
      <c r="X1063" s="229"/>
    </row>
    <row r="1064" spans="1:24" ht="15.75" hidden="1">
      <c r="A1064" s="343"/>
      <c r="B1064" s="344"/>
      <c r="C1064" s="275"/>
      <c r="D1064" s="275"/>
      <c r="E1064" s="275"/>
      <c r="F1064" s="275"/>
      <c r="G1064" s="275"/>
      <c r="H1064" s="275"/>
      <c r="I1064" s="275"/>
      <c r="J1064" s="275"/>
      <c r="K1064" s="275"/>
      <c r="L1064" s="275"/>
      <c r="M1064" s="275"/>
      <c r="N1064" s="275"/>
      <c r="O1064" s="276"/>
      <c r="P1064" s="276"/>
      <c r="Q1064" s="247">
        <f t="shared" si="22"/>
        <v>0</v>
      </c>
      <c r="R1064" s="229"/>
      <c r="S1064" s="229"/>
      <c r="T1064" s="229"/>
      <c r="U1064" s="229"/>
      <c r="V1064" s="229"/>
      <c r="W1064" s="229"/>
      <c r="X1064" s="229"/>
    </row>
    <row r="1065" spans="1:24" ht="15.75" hidden="1">
      <c r="A1065" s="343"/>
      <c r="B1065" s="344"/>
      <c r="C1065" s="275"/>
      <c r="D1065" s="275"/>
      <c r="E1065" s="275"/>
      <c r="F1065" s="275"/>
      <c r="G1065" s="275"/>
      <c r="H1065" s="275"/>
      <c r="I1065" s="275"/>
      <c r="J1065" s="275"/>
      <c r="K1065" s="275"/>
      <c r="L1065" s="275"/>
      <c r="M1065" s="275"/>
      <c r="N1065" s="275"/>
      <c r="O1065" s="276"/>
      <c r="P1065" s="276"/>
      <c r="Q1065" s="247">
        <f t="shared" si="22"/>
        <v>0</v>
      </c>
      <c r="R1065" s="229"/>
      <c r="S1065" s="229"/>
      <c r="T1065" s="229"/>
      <c r="U1065" s="229"/>
      <c r="V1065" s="229"/>
      <c r="W1065" s="229"/>
      <c r="X1065" s="229"/>
    </row>
    <row r="1066" spans="1:24" ht="15.75" hidden="1">
      <c r="A1066" s="343"/>
      <c r="B1066" s="344"/>
      <c r="C1066" s="275"/>
      <c r="D1066" s="275"/>
      <c r="E1066" s="275"/>
      <c r="F1066" s="275"/>
      <c r="G1066" s="275"/>
      <c r="H1066" s="275"/>
      <c r="I1066" s="275"/>
      <c r="J1066" s="275"/>
      <c r="K1066" s="275"/>
      <c r="L1066" s="275"/>
      <c r="M1066" s="275"/>
      <c r="N1066" s="275"/>
      <c r="O1066" s="276"/>
      <c r="P1066" s="276"/>
      <c r="Q1066" s="247">
        <f t="shared" si="22"/>
        <v>0</v>
      </c>
      <c r="R1066" s="229"/>
      <c r="S1066" s="229"/>
      <c r="T1066" s="229"/>
      <c r="U1066" s="229"/>
      <c r="V1066" s="229"/>
      <c r="W1066" s="229"/>
      <c r="X1066" s="229"/>
    </row>
    <row r="1067" spans="1:24" ht="15.75" hidden="1">
      <c r="A1067" s="343"/>
      <c r="B1067" s="344"/>
      <c r="C1067" s="275"/>
      <c r="D1067" s="275"/>
      <c r="E1067" s="275"/>
      <c r="F1067" s="275"/>
      <c r="G1067" s="275"/>
      <c r="H1067" s="275"/>
      <c r="I1067" s="275"/>
      <c r="J1067" s="275"/>
      <c r="K1067" s="275"/>
      <c r="L1067" s="275"/>
      <c r="M1067" s="275"/>
      <c r="N1067" s="275"/>
      <c r="O1067" s="276"/>
      <c r="P1067" s="276"/>
      <c r="Q1067" s="247">
        <f t="shared" si="22"/>
        <v>0</v>
      </c>
      <c r="R1067" s="229"/>
      <c r="S1067" s="229"/>
      <c r="T1067" s="229"/>
      <c r="U1067" s="229"/>
      <c r="V1067" s="229"/>
      <c r="W1067" s="229"/>
      <c r="X1067" s="229"/>
    </row>
    <row r="1068" spans="1:24" ht="15.75" hidden="1">
      <c r="A1068" s="343"/>
      <c r="B1068" s="344"/>
      <c r="C1068" s="275"/>
      <c r="D1068" s="275"/>
      <c r="E1068" s="275"/>
      <c r="F1068" s="275"/>
      <c r="G1068" s="275"/>
      <c r="H1068" s="275"/>
      <c r="I1068" s="275"/>
      <c r="J1068" s="275"/>
      <c r="K1068" s="275"/>
      <c r="L1068" s="275"/>
      <c r="M1068" s="275"/>
      <c r="N1068" s="275"/>
      <c r="O1068" s="276"/>
      <c r="P1068" s="276"/>
      <c r="Q1068" s="247">
        <f t="shared" si="22"/>
        <v>0</v>
      </c>
      <c r="R1068" s="229"/>
      <c r="S1068" s="229"/>
      <c r="T1068" s="229"/>
      <c r="U1068" s="229"/>
      <c r="V1068" s="229"/>
      <c r="W1068" s="229"/>
      <c r="X1068" s="229"/>
    </row>
    <row r="1069" spans="1:24" ht="15.75" hidden="1">
      <c r="A1069" s="343"/>
      <c r="B1069" s="344"/>
      <c r="C1069" s="275"/>
      <c r="D1069" s="275"/>
      <c r="E1069" s="275"/>
      <c r="F1069" s="275"/>
      <c r="G1069" s="275"/>
      <c r="H1069" s="275"/>
      <c r="I1069" s="275"/>
      <c r="J1069" s="275"/>
      <c r="K1069" s="275"/>
      <c r="L1069" s="275"/>
      <c r="M1069" s="275"/>
      <c r="N1069" s="275"/>
      <c r="O1069" s="276"/>
      <c r="P1069" s="276"/>
      <c r="Q1069" s="247">
        <f t="shared" si="22"/>
        <v>0</v>
      </c>
      <c r="R1069" s="229"/>
      <c r="S1069" s="229"/>
      <c r="T1069" s="229"/>
      <c r="U1069" s="229"/>
      <c r="V1069" s="229"/>
      <c r="W1069" s="229"/>
      <c r="X1069" s="229"/>
    </row>
    <row r="1070" spans="1:24" ht="15.75" hidden="1">
      <c r="A1070" s="343"/>
      <c r="B1070" s="344"/>
      <c r="C1070" s="275"/>
      <c r="D1070" s="275"/>
      <c r="E1070" s="275"/>
      <c r="F1070" s="275"/>
      <c r="G1070" s="275"/>
      <c r="H1070" s="275"/>
      <c r="I1070" s="275"/>
      <c r="J1070" s="275"/>
      <c r="K1070" s="275"/>
      <c r="L1070" s="275"/>
      <c r="M1070" s="275"/>
      <c r="N1070" s="275"/>
      <c r="O1070" s="276"/>
      <c r="P1070" s="276"/>
      <c r="Q1070" s="247">
        <f t="shared" si="22"/>
        <v>0</v>
      </c>
      <c r="R1070" s="229"/>
      <c r="S1070" s="229"/>
      <c r="T1070" s="229"/>
      <c r="U1070" s="229"/>
      <c r="V1070" s="229"/>
      <c r="W1070" s="229"/>
      <c r="X1070" s="229"/>
    </row>
    <row r="1071" spans="1:24" ht="15.75" hidden="1">
      <c r="A1071" s="343"/>
      <c r="B1071" s="344"/>
      <c r="C1071" s="275"/>
      <c r="D1071" s="275"/>
      <c r="E1071" s="275"/>
      <c r="F1071" s="275"/>
      <c r="G1071" s="275"/>
      <c r="H1071" s="275"/>
      <c r="I1071" s="275"/>
      <c r="J1071" s="275"/>
      <c r="K1071" s="275"/>
      <c r="L1071" s="275"/>
      <c r="M1071" s="275"/>
      <c r="N1071" s="275"/>
      <c r="O1071" s="276"/>
      <c r="P1071" s="276"/>
      <c r="Q1071" s="247">
        <f t="shared" si="22"/>
        <v>0</v>
      </c>
      <c r="R1071" s="229"/>
      <c r="S1071" s="229"/>
      <c r="T1071" s="229"/>
      <c r="U1071" s="229"/>
      <c r="V1071" s="229"/>
      <c r="W1071" s="229"/>
      <c r="X1071" s="229"/>
    </row>
    <row r="1072" spans="1:24" ht="15.75" hidden="1">
      <c r="A1072" s="343"/>
      <c r="B1072" s="344"/>
      <c r="C1072" s="275"/>
      <c r="D1072" s="275"/>
      <c r="E1072" s="275"/>
      <c r="F1072" s="275"/>
      <c r="G1072" s="275"/>
      <c r="H1072" s="275"/>
      <c r="I1072" s="275"/>
      <c r="J1072" s="275"/>
      <c r="K1072" s="275"/>
      <c r="L1072" s="275"/>
      <c r="M1072" s="275"/>
      <c r="N1072" s="275"/>
      <c r="O1072" s="276"/>
      <c r="P1072" s="276"/>
      <c r="Q1072" s="247">
        <f t="shared" si="22"/>
        <v>0</v>
      </c>
      <c r="R1072" s="229"/>
      <c r="S1072" s="229"/>
      <c r="T1072" s="229"/>
      <c r="U1072" s="229"/>
      <c r="V1072" s="229"/>
      <c r="W1072" s="229"/>
      <c r="X1072" s="229"/>
    </row>
    <row r="1073" spans="1:24" ht="15.75" hidden="1">
      <c r="A1073" s="343"/>
      <c r="B1073" s="344"/>
      <c r="C1073" s="275"/>
      <c r="D1073" s="275"/>
      <c r="E1073" s="275"/>
      <c r="F1073" s="275"/>
      <c r="G1073" s="275"/>
      <c r="H1073" s="275"/>
      <c r="I1073" s="275"/>
      <c r="J1073" s="275"/>
      <c r="K1073" s="275"/>
      <c r="L1073" s="275"/>
      <c r="M1073" s="275"/>
      <c r="N1073" s="275"/>
      <c r="O1073" s="276"/>
      <c r="P1073" s="276"/>
      <c r="Q1073" s="247">
        <f t="shared" si="22"/>
        <v>0</v>
      </c>
      <c r="R1073" s="229"/>
      <c r="S1073" s="229"/>
      <c r="T1073" s="229"/>
      <c r="U1073" s="229"/>
      <c r="V1073" s="229"/>
      <c r="W1073" s="229"/>
      <c r="X1073" s="229"/>
    </row>
    <row r="1074" spans="1:24" ht="15.75" hidden="1">
      <c r="A1074" s="343"/>
      <c r="B1074" s="344"/>
      <c r="C1074" s="275"/>
      <c r="D1074" s="275"/>
      <c r="E1074" s="275"/>
      <c r="F1074" s="275"/>
      <c r="G1074" s="275"/>
      <c r="H1074" s="275"/>
      <c r="I1074" s="275"/>
      <c r="J1074" s="275"/>
      <c r="K1074" s="275"/>
      <c r="L1074" s="275"/>
      <c r="M1074" s="275"/>
      <c r="N1074" s="275"/>
      <c r="O1074" s="276"/>
      <c r="P1074" s="276"/>
      <c r="Q1074" s="247">
        <f t="shared" si="22"/>
        <v>0</v>
      </c>
      <c r="R1074" s="229"/>
      <c r="S1074" s="229"/>
      <c r="T1074" s="229"/>
      <c r="U1074" s="229"/>
      <c r="V1074" s="229"/>
      <c r="W1074" s="229"/>
      <c r="X1074" s="229"/>
    </row>
    <row r="1075" spans="1:24" ht="15.75" hidden="1">
      <c r="A1075" s="343"/>
      <c r="B1075" s="344"/>
      <c r="C1075" s="275"/>
      <c r="D1075" s="275"/>
      <c r="E1075" s="275"/>
      <c r="F1075" s="275"/>
      <c r="G1075" s="275"/>
      <c r="H1075" s="275"/>
      <c r="I1075" s="275"/>
      <c r="J1075" s="275"/>
      <c r="K1075" s="275"/>
      <c r="L1075" s="275"/>
      <c r="M1075" s="275"/>
      <c r="N1075" s="275"/>
      <c r="O1075" s="276"/>
      <c r="P1075" s="276"/>
      <c r="Q1075" s="247">
        <f t="shared" si="22"/>
        <v>0</v>
      </c>
      <c r="R1075" s="229"/>
      <c r="S1075" s="229"/>
      <c r="T1075" s="229"/>
      <c r="U1075" s="229"/>
      <c r="V1075" s="229"/>
      <c r="W1075" s="229"/>
      <c r="X1075" s="229"/>
    </row>
    <row r="1076" spans="1:24" ht="15.75" hidden="1">
      <c r="A1076" s="343"/>
      <c r="B1076" s="344"/>
      <c r="C1076" s="275"/>
      <c r="D1076" s="275"/>
      <c r="E1076" s="275"/>
      <c r="F1076" s="275"/>
      <c r="G1076" s="275"/>
      <c r="H1076" s="275"/>
      <c r="I1076" s="275"/>
      <c r="J1076" s="275"/>
      <c r="K1076" s="275"/>
      <c r="L1076" s="275"/>
      <c r="M1076" s="275"/>
      <c r="N1076" s="275"/>
      <c r="O1076" s="276"/>
      <c r="P1076" s="276"/>
      <c r="Q1076" s="247">
        <f t="shared" si="22"/>
        <v>0</v>
      </c>
      <c r="R1076" s="229"/>
      <c r="S1076" s="229"/>
      <c r="T1076" s="229"/>
      <c r="U1076" s="229"/>
      <c r="V1076" s="229"/>
      <c r="W1076" s="229"/>
      <c r="X1076" s="229"/>
    </row>
    <row r="1077" spans="1:24" ht="15.75" hidden="1">
      <c r="A1077" s="343"/>
      <c r="B1077" s="344"/>
      <c r="C1077" s="275"/>
      <c r="D1077" s="275"/>
      <c r="E1077" s="275"/>
      <c r="F1077" s="275"/>
      <c r="G1077" s="275"/>
      <c r="H1077" s="275"/>
      <c r="I1077" s="275"/>
      <c r="J1077" s="275"/>
      <c r="K1077" s="275"/>
      <c r="L1077" s="275"/>
      <c r="M1077" s="275"/>
      <c r="N1077" s="275"/>
      <c r="O1077" s="276"/>
      <c r="P1077" s="276"/>
      <c r="Q1077" s="247">
        <f t="shared" si="22"/>
        <v>0</v>
      </c>
      <c r="R1077" s="229"/>
      <c r="S1077" s="229"/>
      <c r="T1077" s="229"/>
      <c r="U1077" s="229"/>
      <c r="V1077" s="229"/>
      <c r="W1077" s="229"/>
      <c r="X1077" s="229"/>
    </row>
    <row r="1078" spans="1:24" ht="15.75" hidden="1">
      <c r="A1078" s="343"/>
      <c r="B1078" s="344"/>
      <c r="C1078" s="275"/>
      <c r="D1078" s="275"/>
      <c r="E1078" s="275"/>
      <c r="F1078" s="275"/>
      <c r="G1078" s="275"/>
      <c r="H1078" s="275"/>
      <c r="I1078" s="275"/>
      <c r="J1078" s="275"/>
      <c r="K1078" s="275"/>
      <c r="L1078" s="275"/>
      <c r="M1078" s="275"/>
      <c r="N1078" s="275"/>
      <c r="O1078" s="276"/>
      <c r="P1078" s="276"/>
      <c r="Q1078" s="247">
        <f t="shared" si="22"/>
        <v>0</v>
      </c>
      <c r="R1078" s="229"/>
      <c r="S1078" s="229"/>
      <c r="T1078" s="229"/>
      <c r="U1078" s="229"/>
      <c r="V1078" s="229"/>
      <c r="W1078" s="229"/>
      <c r="X1078" s="229"/>
    </row>
    <row r="1079" spans="1:24" ht="15.75" hidden="1">
      <c r="A1079" s="343"/>
      <c r="B1079" s="344"/>
      <c r="C1079" s="275"/>
      <c r="D1079" s="275"/>
      <c r="E1079" s="275"/>
      <c r="F1079" s="275"/>
      <c r="G1079" s="275"/>
      <c r="H1079" s="275"/>
      <c r="I1079" s="275"/>
      <c r="J1079" s="275"/>
      <c r="K1079" s="275"/>
      <c r="L1079" s="275"/>
      <c r="M1079" s="275"/>
      <c r="N1079" s="275"/>
      <c r="O1079" s="276"/>
      <c r="P1079" s="276"/>
      <c r="Q1079" s="247">
        <f t="shared" si="22"/>
        <v>0</v>
      </c>
      <c r="R1079" s="229"/>
      <c r="S1079" s="229"/>
      <c r="T1079" s="229"/>
      <c r="U1079" s="229"/>
      <c r="V1079" s="229"/>
      <c r="W1079" s="229"/>
      <c r="X1079" s="229"/>
    </row>
    <row r="1080" spans="1:24" ht="15.75" hidden="1">
      <c r="A1080" s="343"/>
      <c r="B1080" s="344"/>
      <c r="C1080" s="275"/>
      <c r="D1080" s="275"/>
      <c r="E1080" s="275"/>
      <c r="F1080" s="275"/>
      <c r="G1080" s="275"/>
      <c r="H1080" s="275"/>
      <c r="I1080" s="275"/>
      <c r="J1080" s="275"/>
      <c r="K1080" s="275"/>
      <c r="L1080" s="275"/>
      <c r="M1080" s="275"/>
      <c r="N1080" s="275"/>
      <c r="O1080" s="276"/>
      <c r="P1080" s="276"/>
      <c r="Q1080" s="247">
        <f t="shared" si="22"/>
        <v>0</v>
      </c>
      <c r="R1080" s="229"/>
      <c r="S1080" s="229"/>
      <c r="T1080" s="229"/>
      <c r="U1080" s="229"/>
      <c r="V1080" s="229"/>
      <c r="W1080" s="229"/>
      <c r="X1080" s="229"/>
    </row>
    <row r="1081" spans="1:24" ht="15.75" hidden="1">
      <c r="A1081" s="343"/>
      <c r="B1081" s="344"/>
      <c r="C1081" s="275"/>
      <c r="D1081" s="275"/>
      <c r="E1081" s="275"/>
      <c r="F1081" s="275"/>
      <c r="G1081" s="275"/>
      <c r="H1081" s="275"/>
      <c r="I1081" s="275"/>
      <c r="J1081" s="275"/>
      <c r="K1081" s="275"/>
      <c r="L1081" s="275"/>
      <c r="M1081" s="275"/>
      <c r="N1081" s="275"/>
      <c r="O1081" s="276"/>
      <c r="P1081" s="276"/>
      <c r="Q1081" s="247">
        <f t="shared" si="22"/>
        <v>0</v>
      </c>
      <c r="R1081" s="229"/>
      <c r="S1081" s="229"/>
      <c r="T1081" s="229"/>
      <c r="U1081" s="229"/>
      <c r="V1081" s="229"/>
      <c r="W1081" s="229"/>
      <c r="X1081" s="229"/>
    </row>
    <row r="1082" spans="1:24" ht="15.75" hidden="1">
      <c r="A1082" s="343"/>
      <c r="B1082" s="344"/>
      <c r="C1082" s="275"/>
      <c r="D1082" s="275"/>
      <c r="E1082" s="275"/>
      <c r="F1082" s="275"/>
      <c r="G1082" s="275"/>
      <c r="H1082" s="275"/>
      <c r="I1082" s="275"/>
      <c r="J1082" s="275"/>
      <c r="K1082" s="275"/>
      <c r="L1082" s="275"/>
      <c r="M1082" s="275"/>
      <c r="N1082" s="275"/>
      <c r="O1082" s="276"/>
      <c r="P1082" s="276"/>
      <c r="Q1082" s="247">
        <f t="shared" si="22"/>
        <v>0</v>
      </c>
      <c r="R1082" s="229"/>
      <c r="S1082" s="229"/>
      <c r="T1082" s="229"/>
      <c r="U1082" s="229"/>
      <c r="V1082" s="229"/>
      <c r="W1082" s="229"/>
      <c r="X1082" s="229"/>
    </row>
    <row r="1083" spans="1:24" ht="15.75" hidden="1">
      <c r="A1083" s="343"/>
      <c r="B1083" s="344"/>
      <c r="C1083" s="275"/>
      <c r="D1083" s="275"/>
      <c r="E1083" s="275"/>
      <c r="F1083" s="275"/>
      <c r="G1083" s="275"/>
      <c r="H1083" s="275"/>
      <c r="I1083" s="275"/>
      <c r="J1083" s="275"/>
      <c r="K1083" s="275"/>
      <c r="L1083" s="275"/>
      <c r="M1083" s="275"/>
      <c r="N1083" s="275"/>
      <c r="O1083" s="276"/>
      <c r="P1083" s="276"/>
      <c r="Q1083" s="247">
        <f t="shared" si="22"/>
        <v>0</v>
      </c>
      <c r="R1083" s="229"/>
      <c r="S1083" s="229"/>
      <c r="T1083" s="229"/>
      <c r="U1083" s="229"/>
      <c r="V1083" s="229"/>
      <c r="W1083" s="229"/>
      <c r="X1083" s="229"/>
    </row>
    <row r="1084" spans="1:24" ht="15.75" hidden="1">
      <c r="A1084" s="343"/>
      <c r="B1084" s="344"/>
      <c r="C1084" s="275"/>
      <c r="D1084" s="275"/>
      <c r="E1084" s="275"/>
      <c r="F1084" s="275"/>
      <c r="G1084" s="275"/>
      <c r="H1084" s="275"/>
      <c r="I1084" s="275"/>
      <c r="J1084" s="275"/>
      <c r="K1084" s="275"/>
      <c r="L1084" s="275"/>
      <c r="M1084" s="275"/>
      <c r="N1084" s="275"/>
      <c r="O1084" s="276"/>
      <c r="P1084" s="276"/>
      <c r="Q1084" s="247">
        <f t="shared" si="22"/>
        <v>0</v>
      </c>
      <c r="R1084" s="229"/>
      <c r="S1084" s="229"/>
      <c r="T1084" s="229"/>
      <c r="U1084" s="229"/>
      <c r="V1084" s="229"/>
      <c r="W1084" s="229"/>
      <c r="X1084" s="229"/>
    </row>
    <row r="1085" spans="1:24" ht="15.75" hidden="1">
      <c r="A1085" s="343"/>
      <c r="B1085" s="344"/>
      <c r="C1085" s="275"/>
      <c r="D1085" s="275"/>
      <c r="E1085" s="275"/>
      <c r="F1085" s="275"/>
      <c r="G1085" s="275"/>
      <c r="H1085" s="275"/>
      <c r="I1085" s="275"/>
      <c r="J1085" s="275"/>
      <c r="K1085" s="275"/>
      <c r="L1085" s="275"/>
      <c r="M1085" s="275"/>
      <c r="N1085" s="275"/>
      <c r="O1085" s="276"/>
      <c r="P1085" s="276"/>
      <c r="Q1085" s="247">
        <f t="shared" si="22"/>
        <v>0</v>
      </c>
      <c r="R1085" s="229"/>
      <c r="S1085" s="229"/>
      <c r="T1085" s="229"/>
      <c r="U1085" s="229"/>
      <c r="V1085" s="229"/>
      <c r="W1085" s="229"/>
      <c r="X1085" s="229"/>
    </row>
    <row r="1086" spans="1:24" ht="15.75" hidden="1">
      <c r="A1086" s="343"/>
      <c r="B1086" s="344"/>
      <c r="C1086" s="275"/>
      <c r="D1086" s="275"/>
      <c r="E1086" s="275"/>
      <c r="F1086" s="275"/>
      <c r="G1086" s="275"/>
      <c r="H1086" s="275"/>
      <c r="I1086" s="275"/>
      <c r="J1086" s="275"/>
      <c r="K1086" s="275"/>
      <c r="L1086" s="275"/>
      <c r="M1086" s="275"/>
      <c r="N1086" s="275"/>
      <c r="O1086" s="276"/>
      <c r="P1086" s="276"/>
      <c r="Q1086" s="247">
        <f t="shared" si="22"/>
        <v>0</v>
      </c>
      <c r="R1086" s="229"/>
      <c r="S1086" s="229"/>
      <c r="T1086" s="229"/>
      <c r="U1086" s="229"/>
      <c r="V1086" s="229"/>
      <c r="W1086" s="229"/>
      <c r="X1086" s="229"/>
    </row>
    <row r="1087" spans="1:24" ht="15.75" hidden="1">
      <c r="A1087" s="343"/>
      <c r="B1087" s="344"/>
      <c r="C1087" s="275"/>
      <c r="D1087" s="275"/>
      <c r="E1087" s="275"/>
      <c r="F1087" s="275"/>
      <c r="G1087" s="275"/>
      <c r="H1087" s="275"/>
      <c r="I1087" s="275"/>
      <c r="J1087" s="275"/>
      <c r="K1087" s="275"/>
      <c r="L1087" s="275"/>
      <c r="M1087" s="275"/>
      <c r="N1087" s="275"/>
      <c r="O1087" s="276"/>
      <c r="P1087" s="276"/>
      <c r="Q1087" s="247">
        <f t="shared" si="22"/>
        <v>0</v>
      </c>
      <c r="R1087" s="229"/>
      <c r="S1087" s="229"/>
      <c r="T1087" s="229"/>
      <c r="U1087" s="229"/>
      <c r="V1087" s="229"/>
      <c r="W1087" s="229"/>
      <c r="X1087" s="229"/>
    </row>
    <row r="1088" spans="1:24" ht="15.75" hidden="1">
      <c r="A1088" s="343"/>
      <c r="B1088" s="344"/>
      <c r="C1088" s="275"/>
      <c r="D1088" s="275"/>
      <c r="E1088" s="275"/>
      <c r="F1088" s="275"/>
      <c r="G1088" s="275"/>
      <c r="H1088" s="275"/>
      <c r="I1088" s="275"/>
      <c r="J1088" s="275"/>
      <c r="K1088" s="275"/>
      <c r="L1088" s="275"/>
      <c r="M1088" s="275"/>
      <c r="N1088" s="275"/>
      <c r="O1088" s="276"/>
      <c r="P1088" s="276"/>
      <c r="Q1088" s="247">
        <f t="shared" si="22"/>
        <v>0</v>
      </c>
      <c r="R1088" s="229"/>
      <c r="S1088" s="229"/>
      <c r="T1088" s="229"/>
      <c r="U1088" s="229"/>
      <c r="V1088" s="229"/>
      <c r="W1088" s="229"/>
      <c r="X1088" s="229"/>
    </row>
    <row r="1089" spans="1:24" ht="15.75" hidden="1">
      <c r="A1089" s="343"/>
      <c r="B1089" s="344"/>
      <c r="C1089" s="275"/>
      <c r="D1089" s="275"/>
      <c r="E1089" s="275"/>
      <c r="F1089" s="275"/>
      <c r="G1089" s="275"/>
      <c r="H1089" s="275"/>
      <c r="I1089" s="275"/>
      <c r="J1089" s="275"/>
      <c r="K1089" s="275"/>
      <c r="L1089" s="275"/>
      <c r="M1089" s="275"/>
      <c r="N1089" s="275"/>
      <c r="O1089" s="276"/>
      <c r="P1089" s="276"/>
      <c r="Q1089" s="247">
        <f t="shared" si="22"/>
        <v>0</v>
      </c>
      <c r="R1089" s="229"/>
      <c r="S1089" s="229"/>
      <c r="T1089" s="229"/>
      <c r="U1089" s="229"/>
      <c r="V1089" s="229"/>
      <c r="W1089" s="229"/>
      <c r="X1089" s="229"/>
    </row>
    <row r="1090" spans="1:24" ht="15.75" hidden="1">
      <c r="A1090" s="343"/>
      <c r="B1090" s="344"/>
      <c r="C1090" s="275"/>
      <c r="D1090" s="275"/>
      <c r="E1090" s="275"/>
      <c r="F1090" s="275"/>
      <c r="G1090" s="275"/>
      <c r="H1090" s="275"/>
      <c r="I1090" s="275"/>
      <c r="J1090" s="275"/>
      <c r="K1090" s="275"/>
      <c r="L1090" s="275"/>
      <c r="M1090" s="275"/>
      <c r="N1090" s="275"/>
      <c r="O1090" s="276"/>
      <c r="P1090" s="276"/>
      <c r="Q1090" s="247">
        <f t="shared" si="22"/>
        <v>0</v>
      </c>
      <c r="R1090" s="229"/>
      <c r="S1090" s="229"/>
      <c r="T1090" s="229"/>
      <c r="U1090" s="229"/>
      <c r="V1090" s="229"/>
      <c r="W1090" s="229"/>
      <c r="X1090" s="229"/>
    </row>
    <row r="1091" spans="1:24" ht="15.75" hidden="1">
      <c r="A1091" s="343"/>
      <c r="B1091" s="344"/>
      <c r="C1091" s="275"/>
      <c r="D1091" s="275"/>
      <c r="E1091" s="275"/>
      <c r="F1091" s="275"/>
      <c r="G1091" s="275"/>
      <c r="H1091" s="275"/>
      <c r="I1091" s="275"/>
      <c r="J1091" s="275"/>
      <c r="K1091" s="275"/>
      <c r="L1091" s="275"/>
      <c r="M1091" s="275"/>
      <c r="N1091" s="275"/>
      <c r="O1091" s="276"/>
      <c r="P1091" s="276"/>
      <c r="Q1091" s="247">
        <f t="shared" si="22"/>
        <v>0</v>
      </c>
      <c r="R1091" s="229"/>
      <c r="S1091" s="229"/>
      <c r="T1091" s="229"/>
      <c r="U1091" s="229"/>
      <c r="V1091" s="229"/>
      <c r="W1091" s="229"/>
      <c r="X1091" s="229"/>
    </row>
    <row r="1092" spans="1:24" ht="15.75" hidden="1">
      <c r="A1092" s="343"/>
      <c r="B1092" s="344"/>
      <c r="C1092" s="275"/>
      <c r="D1092" s="275"/>
      <c r="E1092" s="275"/>
      <c r="F1092" s="275"/>
      <c r="G1092" s="275"/>
      <c r="H1092" s="275"/>
      <c r="I1092" s="275"/>
      <c r="J1092" s="275"/>
      <c r="K1092" s="275"/>
      <c r="L1092" s="275"/>
      <c r="M1092" s="275"/>
      <c r="N1092" s="275"/>
      <c r="O1092" s="276"/>
      <c r="P1092" s="276"/>
      <c r="Q1092" s="247">
        <f t="shared" si="22"/>
        <v>0</v>
      </c>
      <c r="R1092" s="229"/>
      <c r="S1092" s="229"/>
      <c r="T1092" s="229"/>
      <c r="U1092" s="229"/>
      <c r="V1092" s="229"/>
      <c r="W1092" s="229"/>
      <c r="X1092" s="229"/>
    </row>
    <row r="1093" spans="1:24" ht="15.75" hidden="1">
      <c r="A1093" s="343"/>
      <c r="B1093" s="344"/>
      <c r="C1093" s="275"/>
      <c r="D1093" s="275"/>
      <c r="E1093" s="275"/>
      <c r="F1093" s="275"/>
      <c r="G1093" s="275"/>
      <c r="H1093" s="275"/>
      <c r="I1093" s="275"/>
      <c r="J1093" s="275"/>
      <c r="K1093" s="275"/>
      <c r="L1093" s="275"/>
      <c r="M1093" s="275"/>
      <c r="N1093" s="275"/>
      <c r="O1093" s="276"/>
      <c r="P1093" s="276"/>
      <c r="Q1093" s="247">
        <f t="shared" si="22"/>
        <v>0</v>
      </c>
      <c r="R1093" s="229"/>
      <c r="S1093" s="229"/>
      <c r="T1093" s="229"/>
      <c r="U1093" s="229"/>
      <c r="V1093" s="229"/>
      <c r="W1093" s="229"/>
      <c r="X1093" s="229"/>
    </row>
    <row r="1094" spans="1:24" ht="15.75" hidden="1">
      <c r="A1094" s="343"/>
      <c r="B1094" s="344"/>
      <c r="C1094" s="275"/>
      <c r="D1094" s="275"/>
      <c r="E1094" s="275"/>
      <c r="F1094" s="275"/>
      <c r="G1094" s="275"/>
      <c r="H1094" s="275"/>
      <c r="I1094" s="275"/>
      <c r="J1094" s="275"/>
      <c r="K1094" s="275"/>
      <c r="L1094" s="275"/>
      <c r="M1094" s="275"/>
      <c r="N1094" s="275"/>
      <c r="O1094" s="276"/>
      <c r="P1094" s="276"/>
      <c r="Q1094" s="247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9"/>
      <c r="S1094" s="229"/>
      <c r="T1094" s="229"/>
      <c r="U1094" s="229"/>
      <c r="V1094" s="229"/>
      <c r="W1094" s="229"/>
      <c r="X1094" s="229"/>
    </row>
    <row r="1095" spans="1:24" ht="15.75" hidden="1">
      <c r="A1095" s="343"/>
      <c r="B1095" s="344"/>
      <c r="C1095" s="275"/>
      <c r="D1095" s="275"/>
      <c r="E1095" s="275"/>
      <c r="F1095" s="275"/>
      <c r="G1095" s="275"/>
      <c r="H1095" s="275"/>
      <c r="I1095" s="275"/>
      <c r="J1095" s="275"/>
      <c r="K1095" s="275"/>
      <c r="L1095" s="275"/>
      <c r="M1095" s="275"/>
      <c r="N1095" s="275"/>
      <c r="O1095" s="276"/>
      <c r="P1095" s="276"/>
      <c r="Q1095" s="247">
        <f t="shared" si="23"/>
        <v>0</v>
      </c>
      <c r="R1095" s="229"/>
      <c r="S1095" s="229"/>
      <c r="T1095" s="229"/>
      <c r="U1095" s="229"/>
      <c r="V1095" s="229"/>
      <c r="W1095" s="229"/>
      <c r="X1095" s="229"/>
    </row>
    <row r="1096" spans="1:24" ht="15.75" hidden="1">
      <c r="A1096" s="343"/>
      <c r="B1096" s="344"/>
      <c r="C1096" s="275"/>
      <c r="D1096" s="275"/>
      <c r="E1096" s="275"/>
      <c r="F1096" s="275"/>
      <c r="G1096" s="275"/>
      <c r="H1096" s="275"/>
      <c r="I1096" s="275"/>
      <c r="J1096" s="275"/>
      <c r="K1096" s="275"/>
      <c r="L1096" s="275"/>
      <c r="M1096" s="275"/>
      <c r="N1096" s="275"/>
      <c r="O1096" s="276"/>
      <c r="P1096" s="276"/>
      <c r="Q1096" s="247">
        <f t="shared" si="23"/>
        <v>0</v>
      </c>
      <c r="R1096" s="229"/>
      <c r="S1096" s="229"/>
      <c r="T1096" s="229"/>
      <c r="U1096" s="229"/>
      <c r="V1096" s="229"/>
      <c r="W1096" s="229"/>
      <c r="X1096" s="229"/>
    </row>
    <row r="1097" spans="1:24" ht="15.75" hidden="1">
      <c r="A1097" s="343"/>
      <c r="B1097" s="344"/>
      <c r="C1097" s="275"/>
      <c r="D1097" s="275"/>
      <c r="E1097" s="275"/>
      <c r="F1097" s="275"/>
      <c r="G1097" s="275"/>
      <c r="H1097" s="275"/>
      <c r="I1097" s="275"/>
      <c r="J1097" s="275"/>
      <c r="K1097" s="275"/>
      <c r="L1097" s="275"/>
      <c r="M1097" s="275"/>
      <c r="N1097" s="275"/>
      <c r="O1097" s="276"/>
      <c r="P1097" s="276"/>
      <c r="Q1097" s="247">
        <f t="shared" si="23"/>
        <v>0</v>
      </c>
      <c r="R1097" s="229"/>
      <c r="S1097" s="229"/>
      <c r="T1097" s="229"/>
      <c r="U1097" s="229"/>
      <c r="V1097" s="229"/>
      <c r="W1097" s="229"/>
      <c r="X1097" s="229"/>
    </row>
    <row r="1098" spans="1:24" ht="15.75" hidden="1">
      <c r="A1098" s="343"/>
      <c r="B1098" s="344"/>
      <c r="C1098" s="275"/>
      <c r="D1098" s="275"/>
      <c r="E1098" s="275"/>
      <c r="F1098" s="275"/>
      <c r="G1098" s="275"/>
      <c r="H1098" s="275"/>
      <c r="I1098" s="275"/>
      <c r="J1098" s="275"/>
      <c r="K1098" s="275"/>
      <c r="L1098" s="275"/>
      <c r="M1098" s="275"/>
      <c r="N1098" s="275"/>
      <c r="O1098" s="276"/>
      <c r="P1098" s="276"/>
      <c r="Q1098" s="247">
        <f t="shared" si="23"/>
        <v>0</v>
      </c>
      <c r="R1098" s="229"/>
      <c r="S1098" s="229"/>
      <c r="T1098" s="229"/>
      <c r="U1098" s="229"/>
      <c r="V1098" s="229"/>
      <c r="W1098" s="229"/>
      <c r="X1098" s="229"/>
    </row>
    <row r="1099" spans="1:24" ht="15.75" hidden="1">
      <c r="A1099" s="343"/>
      <c r="B1099" s="344"/>
      <c r="C1099" s="275"/>
      <c r="D1099" s="275"/>
      <c r="E1099" s="275"/>
      <c r="F1099" s="275"/>
      <c r="G1099" s="275"/>
      <c r="H1099" s="275"/>
      <c r="I1099" s="275"/>
      <c r="J1099" s="275"/>
      <c r="K1099" s="275"/>
      <c r="L1099" s="275"/>
      <c r="M1099" s="275"/>
      <c r="N1099" s="275"/>
      <c r="O1099" s="276"/>
      <c r="P1099" s="276"/>
      <c r="Q1099" s="247">
        <f t="shared" si="23"/>
        <v>0</v>
      </c>
      <c r="R1099" s="229"/>
      <c r="S1099" s="229"/>
      <c r="T1099" s="229"/>
      <c r="U1099" s="229"/>
      <c r="V1099" s="229"/>
      <c r="W1099" s="229"/>
      <c r="X1099" s="229"/>
    </row>
    <row r="1100" spans="1:24" ht="15.75" hidden="1">
      <c r="A1100" s="343"/>
      <c r="B1100" s="344"/>
      <c r="C1100" s="275"/>
      <c r="D1100" s="275"/>
      <c r="E1100" s="275"/>
      <c r="F1100" s="275"/>
      <c r="G1100" s="275"/>
      <c r="H1100" s="275"/>
      <c r="I1100" s="275"/>
      <c r="J1100" s="275"/>
      <c r="K1100" s="275"/>
      <c r="L1100" s="275"/>
      <c r="M1100" s="275"/>
      <c r="N1100" s="275"/>
      <c r="O1100" s="276"/>
      <c r="P1100" s="276"/>
      <c r="Q1100" s="247">
        <f t="shared" si="23"/>
        <v>0</v>
      </c>
      <c r="R1100" s="229"/>
      <c r="S1100" s="229"/>
      <c r="T1100" s="229"/>
      <c r="U1100" s="229"/>
      <c r="V1100" s="229"/>
      <c r="W1100" s="229"/>
      <c r="X1100" s="229"/>
    </row>
    <row r="1101" spans="1:24" ht="15.75" hidden="1">
      <c r="A1101" s="343"/>
      <c r="B1101" s="344"/>
      <c r="C1101" s="275"/>
      <c r="D1101" s="275"/>
      <c r="E1101" s="275"/>
      <c r="F1101" s="275"/>
      <c r="G1101" s="275"/>
      <c r="H1101" s="275"/>
      <c r="I1101" s="275"/>
      <c r="J1101" s="275"/>
      <c r="K1101" s="275"/>
      <c r="L1101" s="275"/>
      <c r="M1101" s="275"/>
      <c r="N1101" s="275"/>
      <c r="O1101" s="276"/>
      <c r="P1101" s="276"/>
      <c r="Q1101" s="247">
        <f t="shared" si="23"/>
        <v>0</v>
      </c>
      <c r="R1101" s="229"/>
      <c r="S1101" s="229"/>
      <c r="T1101" s="229"/>
      <c r="U1101" s="229"/>
      <c r="V1101" s="229"/>
      <c r="W1101" s="229"/>
      <c r="X1101" s="229"/>
    </row>
    <row r="1102" spans="1:24" ht="15.75" hidden="1">
      <c r="A1102" s="343"/>
      <c r="B1102" s="344"/>
      <c r="C1102" s="275"/>
      <c r="D1102" s="275"/>
      <c r="E1102" s="275"/>
      <c r="F1102" s="275"/>
      <c r="G1102" s="275"/>
      <c r="H1102" s="275"/>
      <c r="I1102" s="275"/>
      <c r="J1102" s="275"/>
      <c r="K1102" s="275"/>
      <c r="L1102" s="275"/>
      <c r="M1102" s="275"/>
      <c r="N1102" s="275"/>
      <c r="O1102" s="276"/>
      <c r="P1102" s="276"/>
      <c r="Q1102" s="247">
        <f t="shared" si="23"/>
        <v>0</v>
      </c>
      <c r="R1102" s="229"/>
      <c r="S1102" s="229"/>
      <c r="T1102" s="229"/>
      <c r="U1102" s="229"/>
      <c r="V1102" s="229"/>
      <c r="W1102" s="229"/>
      <c r="X1102" s="229"/>
    </row>
    <row r="1103" spans="1:24" ht="15.75" hidden="1">
      <c r="A1103" s="343"/>
      <c r="B1103" s="344"/>
      <c r="C1103" s="275"/>
      <c r="D1103" s="275"/>
      <c r="E1103" s="275"/>
      <c r="F1103" s="275"/>
      <c r="G1103" s="275"/>
      <c r="H1103" s="275"/>
      <c r="I1103" s="275"/>
      <c r="J1103" s="275"/>
      <c r="K1103" s="275"/>
      <c r="L1103" s="275"/>
      <c r="M1103" s="275"/>
      <c r="N1103" s="275"/>
      <c r="O1103" s="276"/>
      <c r="P1103" s="276"/>
      <c r="Q1103" s="247">
        <f t="shared" si="23"/>
        <v>0</v>
      </c>
      <c r="R1103" s="229"/>
      <c r="S1103" s="229"/>
      <c r="T1103" s="229"/>
      <c r="U1103" s="229"/>
      <c r="V1103" s="229"/>
      <c r="W1103" s="229"/>
      <c r="X1103" s="229"/>
    </row>
    <row r="1104" spans="1:24" ht="15.75" hidden="1">
      <c r="A1104" s="343"/>
      <c r="B1104" s="344"/>
      <c r="C1104" s="275"/>
      <c r="D1104" s="275"/>
      <c r="E1104" s="275"/>
      <c r="F1104" s="275"/>
      <c r="G1104" s="275"/>
      <c r="H1104" s="275"/>
      <c r="I1104" s="275"/>
      <c r="J1104" s="275"/>
      <c r="K1104" s="275"/>
      <c r="L1104" s="275"/>
      <c r="M1104" s="275"/>
      <c r="N1104" s="275"/>
      <c r="O1104" s="276"/>
      <c r="P1104" s="276"/>
      <c r="Q1104" s="247">
        <f t="shared" si="23"/>
        <v>0</v>
      </c>
      <c r="R1104" s="229"/>
      <c r="S1104" s="229"/>
      <c r="T1104" s="229"/>
      <c r="U1104" s="229"/>
      <c r="V1104" s="229"/>
      <c r="W1104" s="229"/>
      <c r="X1104" s="229"/>
    </row>
    <row r="1105" spans="1:24" ht="15.75" hidden="1">
      <c r="A1105" s="343"/>
      <c r="B1105" s="344"/>
      <c r="C1105" s="275"/>
      <c r="D1105" s="275"/>
      <c r="E1105" s="275"/>
      <c r="F1105" s="275"/>
      <c r="G1105" s="275"/>
      <c r="H1105" s="275"/>
      <c r="I1105" s="275"/>
      <c r="J1105" s="275"/>
      <c r="K1105" s="275"/>
      <c r="L1105" s="275"/>
      <c r="M1105" s="275"/>
      <c r="N1105" s="275"/>
      <c r="O1105" s="276"/>
      <c r="P1105" s="276"/>
      <c r="Q1105" s="247">
        <f t="shared" si="23"/>
        <v>0</v>
      </c>
      <c r="R1105" s="229"/>
      <c r="S1105" s="229"/>
      <c r="T1105" s="229"/>
      <c r="U1105" s="229"/>
      <c r="V1105" s="229"/>
      <c r="W1105" s="229"/>
      <c r="X1105" s="229"/>
    </row>
    <row r="1106" spans="1:24" ht="15.75" hidden="1">
      <c r="A1106" s="343"/>
      <c r="B1106" s="344"/>
      <c r="C1106" s="275"/>
      <c r="D1106" s="275"/>
      <c r="E1106" s="275"/>
      <c r="F1106" s="275"/>
      <c r="G1106" s="275"/>
      <c r="H1106" s="275"/>
      <c r="I1106" s="275"/>
      <c r="J1106" s="275"/>
      <c r="K1106" s="275"/>
      <c r="L1106" s="275"/>
      <c r="M1106" s="275"/>
      <c r="N1106" s="275"/>
      <c r="O1106" s="276"/>
      <c r="P1106" s="276"/>
      <c r="Q1106" s="247">
        <f t="shared" si="23"/>
        <v>0</v>
      </c>
      <c r="R1106" s="229"/>
      <c r="S1106" s="229"/>
      <c r="T1106" s="229"/>
      <c r="U1106" s="229"/>
      <c r="V1106" s="229"/>
      <c r="W1106" s="229"/>
      <c r="X1106" s="229"/>
    </row>
    <row r="1107" spans="1:24" ht="15.75" hidden="1">
      <c r="A1107" s="343"/>
      <c r="B1107" s="344"/>
      <c r="C1107" s="275"/>
      <c r="D1107" s="275"/>
      <c r="E1107" s="275"/>
      <c r="F1107" s="275"/>
      <c r="G1107" s="275"/>
      <c r="H1107" s="275"/>
      <c r="I1107" s="275"/>
      <c r="J1107" s="275"/>
      <c r="K1107" s="275"/>
      <c r="L1107" s="275"/>
      <c r="M1107" s="275"/>
      <c r="N1107" s="275"/>
      <c r="O1107" s="276"/>
      <c r="P1107" s="276"/>
      <c r="Q1107" s="247">
        <f t="shared" si="23"/>
        <v>0</v>
      </c>
      <c r="R1107" s="229"/>
      <c r="S1107" s="229"/>
      <c r="T1107" s="229"/>
      <c r="U1107" s="229"/>
      <c r="V1107" s="229"/>
      <c r="W1107" s="229"/>
      <c r="X1107" s="229"/>
    </row>
    <row r="1108" spans="1:24" ht="15.75" hidden="1">
      <c r="A1108" s="343"/>
      <c r="B1108" s="344"/>
      <c r="C1108" s="275"/>
      <c r="D1108" s="275"/>
      <c r="E1108" s="275"/>
      <c r="F1108" s="275"/>
      <c r="G1108" s="275"/>
      <c r="H1108" s="275"/>
      <c r="I1108" s="275"/>
      <c r="J1108" s="275"/>
      <c r="K1108" s="275"/>
      <c r="L1108" s="275"/>
      <c r="M1108" s="275"/>
      <c r="N1108" s="275"/>
      <c r="O1108" s="276"/>
      <c r="P1108" s="276"/>
      <c r="Q1108" s="247">
        <f t="shared" si="23"/>
        <v>0</v>
      </c>
      <c r="R1108" s="229"/>
      <c r="S1108" s="229"/>
      <c r="T1108" s="229"/>
      <c r="U1108" s="229"/>
      <c r="V1108" s="229"/>
      <c r="W1108" s="229"/>
      <c r="X1108" s="229"/>
    </row>
    <row r="1109" spans="1:24" ht="15.75" hidden="1">
      <c r="A1109" s="343"/>
      <c r="B1109" s="344"/>
      <c r="C1109" s="275"/>
      <c r="D1109" s="275"/>
      <c r="E1109" s="275"/>
      <c r="F1109" s="275"/>
      <c r="G1109" s="275"/>
      <c r="H1109" s="275"/>
      <c r="I1109" s="275"/>
      <c r="J1109" s="275"/>
      <c r="K1109" s="275"/>
      <c r="L1109" s="275"/>
      <c r="M1109" s="275"/>
      <c r="N1109" s="275"/>
      <c r="O1109" s="276"/>
      <c r="P1109" s="276"/>
      <c r="Q1109" s="247">
        <f t="shared" si="23"/>
        <v>0</v>
      </c>
      <c r="R1109" s="229"/>
      <c r="S1109" s="229"/>
      <c r="T1109" s="229"/>
      <c r="U1109" s="229"/>
      <c r="V1109" s="229"/>
      <c r="W1109" s="229"/>
      <c r="X1109" s="229"/>
    </row>
    <row r="1110" spans="1:24" ht="15.75" hidden="1">
      <c r="A1110" s="343"/>
      <c r="B1110" s="344"/>
      <c r="C1110" s="275"/>
      <c r="D1110" s="275"/>
      <c r="E1110" s="275"/>
      <c r="F1110" s="275"/>
      <c r="G1110" s="275"/>
      <c r="H1110" s="275"/>
      <c r="I1110" s="275"/>
      <c r="J1110" s="275"/>
      <c r="K1110" s="275"/>
      <c r="L1110" s="275"/>
      <c r="M1110" s="275"/>
      <c r="N1110" s="275"/>
      <c r="O1110" s="276"/>
      <c r="P1110" s="276"/>
      <c r="Q1110" s="247">
        <f t="shared" si="23"/>
        <v>0</v>
      </c>
      <c r="R1110" s="229"/>
      <c r="S1110" s="229"/>
      <c r="T1110" s="229"/>
      <c r="U1110" s="229"/>
      <c r="V1110" s="229"/>
      <c r="W1110" s="229"/>
      <c r="X1110" s="229"/>
    </row>
    <row r="1111" spans="1:24" ht="15.75" hidden="1">
      <c r="A1111" s="343"/>
      <c r="B1111" s="344"/>
      <c r="C1111" s="275"/>
      <c r="D1111" s="275"/>
      <c r="E1111" s="275"/>
      <c r="F1111" s="275"/>
      <c r="G1111" s="275"/>
      <c r="H1111" s="275"/>
      <c r="I1111" s="275"/>
      <c r="J1111" s="275"/>
      <c r="K1111" s="275"/>
      <c r="L1111" s="275"/>
      <c r="M1111" s="275"/>
      <c r="N1111" s="275"/>
      <c r="O1111" s="276"/>
      <c r="P1111" s="276"/>
      <c r="Q1111" s="247">
        <f t="shared" si="23"/>
        <v>0</v>
      </c>
      <c r="R1111" s="229"/>
      <c r="S1111" s="229"/>
      <c r="T1111" s="229"/>
      <c r="U1111" s="229"/>
      <c r="V1111" s="229"/>
      <c r="W1111" s="229"/>
      <c r="X1111" s="229"/>
    </row>
    <row r="1112" spans="1:24" ht="15.75" hidden="1">
      <c r="A1112" s="343"/>
      <c r="B1112" s="344"/>
      <c r="C1112" s="275"/>
      <c r="D1112" s="275"/>
      <c r="E1112" s="275"/>
      <c r="F1112" s="275"/>
      <c r="G1112" s="275"/>
      <c r="H1112" s="275"/>
      <c r="I1112" s="275"/>
      <c r="J1112" s="275"/>
      <c r="K1112" s="275"/>
      <c r="L1112" s="275"/>
      <c r="M1112" s="275"/>
      <c r="N1112" s="275"/>
      <c r="O1112" s="276"/>
      <c r="P1112" s="276"/>
      <c r="Q1112" s="247">
        <f t="shared" si="23"/>
        <v>0</v>
      </c>
      <c r="R1112" s="229"/>
      <c r="S1112" s="229"/>
      <c r="T1112" s="229"/>
      <c r="U1112" s="229"/>
      <c r="V1112" s="229"/>
      <c r="W1112" s="229"/>
      <c r="X1112" s="229"/>
    </row>
    <row r="1113" spans="1:24" ht="15.75" hidden="1">
      <c r="A1113" s="343"/>
      <c r="B1113" s="344"/>
      <c r="C1113" s="275"/>
      <c r="D1113" s="275"/>
      <c r="E1113" s="275"/>
      <c r="F1113" s="275"/>
      <c r="G1113" s="275"/>
      <c r="H1113" s="275"/>
      <c r="I1113" s="275"/>
      <c r="J1113" s="275"/>
      <c r="K1113" s="275"/>
      <c r="L1113" s="275"/>
      <c r="M1113" s="275"/>
      <c r="N1113" s="275"/>
      <c r="O1113" s="276"/>
      <c r="P1113" s="276"/>
      <c r="Q1113" s="247">
        <f t="shared" si="23"/>
        <v>0</v>
      </c>
      <c r="R1113" s="229"/>
      <c r="S1113" s="229"/>
      <c r="T1113" s="229"/>
      <c r="U1113" s="229"/>
      <c r="V1113" s="229"/>
      <c r="W1113" s="229"/>
      <c r="X1113" s="229"/>
    </row>
    <row r="1114" spans="1:24" ht="15.75" hidden="1">
      <c r="A1114" s="343"/>
      <c r="B1114" s="344"/>
      <c r="C1114" s="275"/>
      <c r="D1114" s="275"/>
      <c r="E1114" s="275"/>
      <c r="F1114" s="275"/>
      <c r="G1114" s="275"/>
      <c r="H1114" s="275"/>
      <c r="I1114" s="275"/>
      <c r="J1114" s="275"/>
      <c r="K1114" s="275"/>
      <c r="L1114" s="275"/>
      <c r="M1114" s="275"/>
      <c r="N1114" s="275"/>
      <c r="O1114" s="276"/>
      <c r="P1114" s="276"/>
      <c r="Q1114" s="247">
        <f t="shared" si="23"/>
        <v>0</v>
      </c>
      <c r="R1114" s="229"/>
      <c r="S1114" s="229"/>
      <c r="T1114" s="229"/>
      <c r="U1114" s="229"/>
      <c r="V1114" s="229"/>
      <c r="W1114" s="229"/>
      <c r="X1114" s="229"/>
    </row>
    <row r="1115" spans="1:24" ht="15.75" hidden="1">
      <c r="A1115" s="343"/>
      <c r="B1115" s="344"/>
      <c r="C1115" s="275"/>
      <c r="D1115" s="275"/>
      <c r="E1115" s="275"/>
      <c r="F1115" s="275"/>
      <c r="G1115" s="275"/>
      <c r="H1115" s="275"/>
      <c r="I1115" s="275"/>
      <c r="J1115" s="275"/>
      <c r="K1115" s="275"/>
      <c r="L1115" s="275"/>
      <c r="M1115" s="275"/>
      <c r="N1115" s="275"/>
      <c r="O1115" s="276"/>
      <c r="P1115" s="276"/>
      <c r="Q1115" s="247">
        <f t="shared" si="23"/>
        <v>0</v>
      </c>
      <c r="R1115" s="229"/>
      <c r="S1115" s="229"/>
      <c r="T1115" s="229"/>
      <c r="U1115" s="229"/>
      <c r="V1115" s="229"/>
      <c r="W1115" s="229"/>
      <c r="X1115" s="229"/>
    </row>
    <row r="1116" spans="1:24" ht="15.75" hidden="1">
      <c r="A1116" s="343"/>
      <c r="B1116" s="344"/>
      <c r="C1116" s="275"/>
      <c r="D1116" s="275"/>
      <c r="E1116" s="275"/>
      <c r="F1116" s="275"/>
      <c r="G1116" s="275"/>
      <c r="H1116" s="275"/>
      <c r="I1116" s="275"/>
      <c r="J1116" s="275"/>
      <c r="K1116" s="275"/>
      <c r="L1116" s="275"/>
      <c r="M1116" s="275"/>
      <c r="N1116" s="275"/>
      <c r="O1116" s="276"/>
      <c r="P1116" s="276"/>
      <c r="Q1116" s="247">
        <f t="shared" si="23"/>
        <v>0</v>
      </c>
      <c r="R1116" s="229"/>
      <c r="S1116" s="229"/>
      <c r="T1116" s="229"/>
      <c r="U1116" s="229"/>
      <c r="V1116" s="229"/>
      <c r="W1116" s="229"/>
      <c r="X1116" s="229"/>
    </row>
    <row r="1117" spans="1:24" ht="15.75" hidden="1">
      <c r="A1117" s="343"/>
      <c r="B1117" s="344"/>
      <c r="C1117" s="275"/>
      <c r="D1117" s="275"/>
      <c r="E1117" s="275"/>
      <c r="F1117" s="275"/>
      <c r="G1117" s="275"/>
      <c r="H1117" s="275"/>
      <c r="I1117" s="275"/>
      <c r="J1117" s="275"/>
      <c r="K1117" s="275"/>
      <c r="L1117" s="275"/>
      <c r="M1117" s="275"/>
      <c r="N1117" s="275"/>
      <c r="O1117" s="276"/>
      <c r="P1117" s="276"/>
      <c r="Q1117" s="247">
        <f t="shared" si="23"/>
        <v>0</v>
      </c>
      <c r="R1117" s="229"/>
      <c r="S1117" s="229"/>
      <c r="T1117" s="229"/>
      <c r="U1117" s="229"/>
      <c r="V1117" s="229"/>
      <c r="W1117" s="229"/>
      <c r="X1117" s="229"/>
    </row>
    <row r="1118" spans="1:24" ht="15.75" hidden="1">
      <c r="A1118" s="343"/>
      <c r="B1118" s="344"/>
      <c r="C1118" s="275"/>
      <c r="D1118" s="275"/>
      <c r="E1118" s="275"/>
      <c r="F1118" s="275"/>
      <c r="G1118" s="275"/>
      <c r="H1118" s="275"/>
      <c r="I1118" s="275"/>
      <c r="J1118" s="275"/>
      <c r="K1118" s="275"/>
      <c r="L1118" s="275"/>
      <c r="M1118" s="275"/>
      <c r="N1118" s="275"/>
      <c r="O1118" s="276"/>
      <c r="P1118" s="276"/>
      <c r="Q1118" s="247">
        <f t="shared" si="23"/>
        <v>0</v>
      </c>
      <c r="R1118" s="229"/>
      <c r="S1118" s="229"/>
      <c r="T1118" s="229"/>
      <c r="U1118" s="229"/>
      <c r="V1118" s="229"/>
      <c r="W1118" s="229"/>
      <c r="X1118" s="229"/>
    </row>
    <row r="1119" spans="1:24" ht="15.75" hidden="1">
      <c r="A1119" s="343"/>
      <c r="B1119" s="344"/>
      <c r="C1119" s="275"/>
      <c r="D1119" s="275"/>
      <c r="E1119" s="275"/>
      <c r="F1119" s="275"/>
      <c r="G1119" s="275"/>
      <c r="H1119" s="275"/>
      <c r="I1119" s="275"/>
      <c r="J1119" s="275"/>
      <c r="K1119" s="275"/>
      <c r="L1119" s="275"/>
      <c r="M1119" s="275"/>
      <c r="N1119" s="275"/>
      <c r="O1119" s="276"/>
      <c r="P1119" s="276"/>
      <c r="Q1119" s="247">
        <f t="shared" si="23"/>
        <v>0</v>
      </c>
      <c r="R1119" s="229"/>
      <c r="S1119" s="229"/>
      <c r="T1119" s="229"/>
      <c r="U1119" s="229"/>
      <c r="V1119" s="229"/>
      <c r="W1119" s="229"/>
      <c r="X1119" s="229"/>
    </row>
    <row r="1120" spans="1:24" ht="15.75" hidden="1">
      <c r="A1120" s="343"/>
      <c r="B1120" s="344"/>
      <c r="C1120" s="275"/>
      <c r="D1120" s="275"/>
      <c r="E1120" s="275"/>
      <c r="F1120" s="275"/>
      <c r="G1120" s="275"/>
      <c r="H1120" s="275"/>
      <c r="I1120" s="275"/>
      <c r="J1120" s="275"/>
      <c r="K1120" s="275"/>
      <c r="L1120" s="275"/>
      <c r="M1120" s="275"/>
      <c r="N1120" s="275"/>
      <c r="O1120" s="276"/>
      <c r="P1120" s="276"/>
      <c r="Q1120" s="247">
        <f t="shared" si="23"/>
        <v>0</v>
      </c>
      <c r="R1120" s="229"/>
      <c r="S1120" s="229"/>
      <c r="T1120" s="229"/>
      <c r="U1120" s="229"/>
      <c r="V1120" s="229"/>
      <c r="W1120" s="229"/>
      <c r="X1120" s="229"/>
    </row>
    <row r="1121" spans="1:24" ht="15.75" hidden="1">
      <c r="A1121" s="343"/>
      <c r="B1121" s="344"/>
      <c r="C1121" s="275"/>
      <c r="D1121" s="275"/>
      <c r="E1121" s="275"/>
      <c r="F1121" s="275"/>
      <c r="G1121" s="275"/>
      <c r="H1121" s="275"/>
      <c r="I1121" s="275"/>
      <c r="J1121" s="275"/>
      <c r="K1121" s="275"/>
      <c r="L1121" s="275"/>
      <c r="M1121" s="275"/>
      <c r="N1121" s="275"/>
      <c r="O1121" s="276"/>
      <c r="P1121" s="276"/>
      <c r="Q1121" s="247">
        <f t="shared" si="23"/>
        <v>0</v>
      </c>
      <c r="R1121" s="229"/>
      <c r="S1121" s="229"/>
      <c r="T1121" s="229"/>
      <c r="U1121" s="229"/>
      <c r="V1121" s="229"/>
      <c r="W1121" s="229"/>
      <c r="X1121" s="229"/>
    </row>
    <row r="1122" spans="1:24" ht="15.75" hidden="1">
      <c r="A1122" s="343"/>
      <c r="B1122" s="344"/>
      <c r="C1122" s="275"/>
      <c r="D1122" s="275"/>
      <c r="E1122" s="275"/>
      <c r="F1122" s="275"/>
      <c r="G1122" s="275"/>
      <c r="H1122" s="275"/>
      <c r="I1122" s="275"/>
      <c r="J1122" s="275"/>
      <c r="K1122" s="275"/>
      <c r="L1122" s="275"/>
      <c r="M1122" s="275"/>
      <c r="N1122" s="275"/>
      <c r="O1122" s="276"/>
      <c r="P1122" s="276"/>
      <c r="Q1122" s="247">
        <f t="shared" si="23"/>
        <v>0</v>
      </c>
      <c r="R1122" s="229"/>
      <c r="S1122" s="229"/>
      <c r="T1122" s="229"/>
      <c r="U1122" s="229"/>
      <c r="V1122" s="229"/>
      <c r="W1122" s="229"/>
      <c r="X1122" s="229"/>
    </row>
    <row r="1123" spans="1:24" ht="15.75" hidden="1">
      <c r="A1123" s="343"/>
      <c r="B1123" s="344"/>
      <c r="C1123" s="275"/>
      <c r="D1123" s="275"/>
      <c r="E1123" s="275"/>
      <c r="F1123" s="275"/>
      <c r="G1123" s="275"/>
      <c r="H1123" s="275"/>
      <c r="I1123" s="275"/>
      <c r="J1123" s="275"/>
      <c r="K1123" s="275"/>
      <c r="L1123" s="275"/>
      <c r="M1123" s="275"/>
      <c r="N1123" s="275"/>
      <c r="O1123" s="276"/>
      <c r="P1123" s="276"/>
      <c r="Q1123" s="247">
        <f t="shared" si="23"/>
        <v>0</v>
      </c>
      <c r="R1123" s="229"/>
      <c r="S1123" s="229"/>
      <c r="T1123" s="229"/>
      <c r="U1123" s="229"/>
      <c r="V1123" s="229"/>
      <c r="W1123" s="229"/>
      <c r="X1123" s="229"/>
    </row>
    <row r="1124" spans="1:24" ht="15.75" hidden="1">
      <c r="A1124" s="343"/>
      <c r="B1124" s="344"/>
      <c r="C1124" s="275"/>
      <c r="D1124" s="275"/>
      <c r="E1124" s="275"/>
      <c r="F1124" s="275"/>
      <c r="G1124" s="275"/>
      <c r="H1124" s="275"/>
      <c r="I1124" s="275"/>
      <c r="J1124" s="275"/>
      <c r="K1124" s="275"/>
      <c r="L1124" s="275"/>
      <c r="M1124" s="275"/>
      <c r="N1124" s="275"/>
      <c r="O1124" s="276"/>
      <c r="P1124" s="276"/>
      <c r="Q1124" s="247">
        <f t="shared" si="23"/>
        <v>0</v>
      </c>
      <c r="R1124" s="229"/>
      <c r="S1124" s="229"/>
      <c r="T1124" s="229"/>
      <c r="U1124" s="229"/>
      <c r="V1124" s="229"/>
      <c r="W1124" s="229"/>
      <c r="X1124" s="229"/>
    </row>
    <row r="1125" spans="1:24" ht="15.75" hidden="1">
      <c r="A1125" s="343"/>
      <c r="B1125" s="344"/>
      <c r="C1125" s="275"/>
      <c r="D1125" s="275"/>
      <c r="E1125" s="275"/>
      <c r="F1125" s="275"/>
      <c r="G1125" s="275"/>
      <c r="H1125" s="275"/>
      <c r="I1125" s="275"/>
      <c r="J1125" s="275"/>
      <c r="K1125" s="275"/>
      <c r="L1125" s="275"/>
      <c r="M1125" s="275"/>
      <c r="N1125" s="275"/>
      <c r="O1125" s="276"/>
      <c r="P1125" s="276"/>
      <c r="Q1125" s="247">
        <f t="shared" si="23"/>
        <v>0</v>
      </c>
      <c r="R1125" s="229"/>
      <c r="S1125" s="229"/>
      <c r="T1125" s="229"/>
      <c r="U1125" s="229"/>
      <c r="V1125" s="229"/>
      <c r="W1125" s="229"/>
      <c r="X1125" s="229"/>
    </row>
    <row r="1126" spans="1:24" ht="15.75" hidden="1">
      <c r="A1126" s="343"/>
      <c r="B1126" s="344"/>
      <c r="C1126" s="275"/>
      <c r="D1126" s="275"/>
      <c r="E1126" s="275"/>
      <c r="F1126" s="275"/>
      <c r="G1126" s="275"/>
      <c r="H1126" s="275"/>
      <c r="I1126" s="275"/>
      <c r="J1126" s="275"/>
      <c r="K1126" s="275"/>
      <c r="L1126" s="275"/>
      <c r="M1126" s="275"/>
      <c r="N1126" s="275"/>
      <c r="O1126" s="276"/>
      <c r="P1126" s="276"/>
      <c r="Q1126" s="247">
        <f t="shared" si="23"/>
        <v>0</v>
      </c>
      <c r="R1126" s="229"/>
      <c r="S1126" s="229"/>
      <c r="T1126" s="229"/>
      <c r="U1126" s="229"/>
      <c r="V1126" s="229"/>
      <c r="W1126" s="229"/>
      <c r="X1126" s="229"/>
    </row>
    <row r="1127" spans="1:24" ht="15.75" hidden="1">
      <c r="A1127" s="343"/>
      <c r="B1127" s="344"/>
      <c r="C1127" s="275"/>
      <c r="D1127" s="275"/>
      <c r="E1127" s="275"/>
      <c r="F1127" s="275"/>
      <c r="G1127" s="275"/>
      <c r="H1127" s="275"/>
      <c r="I1127" s="275"/>
      <c r="J1127" s="275"/>
      <c r="K1127" s="275"/>
      <c r="L1127" s="275"/>
      <c r="M1127" s="275"/>
      <c r="N1127" s="275"/>
      <c r="O1127" s="276"/>
      <c r="P1127" s="276"/>
      <c r="Q1127" s="247">
        <f t="shared" si="23"/>
        <v>0</v>
      </c>
      <c r="R1127" s="229"/>
      <c r="S1127" s="229"/>
      <c r="T1127" s="229"/>
      <c r="U1127" s="229"/>
      <c r="V1127" s="229"/>
      <c r="W1127" s="229"/>
      <c r="X1127" s="229"/>
    </row>
    <row r="1128" spans="1:24" ht="15.75" hidden="1">
      <c r="A1128" s="343"/>
      <c r="B1128" s="344"/>
      <c r="C1128" s="275"/>
      <c r="D1128" s="275"/>
      <c r="E1128" s="275"/>
      <c r="F1128" s="275"/>
      <c r="G1128" s="275"/>
      <c r="H1128" s="275"/>
      <c r="I1128" s="275"/>
      <c r="J1128" s="275"/>
      <c r="K1128" s="275"/>
      <c r="L1128" s="275"/>
      <c r="M1128" s="275"/>
      <c r="N1128" s="275"/>
      <c r="O1128" s="276"/>
      <c r="P1128" s="276"/>
      <c r="Q1128" s="247">
        <f t="shared" si="23"/>
        <v>0</v>
      </c>
      <c r="R1128" s="229"/>
      <c r="S1128" s="229"/>
      <c r="T1128" s="229"/>
      <c r="U1128" s="229"/>
      <c r="V1128" s="229"/>
      <c r="W1128" s="229"/>
      <c r="X1128" s="229"/>
    </row>
    <row r="1129" spans="1:24" ht="15.75" hidden="1">
      <c r="A1129" s="343"/>
      <c r="B1129" s="344"/>
      <c r="C1129" s="275"/>
      <c r="D1129" s="275"/>
      <c r="E1129" s="275"/>
      <c r="F1129" s="275"/>
      <c r="G1129" s="275"/>
      <c r="H1129" s="275"/>
      <c r="I1129" s="275"/>
      <c r="J1129" s="275"/>
      <c r="K1129" s="275"/>
      <c r="L1129" s="275"/>
      <c r="M1129" s="275"/>
      <c r="N1129" s="275"/>
      <c r="O1129" s="276"/>
      <c r="P1129" s="276"/>
      <c r="Q1129" s="247">
        <f t="shared" si="23"/>
        <v>0</v>
      </c>
      <c r="R1129" s="229"/>
      <c r="S1129" s="229"/>
      <c r="T1129" s="229"/>
      <c r="U1129" s="229"/>
      <c r="V1129" s="229"/>
      <c r="W1129" s="229"/>
      <c r="X1129" s="229"/>
    </row>
    <row r="1130" spans="1:24" ht="15.75" hidden="1">
      <c r="A1130" s="343"/>
      <c r="B1130" s="344"/>
      <c r="C1130" s="275"/>
      <c r="D1130" s="275"/>
      <c r="E1130" s="275"/>
      <c r="F1130" s="275"/>
      <c r="G1130" s="275"/>
      <c r="H1130" s="275"/>
      <c r="I1130" s="275"/>
      <c r="J1130" s="275"/>
      <c r="K1130" s="275"/>
      <c r="L1130" s="275"/>
      <c r="M1130" s="275"/>
      <c r="N1130" s="275"/>
      <c r="O1130" s="276"/>
      <c r="P1130" s="276"/>
      <c r="Q1130" s="247">
        <f t="shared" si="23"/>
        <v>0</v>
      </c>
      <c r="R1130" s="229"/>
      <c r="S1130" s="229"/>
      <c r="T1130" s="229"/>
      <c r="U1130" s="229"/>
      <c r="V1130" s="229"/>
      <c r="W1130" s="229"/>
      <c r="X1130" s="229"/>
    </row>
    <row r="1131" spans="1:24" ht="15.75" hidden="1">
      <c r="A1131" s="343"/>
      <c r="B1131" s="344"/>
      <c r="C1131" s="275"/>
      <c r="D1131" s="275"/>
      <c r="E1131" s="275"/>
      <c r="F1131" s="275"/>
      <c r="G1131" s="275"/>
      <c r="H1131" s="275"/>
      <c r="I1131" s="275"/>
      <c r="J1131" s="275"/>
      <c r="K1131" s="275"/>
      <c r="L1131" s="275"/>
      <c r="M1131" s="275"/>
      <c r="N1131" s="275"/>
      <c r="O1131" s="276"/>
      <c r="P1131" s="276"/>
      <c r="Q1131" s="247">
        <f t="shared" si="23"/>
        <v>0</v>
      </c>
      <c r="R1131" s="229"/>
      <c r="S1131" s="229"/>
      <c r="T1131" s="229"/>
      <c r="U1131" s="229"/>
      <c r="V1131" s="229"/>
      <c r="W1131" s="229"/>
      <c r="X1131" s="229"/>
    </row>
    <row r="1132" spans="1:24" ht="15.75" hidden="1">
      <c r="A1132" s="343"/>
      <c r="B1132" s="344"/>
      <c r="C1132" s="275"/>
      <c r="D1132" s="275"/>
      <c r="E1132" s="275"/>
      <c r="F1132" s="275"/>
      <c r="G1132" s="275"/>
      <c r="H1132" s="275"/>
      <c r="I1132" s="275"/>
      <c r="J1132" s="275"/>
      <c r="K1132" s="275"/>
      <c r="L1132" s="275"/>
      <c r="M1132" s="275"/>
      <c r="N1132" s="275"/>
      <c r="O1132" s="276"/>
      <c r="P1132" s="276"/>
      <c r="Q1132" s="247">
        <f t="shared" si="23"/>
        <v>0</v>
      </c>
      <c r="R1132" s="229"/>
      <c r="S1132" s="229"/>
      <c r="T1132" s="229"/>
      <c r="U1132" s="229"/>
      <c r="V1132" s="229"/>
      <c r="W1132" s="229"/>
      <c r="X1132" s="229"/>
    </row>
    <row r="1133" spans="1:24" ht="15.75" hidden="1">
      <c r="A1133" s="343"/>
      <c r="B1133" s="344"/>
      <c r="C1133" s="275"/>
      <c r="D1133" s="275"/>
      <c r="E1133" s="275"/>
      <c r="F1133" s="275"/>
      <c r="G1133" s="275"/>
      <c r="H1133" s="275"/>
      <c r="I1133" s="275"/>
      <c r="J1133" s="275"/>
      <c r="K1133" s="275"/>
      <c r="L1133" s="275"/>
      <c r="M1133" s="275"/>
      <c r="N1133" s="275"/>
      <c r="O1133" s="276"/>
      <c r="P1133" s="276"/>
      <c r="Q1133" s="247">
        <f t="shared" si="23"/>
        <v>0</v>
      </c>
      <c r="R1133" s="229"/>
      <c r="S1133" s="229"/>
      <c r="T1133" s="229"/>
      <c r="U1133" s="229"/>
      <c r="V1133" s="229"/>
      <c r="W1133" s="229"/>
      <c r="X1133" s="229"/>
    </row>
    <row r="1134" spans="1:24" ht="15.75" hidden="1">
      <c r="A1134" s="343"/>
      <c r="B1134" s="344"/>
      <c r="C1134" s="275"/>
      <c r="D1134" s="275"/>
      <c r="E1134" s="275"/>
      <c r="F1134" s="275"/>
      <c r="G1134" s="275"/>
      <c r="H1134" s="275"/>
      <c r="I1134" s="275"/>
      <c r="J1134" s="275"/>
      <c r="K1134" s="275"/>
      <c r="L1134" s="275"/>
      <c r="M1134" s="275"/>
      <c r="N1134" s="275"/>
      <c r="O1134" s="276"/>
      <c r="P1134" s="276"/>
      <c r="Q1134" s="247">
        <f t="shared" si="23"/>
        <v>0</v>
      </c>
      <c r="R1134" s="229"/>
      <c r="S1134" s="229"/>
      <c r="T1134" s="229"/>
      <c r="U1134" s="229"/>
      <c r="V1134" s="229"/>
      <c r="W1134" s="229"/>
      <c r="X1134" s="229"/>
    </row>
    <row r="1135" spans="1:24" ht="15.75" hidden="1">
      <c r="A1135" s="343"/>
      <c r="B1135" s="344"/>
      <c r="C1135" s="275"/>
      <c r="D1135" s="275"/>
      <c r="E1135" s="275"/>
      <c r="F1135" s="275"/>
      <c r="G1135" s="275"/>
      <c r="H1135" s="275"/>
      <c r="I1135" s="275"/>
      <c r="J1135" s="275"/>
      <c r="K1135" s="275"/>
      <c r="L1135" s="275"/>
      <c r="M1135" s="275"/>
      <c r="N1135" s="275"/>
      <c r="O1135" s="276"/>
      <c r="P1135" s="276"/>
      <c r="Q1135" s="247">
        <f t="shared" si="23"/>
        <v>0</v>
      </c>
      <c r="R1135" s="229"/>
      <c r="S1135" s="229"/>
      <c r="T1135" s="229"/>
      <c r="U1135" s="229"/>
      <c r="V1135" s="229"/>
      <c r="W1135" s="229"/>
      <c r="X1135" s="229"/>
    </row>
    <row r="1136" spans="1:24" ht="15.75" hidden="1">
      <c r="A1136" s="343"/>
      <c r="B1136" s="344"/>
      <c r="C1136" s="275"/>
      <c r="D1136" s="275"/>
      <c r="E1136" s="275"/>
      <c r="F1136" s="275"/>
      <c r="G1136" s="275"/>
      <c r="H1136" s="275"/>
      <c r="I1136" s="275"/>
      <c r="J1136" s="275"/>
      <c r="K1136" s="275"/>
      <c r="L1136" s="275"/>
      <c r="M1136" s="275"/>
      <c r="N1136" s="275"/>
      <c r="O1136" s="276"/>
      <c r="P1136" s="276"/>
      <c r="Q1136" s="247">
        <f t="shared" si="23"/>
        <v>0</v>
      </c>
      <c r="R1136" s="229"/>
      <c r="S1136" s="229"/>
      <c r="T1136" s="229"/>
      <c r="U1136" s="229"/>
      <c r="V1136" s="229"/>
      <c r="W1136" s="229"/>
      <c r="X1136" s="229"/>
    </row>
    <row r="1137" spans="1:24" ht="15.75" hidden="1">
      <c r="A1137" s="343"/>
      <c r="B1137" s="344"/>
      <c r="C1137" s="275"/>
      <c r="D1137" s="275"/>
      <c r="E1137" s="275"/>
      <c r="F1137" s="275"/>
      <c r="G1137" s="275"/>
      <c r="H1137" s="275"/>
      <c r="I1137" s="275"/>
      <c r="J1137" s="275"/>
      <c r="K1137" s="275"/>
      <c r="L1137" s="275"/>
      <c r="M1137" s="275"/>
      <c r="N1137" s="275"/>
      <c r="O1137" s="276"/>
      <c r="P1137" s="276"/>
      <c r="Q1137" s="247">
        <f t="shared" si="23"/>
        <v>0</v>
      </c>
      <c r="R1137" s="229"/>
      <c r="S1137" s="229"/>
      <c r="T1137" s="229"/>
      <c r="U1137" s="229"/>
      <c r="V1137" s="229"/>
      <c r="W1137" s="229"/>
      <c r="X1137" s="229"/>
    </row>
    <row r="1138" spans="1:24" ht="15.75" hidden="1">
      <c r="A1138" s="343"/>
      <c r="B1138" s="344"/>
      <c r="C1138" s="275"/>
      <c r="D1138" s="275"/>
      <c r="E1138" s="275"/>
      <c r="F1138" s="275"/>
      <c r="G1138" s="275"/>
      <c r="H1138" s="275"/>
      <c r="I1138" s="275"/>
      <c r="J1138" s="275"/>
      <c r="K1138" s="275"/>
      <c r="L1138" s="275"/>
      <c r="M1138" s="275"/>
      <c r="N1138" s="275"/>
      <c r="O1138" s="276"/>
      <c r="P1138" s="276"/>
      <c r="Q1138" s="247">
        <f t="shared" si="23"/>
        <v>0</v>
      </c>
      <c r="R1138" s="229"/>
      <c r="S1138" s="229"/>
      <c r="T1138" s="229"/>
      <c r="U1138" s="229"/>
      <c r="V1138" s="229"/>
      <c r="W1138" s="229"/>
      <c r="X1138" s="229"/>
    </row>
    <row r="1139" spans="1:24" ht="15.75" hidden="1">
      <c r="A1139" s="343"/>
      <c r="B1139" s="344"/>
      <c r="C1139" s="275"/>
      <c r="D1139" s="275"/>
      <c r="E1139" s="275"/>
      <c r="F1139" s="275"/>
      <c r="G1139" s="275"/>
      <c r="H1139" s="275"/>
      <c r="I1139" s="275"/>
      <c r="J1139" s="275"/>
      <c r="K1139" s="275"/>
      <c r="L1139" s="275"/>
      <c r="M1139" s="275"/>
      <c r="N1139" s="275"/>
      <c r="O1139" s="276"/>
      <c r="P1139" s="276"/>
      <c r="Q1139" s="247">
        <f t="shared" si="23"/>
        <v>0</v>
      </c>
      <c r="R1139" s="229"/>
      <c r="S1139" s="229"/>
      <c r="T1139" s="229"/>
      <c r="U1139" s="229"/>
      <c r="V1139" s="229"/>
      <c r="W1139" s="229"/>
      <c r="X1139" s="229"/>
    </row>
    <row r="1140" spans="1:24" ht="15.75" hidden="1">
      <c r="A1140" s="343"/>
      <c r="B1140" s="344"/>
      <c r="C1140" s="275"/>
      <c r="D1140" s="275"/>
      <c r="E1140" s="275"/>
      <c r="F1140" s="275"/>
      <c r="G1140" s="275"/>
      <c r="H1140" s="275"/>
      <c r="I1140" s="275"/>
      <c r="J1140" s="275"/>
      <c r="K1140" s="275"/>
      <c r="L1140" s="275"/>
      <c r="M1140" s="275"/>
      <c r="N1140" s="275"/>
      <c r="O1140" s="276"/>
      <c r="P1140" s="276"/>
      <c r="Q1140" s="247">
        <f t="shared" si="23"/>
        <v>0</v>
      </c>
      <c r="R1140" s="229"/>
      <c r="S1140" s="229"/>
      <c r="T1140" s="229"/>
      <c r="U1140" s="229"/>
      <c r="V1140" s="229"/>
      <c r="W1140" s="229"/>
      <c r="X1140" s="229"/>
    </row>
    <row r="1141" spans="1:24" ht="15.75" hidden="1">
      <c r="A1141" s="343"/>
      <c r="B1141" s="344"/>
      <c r="C1141" s="275"/>
      <c r="D1141" s="275"/>
      <c r="E1141" s="275"/>
      <c r="F1141" s="275"/>
      <c r="G1141" s="275"/>
      <c r="H1141" s="275"/>
      <c r="I1141" s="275"/>
      <c r="J1141" s="275"/>
      <c r="K1141" s="275"/>
      <c r="L1141" s="275"/>
      <c r="M1141" s="275"/>
      <c r="N1141" s="275"/>
      <c r="O1141" s="276"/>
      <c r="P1141" s="276"/>
      <c r="Q1141" s="247">
        <f t="shared" si="23"/>
        <v>0</v>
      </c>
      <c r="R1141" s="229"/>
      <c r="S1141" s="229"/>
      <c r="T1141" s="229"/>
      <c r="U1141" s="229"/>
      <c r="V1141" s="229"/>
      <c r="W1141" s="229"/>
      <c r="X1141" s="229"/>
    </row>
    <row r="1142" spans="1:24" ht="15.75" hidden="1">
      <c r="A1142" s="343"/>
      <c r="B1142" s="344"/>
      <c r="C1142" s="275"/>
      <c r="D1142" s="275"/>
      <c r="E1142" s="275"/>
      <c r="F1142" s="275"/>
      <c r="G1142" s="275"/>
      <c r="H1142" s="275"/>
      <c r="I1142" s="275"/>
      <c r="J1142" s="275"/>
      <c r="K1142" s="275"/>
      <c r="L1142" s="275"/>
      <c r="M1142" s="275"/>
      <c r="N1142" s="275"/>
      <c r="O1142" s="276"/>
      <c r="P1142" s="276"/>
      <c r="Q1142" s="247">
        <f t="shared" si="23"/>
        <v>0</v>
      </c>
      <c r="R1142" s="229"/>
      <c r="S1142" s="229"/>
      <c r="T1142" s="229"/>
      <c r="U1142" s="229"/>
      <c r="V1142" s="229"/>
      <c r="W1142" s="229"/>
      <c r="X1142" s="229"/>
    </row>
    <row r="1143" spans="1:24" ht="15.75" hidden="1">
      <c r="A1143" s="343"/>
      <c r="B1143" s="344"/>
      <c r="C1143" s="275"/>
      <c r="D1143" s="275"/>
      <c r="E1143" s="275"/>
      <c r="F1143" s="275"/>
      <c r="G1143" s="275"/>
      <c r="H1143" s="275"/>
      <c r="I1143" s="275"/>
      <c r="J1143" s="275"/>
      <c r="K1143" s="275"/>
      <c r="L1143" s="275"/>
      <c r="M1143" s="275"/>
      <c r="N1143" s="275"/>
      <c r="O1143" s="276"/>
      <c r="P1143" s="276"/>
      <c r="Q1143" s="247">
        <f t="shared" si="23"/>
        <v>0</v>
      </c>
      <c r="R1143" s="229"/>
      <c r="S1143" s="229"/>
      <c r="T1143" s="229"/>
      <c r="U1143" s="229"/>
      <c r="V1143" s="229"/>
      <c r="W1143" s="229"/>
      <c r="X1143" s="229"/>
    </row>
    <row r="1144" spans="1:24" ht="15.75" hidden="1">
      <c r="A1144" s="343"/>
      <c r="B1144" s="344"/>
      <c r="C1144" s="275"/>
      <c r="D1144" s="275"/>
      <c r="E1144" s="275"/>
      <c r="F1144" s="275"/>
      <c r="G1144" s="275"/>
      <c r="H1144" s="275"/>
      <c r="I1144" s="275"/>
      <c r="J1144" s="275"/>
      <c r="K1144" s="275"/>
      <c r="L1144" s="275"/>
      <c r="M1144" s="275"/>
      <c r="N1144" s="275"/>
      <c r="O1144" s="276"/>
      <c r="P1144" s="276"/>
      <c r="Q1144" s="247">
        <f t="shared" si="23"/>
        <v>0</v>
      </c>
      <c r="R1144" s="229"/>
      <c r="S1144" s="229"/>
      <c r="T1144" s="229"/>
      <c r="U1144" s="229"/>
      <c r="V1144" s="229"/>
      <c r="W1144" s="229"/>
      <c r="X1144" s="229"/>
    </row>
    <row r="1145" spans="1:24" ht="15.75" hidden="1">
      <c r="A1145" s="343"/>
      <c r="B1145" s="344"/>
      <c r="C1145" s="275"/>
      <c r="D1145" s="275"/>
      <c r="E1145" s="275"/>
      <c r="F1145" s="275"/>
      <c r="G1145" s="275"/>
      <c r="H1145" s="275"/>
      <c r="I1145" s="275"/>
      <c r="J1145" s="275"/>
      <c r="K1145" s="275"/>
      <c r="L1145" s="275"/>
      <c r="M1145" s="275"/>
      <c r="N1145" s="275"/>
      <c r="O1145" s="276"/>
      <c r="P1145" s="276"/>
      <c r="Q1145" s="247">
        <f t="shared" si="23"/>
        <v>0</v>
      </c>
      <c r="R1145" s="229"/>
      <c r="S1145" s="229"/>
      <c r="T1145" s="229"/>
      <c r="U1145" s="229"/>
      <c r="V1145" s="229"/>
      <c r="W1145" s="229"/>
      <c r="X1145" s="229"/>
    </row>
    <row r="1146" spans="1:24" ht="15.75" hidden="1">
      <c r="A1146" s="343"/>
      <c r="B1146" s="344"/>
      <c r="C1146" s="275"/>
      <c r="D1146" s="275"/>
      <c r="E1146" s="275"/>
      <c r="F1146" s="275"/>
      <c r="G1146" s="275"/>
      <c r="H1146" s="275"/>
      <c r="I1146" s="275"/>
      <c r="J1146" s="275"/>
      <c r="K1146" s="275"/>
      <c r="L1146" s="275"/>
      <c r="M1146" s="275"/>
      <c r="N1146" s="275"/>
      <c r="O1146" s="276"/>
      <c r="P1146" s="276"/>
      <c r="Q1146" s="247">
        <f t="shared" si="23"/>
        <v>0</v>
      </c>
      <c r="R1146" s="229"/>
      <c r="S1146" s="229"/>
      <c r="T1146" s="229"/>
      <c r="U1146" s="229"/>
      <c r="V1146" s="229"/>
      <c r="W1146" s="229"/>
      <c r="X1146" s="229"/>
    </row>
    <row r="1147" spans="1:24" ht="15.75" hidden="1">
      <c r="A1147" s="343"/>
      <c r="B1147" s="344"/>
      <c r="C1147" s="275"/>
      <c r="D1147" s="275"/>
      <c r="E1147" s="275"/>
      <c r="F1147" s="275"/>
      <c r="G1147" s="275"/>
      <c r="H1147" s="275"/>
      <c r="I1147" s="275"/>
      <c r="J1147" s="275"/>
      <c r="K1147" s="275"/>
      <c r="L1147" s="275"/>
      <c r="M1147" s="275"/>
      <c r="N1147" s="275"/>
      <c r="O1147" s="276"/>
      <c r="P1147" s="276"/>
      <c r="Q1147" s="247">
        <f t="shared" si="23"/>
        <v>0</v>
      </c>
      <c r="R1147" s="229"/>
      <c r="S1147" s="229"/>
      <c r="T1147" s="229"/>
      <c r="U1147" s="229"/>
      <c r="V1147" s="229"/>
      <c r="W1147" s="229"/>
      <c r="X1147" s="229"/>
    </row>
    <row r="1148" spans="1:24" ht="15.75" hidden="1">
      <c r="A1148" s="343"/>
      <c r="B1148" s="344"/>
      <c r="C1148" s="275"/>
      <c r="D1148" s="275"/>
      <c r="E1148" s="275"/>
      <c r="F1148" s="275"/>
      <c r="G1148" s="275"/>
      <c r="H1148" s="275"/>
      <c r="I1148" s="275"/>
      <c r="J1148" s="275"/>
      <c r="K1148" s="275"/>
      <c r="L1148" s="275"/>
      <c r="M1148" s="275"/>
      <c r="N1148" s="275"/>
      <c r="O1148" s="276"/>
      <c r="P1148" s="276"/>
      <c r="Q1148" s="247">
        <f t="shared" si="23"/>
        <v>0</v>
      </c>
      <c r="R1148" s="229"/>
      <c r="S1148" s="229"/>
      <c r="T1148" s="229"/>
      <c r="U1148" s="229"/>
      <c r="V1148" s="229"/>
      <c r="W1148" s="229"/>
      <c r="X1148" s="229"/>
    </row>
    <row r="1149" spans="1:24" ht="15.75" hidden="1">
      <c r="A1149" s="343"/>
      <c r="B1149" s="344"/>
      <c r="C1149" s="275"/>
      <c r="D1149" s="275"/>
      <c r="E1149" s="275"/>
      <c r="F1149" s="275"/>
      <c r="G1149" s="275"/>
      <c r="H1149" s="275"/>
      <c r="I1149" s="275"/>
      <c r="J1149" s="275"/>
      <c r="K1149" s="275"/>
      <c r="L1149" s="275"/>
      <c r="M1149" s="275"/>
      <c r="N1149" s="275"/>
      <c r="O1149" s="276"/>
      <c r="P1149" s="276"/>
      <c r="Q1149" s="247">
        <f t="shared" si="23"/>
        <v>0</v>
      </c>
      <c r="R1149" s="229"/>
      <c r="S1149" s="229"/>
      <c r="T1149" s="229"/>
      <c r="U1149" s="229"/>
      <c r="V1149" s="229"/>
      <c r="W1149" s="229"/>
      <c r="X1149" s="229"/>
    </row>
    <row r="1150" spans="1:24" ht="15.75" hidden="1">
      <c r="A1150" s="343"/>
      <c r="B1150" s="344"/>
      <c r="C1150" s="275"/>
      <c r="D1150" s="275"/>
      <c r="E1150" s="275"/>
      <c r="F1150" s="275"/>
      <c r="G1150" s="275"/>
      <c r="H1150" s="275"/>
      <c r="I1150" s="275"/>
      <c r="J1150" s="275"/>
      <c r="K1150" s="275"/>
      <c r="L1150" s="275"/>
      <c r="M1150" s="275"/>
      <c r="N1150" s="275"/>
      <c r="O1150" s="276"/>
      <c r="P1150" s="276"/>
      <c r="Q1150" s="247">
        <f t="shared" si="23"/>
        <v>0</v>
      </c>
      <c r="R1150" s="229"/>
      <c r="S1150" s="229"/>
      <c r="T1150" s="229"/>
      <c r="U1150" s="229"/>
      <c r="V1150" s="229"/>
      <c r="W1150" s="229"/>
      <c r="X1150" s="229"/>
    </row>
    <row r="1151" spans="1:24" ht="15.75" hidden="1">
      <c r="A1151" s="343"/>
      <c r="B1151" s="344"/>
      <c r="C1151" s="275"/>
      <c r="D1151" s="275"/>
      <c r="E1151" s="275"/>
      <c r="F1151" s="275"/>
      <c r="G1151" s="275"/>
      <c r="H1151" s="275"/>
      <c r="I1151" s="275"/>
      <c r="J1151" s="275"/>
      <c r="K1151" s="275"/>
      <c r="L1151" s="275"/>
      <c r="M1151" s="275"/>
      <c r="N1151" s="275"/>
      <c r="O1151" s="276"/>
      <c r="P1151" s="276"/>
      <c r="Q1151" s="247">
        <f t="shared" si="23"/>
        <v>0</v>
      </c>
      <c r="R1151" s="229"/>
      <c r="S1151" s="229"/>
      <c r="T1151" s="229"/>
      <c r="U1151" s="229"/>
      <c r="V1151" s="229"/>
      <c r="W1151" s="229"/>
      <c r="X1151" s="229"/>
    </row>
    <row r="1152" spans="1:24" ht="15.75" hidden="1">
      <c r="A1152" s="343"/>
      <c r="B1152" s="344"/>
      <c r="C1152" s="275"/>
      <c r="D1152" s="275"/>
      <c r="E1152" s="275"/>
      <c r="F1152" s="275"/>
      <c r="G1152" s="275"/>
      <c r="H1152" s="275"/>
      <c r="I1152" s="275"/>
      <c r="J1152" s="275"/>
      <c r="K1152" s="275"/>
      <c r="L1152" s="275"/>
      <c r="M1152" s="275"/>
      <c r="N1152" s="275"/>
      <c r="O1152" s="276"/>
      <c r="P1152" s="276"/>
      <c r="Q1152" s="247">
        <f t="shared" si="23"/>
        <v>0</v>
      </c>
      <c r="R1152" s="229"/>
      <c r="S1152" s="229"/>
      <c r="T1152" s="229"/>
      <c r="U1152" s="229"/>
      <c r="V1152" s="229"/>
      <c r="W1152" s="229"/>
      <c r="X1152" s="229"/>
    </row>
    <row r="1153" spans="1:24" ht="15.75" hidden="1">
      <c r="A1153" s="343"/>
      <c r="B1153" s="344"/>
      <c r="C1153" s="275"/>
      <c r="D1153" s="275"/>
      <c r="E1153" s="275"/>
      <c r="F1153" s="275"/>
      <c r="G1153" s="275"/>
      <c r="H1153" s="275"/>
      <c r="I1153" s="275"/>
      <c r="J1153" s="275"/>
      <c r="K1153" s="275"/>
      <c r="L1153" s="275"/>
      <c r="M1153" s="275"/>
      <c r="N1153" s="275"/>
      <c r="O1153" s="276"/>
      <c r="P1153" s="276"/>
      <c r="Q1153" s="247">
        <f t="shared" si="23"/>
        <v>0</v>
      </c>
      <c r="R1153" s="229"/>
      <c r="S1153" s="229"/>
      <c r="T1153" s="229"/>
      <c r="U1153" s="229"/>
      <c r="V1153" s="229"/>
      <c r="W1153" s="229"/>
      <c r="X1153" s="229"/>
    </row>
    <row r="1154" spans="1:24" ht="15.75" hidden="1">
      <c r="A1154" s="343"/>
      <c r="B1154" s="344"/>
      <c r="C1154" s="275"/>
      <c r="D1154" s="275"/>
      <c r="E1154" s="275"/>
      <c r="F1154" s="275"/>
      <c r="G1154" s="275"/>
      <c r="H1154" s="275"/>
      <c r="I1154" s="275"/>
      <c r="J1154" s="275"/>
      <c r="K1154" s="275"/>
      <c r="L1154" s="275"/>
      <c r="M1154" s="275"/>
      <c r="N1154" s="275"/>
      <c r="O1154" s="276"/>
      <c r="P1154" s="276"/>
      <c r="Q1154" s="247">
        <f t="shared" si="23"/>
        <v>0</v>
      </c>
      <c r="R1154" s="229"/>
      <c r="S1154" s="229"/>
      <c r="T1154" s="229"/>
      <c r="U1154" s="229"/>
      <c r="V1154" s="229"/>
      <c r="W1154" s="229"/>
      <c r="X1154" s="229"/>
    </row>
    <row r="1155" spans="1:24" ht="15.75" hidden="1">
      <c r="A1155" s="343"/>
      <c r="B1155" s="344"/>
      <c r="C1155" s="275"/>
      <c r="D1155" s="275"/>
      <c r="E1155" s="275"/>
      <c r="F1155" s="275"/>
      <c r="G1155" s="275"/>
      <c r="H1155" s="275"/>
      <c r="I1155" s="275"/>
      <c r="J1155" s="275"/>
      <c r="K1155" s="275"/>
      <c r="L1155" s="275"/>
      <c r="M1155" s="275"/>
      <c r="N1155" s="275"/>
      <c r="O1155" s="276"/>
      <c r="P1155" s="276"/>
      <c r="Q1155" s="247">
        <f t="shared" si="23"/>
        <v>0</v>
      </c>
      <c r="R1155" s="229"/>
      <c r="S1155" s="229"/>
      <c r="T1155" s="229"/>
      <c r="U1155" s="229"/>
      <c r="V1155" s="229"/>
      <c r="W1155" s="229"/>
      <c r="X1155" s="229"/>
    </row>
    <row r="1156" spans="1:24" ht="15.75" hidden="1">
      <c r="A1156" s="343"/>
      <c r="B1156" s="344"/>
      <c r="C1156" s="275"/>
      <c r="D1156" s="275"/>
      <c r="E1156" s="275"/>
      <c r="F1156" s="275"/>
      <c r="G1156" s="275"/>
      <c r="H1156" s="275"/>
      <c r="I1156" s="275"/>
      <c r="J1156" s="275"/>
      <c r="K1156" s="275"/>
      <c r="L1156" s="275"/>
      <c r="M1156" s="275"/>
      <c r="N1156" s="275"/>
      <c r="O1156" s="276"/>
      <c r="P1156" s="276"/>
      <c r="Q1156" s="247">
        <f t="shared" si="23"/>
        <v>0</v>
      </c>
      <c r="R1156" s="229"/>
      <c r="S1156" s="229"/>
      <c r="T1156" s="229"/>
      <c r="U1156" s="229"/>
      <c r="V1156" s="229"/>
      <c r="W1156" s="229"/>
      <c r="X1156" s="229"/>
    </row>
    <row r="1157" spans="1:24" ht="15.75" hidden="1">
      <c r="A1157" s="343"/>
      <c r="B1157" s="344"/>
      <c r="C1157" s="275"/>
      <c r="D1157" s="275"/>
      <c r="E1157" s="275"/>
      <c r="F1157" s="275"/>
      <c r="G1157" s="275"/>
      <c r="H1157" s="275"/>
      <c r="I1157" s="275"/>
      <c r="J1157" s="275"/>
      <c r="K1157" s="275"/>
      <c r="L1157" s="275"/>
      <c r="M1157" s="275"/>
      <c r="N1157" s="275"/>
      <c r="O1157" s="276"/>
      <c r="P1157" s="276"/>
      <c r="Q1157" s="247">
        <f t="shared" si="23"/>
        <v>0</v>
      </c>
      <c r="R1157" s="229"/>
      <c r="S1157" s="229"/>
      <c r="T1157" s="229"/>
      <c r="U1157" s="229"/>
      <c r="V1157" s="229"/>
      <c r="W1157" s="229"/>
      <c r="X1157" s="229"/>
    </row>
    <row r="1158" spans="1:24" ht="15.75" hidden="1">
      <c r="A1158" s="343"/>
      <c r="B1158" s="344"/>
      <c r="C1158" s="275"/>
      <c r="D1158" s="275"/>
      <c r="E1158" s="275"/>
      <c r="F1158" s="275"/>
      <c r="G1158" s="275"/>
      <c r="H1158" s="275"/>
      <c r="I1158" s="275"/>
      <c r="J1158" s="275"/>
      <c r="K1158" s="275"/>
      <c r="L1158" s="275"/>
      <c r="M1158" s="275"/>
      <c r="N1158" s="275"/>
      <c r="O1158" s="276"/>
      <c r="P1158" s="276"/>
      <c r="Q1158" s="247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9"/>
      <c r="S1158" s="229"/>
      <c r="T1158" s="229"/>
      <c r="U1158" s="229"/>
      <c r="V1158" s="229"/>
      <c r="W1158" s="229"/>
      <c r="X1158" s="229"/>
    </row>
    <row r="1159" spans="1:24" ht="15.75" hidden="1">
      <c r="A1159" s="343"/>
      <c r="B1159" s="344"/>
      <c r="C1159" s="275"/>
      <c r="D1159" s="275"/>
      <c r="E1159" s="275"/>
      <c r="F1159" s="275"/>
      <c r="G1159" s="275"/>
      <c r="H1159" s="275"/>
      <c r="I1159" s="275"/>
      <c r="J1159" s="275"/>
      <c r="K1159" s="275"/>
      <c r="L1159" s="275"/>
      <c r="M1159" s="275"/>
      <c r="N1159" s="275"/>
      <c r="O1159" s="276"/>
      <c r="P1159" s="276"/>
      <c r="Q1159" s="247">
        <f t="shared" si="24"/>
        <v>0</v>
      </c>
      <c r="R1159" s="229"/>
      <c r="S1159" s="229"/>
      <c r="T1159" s="229"/>
      <c r="U1159" s="229"/>
      <c r="V1159" s="229"/>
      <c r="W1159" s="229"/>
      <c r="X1159" s="229"/>
    </row>
    <row r="1160" spans="1:24" ht="15.75" hidden="1">
      <c r="A1160" s="343"/>
      <c r="B1160" s="344"/>
      <c r="C1160" s="275"/>
      <c r="D1160" s="275"/>
      <c r="E1160" s="275"/>
      <c r="F1160" s="275"/>
      <c r="G1160" s="275"/>
      <c r="H1160" s="275"/>
      <c r="I1160" s="275"/>
      <c r="J1160" s="275"/>
      <c r="K1160" s="275"/>
      <c r="L1160" s="275"/>
      <c r="M1160" s="275"/>
      <c r="N1160" s="275"/>
      <c r="O1160" s="276"/>
      <c r="P1160" s="276"/>
      <c r="Q1160" s="247">
        <f t="shared" si="24"/>
        <v>0</v>
      </c>
      <c r="R1160" s="229"/>
      <c r="S1160" s="229"/>
      <c r="T1160" s="229"/>
      <c r="U1160" s="229"/>
      <c r="V1160" s="229"/>
      <c r="W1160" s="229"/>
      <c r="X1160" s="229"/>
    </row>
    <row r="1161" spans="1:24" ht="15.75" hidden="1">
      <c r="A1161" s="343"/>
      <c r="B1161" s="344"/>
      <c r="C1161" s="275"/>
      <c r="D1161" s="275"/>
      <c r="E1161" s="275"/>
      <c r="F1161" s="275"/>
      <c r="G1161" s="275"/>
      <c r="H1161" s="275"/>
      <c r="I1161" s="275"/>
      <c r="J1161" s="275"/>
      <c r="K1161" s="275"/>
      <c r="L1161" s="275"/>
      <c r="M1161" s="275"/>
      <c r="N1161" s="275"/>
      <c r="O1161" s="276"/>
      <c r="P1161" s="276"/>
      <c r="Q1161" s="247">
        <f t="shared" si="24"/>
        <v>0</v>
      </c>
      <c r="R1161" s="229"/>
      <c r="S1161" s="229"/>
      <c r="T1161" s="229"/>
      <c r="U1161" s="229"/>
      <c r="V1161" s="229"/>
      <c r="W1161" s="229"/>
      <c r="X1161" s="229"/>
    </row>
    <row r="1162" spans="1:24" ht="15.75" hidden="1">
      <c r="A1162" s="343"/>
      <c r="B1162" s="344"/>
      <c r="C1162" s="275"/>
      <c r="D1162" s="275"/>
      <c r="E1162" s="275"/>
      <c r="F1162" s="275"/>
      <c r="G1162" s="275"/>
      <c r="H1162" s="275"/>
      <c r="I1162" s="275"/>
      <c r="J1162" s="275"/>
      <c r="K1162" s="275"/>
      <c r="L1162" s="275"/>
      <c r="M1162" s="275"/>
      <c r="N1162" s="275"/>
      <c r="O1162" s="276"/>
      <c r="P1162" s="276"/>
      <c r="Q1162" s="247">
        <f t="shared" si="24"/>
        <v>0</v>
      </c>
      <c r="R1162" s="229"/>
      <c r="S1162" s="229"/>
      <c r="T1162" s="229"/>
      <c r="U1162" s="229"/>
      <c r="V1162" s="229"/>
      <c r="W1162" s="229"/>
      <c r="X1162" s="229"/>
    </row>
    <row r="1163" spans="1:24" ht="15.75" hidden="1">
      <c r="A1163" s="343"/>
      <c r="B1163" s="344"/>
      <c r="C1163" s="275"/>
      <c r="D1163" s="275"/>
      <c r="E1163" s="275"/>
      <c r="F1163" s="275"/>
      <c r="G1163" s="275"/>
      <c r="H1163" s="275"/>
      <c r="I1163" s="275"/>
      <c r="J1163" s="275"/>
      <c r="K1163" s="275"/>
      <c r="L1163" s="275"/>
      <c r="M1163" s="275"/>
      <c r="N1163" s="275"/>
      <c r="O1163" s="276"/>
      <c r="P1163" s="276"/>
      <c r="Q1163" s="247">
        <f t="shared" si="24"/>
        <v>0</v>
      </c>
      <c r="R1163" s="229"/>
      <c r="S1163" s="229"/>
      <c r="T1163" s="229"/>
      <c r="U1163" s="229"/>
      <c r="V1163" s="229"/>
      <c r="W1163" s="229"/>
      <c r="X1163" s="229"/>
    </row>
    <row r="1164" spans="1:24" ht="15.75" hidden="1">
      <c r="A1164" s="343"/>
      <c r="B1164" s="344"/>
      <c r="C1164" s="275"/>
      <c r="D1164" s="275"/>
      <c r="E1164" s="275"/>
      <c r="F1164" s="275"/>
      <c r="G1164" s="275"/>
      <c r="H1164" s="275"/>
      <c r="I1164" s="275"/>
      <c r="J1164" s="275"/>
      <c r="K1164" s="275"/>
      <c r="L1164" s="275"/>
      <c r="M1164" s="275"/>
      <c r="N1164" s="275"/>
      <c r="O1164" s="276"/>
      <c r="P1164" s="276"/>
      <c r="Q1164" s="247">
        <f t="shared" si="24"/>
        <v>0</v>
      </c>
      <c r="R1164" s="229"/>
      <c r="S1164" s="229"/>
      <c r="T1164" s="229"/>
      <c r="U1164" s="229"/>
      <c r="V1164" s="229"/>
      <c r="W1164" s="229"/>
      <c r="X1164" s="229"/>
    </row>
    <row r="1165" spans="1:24" ht="15.75" hidden="1">
      <c r="A1165" s="343"/>
      <c r="B1165" s="344"/>
      <c r="C1165" s="275"/>
      <c r="D1165" s="275"/>
      <c r="E1165" s="275"/>
      <c r="F1165" s="275"/>
      <c r="G1165" s="275"/>
      <c r="H1165" s="275"/>
      <c r="I1165" s="275"/>
      <c r="J1165" s="275"/>
      <c r="K1165" s="275"/>
      <c r="L1165" s="275"/>
      <c r="M1165" s="275"/>
      <c r="N1165" s="275"/>
      <c r="O1165" s="276"/>
      <c r="P1165" s="276"/>
      <c r="Q1165" s="247">
        <f t="shared" si="24"/>
        <v>0</v>
      </c>
      <c r="R1165" s="229"/>
      <c r="S1165" s="229"/>
      <c r="T1165" s="229"/>
      <c r="U1165" s="229"/>
      <c r="V1165" s="229"/>
      <c r="W1165" s="229"/>
      <c r="X1165" s="229"/>
    </row>
    <row r="1166" spans="1:24" ht="15.75" hidden="1">
      <c r="A1166" s="343"/>
      <c r="B1166" s="344"/>
      <c r="C1166" s="275"/>
      <c r="D1166" s="275"/>
      <c r="E1166" s="275"/>
      <c r="F1166" s="275"/>
      <c r="G1166" s="275"/>
      <c r="H1166" s="275"/>
      <c r="I1166" s="275"/>
      <c r="J1166" s="275"/>
      <c r="K1166" s="275"/>
      <c r="L1166" s="275"/>
      <c r="M1166" s="275"/>
      <c r="N1166" s="275"/>
      <c r="O1166" s="276"/>
      <c r="P1166" s="276"/>
      <c r="Q1166" s="247">
        <f t="shared" si="24"/>
        <v>0</v>
      </c>
      <c r="R1166" s="229"/>
      <c r="S1166" s="229"/>
      <c r="T1166" s="229"/>
      <c r="U1166" s="229"/>
      <c r="V1166" s="229"/>
      <c r="W1166" s="229"/>
      <c r="X1166" s="229"/>
    </row>
    <row r="1167" spans="1:24" ht="15.75" hidden="1">
      <c r="A1167" s="343"/>
      <c r="B1167" s="344"/>
      <c r="C1167" s="275"/>
      <c r="D1167" s="275"/>
      <c r="E1167" s="275"/>
      <c r="F1167" s="275"/>
      <c r="G1167" s="275"/>
      <c r="H1167" s="275"/>
      <c r="I1167" s="275"/>
      <c r="J1167" s="275"/>
      <c r="K1167" s="275"/>
      <c r="L1167" s="275"/>
      <c r="M1167" s="275"/>
      <c r="N1167" s="275"/>
      <c r="O1167" s="276"/>
      <c r="P1167" s="276"/>
      <c r="Q1167" s="247">
        <f t="shared" si="24"/>
        <v>0</v>
      </c>
      <c r="R1167" s="229"/>
      <c r="S1167" s="229"/>
      <c r="T1167" s="229"/>
      <c r="U1167" s="229"/>
      <c r="V1167" s="229"/>
      <c r="W1167" s="229"/>
      <c r="X1167" s="229"/>
    </row>
    <row r="1168" spans="1:24" ht="15.75" hidden="1">
      <c r="A1168" s="343"/>
      <c r="B1168" s="344"/>
      <c r="C1168" s="275"/>
      <c r="D1168" s="275"/>
      <c r="E1168" s="275"/>
      <c r="F1168" s="275"/>
      <c r="G1168" s="275"/>
      <c r="H1168" s="275"/>
      <c r="I1168" s="275"/>
      <c r="J1168" s="275"/>
      <c r="K1168" s="275"/>
      <c r="L1168" s="275"/>
      <c r="M1168" s="275"/>
      <c r="N1168" s="275"/>
      <c r="O1168" s="276"/>
      <c r="P1168" s="276"/>
      <c r="Q1168" s="247">
        <f t="shared" si="24"/>
        <v>0</v>
      </c>
      <c r="R1168" s="229"/>
      <c r="S1168" s="229"/>
      <c r="T1168" s="229"/>
      <c r="U1168" s="229"/>
      <c r="V1168" s="229"/>
      <c r="W1168" s="229"/>
      <c r="X1168" s="229"/>
    </row>
    <row r="1169" spans="1:24" ht="15.75" hidden="1">
      <c r="A1169" s="343"/>
      <c r="B1169" s="344"/>
      <c r="C1169" s="275"/>
      <c r="D1169" s="275"/>
      <c r="E1169" s="275"/>
      <c r="F1169" s="275"/>
      <c r="G1169" s="275"/>
      <c r="H1169" s="275"/>
      <c r="I1169" s="275"/>
      <c r="J1169" s="275"/>
      <c r="K1169" s="275"/>
      <c r="L1169" s="275"/>
      <c r="M1169" s="275"/>
      <c r="N1169" s="275"/>
      <c r="O1169" s="276"/>
      <c r="P1169" s="276"/>
      <c r="Q1169" s="247">
        <f t="shared" si="24"/>
        <v>0</v>
      </c>
      <c r="R1169" s="229"/>
      <c r="S1169" s="229"/>
      <c r="T1169" s="229"/>
      <c r="U1169" s="229"/>
      <c r="V1169" s="229"/>
      <c r="W1169" s="229"/>
      <c r="X1169" s="229"/>
    </row>
    <row r="1170" spans="1:24" ht="15.75" hidden="1">
      <c r="A1170" s="343"/>
      <c r="B1170" s="344"/>
      <c r="C1170" s="275"/>
      <c r="D1170" s="275"/>
      <c r="E1170" s="275"/>
      <c r="F1170" s="275"/>
      <c r="G1170" s="275"/>
      <c r="H1170" s="275"/>
      <c r="I1170" s="275"/>
      <c r="J1170" s="275"/>
      <c r="K1170" s="275"/>
      <c r="L1170" s="275"/>
      <c r="M1170" s="275"/>
      <c r="N1170" s="275"/>
      <c r="O1170" s="276"/>
      <c r="P1170" s="276"/>
      <c r="Q1170" s="247">
        <f t="shared" si="24"/>
        <v>0</v>
      </c>
      <c r="R1170" s="229"/>
      <c r="S1170" s="229"/>
      <c r="T1170" s="229"/>
      <c r="U1170" s="229"/>
      <c r="V1170" s="229"/>
      <c r="W1170" s="229"/>
      <c r="X1170" s="229"/>
    </row>
    <row r="1171" spans="1:24" ht="15.75" hidden="1">
      <c r="A1171" s="343"/>
      <c r="B1171" s="344"/>
      <c r="C1171" s="275"/>
      <c r="D1171" s="275"/>
      <c r="E1171" s="275"/>
      <c r="F1171" s="275"/>
      <c r="G1171" s="275"/>
      <c r="H1171" s="275"/>
      <c r="I1171" s="275"/>
      <c r="J1171" s="275"/>
      <c r="K1171" s="275"/>
      <c r="L1171" s="275"/>
      <c r="M1171" s="275"/>
      <c r="N1171" s="275"/>
      <c r="O1171" s="276"/>
      <c r="P1171" s="276"/>
      <c r="Q1171" s="247">
        <f t="shared" si="24"/>
        <v>0</v>
      </c>
      <c r="R1171" s="229"/>
      <c r="S1171" s="229"/>
      <c r="T1171" s="229"/>
      <c r="U1171" s="229"/>
      <c r="V1171" s="229"/>
      <c r="W1171" s="229"/>
      <c r="X1171" s="229"/>
    </row>
    <row r="1172" spans="1:24" ht="15.75" hidden="1">
      <c r="A1172" s="343"/>
      <c r="B1172" s="344"/>
      <c r="C1172" s="275"/>
      <c r="D1172" s="275"/>
      <c r="E1172" s="275"/>
      <c r="F1172" s="275"/>
      <c r="G1172" s="275"/>
      <c r="H1172" s="275"/>
      <c r="I1172" s="275"/>
      <c r="J1172" s="275"/>
      <c r="K1172" s="275"/>
      <c r="L1172" s="275"/>
      <c r="M1172" s="275"/>
      <c r="N1172" s="275"/>
      <c r="O1172" s="276"/>
      <c r="P1172" s="276"/>
      <c r="Q1172" s="247">
        <f t="shared" si="24"/>
        <v>0</v>
      </c>
      <c r="R1172" s="229"/>
      <c r="S1172" s="229"/>
      <c r="T1172" s="229"/>
      <c r="U1172" s="229"/>
      <c r="V1172" s="229"/>
      <c r="W1172" s="229"/>
      <c r="X1172" s="229"/>
    </row>
    <row r="1173" spans="1:24" ht="15.75" hidden="1">
      <c r="A1173" s="343"/>
      <c r="B1173" s="344"/>
      <c r="C1173" s="275"/>
      <c r="D1173" s="275"/>
      <c r="E1173" s="275"/>
      <c r="F1173" s="275"/>
      <c r="G1173" s="275"/>
      <c r="H1173" s="275"/>
      <c r="I1173" s="275"/>
      <c r="J1173" s="275"/>
      <c r="K1173" s="275"/>
      <c r="L1173" s="275"/>
      <c r="M1173" s="275"/>
      <c r="N1173" s="275"/>
      <c r="O1173" s="276"/>
      <c r="P1173" s="276"/>
      <c r="Q1173" s="247">
        <f t="shared" si="24"/>
        <v>0</v>
      </c>
      <c r="R1173" s="229"/>
      <c r="S1173" s="229"/>
      <c r="T1173" s="229"/>
      <c r="U1173" s="229"/>
      <c r="V1173" s="229"/>
      <c r="W1173" s="229"/>
      <c r="X1173" s="229"/>
    </row>
    <row r="1174" spans="1:24" ht="15.75" hidden="1">
      <c r="A1174" s="343"/>
      <c r="B1174" s="344"/>
      <c r="C1174" s="275"/>
      <c r="D1174" s="275"/>
      <c r="E1174" s="275"/>
      <c r="F1174" s="275"/>
      <c r="G1174" s="275"/>
      <c r="H1174" s="275"/>
      <c r="I1174" s="275"/>
      <c r="J1174" s="275"/>
      <c r="K1174" s="275"/>
      <c r="L1174" s="275"/>
      <c r="M1174" s="275"/>
      <c r="N1174" s="275"/>
      <c r="O1174" s="276"/>
      <c r="P1174" s="276"/>
      <c r="Q1174" s="247">
        <f t="shared" si="24"/>
        <v>0</v>
      </c>
      <c r="R1174" s="229"/>
      <c r="S1174" s="229"/>
      <c r="T1174" s="229"/>
      <c r="U1174" s="229"/>
      <c r="V1174" s="229"/>
      <c r="W1174" s="229"/>
      <c r="X1174" s="229"/>
    </row>
    <row r="1175" spans="1:24" ht="15.75" hidden="1">
      <c r="A1175" s="343"/>
      <c r="B1175" s="344"/>
      <c r="C1175" s="275"/>
      <c r="D1175" s="275"/>
      <c r="E1175" s="275"/>
      <c r="F1175" s="275"/>
      <c r="G1175" s="275"/>
      <c r="H1175" s="275"/>
      <c r="I1175" s="275"/>
      <c r="J1175" s="275"/>
      <c r="K1175" s="275"/>
      <c r="L1175" s="275"/>
      <c r="M1175" s="275"/>
      <c r="N1175" s="275"/>
      <c r="O1175" s="276"/>
      <c r="P1175" s="276"/>
      <c r="Q1175" s="247">
        <f t="shared" si="24"/>
        <v>0</v>
      </c>
      <c r="R1175" s="229"/>
      <c r="S1175" s="229"/>
      <c r="T1175" s="229"/>
      <c r="U1175" s="229"/>
      <c r="V1175" s="229"/>
      <c r="W1175" s="229"/>
      <c r="X1175" s="229"/>
    </row>
    <row r="1176" spans="1:24" ht="15.75" hidden="1">
      <c r="A1176" s="343"/>
      <c r="B1176" s="344"/>
      <c r="C1176" s="275"/>
      <c r="D1176" s="275"/>
      <c r="E1176" s="275"/>
      <c r="F1176" s="275"/>
      <c r="G1176" s="275"/>
      <c r="H1176" s="275"/>
      <c r="I1176" s="275"/>
      <c r="J1176" s="275"/>
      <c r="K1176" s="275"/>
      <c r="L1176" s="275"/>
      <c r="M1176" s="275"/>
      <c r="N1176" s="275"/>
      <c r="O1176" s="276"/>
      <c r="P1176" s="276"/>
      <c r="Q1176" s="247">
        <f t="shared" si="24"/>
        <v>0</v>
      </c>
      <c r="R1176" s="229"/>
      <c r="S1176" s="229"/>
      <c r="T1176" s="229"/>
      <c r="U1176" s="229"/>
      <c r="V1176" s="229"/>
      <c r="W1176" s="229"/>
      <c r="X1176" s="229"/>
    </row>
    <row r="1177" spans="1:24" ht="15.75" hidden="1">
      <c r="A1177" s="343"/>
      <c r="B1177" s="344"/>
      <c r="C1177" s="275"/>
      <c r="D1177" s="275"/>
      <c r="E1177" s="275"/>
      <c r="F1177" s="275"/>
      <c r="G1177" s="275"/>
      <c r="H1177" s="275"/>
      <c r="I1177" s="275"/>
      <c r="J1177" s="275"/>
      <c r="K1177" s="275"/>
      <c r="L1177" s="275"/>
      <c r="M1177" s="275"/>
      <c r="N1177" s="275"/>
      <c r="O1177" s="276"/>
      <c r="P1177" s="276"/>
      <c r="Q1177" s="247">
        <f t="shared" si="24"/>
        <v>0</v>
      </c>
      <c r="R1177" s="229"/>
      <c r="S1177" s="229"/>
      <c r="T1177" s="229"/>
      <c r="U1177" s="229"/>
      <c r="V1177" s="229"/>
      <c r="W1177" s="229"/>
      <c r="X1177" s="229"/>
    </row>
    <row r="1178" spans="1:24" ht="15.75" hidden="1">
      <c r="A1178" s="343"/>
      <c r="B1178" s="344"/>
      <c r="C1178" s="275"/>
      <c r="D1178" s="275"/>
      <c r="E1178" s="275"/>
      <c r="F1178" s="275"/>
      <c r="G1178" s="275"/>
      <c r="H1178" s="275"/>
      <c r="I1178" s="275"/>
      <c r="J1178" s="275"/>
      <c r="K1178" s="275"/>
      <c r="L1178" s="275"/>
      <c r="M1178" s="275"/>
      <c r="N1178" s="275"/>
      <c r="O1178" s="276"/>
      <c r="P1178" s="276"/>
      <c r="Q1178" s="247">
        <f t="shared" si="24"/>
        <v>0</v>
      </c>
      <c r="R1178" s="229"/>
      <c r="S1178" s="229"/>
      <c r="T1178" s="229"/>
      <c r="U1178" s="229"/>
      <c r="V1178" s="229"/>
      <c r="W1178" s="229"/>
      <c r="X1178" s="229"/>
    </row>
    <row r="1179" spans="1:24" ht="15.75" hidden="1">
      <c r="A1179" s="343"/>
      <c r="B1179" s="344"/>
      <c r="C1179" s="275"/>
      <c r="D1179" s="275"/>
      <c r="E1179" s="275"/>
      <c r="F1179" s="275"/>
      <c r="G1179" s="275"/>
      <c r="H1179" s="275"/>
      <c r="I1179" s="275"/>
      <c r="J1179" s="275"/>
      <c r="K1179" s="275"/>
      <c r="L1179" s="275"/>
      <c r="M1179" s="275"/>
      <c r="N1179" s="275"/>
      <c r="O1179" s="276"/>
      <c r="P1179" s="276"/>
      <c r="Q1179" s="247">
        <f t="shared" si="24"/>
        <v>0</v>
      </c>
      <c r="R1179" s="229"/>
      <c r="S1179" s="229"/>
      <c r="T1179" s="229"/>
      <c r="U1179" s="229"/>
      <c r="V1179" s="229"/>
      <c r="W1179" s="229"/>
      <c r="X1179" s="229"/>
    </row>
    <row r="1180" spans="1:24" ht="15.75" hidden="1">
      <c r="A1180" s="343"/>
      <c r="B1180" s="344"/>
      <c r="C1180" s="275"/>
      <c r="D1180" s="275"/>
      <c r="E1180" s="275"/>
      <c r="F1180" s="275"/>
      <c r="G1180" s="275"/>
      <c r="H1180" s="275"/>
      <c r="I1180" s="275"/>
      <c r="J1180" s="275"/>
      <c r="K1180" s="275"/>
      <c r="L1180" s="275"/>
      <c r="M1180" s="275"/>
      <c r="N1180" s="275"/>
      <c r="O1180" s="276"/>
      <c r="P1180" s="276"/>
      <c r="Q1180" s="247">
        <f t="shared" si="24"/>
        <v>0</v>
      </c>
      <c r="R1180" s="229"/>
      <c r="S1180" s="229"/>
      <c r="T1180" s="229"/>
      <c r="U1180" s="229"/>
      <c r="V1180" s="229"/>
      <c r="W1180" s="229"/>
      <c r="X1180" s="229"/>
    </row>
    <row r="1181" spans="1:24" ht="15.75" hidden="1">
      <c r="A1181" s="343"/>
      <c r="B1181" s="344"/>
      <c r="C1181" s="275"/>
      <c r="D1181" s="275"/>
      <c r="E1181" s="275"/>
      <c r="F1181" s="275"/>
      <c r="G1181" s="275"/>
      <c r="H1181" s="275"/>
      <c r="I1181" s="275"/>
      <c r="J1181" s="275"/>
      <c r="K1181" s="275"/>
      <c r="L1181" s="275"/>
      <c r="M1181" s="275"/>
      <c r="N1181" s="275"/>
      <c r="O1181" s="276"/>
      <c r="P1181" s="276"/>
      <c r="Q1181" s="247">
        <f t="shared" si="24"/>
        <v>0</v>
      </c>
      <c r="R1181" s="229"/>
      <c r="S1181" s="229"/>
      <c r="T1181" s="229"/>
      <c r="U1181" s="229"/>
      <c r="V1181" s="229"/>
      <c r="W1181" s="229"/>
      <c r="X1181" s="229"/>
    </row>
    <row r="1182" spans="1:24" ht="15.75" hidden="1">
      <c r="A1182" s="343"/>
      <c r="B1182" s="344"/>
      <c r="C1182" s="275"/>
      <c r="D1182" s="275"/>
      <c r="E1182" s="275"/>
      <c r="F1182" s="275"/>
      <c r="G1182" s="275"/>
      <c r="H1182" s="275"/>
      <c r="I1182" s="275"/>
      <c r="J1182" s="275"/>
      <c r="K1182" s="275"/>
      <c r="L1182" s="275"/>
      <c r="M1182" s="275"/>
      <c r="N1182" s="275"/>
      <c r="O1182" s="276"/>
      <c r="P1182" s="276"/>
      <c r="Q1182" s="247">
        <f t="shared" si="24"/>
        <v>0</v>
      </c>
      <c r="R1182" s="229"/>
      <c r="S1182" s="229"/>
      <c r="T1182" s="229"/>
      <c r="U1182" s="229"/>
      <c r="V1182" s="229"/>
      <c r="W1182" s="229"/>
      <c r="X1182" s="229"/>
    </row>
    <row r="1183" spans="1:24" ht="15.75" hidden="1">
      <c r="A1183" s="343"/>
      <c r="B1183" s="344"/>
      <c r="C1183" s="275"/>
      <c r="D1183" s="275"/>
      <c r="E1183" s="275"/>
      <c r="F1183" s="275"/>
      <c r="G1183" s="275"/>
      <c r="H1183" s="275"/>
      <c r="I1183" s="275"/>
      <c r="J1183" s="275"/>
      <c r="K1183" s="275"/>
      <c r="L1183" s="275"/>
      <c r="M1183" s="275"/>
      <c r="N1183" s="275"/>
      <c r="O1183" s="276"/>
      <c r="P1183" s="276"/>
      <c r="Q1183" s="247">
        <f t="shared" si="24"/>
        <v>0</v>
      </c>
      <c r="R1183" s="229"/>
      <c r="S1183" s="229"/>
      <c r="T1183" s="229"/>
      <c r="U1183" s="229"/>
      <c r="V1183" s="229"/>
      <c r="W1183" s="229"/>
      <c r="X1183" s="229"/>
    </row>
    <row r="1184" spans="1:24" ht="15.75" hidden="1">
      <c r="A1184" s="343"/>
      <c r="B1184" s="344"/>
      <c r="C1184" s="275"/>
      <c r="D1184" s="275"/>
      <c r="E1184" s="275"/>
      <c r="F1184" s="275"/>
      <c r="G1184" s="275"/>
      <c r="H1184" s="275"/>
      <c r="I1184" s="275"/>
      <c r="J1184" s="275"/>
      <c r="K1184" s="275"/>
      <c r="L1184" s="275"/>
      <c r="M1184" s="275"/>
      <c r="N1184" s="275"/>
      <c r="O1184" s="276"/>
      <c r="P1184" s="276"/>
      <c r="Q1184" s="247">
        <f t="shared" si="24"/>
        <v>0</v>
      </c>
      <c r="R1184" s="229"/>
      <c r="S1184" s="229"/>
      <c r="T1184" s="229"/>
      <c r="U1184" s="229"/>
      <c r="V1184" s="229"/>
      <c r="W1184" s="229"/>
      <c r="X1184" s="229"/>
    </row>
    <row r="1185" spans="1:24" ht="15.75" hidden="1">
      <c r="A1185" s="343"/>
      <c r="B1185" s="344"/>
      <c r="C1185" s="275"/>
      <c r="D1185" s="275"/>
      <c r="E1185" s="275"/>
      <c r="F1185" s="275"/>
      <c r="G1185" s="275"/>
      <c r="H1185" s="275"/>
      <c r="I1185" s="275"/>
      <c r="J1185" s="275"/>
      <c r="K1185" s="275"/>
      <c r="L1185" s="275"/>
      <c r="M1185" s="275"/>
      <c r="N1185" s="275"/>
      <c r="O1185" s="276"/>
      <c r="P1185" s="276"/>
      <c r="Q1185" s="247">
        <f t="shared" si="24"/>
        <v>0</v>
      </c>
      <c r="R1185" s="229"/>
      <c r="S1185" s="229"/>
      <c r="T1185" s="229"/>
      <c r="U1185" s="229"/>
      <c r="V1185" s="229"/>
      <c r="W1185" s="229"/>
      <c r="X1185" s="229"/>
    </row>
    <row r="1186" spans="1:24" ht="15.75" hidden="1">
      <c r="A1186" s="343"/>
      <c r="B1186" s="344"/>
      <c r="C1186" s="275"/>
      <c r="D1186" s="275"/>
      <c r="E1186" s="275"/>
      <c r="F1186" s="275"/>
      <c r="G1186" s="275"/>
      <c r="H1186" s="275"/>
      <c r="I1186" s="275"/>
      <c r="J1186" s="275"/>
      <c r="K1186" s="275"/>
      <c r="L1186" s="275"/>
      <c r="M1186" s="275"/>
      <c r="N1186" s="275"/>
      <c r="O1186" s="276"/>
      <c r="P1186" s="276"/>
      <c r="Q1186" s="247">
        <f t="shared" si="24"/>
        <v>0</v>
      </c>
      <c r="R1186" s="229"/>
      <c r="S1186" s="229"/>
      <c r="T1186" s="229"/>
      <c r="U1186" s="229"/>
      <c r="V1186" s="229"/>
      <c r="W1186" s="229"/>
      <c r="X1186" s="229"/>
    </row>
    <row r="1187" spans="1:24" ht="15.75" hidden="1">
      <c r="A1187" s="343"/>
      <c r="B1187" s="344"/>
      <c r="C1187" s="275"/>
      <c r="D1187" s="275"/>
      <c r="E1187" s="275"/>
      <c r="F1187" s="275"/>
      <c r="G1187" s="275"/>
      <c r="H1187" s="275"/>
      <c r="I1187" s="275"/>
      <c r="J1187" s="275"/>
      <c r="K1187" s="275"/>
      <c r="L1187" s="275"/>
      <c r="M1187" s="275"/>
      <c r="N1187" s="275"/>
      <c r="O1187" s="276"/>
      <c r="P1187" s="276"/>
      <c r="Q1187" s="247">
        <f t="shared" si="24"/>
        <v>0</v>
      </c>
      <c r="R1187" s="229"/>
      <c r="S1187" s="229"/>
      <c r="T1187" s="229"/>
      <c r="U1187" s="229"/>
      <c r="V1187" s="229"/>
      <c r="W1187" s="229"/>
      <c r="X1187" s="229"/>
    </row>
    <row r="1188" spans="1:24" ht="15.75" hidden="1">
      <c r="A1188" s="343"/>
      <c r="B1188" s="344"/>
      <c r="C1188" s="275"/>
      <c r="D1188" s="275"/>
      <c r="E1188" s="275"/>
      <c r="F1188" s="275"/>
      <c r="G1188" s="275"/>
      <c r="H1188" s="275"/>
      <c r="I1188" s="275"/>
      <c r="J1188" s="275"/>
      <c r="K1188" s="275"/>
      <c r="L1188" s="275"/>
      <c r="M1188" s="275"/>
      <c r="N1188" s="275"/>
      <c r="O1188" s="276"/>
      <c r="P1188" s="276"/>
      <c r="Q1188" s="247">
        <f t="shared" si="24"/>
        <v>0</v>
      </c>
      <c r="R1188" s="229"/>
      <c r="S1188" s="229"/>
      <c r="T1188" s="229"/>
      <c r="U1188" s="229"/>
      <c r="V1188" s="229"/>
      <c r="W1188" s="229"/>
      <c r="X1188" s="229"/>
    </row>
    <row r="1189" spans="1:24" ht="15.75" hidden="1">
      <c r="A1189" s="343"/>
      <c r="B1189" s="344"/>
      <c r="C1189" s="275"/>
      <c r="D1189" s="275"/>
      <c r="E1189" s="275"/>
      <c r="F1189" s="275"/>
      <c r="G1189" s="275"/>
      <c r="H1189" s="275"/>
      <c r="I1189" s="275"/>
      <c r="J1189" s="275"/>
      <c r="K1189" s="275"/>
      <c r="L1189" s="275"/>
      <c r="M1189" s="275"/>
      <c r="N1189" s="275"/>
      <c r="O1189" s="276"/>
      <c r="P1189" s="276"/>
      <c r="Q1189" s="247">
        <f t="shared" si="24"/>
        <v>0</v>
      </c>
      <c r="R1189" s="229"/>
      <c r="S1189" s="229"/>
      <c r="T1189" s="229"/>
      <c r="U1189" s="229"/>
      <c r="V1189" s="229"/>
      <c r="W1189" s="229"/>
      <c r="X1189" s="229"/>
    </row>
    <row r="1190" spans="1:24" ht="15.75" hidden="1">
      <c r="A1190" s="343"/>
      <c r="B1190" s="344"/>
      <c r="C1190" s="275"/>
      <c r="D1190" s="275"/>
      <c r="E1190" s="275"/>
      <c r="F1190" s="275"/>
      <c r="G1190" s="275"/>
      <c r="H1190" s="275"/>
      <c r="I1190" s="275"/>
      <c r="J1190" s="275"/>
      <c r="K1190" s="275"/>
      <c r="L1190" s="275"/>
      <c r="M1190" s="275"/>
      <c r="N1190" s="275"/>
      <c r="O1190" s="276"/>
      <c r="P1190" s="276"/>
      <c r="Q1190" s="247">
        <f t="shared" si="24"/>
        <v>0</v>
      </c>
      <c r="R1190" s="229"/>
      <c r="S1190" s="229"/>
      <c r="T1190" s="229"/>
      <c r="U1190" s="229"/>
      <c r="V1190" s="229"/>
      <c r="W1190" s="229"/>
      <c r="X1190" s="229"/>
    </row>
    <row r="1191" spans="1:24" ht="15.75" hidden="1">
      <c r="A1191" s="343"/>
      <c r="B1191" s="344"/>
      <c r="C1191" s="275"/>
      <c r="D1191" s="275"/>
      <c r="E1191" s="275"/>
      <c r="F1191" s="275"/>
      <c r="G1191" s="275"/>
      <c r="H1191" s="275"/>
      <c r="I1191" s="275"/>
      <c r="J1191" s="275"/>
      <c r="K1191" s="275"/>
      <c r="L1191" s="275"/>
      <c r="M1191" s="275"/>
      <c r="N1191" s="275"/>
      <c r="O1191" s="276"/>
      <c r="P1191" s="276"/>
      <c r="Q1191" s="247">
        <f t="shared" si="24"/>
        <v>0</v>
      </c>
      <c r="R1191" s="229"/>
      <c r="S1191" s="229"/>
      <c r="T1191" s="229"/>
      <c r="U1191" s="229"/>
      <c r="V1191" s="229"/>
      <c r="W1191" s="229"/>
      <c r="X1191" s="229"/>
    </row>
    <row r="1192" spans="1:24" ht="15.75" hidden="1">
      <c r="A1192" s="343"/>
      <c r="B1192" s="344"/>
      <c r="C1192" s="275"/>
      <c r="D1192" s="275"/>
      <c r="E1192" s="275"/>
      <c r="F1192" s="275"/>
      <c r="G1192" s="275"/>
      <c r="H1192" s="275"/>
      <c r="I1192" s="275"/>
      <c r="J1192" s="275"/>
      <c r="K1192" s="275"/>
      <c r="L1192" s="275"/>
      <c r="M1192" s="275"/>
      <c r="N1192" s="275"/>
      <c r="O1192" s="276"/>
      <c r="P1192" s="276"/>
      <c r="Q1192" s="247">
        <f t="shared" si="24"/>
        <v>0</v>
      </c>
      <c r="R1192" s="229"/>
      <c r="S1192" s="229"/>
      <c r="T1192" s="229"/>
      <c r="U1192" s="229"/>
      <c r="V1192" s="229"/>
      <c r="W1192" s="229"/>
      <c r="X1192" s="229"/>
    </row>
    <row r="1193" spans="1:24" ht="15.75" hidden="1">
      <c r="A1193" s="343"/>
      <c r="B1193" s="344"/>
      <c r="C1193" s="275"/>
      <c r="D1193" s="275"/>
      <c r="E1193" s="275"/>
      <c r="F1193" s="275"/>
      <c r="G1193" s="275"/>
      <c r="H1193" s="275"/>
      <c r="I1193" s="275"/>
      <c r="J1193" s="275"/>
      <c r="K1193" s="275"/>
      <c r="L1193" s="275"/>
      <c r="M1193" s="275"/>
      <c r="N1193" s="275"/>
      <c r="O1193" s="276"/>
      <c r="P1193" s="276"/>
      <c r="Q1193" s="247">
        <f t="shared" si="24"/>
        <v>0</v>
      </c>
      <c r="R1193" s="229"/>
      <c r="S1193" s="229"/>
      <c r="T1193" s="229"/>
      <c r="U1193" s="229"/>
      <c r="V1193" s="229"/>
      <c r="W1193" s="229"/>
      <c r="X1193" s="229"/>
    </row>
    <row r="1194" spans="1:24" ht="15.75" hidden="1">
      <c r="A1194" s="343"/>
      <c r="B1194" s="344"/>
      <c r="C1194" s="275"/>
      <c r="D1194" s="275"/>
      <c r="E1194" s="275"/>
      <c r="F1194" s="275"/>
      <c r="G1194" s="275"/>
      <c r="H1194" s="275"/>
      <c r="I1194" s="275"/>
      <c r="J1194" s="275"/>
      <c r="K1194" s="275"/>
      <c r="L1194" s="275"/>
      <c r="M1194" s="275"/>
      <c r="N1194" s="275"/>
      <c r="O1194" s="276"/>
      <c r="P1194" s="276"/>
      <c r="Q1194" s="247">
        <f t="shared" si="24"/>
        <v>0</v>
      </c>
      <c r="R1194" s="229"/>
      <c r="S1194" s="229"/>
      <c r="T1194" s="229"/>
      <c r="U1194" s="229"/>
      <c r="V1194" s="229"/>
      <c r="W1194" s="229"/>
      <c r="X1194" s="229"/>
    </row>
    <row r="1195" spans="1:24" ht="15.75" hidden="1">
      <c r="A1195" s="343"/>
      <c r="B1195" s="344"/>
      <c r="C1195" s="275"/>
      <c r="D1195" s="275"/>
      <c r="E1195" s="275"/>
      <c r="F1195" s="275"/>
      <c r="G1195" s="275"/>
      <c r="H1195" s="275"/>
      <c r="I1195" s="275"/>
      <c r="J1195" s="275"/>
      <c r="K1195" s="275"/>
      <c r="L1195" s="275"/>
      <c r="M1195" s="275"/>
      <c r="N1195" s="275"/>
      <c r="O1195" s="276"/>
      <c r="P1195" s="276"/>
      <c r="Q1195" s="247">
        <f t="shared" si="24"/>
        <v>0</v>
      </c>
      <c r="R1195" s="229"/>
      <c r="S1195" s="229"/>
      <c r="T1195" s="229"/>
      <c r="U1195" s="229"/>
      <c r="V1195" s="229"/>
      <c r="W1195" s="229"/>
      <c r="X1195" s="229"/>
    </row>
    <row r="1196" spans="1:24" ht="15.75" hidden="1">
      <c r="A1196" s="343"/>
      <c r="B1196" s="344"/>
      <c r="C1196" s="275"/>
      <c r="D1196" s="275"/>
      <c r="E1196" s="275"/>
      <c r="F1196" s="275"/>
      <c r="G1196" s="275"/>
      <c r="H1196" s="275"/>
      <c r="I1196" s="275"/>
      <c r="J1196" s="275"/>
      <c r="K1196" s="275"/>
      <c r="L1196" s="275"/>
      <c r="M1196" s="275"/>
      <c r="N1196" s="275"/>
      <c r="O1196" s="276"/>
      <c r="P1196" s="276"/>
      <c r="Q1196" s="247">
        <f t="shared" si="24"/>
        <v>0</v>
      </c>
      <c r="R1196" s="229"/>
      <c r="S1196" s="229"/>
      <c r="T1196" s="229"/>
      <c r="U1196" s="229"/>
      <c r="V1196" s="229"/>
      <c r="W1196" s="229"/>
      <c r="X1196" s="229"/>
    </row>
    <row r="1197" spans="1:24" ht="15.75" hidden="1">
      <c r="A1197" s="343"/>
      <c r="B1197" s="344"/>
      <c r="C1197" s="275"/>
      <c r="D1197" s="275"/>
      <c r="E1197" s="275"/>
      <c r="F1197" s="275"/>
      <c r="G1197" s="275"/>
      <c r="H1197" s="275"/>
      <c r="I1197" s="275"/>
      <c r="J1197" s="275"/>
      <c r="K1197" s="275"/>
      <c r="L1197" s="275"/>
      <c r="M1197" s="275"/>
      <c r="N1197" s="275"/>
      <c r="O1197" s="276"/>
      <c r="P1197" s="276"/>
      <c r="Q1197" s="247">
        <f t="shared" si="24"/>
        <v>0</v>
      </c>
      <c r="R1197" s="229"/>
      <c r="S1197" s="229"/>
      <c r="T1197" s="229"/>
      <c r="U1197" s="229"/>
      <c r="V1197" s="229"/>
      <c r="W1197" s="229"/>
      <c r="X1197" s="229"/>
    </row>
    <row r="1198" spans="1:24" ht="15.75" hidden="1">
      <c r="A1198" s="343"/>
      <c r="B1198" s="344"/>
      <c r="C1198" s="275"/>
      <c r="D1198" s="275"/>
      <c r="E1198" s="275"/>
      <c r="F1198" s="275"/>
      <c r="G1198" s="275"/>
      <c r="H1198" s="275"/>
      <c r="I1198" s="275"/>
      <c r="J1198" s="275"/>
      <c r="K1198" s="275"/>
      <c r="L1198" s="275"/>
      <c r="M1198" s="275"/>
      <c r="N1198" s="275"/>
      <c r="O1198" s="276"/>
      <c r="P1198" s="276"/>
      <c r="Q1198" s="247">
        <f t="shared" si="24"/>
        <v>0</v>
      </c>
      <c r="R1198" s="229"/>
      <c r="S1198" s="229"/>
      <c r="T1198" s="229"/>
      <c r="U1198" s="229"/>
      <c r="V1198" s="229"/>
      <c r="W1198" s="229"/>
      <c r="X1198" s="229"/>
    </row>
    <row r="1199" spans="1:24" ht="15.75" hidden="1">
      <c r="A1199" s="343"/>
      <c r="B1199" s="344"/>
      <c r="C1199" s="275"/>
      <c r="D1199" s="275"/>
      <c r="E1199" s="275"/>
      <c r="F1199" s="275"/>
      <c r="G1199" s="275"/>
      <c r="H1199" s="275"/>
      <c r="I1199" s="275"/>
      <c r="J1199" s="275"/>
      <c r="K1199" s="275"/>
      <c r="L1199" s="275"/>
      <c r="M1199" s="275"/>
      <c r="N1199" s="275"/>
      <c r="O1199" s="276"/>
      <c r="P1199" s="276"/>
      <c r="Q1199" s="247">
        <f t="shared" si="24"/>
        <v>0</v>
      </c>
      <c r="R1199" s="229"/>
      <c r="S1199" s="229"/>
      <c r="T1199" s="229"/>
      <c r="U1199" s="229"/>
      <c r="V1199" s="229"/>
      <c r="W1199" s="229"/>
      <c r="X1199" s="229"/>
    </row>
    <row r="1200" spans="1:24" ht="15.75" hidden="1">
      <c r="A1200" s="343"/>
      <c r="B1200" s="344"/>
      <c r="C1200" s="275"/>
      <c r="D1200" s="275"/>
      <c r="E1200" s="275"/>
      <c r="F1200" s="275"/>
      <c r="G1200" s="275"/>
      <c r="H1200" s="275"/>
      <c r="I1200" s="275"/>
      <c r="J1200" s="275"/>
      <c r="K1200" s="275"/>
      <c r="L1200" s="275"/>
      <c r="M1200" s="275"/>
      <c r="N1200" s="275"/>
      <c r="O1200" s="276"/>
      <c r="P1200" s="276"/>
      <c r="Q1200" s="247">
        <f t="shared" si="24"/>
        <v>0</v>
      </c>
      <c r="R1200" s="229"/>
      <c r="S1200" s="229"/>
      <c r="T1200" s="229"/>
      <c r="U1200" s="229"/>
      <c r="V1200" s="229"/>
      <c r="W1200" s="229"/>
      <c r="X1200" s="229"/>
    </row>
    <row r="1201" spans="1:24" ht="15.75" hidden="1">
      <c r="A1201" s="343"/>
      <c r="B1201" s="344"/>
      <c r="C1201" s="275"/>
      <c r="D1201" s="275"/>
      <c r="E1201" s="275"/>
      <c r="F1201" s="275"/>
      <c r="G1201" s="275"/>
      <c r="H1201" s="275"/>
      <c r="I1201" s="275"/>
      <c r="J1201" s="275"/>
      <c r="K1201" s="275"/>
      <c r="L1201" s="275"/>
      <c r="M1201" s="275"/>
      <c r="N1201" s="275"/>
      <c r="O1201" s="276"/>
      <c r="P1201" s="276"/>
      <c r="Q1201" s="247">
        <f t="shared" si="24"/>
        <v>0</v>
      </c>
      <c r="R1201" s="229"/>
      <c r="S1201" s="229"/>
      <c r="T1201" s="229"/>
      <c r="U1201" s="229"/>
      <c r="V1201" s="229"/>
      <c r="W1201" s="229"/>
      <c r="X1201" s="229"/>
    </row>
    <row r="1202" spans="1:24" ht="15.75" hidden="1">
      <c r="A1202" s="343"/>
      <c r="B1202" s="344"/>
      <c r="C1202" s="275"/>
      <c r="D1202" s="275"/>
      <c r="E1202" s="275"/>
      <c r="F1202" s="275"/>
      <c r="G1202" s="275"/>
      <c r="H1202" s="275"/>
      <c r="I1202" s="275"/>
      <c r="J1202" s="275"/>
      <c r="K1202" s="275"/>
      <c r="L1202" s="275"/>
      <c r="M1202" s="275"/>
      <c r="N1202" s="275"/>
      <c r="O1202" s="276"/>
      <c r="P1202" s="276"/>
      <c r="Q1202" s="247">
        <f t="shared" si="24"/>
        <v>0</v>
      </c>
      <c r="R1202" s="229"/>
      <c r="S1202" s="229"/>
      <c r="T1202" s="229"/>
      <c r="U1202" s="229"/>
      <c r="V1202" s="229"/>
      <c r="W1202" s="229"/>
      <c r="X1202" s="229"/>
    </row>
    <row r="1203" spans="1:24" ht="15.75" hidden="1">
      <c r="A1203" s="343"/>
      <c r="B1203" s="344"/>
      <c r="C1203" s="275"/>
      <c r="D1203" s="275"/>
      <c r="E1203" s="275"/>
      <c r="F1203" s="275"/>
      <c r="G1203" s="275"/>
      <c r="H1203" s="275"/>
      <c r="I1203" s="275"/>
      <c r="J1203" s="275"/>
      <c r="K1203" s="275"/>
      <c r="L1203" s="275"/>
      <c r="M1203" s="275"/>
      <c r="N1203" s="275"/>
      <c r="O1203" s="276"/>
      <c r="P1203" s="276"/>
      <c r="Q1203" s="247">
        <f t="shared" si="24"/>
        <v>0</v>
      </c>
      <c r="R1203" s="229"/>
      <c r="S1203" s="229"/>
      <c r="T1203" s="229"/>
      <c r="U1203" s="229"/>
      <c r="V1203" s="229"/>
      <c r="W1203" s="229"/>
      <c r="X1203" s="229"/>
    </row>
    <row r="1204" spans="1:24" ht="15.75" hidden="1">
      <c r="A1204" s="343"/>
      <c r="B1204" s="344"/>
      <c r="C1204" s="275"/>
      <c r="D1204" s="275"/>
      <c r="E1204" s="275"/>
      <c r="F1204" s="275"/>
      <c r="G1204" s="275"/>
      <c r="H1204" s="275"/>
      <c r="I1204" s="275"/>
      <c r="J1204" s="275"/>
      <c r="K1204" s="275"/>
      <c r="L1204" s="275"/>
      <c r="M1204" s="275"/>
      <c r="N1204" s="275"/>
      <c r="O1204" s="276"/>
      <c r="P1204" s="276"/>
      <c r="Q1204" s="247">
        <f t="shared" si="24"/>
        <v>0</v>
      </c>
      <c r="R1204" s="229"/>
      <c r="S1204" s="229"/>
      <c r="T1204" s="229"/>
      <c r="U1204" s="229"/>
      <c r="V1204" s="229"/>
      <c r="W1204" s="229"/>
      <c r="X1204" s="229"/>
    </row>
    <row r="1205" spans="1:24" ht="15.75" hidden="1">
      <c r="A1205" s="343"/>
      <c r="B1205" s="344"/>
      <c r="C1205" s="275"/>
      <c r="D1205" s="275"/>
      <c r="E1205" s="275"/>
      <c r="F1205" s="275"/>
      <c r="G1205" s="275"/>
      <c r="H1205" s="275"/>
      <c r="I1205" s="275"/>
      <c r="J1205" s="275"/>
      <c r="K1205" s="275"/>
      <c r="L1205" s="275"/>
      <c r="M1205" s="275"/>
      <c r="N1205" s="275"/>
      <c r="O1205" s="276"/>
      <c r="P1205" s="276"/>
      <c r="Q1205" s="247">
        <f t="shared" si="24"/>
        <v>0</v>
      </c>
      <c r="R1205" s="229"/>
      <c r="S1205" s="229"/>
      <c r="T1205" s="229"/>
      <c r="U1205" s="229"/>
      <c r="V1205" s="229"/>
      <c r="W1205" s="229"/>
      <c r="X1205" s="229"/>
    </row>
    <row r="1206" spans="1:24" ht="15.75" hidden="1">
      <c r="A1206" s="343"/>
      <c r="B1206" s="344"/>
      <c r="C1206" s="275"/>
      <c r="D1206" s="275"/>
      <c r="E1206" s="275"/>
      <c r="F1206" s="275"/>
      <c r="G1206" s="275"/>
      <c r="H1206" s="275"/>
      <c r="I1206" s="275"/>
      <c r="J1206" s="275"/>
      <c r="K1206" s="275"/>
      <c r="L1206" s="275"/>
      <c r="M1206" s="275"/>
      <c r="N1206" s="275"/>
      <c r="O1206" s="276"/>
      <c r="P1206" s="276"/>
      <c r="Q1206" s="247">
        <f t="shared" si="24"/>
        <v>0</v>
      </c>
      <c r="R1206" s="229"/>
      <c r="S1206" s="229"/>
      <c r="T1206" s="229"/>
      <c r="U1206" s="229"/>
      <c r="V1206" s="229"/>
      <c r="W1206" s="229"/>
      <c r="X1206" s="229"/>
    </row>
    <row r="1207" spans="1:24" ht="15.75" hidden="1">
      <c r="A1207" s="343"/>
      <c r="B1207" s="344"/>
      <c r="C1207" s="275"/>
      <c r="D1207" s="275"/>
      <c r="E1207" s="275"/>
      <c r="F1207" s="275"/>
      <c r="G1207" s="275"/>
      <c r="H1207" s="275"/>
      <c r="I1207" s="275"/>
      <c r="J1207" s="275"/>
      <c r="K1207" s="275"/>
      <c r="L1207" s="275"/>
      <c r="M1207" s="275"/>
      <c r="N1207" s="275"/>
      <c r="O1207" s="276"/>
      <c r="P1207" s="276"/>
      <c r="Q1207" s="247">
        <f t="shared" si="24"/>
        <v>0</v>
      </c>
      <c r="R1207" s="229"/>
      <c r="S1207" s="229"/>
      <c r="T1207" s="229"/>
      <c r="U1207" s="229"/>
      <c r="V1207" s="229"/>
      <c r="W1207" s="229"/>
      <c r="X1207" s="229"/>
    </row>
    <row r="1208" spans="1:24" ht="15.75" hidden="1">
      <c r="A1208" s="343"/>
      <c r="B1208" s="344"/>
      <c r="C1208" s="275"/>
      <c r="D1208" s="275"/>
      <c r="E1208" s="275"/>
      <c r="F1208" s="275"/>
      <c r="G1208" s="275"/>
      <c r="H1208" s="275"/>
      <c r="I1208" s="275"/>
      <c r="J1208" s="275"/>
      <c r="K1208" s="275"/>
      <c r="L1208" s="275"/>
      <c r="M1208" s="275"/>
      <c r="N1208" s="275"/>
      <c r="O1208" s="276"/>
      <c r="P1208" s="276"/>
      <c r="Q1208" s="247">
        <f t="shared" si="24"/>
        <v>0</v>
      </c>
      <c r="R1208" s="229"/>
      <c r="S1208" s="229"/>
      <c r="T1208" s="229"/>
      <c r="U1208" s="229"/>
      <c r="V1208" s="229"/>
      <c r="W1208" s="229"/>
      <c r="X1208" s="229"/>
    </row>
    <row r="1209" spans="1:24" ht="15.75" hidden="1">
      <c r="A1209" s="343"/>
      <c r="B1209" s="344"/>
      <c r="C1209" s="275"/>
      <c r="D1209" s="275"/>
      <c r="E1209" s="275"/>
      <c r="F1209" s="275"/>
      <c r="G1209" s="275"/>
      <c r="H1209" s="275"/>
      <c r="I1209" s="275"/>
      <c r="J1209" s="275"/>
      <c r="K1209" s="275"/>
      <c r="L1209" s="275"/>
      <c r="M1209" s="275"/>
      <c r="N1209" s="275"/>
      <c r="O1209" s="276"/>
      <c r="P1209" s="276"/>
      <c r="Q1209" s="247">
        <f t="shared" si="24"/>
        <v>0</v>
      </c>
      <c r="R1209" s="229"/>
      <c r="S1209" s="229"/>
      <c r="T1209" s="229"/>
      <c r="U1209" s="229"/>
      <c r="V1209" s="229"/>
      <c r="W1209" s="229"/>
      <c r="X1209" s="229"/>
    </row>
    <row r="1210" spans="1:24" ht="15.75" hidden="1">
      <c r="A1210" s="343"/>
      <c r="B1210" s="344"/>
      <c r="C1210" s="275"/>
      <c r="D1210" s="275"/>
      <c r="E1210" s="275"/>
      <c r="F1210" s="275"/>
      <c r="G1210" s="275"/>
      <c r="H1210" s="275"/>
      <c r="I1210" s="275"/>
      <c r="J1210" s="275"/>
      <c r="K1210" s="275"/>
      <c r="L1210" s="275"/>
      <c r="M1210" s="275"/>
      <c r="N1210" s="275"/>
      <c r="O1210" s="276"/>
      <c r="P1210" s="276"/>
      <c r="Q1210" s="247">
        <f t="shared" si="24"/>
        <v>0</v>
      </c>
      <c r="R1210" s="229"/>
      <c r="S1210" s="229"/>
      <c r="T1210" s="229"/>
      <c r="U1210" s="229"/>
      <c r="V1210" s="229"/>
      <c r="W1210" s="229"/>
      <c r="X1210" s="229"/>
    </row>
    <row r="1211" spans="1:24" ht="15.75" hidden="1">
      <c r="A1211" s="343"/>
      <c r="B1211" s="344"/>
      <c r="C1211" s="275"/>
      <c r="D1211" s="275"/>
      <c r="E1211" s="275"/>
      <c r="F1211" s="275"/>
      <c r="G1211" s="275"/>
      <c r="H1211" s="275"/>
      <c r="I1211" s="275"/>
      <c r="J1211" s="275"/>
      <c r="K1211" s="275"/>
      <c r="L1211" s="275"/>
      <c r="M1211" s="275"/>
      <c r="N1211" s="275"/>
      <c r="O1211" s="276"/>
      <c r="P1211" s="276"/>
      <c r="Q1211" s="247">
        <f t="shared" si="24"/>
        <v>0</v>
      </c>
      <c r="R1211" s="229"/>
      <c r="S1211" s="229"/>
      <c r="T1211" s="229"/>
      <c r="U1211" s="229"/>
      <c r="V1211" s="229"/>
      <c r="W1211" s="229"/>
      <c r="X1211" s="229"/>
    </row>
    <row r="1212" spans="1:24" ht="15.75" hidden="1">
      <c r="A1212" s="343"/>
      <c r="B1212" s="344"/>
      <c r="C1212" s="275"/>
      <c r="D1212" s="275"/>
      <c r="E1212" s="275"/>
      <c r="F1212" s="275"/>
      <c r="G1212" s="275"/>
      <c r="H1212" s="275"/>
      <c r="I1212" s="275"/>
      <c r="J1212" s="275"/>
      <c r="K1212" s="275"/>
      <c r="L1212" s="275"/>
      <c r="M1212" s="275"/>
      <c r="N1212" s="275"/>
      <c r="O1212" s="276"/>
      <c r="P1212" s="276"/>
      <c r="Q1212" s="247">
        <f t="shared" si="24"/>
        <v>0</v>
      </c>
      <c r="R1212" s="229"/>
      <c r="S1212" s="229"/>
      <c r="T1212" s="229"/>
      <c r="U1212" s="229"/>
      <c r="V1212" s="229"/>
      <c r="W1212" s="229"/>
      <c r="X1212" s="229"/>
    </row>
    <row r="1213" spans="1:24" ht="15.75" hidden="1">
      <c r="A1213" s="343"/>
      <c r="B1213" s="344"/>
      <c r="C1213" s="275"/>
      <c r="D1213" s="275"/>
      <c r="E1213" s="275"/>
      <c r="F1213" s="275"/>
      <c r="G1213" s="275"/>
      <c r="H1213" s="275"/>
      <c r="I1213" s="275"/>
      <c r="J1213" s="275"/>
      <c r="K1213" s="275"/>
      <c r="L1213" s="275"/>
      <c r="M1213" s="275"/>
      <c r="N1213" s="275"/>
      <c r="O1213" s="276"/>
      <c r="P1213" s="276"/>
      <c r="Q1213" s="247">
        <f t="shared" si="24"/>
        <v>0</v>
      </c>
      <c r="R1213" s="229"/>
      <c r="S1213" s="229"/>
      <c r="T1213" s="229"/>
      <c r="U1213" s="229"/>
      <c r="V1213" s="229"/>
      <c r="W1213" s="229"/>
      <c r="X1213" s="229"/>
    </row>
    <row r="1214" spans="1:24" ht="15.75" hidden="1">
      <c r="A1214" s="343"/>
      <c r="B1214" s="344"/>
      <c r="C1214" s="275"/>
      <c r="D1214" s="275"/>
      <c r="E1214" s="275"/>
      <c r="F1214" s="275"/>
      <c r="G1214" s="275"/>
      <c r="H1214" s="275"/>
      <c r="I1214" s="275"/>
      <c r="J1214" s="275"/>
      <c r="K1214" s="275"/>
      <c r="L1214" s="275"/>
      <c r="M1214" s="275"/>
      <c r="N1214" s="275"/>
      <c r="O1214" s="276"/>
      <c r="P1214" s="276"/>
      <c r="Q1214" s="247">
        <f t="shared" si="24"/>
        <v>0</v>
      </c>
      <c r="R1214" s="229"/>
      <c r="S1214" s="229"/>
      <c r="T1214" s="229"/>
      <c r="U1214" s="229"/>
      <c r="V1214" s="229"/>
      <c r="W1214" s="229"/>
      <c r="X1214" s="229"/>
    </row>
    <row r="1215" spans="1:24" ht="15.75" hidden="1">
      <c r="A1215" s="343"/>
      <c r="B1215" s="344"/>
      <c r="C1215" s="275"/>
      <c r="D1215" s="275"/>
      <c r="E1215" s="275"/>
      <c r="F1215" s="275"/>
      <c r="G1215" s="275"/>
      <c r="H1215" s="275"/>
      <c r="I1215" s="275"/>
      <c r="J1215" s="275"/>
      <c r="K1215" s="275"/>
      <c r="L1215" s="275"/>
      <c r="M1215" s="275"/>
      <c r="N1215" s="275"/>
      <c r="O1215" s="276"/>
      <c r="P1215" s="276"/>
      <c r="Q1215" s="247">
        <f t="shared" si="24"/>
        <v>0</v>
      </c>
      <c r="R1215" s="229"/>
      <c r="S1215" s="229"/>
      <c r="T1215" s="229"/>
      <c r="U1215" s="229"/>
      <c r="V1215" s="229"/>
      <c r="W1215" s="229"/>
      <c r="X1215" s="229"/>
    </row>
    <row r="1216" spans="1:24" ht="15.75" hidden="1">
      <c r="A1216" s="343"/>
      <c r="B1216" s="344"/>
      <c r="C1216" s="275"/>
      <c r="D1216" s="275"/>
      <c r="E1216" s="275"/>
      <c r="F1216" s="275"/>
      <c r="G1216" s="275"/>
      <c r="H1216" s="275"/>
      <c r="I1216" s="275"/>
      <c r="J1216" s="275"/>
      <c r="K1216" s="275"/>
      <c r="L1216" s="275"/>
      <c r="M1216" s="275"/>
      <c r="N1216" s="275"/>
      <c r="O1216" s="276"/>
      <c r="P1216" s="276"/>
      <c r="Q1216" s="247">
        <f t="shared" si="24"/>
        <v>0</v>
      </c>
      <c r="R1216" s="229"/>
      <c r="S1216" s="229"/>
      <c r="T1216" s="229"/>
      <c r="U1216" s="229"/>
      <c r="V1216" s="229"/>
      <c r="W1216" s="229"/>
      <c r="X1216" s="229"/>
    </row>
    <row r="1217" spans="1:24" ht="15.75" hidden="1">
      <c r="A1217" s="343"/>
      <c r="B1217" s="344"/>
      <c r="C1217" s="275"/>
      <c r="D1217" s="275"/>
      <c r="E1217" s="275"/>
      <c r="F1217" s="275"/>
      <c r="G1217" s="275"/>
      <c r="H1217" s="275"/>
      <c r="I1217" s="275"/>
      <c r="J1217" s="275"/>
      <c r="K1217" s="275"/>
      <c r="L1217" s="275"/>
      <c r="M1217" s="275"/>
      <c r="N1217" s="275"/>
      <c r="O1217" s="276"/>
      <c r="P1217" s="276"/>
      <c r="Q1217" s="247">
        <f t="shared" si="24"/>
        <v>0</v>
      </c>
      <c r="R1217" s="229"/>
      <c r="S1217" s="229"/>
      <c r="T1217" s="229"/>
      <c r="U1217" s="229"/>
      <c r="V1217" s="229"/>
      <c r="W1217" s="229"/>
      <c r="X1217" s="229"/>
    </row>
    <row r="1218" spans="1:24" ht="15.75" hidden="1">
      <c r="A1218" s="343"/>
      <c r="B1218" s="344"/>
      <c r="C1218" s="275"/>
      <c r="D1218" s="275"/>
      <c r="E1218" s="275"/>
      <c r="F1218" s="275"/>
      <c r="G1218" s="275"/>
      <c r="H1218" s="275"/>
      <c r="I1218" s="275"/>
      <c r="J1218" s="275"/>
      <c r="K1218" s="275"/>
      <c r="L1218" s="275"/>
      <c r="M1218" s="275"/>
      <c r="N1218" s="275"/>
      <c r="O1218" s="276"/>
      <c r="P1218" s="276"/>
      <c r="Q1218" s="247">
        <f t="shared" si="24"/>
        <v>0</v>
      </c>
      <c r="R1218" s="229"/>
      <c r="S1218" s="229"/>
      <c r="T1218" s="229"/>
      <c r="U1218" s="229"/>
      <c r="V1218" s="229"/>
      <c r="W1218" s="229"/>
      <c r="X1218" s="229"/>
    </row>
    <row r="1219" spans="1:24" ht="15.75" hidden="1">
      <c r="A1219" s="343"/>
      <c r="B1219" s="344"/>
      <c r="C1219" s="275"/>
      <c r="D1219" s="275"/>
      <c r="E1219" s="275"/>
      <c r="F1219" s="275"/>
      <c r="G1219" s="275"/>
      <c r="H1219" s="275"/>
      <c r="I1219" s="275"/>
      <c r="J1219" s="275"/>
      <c r="K1219" s="275"/>
      <c r="L1219" s="275"/>
      <c r="M1219" s="275"/>
      <c r="N1219" s="275"/>
      <c r="O1219" s="276"/>
      <c r="P1219" s="276"/>
      <c r="Q1219" s="247">
        <f t="shared" si="24"/>
        <v>0</v>
      </c>
      <c r="R1219" s="229"/>
      <c r="S1219" s="229"/>
      <c r="T1219" s="229"/>
      <c r="U1219" s="229"/>
      <c r="V1219" s="229"/>
      <c r="W1219" s="229"/>
      <c r="X1219" s="229"/>
    </row>
    <row r="1220" spans="1:24" ht="15.75" hidden="1">
      <c r="A1220" s="343"/>
      <c r="B1220" s="344"/>
      <c r="C1220" s="275"/>
      <c r="D1220" s="275"/>
      <c r="E1220" s="275"/>
      <c r="F1220" s="275"/>
      <c r="G1220" s="275"/>
      <c r="H1220" s="275"/>
      <c r="I1220" s="275"/>
      <c r="J1220" s="275"/>
      <c r="K1220" s="275"/>
      <c r="L1220" s="275"/>
      <c r="M1220" s="275"/>
      <c r="N1220" s="275"/>
      <c r="O1220" s="276"/>
      <c r="P1220" s="276"/>
      <c r="Q1220" s="247">
        <f t="shared" si="24"/>
        <v>0</v>
      </c>
      <c r="R1220" s="229"/>
      <c r="S1220" s="229"/>
      <c r="T1220" s="229"/>
      <c r="U1220" s="229"/>
      <c r="V1220" s="229"/>
      <c r="W1220" s="229"/>
      <c r="X1220" s="229"/>
    </row>
    <row r="1221" spans="1:24" ht="15.75" hidden="1">
      <c r="A1221" s="343"/>
      <c r="B1221" s="344"/>
      <c r="C1221" s="275"/>
      <c r="D1221" s="275"/>
      <c r="E1221" s="275"/>
      <c r="F1221" s="275"/>
      <c r="G1221" s="275"/>
      <c r="H1221" s="275"/>
      <c r="I1221" s="275"/>
      <c r="J1221" s="275"/>
      <c r="K1221" s="275"/>
      <c r="L1221" s="275"/>
      <c r="M1221" s="275"/>
      <c r="N1221" s="275"/>
      <c r="O1221" s="276"/>
      <c r="P1221" s="276"/>
      <c r="Q1221" s="247">
        <f t="shared" si="24"/>
        <v>0</v>
      </c>
      <c r="R1221" s="229"/>
      <c r="S1221" s="229"/>
      <c r="T1221" s="229"/>
      <c r="U1221" s="229"/>
      <c r="V1221" s="229"/>
      <c r="W1221" s="229"/>
      <c r="X1221" s="229"/>
    </row>
    <row r="1222" spans="1:24" ht="15.75" hidden="1">
      <c r="A1222" s="343"/>
      <c r="B1222" s="344"/>
      <c r="C1222" s="275"/>
      <c r="D1222" s="275"/>
      <c r="E1222" s="275"/>
      <c r="F1222" s="275"/>
      <c r="G1222" s="275"/>
      <c r="H1222" s="275"/>
      <c r="I1222" s="275"/>
      <c r="J1222" s="275"/>
      <c r="K1222" s="275"/>
      <c r="L1222" s="275"/>
      <c r="M1222" s="275"/>
      <c r="N1222" s="275"/>
      <c r="O1222" s="276"/>
      <c r="P1222" s="276"/>
      <c r="Q1222" s="247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9"/>
      <c r="S1222" s="229"/>
      <c r="T1222" s="229"/>
      <c r="U1222" s="229"/>
      <c r="V1222" s="229"/>
      <c r="W1222" s="229"/>
      <c r="X1222" s="229"/>
    </row>
    <row r="1223" spans="1:24" ht="15.75" hidden="1">
      <c r="A1223" s="343"/>
      <c r="B1223" s="344"/>
      <c r="C1223" s="275"/>
      <c r="D1223" s="275"/>
      <c r="E1223" s="275"/>
      <c r="F1223" s="275"/>
      <c r="G1223" s="275"/>
      <c r="H1223" s="275"/>
      <c r="I1223" s="275"/>
      <c r="J1223" s="275"/>
      <c r="K1223" s="275"/>
      <c r="L1223" s="275"/>
      <c r="M1223" s="275"/>
      <c r="N1223" s="275"/>
      <c r="O1223" s="276"/>
      <c r="P1223" s="276"/>
      <c r="Q1223" s="247">
        <f t="shared" si="25"/>
        <v>0</v>
      </c>
      <c r="R1223" s="229"/>
      <c r="S1223" s="229"/>
      <c r="T1223" s="229"/>
      <c r="U1223" s="229"/>
      <c r="V1223" s="229"/>
      <c r="W1223" s="229"/>
      <c r="X1223" s="229"/>
    </row>
    <row r="1224" spans="1:24" ht="15.75" hidden="1">
      <c r="A1224" s="343"/>
      <c r="B1224" s="344"/>
      <c r="C1224" s="275"/>
      <c r="D1224" s="275"/>
      <c r="E1224" s="275"/>
      <c r="F1224" s="275"/>
      <c r="G1224" s="275"/>
      <c r="H1224" s="275"/>
      <c r="I1224" s="275"/>
      <c r="J1224" s="275"/>
      <c r="K1224" s="275"/>
      <c r="L1224" s="275"/>
      <c r="M1224" s="275"/>
      <c r="N1224" s="275"/>
      <c r="O1224" s="276"/>
      <c r="P1224" s="276"/>
      <c r="Q1224" s="247">
        <f t="shared" si="25"/>
        <v>0</v>
      </c>
      <c r="R1224" s="229"/>
      <c r="S1224" s="229"/>
      <c r="T1224" s="229"/>
      <c r="U1224" s="229"/>
      <c r="V1224" s="229"/>
      <c r="W1224" s="229"/>
      <c r="X1224" s="229"/>
    </row>
    <row r="1225" spans="1:24" ht="15.75" hidden="1">
      <c r="A1225" s="343"/>
      <c r="B1225" s="344"/>
      <c r="C1225" s="275"/>
      <c r="D1225" s="275"/>
      <c r="E1225" s="275"/>
      <c r="F1225" s="275"/>
      <c r="G1225" s="275"/>
      <c r="H1225" s="275"/>
      <c r="I1225" s="275"/>
      <c r="J1225" s="275"/>
      <c r="K1225" s="275"/>
      <c r="L1225" s="275"/>
      <c r="M1225" s="275"/>
      <c r="N1225" s="275"/>
      <c r="O1225" s="276"/>
      <c r="P1225" s="276"/>
      <c r="Q1225" s="247">
        <f t="shared" si="25"/>
        <v>0</v>
      </c>
      <c r="R1225" s="229"/>
      <c r="S1225" s="229"/>
      <c r="T1225" s="229"/>
      <c r="U1225" s="229"/>
      <c r="V1225" s="229"/>
      <c r="W1225" s="229"/>
      <c r="X1225" s="229"/>
    </row>
    <row r="1226" spans="1:24" ht="15.75" hidden="1">
      <c r="A1226" s="343"/>
      <c r="B1226" s="344"/>
      <c r="C1226" s="275"/>
      <c r="D1226" s="275"/>
      <c r="E1226" s="275"/>
      <c r="F1226" s="275"/>
      <c r="G1226" s="275"/>
      <c r="H1226" s="275"/>
      <c r="I1226" s="275"/>
      <c r="J1226" s="275"/>
      <c r="K1226" s="275"/>
      <c r="L1226" s="275"/>
      <c r="M1226" s="275"/>
      <c r="N1226" s="275"/>
      <c r="O1226" s="276"/>
      <c r="P1226" s="276"/>
      <c r="Q1226" s="247">
        <f t="shared" si="25"/>
        <v>0</v>
      </c>
      <c r="R1226" s="229"/>
      <c r="S1226" s="229"/>
      <c r="T1226" s="229"/>
      <c r="U1226" s="229"/>
      <c r="V1226" s="229"/>
      <c r="W1226" s="229"/>
      <c r="X1226" s="229"/>
    </row>
    <row r="1227" spans="1:24" ht="15.75" hidden="1">
      <c r="A1227" s="343"/>
      <c r="B1227" s="344"/>
      <c r="C1227" s="275"/>
      <c r="D1227" s="275"/>
      <c r="E1227" s="275"/>
      <c r="F1227" s="275"/>
      <c r="G1227" s="275"/>
      <c r="H1227" s="275"/>
      <c r="I1227" s="275"/>
      <c r="J1227" s="275"/>
      <c r="K1227" s="275"/>
      <c r="L1227" s="275"/>
      <c r="M1227" s="275"/>
      <c r="N1227" s="275"/>
      <c r="O1227" s="276"/>
      <c r="P1227" s="276"/>
      <c r="Q1227" s="247">
        <f t="shared" si="25"/>
        <v>0</v>
      </c>
      <c r="R1227" s="229"/>
      <c r="S1227" s="229"/>
      <c r="T1227" s="229"/>
      <c r="U1227" s="229"/>
      <c r="V1227" s="229"/>
      <c r="W1227" s="229"/>
      <c r="X1227" s="229"/>
    </row>
    <row r="1228" spans="1:24" ht="15.75" hidden="1">
      <c r="A1228" s="343"/>
      <c r="B1228" s="344"/>
      <c r="C1228" s="275"/>
      <c r="D1228" s="275"/>
      <c r="E1228" s="275"/>
      <c r="F1228" s="275"/>
      <c r="G1228" s="275"/>
      <c r="H1228" s="275"/>
      <c r="I1228" s="275"/>
      <c r="J1228" s="275"/>
      <c r="K1228" s="275"/>
      <c r="L1228" s="275"/>
      <c r="M1228" s="275"/>
      <c r="N1228" s="275"/>
      <c r="O1228" s="276"/>
      <c r="P1228" s="276"/>
      <c r="Q1228" s="247">
        <f t="shared" si="25"/>
        <v>0</v>
      </c>
      <c r="R1228" s="229"/>
      <c r="S1228" s="229"/>
      <c r="T1228" s="229"/>
      <c r="U1228" s="229"/>
      <c r="V1228" s="229"/>
      <c r="W1228" s="229"/>
      <c r="X1228" s="229"/>
    </row>
    <row r="1229" spans="1:24" ht="15.75" hidden="1">
      <c r="A1229" s="343"/>
      <c r="B1229" s="344"/>
      <c r="C1229" s="275"/>
      <c r="D1229" s="275"/>
      <c r="E1229" s="275"/>
      <c r="F1229" s="275"/>
      <c r="G1229" s="275"/>
      <c r="H1229" s="275"/>
      <c r="I1229" s="275"/>
      <c r="J1229" s="275"/>
      <c r="K1229" s="275"/>
      <c r="L1229" s="275"/>
      <c r="M1229" s="275"/>
      <c r="N1229" s="275"/>
      <c r="O1229" s="276"/>
      <c r="P1229" s="276"/>
      <c r="Q1229" s="247">
        <f t="shared" si="25"/>
        <v>0</v>
      </c>
      <c r="R1229" s="229"/>
      <c r="S1229" s="229"/>
      <c r="T1229" s="229"/>
      <c r="U1229" s="229"/>
      <c r="V1229" s="229"/>
      <c r="W1229" s="229"/>
      <c r="X1229" s="229"/>
    </row>
    <row r="1230" spans="1:24" ht="15.75" hidden="1">
      <c r="A1230" s="343"/>
      <c r="B1230" s="344"/>
      <c r="C1230" s="275"/>
      <c r="D1230" s="275"/>
      <c r="E1230" s="275"/>
      <c r="F1230" s="275"/>
      <c r="G1230" s="275"/>
      <c r="H1230" s="275"/>
      <c r="I1230" s="275"/>
      <c r="J1230" s="275"/>
      <c r="K1230" s="275"/>
      <c r="L1230" s="275"/>
      <c r="M1230" s="275"/>
      <c r="N1230" s="275"/>
      <c r="O1230" s="276"/>
      <c r="P1230" s="276"/>
      <c r="Q1230" s="247">
        <f t="shared" si="25"/>
        <v>0</v>
      </c>
      <c r="R1230" s="229"/>
      <c r="S1230" s="229"/>
      <c r="T1230" s="229"/>
      <c r="U1230" s="229"/>
      <c r="V1230" s="229"/>
      <c r="W1230" s="229"/>
      <c r="X1230" s="229"/>
    </row>
    <row r="1231" spans="1:24" ht="15.75" hidden="1">
      <c r="A1231" s="343"/>
      <c r="B1231" s="344"/>
      <c r="C1231" s="275"/>
      <c r="D1231" s="275"/>
      <c r="E1231" s="275"/>
      <c r="F1231" s="275"/>
      <c r="G1231" s="275"/>
      <c r="H1231" s="275"/>
      <c r="I1231" s="275"/>
      <c r="J1231" s="275"/>
      <c r="K1231" s="275"/>
      <c r="L1231" s="275"/>
      <c r="M1231" s="275"/>
      <c r="N1231" s="275"/>
      <c r="O1231" s="276"/>
      <c r="P1231" s="276"/>
      <c r="Q1231" s="247">
        <f t="shared" si="25"/>
        <v>0</v>
      </c>
      <c r="R1231" s="229"/>
      <c r="S1231" s="229"/>
      <c r="T1231" s="229"/>
      <c r="U1231" s="229"/>
      <c r="V1231" s="229"/>
      <c r="W1231" s="229"/>
      <c r="X1231" s="229"/>
    </row>
    <row r="1232" spans="1:24" ht="15.75" hidden="1">
      <c r="A1232" s="343"/>
      <c r="B1232" s="344"/>
      <c r="C1232" s="275"/>
      <c r="D1232" s="275"/>
      <c r="E1232" s="275"/>
      <c r="F1232" s="275"/>
      <c r="G1232" s="275"/>
      <c r="H1232" s="275"/>
      <c r="I1232" s="275"/>
      <c r="J1232" s="275"/>
      <c r="K1232" s="275"/>
      <c r="L1232" s="275"/>
      <c r="M1232" s="275"/>
      <c r="N1232" s="275"/>
      <c r="O1232" s="276"/>
      <c r="P1232" s="276"/>
      <c r="Q1232" s="247">
        <f t="shared" si="25"/>
        <v>0</v>
      </c>
      <c r="R1232" s="229"/>
      <c r="S1232" s="229"/>
      <c r="T1232" s="229"/>
      <c r="U1232" s="229"/>
      <c r="V1232" s="229"/>
      <c r="W1232" s="229"/>
      <c r="X1232" s="229"/>
    </row>
    <row r="1233" spans="1:24" ht="15.75" hidden="1">
      <c r="A1233" s="343"/>
      <c r="B1233" s="344"/>
      <c r="C1233" s="275"/>
      <c r="D1233" s="275"/>
      <c r="E1233" s="275"/>
      <c r="F1233" s="275"/>
      <c r="G1233" s="275"/>
      <c r="H1233" s="275"/>
      <c r="I1233" s="275"/>
      <c r="J1233" s="275"/>
      <c r="K1233" s="275"/>
      <c r="L1233" s="275"/>
      <c r="M1233" s="275"/>
      <c r="N1233" s="275"/>
      <c r="O1233" s="276"/>
      <c r="P1233" s="276"/>
      <c r="Q1233" s="247">
        <f t="shared" si="25"/>
        <v>0</v>
      </c>
      <c r="R1233" s="229"/>
      <c r="S1233" s="229"/>
      <c r="T1233" s="229"/>
      <c r="U1233" s="229"/>
      <c r="V1233" s="229"/>
      <c r="W1233" s="229"/>
      <c r="X1233" s="229"/>
    </row>
    <row r="1234" spans="1:24" ht="15.75" hidden="1">
      <c r="A1234" s="343"/>
      <c r="B1234" s="344"/>
      <c r="C1234" s="275"/>
      <c r="D1234" s="275"/>
      <c r="E1234" s="275"/>
      <c r="F1234" s="275"/>
      <c r="G1234" s="275"/>
      <c r="H1234" s="275"/>
      <c r="I1234" s="275"/>
      <c r="J1234" s="275"/>
      <c r="K1234" s="275"/>
      <c r="L1234" s="275"/>
      <c r="M1234" s="275"/>
      <c r="N1234" s="275"/>
      <c r="O1234" s="276"/>
      <c r="P1234" s="276"/>
      <c r="Q1234" s="247">
        <f t="shared" si="25"/>
        <v>0</v>
      </c>
      <c r="R1234" s="229"/>
      <c r="S1234" s="229"/>
      <c r="T1234" s="229"/>
      <c r="U1234" s="229"/>
      <c r="V1234" s="229"/>
      <c r="W1234" s="229"/>
      <c r="X1234" s="229"/>
    </row>
    <row r="1235" spans="1:24" ht="15.75" hidden="1">
      <c r="A1235" s="343"/>
      <c r="B1235" s="344"/>
      <c r="C1235" s="275"/>
      <c r="D1235" s="275"/>
      <c r="E1235" s="275"/>
      <c r="F1235" s="275"/>
      <c r="G1235" s="275"/>
      <c r="H1235" s="275"/>
      <c r="I1235" s="275"/>
      <c r="J1235" s="275"/>
      <c r="K1235" s="275"/>
      <c r="L1235" s="275"/>
      <c r="M1235" s="275"/>
      <c r="N1235" s="275"/>
      <c r="O1235" s="276"/>
      <c r="P1235" s="276"/>
      <c r="Q1235" s="247">
        <f t="shared" si="25"/>
        <v>0</v>
      </c>
      <c r="R1235" s="229"/>
      <c r="S1235" s="229"/>
      <c r="T1235" s="229"/>
      <c r="U1235" s="229"/>
      <c r="V1235" s="229"/>
      <c r="W1235" s="229"/>
      <c r="X1235" s="229"/>
    </row>
    <row r="1236" spans="1:24" ht="15.75" hidden="1">
      <c r="A1236" s="343"/>
      <c r="B1236" s="344"/>
      <c r="C1236" s="275"/>
      <c r="D1236" s="275"/>
      <c r="E1236" s="275"/>
      <c r="F1236" s="275"/>
      <c r="G1236" s="275"/>
      <c r="H1236" s="275"/>
      <c r="I1236" s="275"/>
      <c r="J1236" s="275"/>
      <c r="K1236" s="275"/>
      <c r="L1236" s="275"/>
      <c r="M1236" s="275"/>
      <c r="N1236" s="275"/>
      <c r="O1236" s="276"/>
      <c r="P1236" s="276"/>
      <c r="Q1236" s="247">
        <f t="shared" si="25"/>
        <v>0</v>
      </c>
      <c r="R1236" s="229"/>
      <c r="S1236" s="229"/>
      <c r="T1236" s="229"/>
      <c r="U1236" s="229"/>
      <c r="V1236" s="229"/>
      <c r="W1236" s="229"/>
      <c r="X1236" s="229"/>
    </row>
    <row r="1237" spans="1:24" ht="15.75" hidden="1">
      <c r="A1237" s="343"/>
      <c r="B1237" s="344"/>
      <c r="C1237" s="275"/>
      <c r="D1237" s="275"/>
      <c r="E1237" s="275"/>
      <c r="F1237" s="275"/>
      <c r="G1237" s="275"/>
      <c r="H1237" s="275"/>
      <c r="I1237" s="275"/>
      <c r="J1237" s="275"/>
      <c r="K1237" s="275"/>
      <c r="L1237" s="275"/>
      <c r="M1237" s="275"/>
      <c r="N1237" s="275"/>
      <c r="O1237" s="276"/>
      <c r="P1237" s="276"/>
      <c r="Q1237" s="247">
        <f t="shared" si="25"/>
        <v>0</v>
      </c>
      <c r="R1237" s="229"/>
      <c r="S1237" s="229"/>
      <c r="T1237" s="229"/>
      <c r="U1237" s="229"/>
      <c r="V1237" s="229"/>
      <c r="W1237" s="229"/>
      <c r="X1237" s="229"/>
    </row>
    <row r="1238" spans="1:24" ht="15.75" hidden="1">
      <c r="A1238" s="343"/>
      <c r="B1238" s="344"/>
      <c r="C1238" s="275"/>
      <c r="D1238" s="275"/>
      <c r="E1238" s="275"/>
      <c r="F1238" s="275"/>
      <c r="G1238" s="275"/>
      <c r="H1238" s="275"/>
      <c r="I1238" s="275"/>
      <c r="J1238" s="275"/>
      <c r="K1238" s="275"/>
      <c r="L1238" s="275"/>
      <c r="M1238" s="275"/>
      <c r="N1238" s="275"/>
      <c r="O1238" s="276"/>
      <c r="P1238" s="276"/>
      <c r="Q1238" s="247">
        <f t="shared" si="25"/>
        <v>0</v>
      </c>
      <c r="R1238" s="229"/>
      <c r="S1238" s="229"/>
      <c r="T1238" s="229"/>
      <c r="U1238" s="229"/>
      <c r="V1238" s="229"/>
      <c r="W1238" s="229"/>
      <c r="X1238" s="229"/>
    </row>
    <row r="1239" spans="1:24" ht="15.75" hidden="1">
      <c r="A1239" s="343"/>
      <c r="B1239" s="344"/>
      <c r="C1239" s="275"/>
      <c r="D1239" s="275"/>
      <c r="E1239" s="275"/>
      <c r="F1239" s="275"/>
      <c r="G1239" s="275"/>
      <c r="H1239" s="275"/>
      <c r="I1239" s="275"/>
      <c r="J1239" s="275"/>
      <c r="K1239" s="275"/>
      <c r="L1239" s="275"/>
      <c r="M1239" s="275"/>
      <c r="N1239" s="275"/>
      <c r="O1239" s="276"/>
      <c r="P1239" s="276"/>
      <c r="Q1239" s="247">
        <f t="shared" si="25"/>
        <v>0</v>
      </c>
      <c r="R1239" s="229"/>
      <c r="S1239" s="229"/>
      <c r="T1239" s="229"/>
      <c r="U1239" s="229"/>
      <c r="V1239" s="229"/>
      <c r="W1239" s="229"/>
      <c r="X1239" s="229"/>
    </row>
    <row r="1240" spans="1:24" ht="15.75" hidden="1">
      <c r="A1240" s="343"/>
      <c r="B1240" s="344"/>
      <c r="C1240" s="275"/>
      <c r="D1240" s="275"/>
      <c r="E1240" s="275"/>
      <c r="F1240" s="275"/>
      <c r="G1240" s="275"/>
      <c r="H1240" s="275"/>
      <c r="I1240" s="275"/>
      <c r="J1240" s="275"/>
      <c r="K1240" s="275"/>
      <c r="L1240" s="275"/>
      <c r="M1240" s="275"/>
      <c r="N1240" s="275"/>
      <c r="O1240" s="276"/>
      <c r="P1240" s="276"/>
      <c r="Q1240" s="247">
        <f t="shared" si="25"/>
        <v>0</v>
      </c>
      <c r="R1240" s="229"/>
      <c r="S1240" s="229"/>
      <c r="T1240" s="229"/>
      <c r="U1240" s="229"/>
      <c r="V1240" s="229"/>
      <c r="W1240" s="229"/>
      <c r="X1240" s="229"/>
    </row>
    <row r="1241" spans="1:24" ht="15.75" hidden="1">
      <c r="A1241" s="343"/>
      <c r="B1241" s="344"/>
      <c r="C1241" s="275"/>
      <c r="D1241" s="275"/>
      <c r="E1241" s="275"/>
      <c r="F1241" s="275"/>
      <c r="G1241" s="275"/>
      <c r="H1241" s="275"/>
      <c r="I1241" s="275"/>
      <c r="J1241" s="275"/>
      <c r="K1241" s="275"/>
      <c r="L1241" s="275"/>
      <c r="M1241" s="275"/>
      <c r="N1241" s="275"/>
      <c r="O1241" s="276"/>
      <c r="P1241" s="276"/>
      <c r="Q1241" s="247">
        <f t="shared" si="25"/>
        <v>0</v>
      </c>
      <c r="R1241" s="229"/>
      <c r="S1241" s="229"/>
      <c r="T1241" s="229"/>
      <c r="U1241" s="229"/>
      <c r="V1241" s="229"/>
      <c r="W1241" s="229"/>
      <c r="X1241" s="229"/>
    </row>
    <row r="1242" spans="1:24" ht="15.75" hidden="1">
      <c r="A1242" s="343"/>
      <c r="B1242" s="344"/>
      <c r="C1242" s="275"/>
      <c r="D1242" s="275"/>
      <c r="E1242" s="275"/>
      <c r="F1242" s="275"/>
      <c r="G1242" s="275"/>
      <c r="H1242" s="275"/>
      <c r="I1242" s="275"/>
      <c r="J1242" s="275"/>
      <c r="K1242" s="275"/>
      <c r="L1242" s="275"/>
      <c r="M1242" s="275"/>
      <c r="N1242" s="275"/>
      <c r="O1242" s="276"/>
      <c r="P1242" s="276"/>
      <c r="Q1242" s="247">
        <f t="shared" si="25"/>
        <v>0</v>
      </c>
      <c r="R1242" s="229"/>
      <c r="S1242" s="229"/>
      <c r="T1242" s="229"/>
      <c r="U1242" s="229"/>
      <c r="V1242" s="229"/>
      <c r="W1242" s="229"/>
      <c r="X1242" s="229"/>
    </row>
    <row r="1243" spans="1:24" ht="15.75" hidden="1">
      <c r="A1243" s="343"/>
      <c r="B1243" s="344"/>
      <c r="C1243" s="275"/>
      <c r="D1243" s="275"/>
      <c r="E1243" s="275"/>
      <c r="F1243" s="275"/>
      <c r="G1243" s="275"/>
      <c r="H1243" s="275"/>
      <c r="I1243" s="275"/>
      <c r="J1243" s="275"/>
      <c r="K1243" s="275"/>
      <c r="L1243" s="275"/>
      <c r="M1243" s="275"/>
      <c r="N1243" s="275"/>
      <c r="O1243" s="276"/>
      <c r="P1243" s="276"/>
      <c r="Q1243" s="247">
        <f t="shared" si="25"/>
        <v>0</v>
      </c>
      <c r="R1243" s="229"/>
      <c r="S1243" s="229"/>
      <c r="T1243" s="229"/>
      <c r="U1243" s="229"/>
      <c r="V1243" s="229"/>
      <c r="W1243" s="229"/>
      <c r="X1243" s="229"/>
    </row>
    <row r="1244" spans="1:24" ht="15.75" hidden="1">
      <c r="A1244" s="343"/>
      <c r="B1244" s="344"/>
      <c r="C1244" s="275"/>
      <c r="D1244" s="275"/>
      <c r="E1244" s="275"/>
      <c r="F1244" s="275"/>
      <c r="G1244" s="275"/>
      <c r="H1244" s="275"/>
      <c r="I1244" s="275"/>
      <c r="J1244" s="275"/>
      <c r="K1244" s="275"/>
      <c r="L1244" s="275"/>
      <c r="M1244" s="275"/>
      <c r="N1244" s="275"/>
      <c r="O1244" s="276"/>
      <c r="P1244" s="276"/>
      <c r="Q1244" s="247">
        <f t="shared" si="25"/>
        <v>0</v>
      </c>
      <c r="R1244" s="229"/>
      <c r="S1244" s="229"/>
      <c r="T1244" s="229"/>
      <c r="U1244" s="229"/>
      <c r="V1244" s="229"/>
      <c r="W1244" s="229"/>
      <c r="X1244" s="229"/>
    </row>
    <row r="1245" spans="1:24" ht="15.75" hidden="1">
      <c r="A1245" s="343"/>
      <c r="B1245" s="344"/>
      <c r="C1245" s="275"/>
      <c r="D1245" s="275"/>
      <c r="E1245" s="275"/>
      <c r="F1245" s="275"/>
      <c r="G1245" s="275"/>
      <c r="H1245" s="275"/>
      <c r="I1245" s="275"/>
      <c r="J1245" s="275"/>
      <c r="K1245" s="275"/>
      <c r="L1245" s="275"/>
      <c r="M1245" s="275"/>
      <c r="N1245" s="275"/>
      <c r="O1245" s="276"/>
      <c r="P1245" s="276"/>
      <c r="Q1245" s="247">
        <f t="shared" si="25"/>
        <v>0</v>
      </c>
      <c r="R1245" s="229"/>
      <c r="S1245" s="229"/>
      <c r="T1245" s="229"/>
      <c r="U1245" s="229"/>
      <c r="V1245" s="229"/>
      <c r="W1245" s="229"/>
      <c r="X1245" s="229"/>
    </row>
    <row r="1246" spans="1:24" ht="15.75" hidden="1">
      <c r="A1246" s="343"/>
      <c r="B1246" s="344"/>
      <c r="C1246" s="275"/>
      <c r="D1246" s="275"/>
      <c r="E1246" s="275"/>
      <c r="F1246" s="275"/>
      <c r="G1246" s="275"/>
      <c r="H1246" s="275"/>
      <c r="I1246" s="275"/>
      <c r="J1246" s="275"/>
      <c r="K1246" s="275"/>
      <c r="L1246" s="275"/>
      <c r="M1246" s="275"/>
      <c r="N1246" s="275"/>
      <c r="O1246" s="276"/>
      <c r="P1246" s="276"/>
      <c r="Q1246" s="247">
        <f t="shared" si="25"/>
        <v>0</v>
      </c>
      <c r="R1246" s="229"/>
      <c r="S1246" s="229"/>
      <c r="T1246" s="229"/>
      <c r="U1246" s="229"/>
      <c r="V1246" s="229"/>
      <c r="W1246" s="229"/>
      <c r="X1246" s="229"/>
    </row>
    <row r="1247" spans="1:24" ht="15.75" hidden="1">
      <c r="A1247" s="343"/>
      <c r="B1247" s="344"/>
      <c r="C1247" s="275"/>
      <c r="D1247" s="275"/>
      <c r="E1247" s="275"/>
      <c r="F1247" s="275"/>
      <c r="G1247" s="275"/>
      <c r="H1247" s="275"/>
      <c r="I1247" s="275"/>
      <c r="J1247" s="275"/>
      <c r="K1247" s="275"/>
      <c r="L1247" s="275"/>
      <c r="M1247" s="275"/>
      <c r="N1247" s="275"/>
      <c r="O1247" s="276"/>
      <c r="P1247" s="276"/>
      <c r="Q1247" s="247">
        <f t="shared" si="25"/>
        <v>0</v>
      </c>
      <c r="R1247" s="229"/>
      <c r="S1247" s="229"/>
      <c r="T1247" s="229"/>
      <c r="U1247" s="229"/>
      <c r="V1247" s="229"/>
      <c r="W1247" s="229"/>
      <c r="X1247" s="229"/>
    </row>
    <row r="1248" spans="1:24" ht="15.75" hidden="1">
      <c r="A1248" s="343"/>
      <c r="B1248" s="344"/>
      <c r="C1248" s="275"/>
      <c r="D1248" s="275"/>
      <c r="E1248" s="275"/>
      <c r="F1248" s="275"/>
      <c r="G1248" s="275"/>
      <c r="H1248" s="275"/>
      <c r="I1248" s="275"/>
      <c r="J1248" s="275"/>
      <c r="K1248" s="275"/>
      <c r="L1248" s="275"/>
      <c r="M1248" s="275"/>
      <c r="N1248" s="275"/>
      <c r="O1248" s="276"/>
      <c r="P1248" s="276"/>
      <c r="Q1248" s="247">
        <f t="shared" si="25"/>
        <v>0</v>
      </c>
      <c r="R1248" s="229"/>
      <c r="S1248" s="229"/>
      <c r="T1248" s="229"/>
      <c r="U1248" s="229"/>
      <c r="V1248" s="229"/>
      <c r="W1248" s="229"/>
      <c r="X1248" s="229"/>
    </row>
    <row r="1249" spans="1:24" ht="15.75" hidden="1">
      <c r="A1249" s="343"/>
      <c r="B1249" s="344"/>
      <c r="C1249" s="275"/>
      <c r="D1249" s="275"/>
      <c r="E1249" s="275"/>
      <c r="F1249" s="275"/>
      <c r="G1249" s="275"/>
      <c r="H1249" s="275"/>
      <c r="I1249" s="275"/>
      <c r="J1249" s="275"/>
      <c r="K1249" s="275"/>
      <c r="L1249" s="275"/>
      <c r="M1249" s="275"/>
      <c r="N1249" s="275"/>
      <c r="O1249" s="276"/>
      <c r="P1249" s="276"/>
      <c r="Q1249" s="247">
        <f t="shared" si="25"/>
        <v>0</v>
      </c>
      <c r="R1249" s="229"/>
      <c r="S1249" s="229"/>
      <c r="T1249" s="229"/>
      <c r="U1249" s="229"/>
      <c r="V1249" s="229"/>
      <c r="W1249" s="229"/>
      <c r="X1249" s="229"/>
    </row>
    <row r="1250" spans="1:24" ht="15.75" hidden="1">
      <c r="A1250" s="343"/>
      <c r="B1250" s="344"/>
      <c r="C1250" s="275"/>
      <c r="D1250" s="275"/>
      <c r="E1250" s="275"/>
      <c r="F1250" s="275"/>
      <c r="G1250" s="275"/>
      <c r="H1250" s="275"/>
      <c r="I1250" s="275"/>
      <c r="J1250" s="275"/>
      <c r="K1250" s="275"/>
      <c r="L1250" s="275"/>
      <c r="M1250" s="275"/>
      <c r="N1250" s="275"/>
      <c r="O1250" s="276"/>
      <c r="P1250" s="276"/>
      <c r="Q1250" s="247">
        <f t="shared" si="25"/>
        <v>0</v>
      </c>
      <c r="R1250" s="229"/>
      <c r="S1250" s="229"/>
      <c r="T1250" s="229"/>
      <c r="U1250" s="229"/>
      <c r="V1250" s="229"/>
      <c r="W1250" s="229"/>
      <c r="X1250" s="229"/>
    </row>
    <row r="1251" spans="1:24" ht="15.75" hidden="1">
      <c r="A1251" s="343"/>
      <c r="B1251" s="344"/>
      <c r="C1251" s="275"/>
      <c r="D1251" s="275"/>
      <c r="E1251" s="275"/>
      <c r="F1251" s="275"/>
      <c r="G1251" s="275"/>
      <c r="H1251" s="275"/>
      <c r="I1251" s="275"/>
      <c r="J1251" s="275"/>
      <c r="K1251" s="275"/>
      <c r="L1251" s="275"/>
      <c r="M1251" s="275"/>
      <c r="N1251" s="275"/>
      <c r="O1251" s="276"/>
      <c r="P1251" s="276"/>
      <c r="Q1251" s="247">
        <f t="shared" si="25"/>
        <v>0</v>
      </c>
      <c r="R1251" s="229"/>
      <c r="S1251" s="229"/>
      <c r="T1251" s="229"/>
      <c r="U1251" s="229"/>
      <c r="V1251" s="229"/>
      <c r="W1251" s="229"/>
      <c r="X1251" s="229"/>
    </row>
    <row r="1252" spans="1:24" ht="15.75" hidden="1">
      <c r="A1252" s="343"/>
      <c r="B1252" s="344"/>
      <c r="C1252" s="275"/>
      <c r="D1252" s="275"/>
      <c r="E1252" s="275"/>
      <c r="F1252" s="275"/>
      <c r="G1252" s="275"/>
      <c r="H1252" s="275"/>
      <c r="I1252" s="275"/>
      <c r="J1252" s="275"/>
      <c r="K1252" s="275"/>
      <c r="L1252" s="275"/>
      <c r="M1252" s="275"/>
      <c r="N1252" s="275"/>
      <c r="O1252" s="276"/>
      <c r="P1252" s="276"/>
      <c r="Q1252" s="247">
        <f t="shared" si="25"/>
        <v>0</v>
      </c>
      <c r="R1252" s="229"/>
      <c r="S1252" s="229"/>
      <c r="T1252" s="229"/>
      <c r="U1252" s="229"/>
      <c r="V1252" s="229"/>
      <c r="W1252" s="229"/>
      <c r="X1252" s="229"/>
    </row>
    <row r="1253" spans="1:24" ht="15.75" hidden="1">
      <c r="A1253" s="343"/>
      <c r="B1253" s="344"/>
      <c r="C1253" s="275"/>
      <c r="D1253" s="275"/>
      <c r="E1253" s="275"/>
      <c r="F1253" s="275"/>
      <c r="G1253" s="275"/>
      <c r="H1253" s="275"/>
      <c r="I1253" s="275"/>
      <c r="J1253" s="275"/>
      <c r="K1253" s="275"/>
      <c r="L1253" s="275"/>
      <c r="M1253" s="275"/>
      <c r="N1253" s="275"/>
      <c r="O1253" s="276"/>
      <c r="P1253" s="276"/>
      <c r="Q1253" s="247">
        <f t="shared" si="25"/>
        <v>0</v>
      </c>
      <c r="R1253" s="229"/>
      <c r="S1253" s="229"/>
      <c r="T1253" s="229"/>
      <c r="U1253" s="229"/>
      <c r="V1253" s="229"/>
      <c r="W1253" s="229"/>
      <c r="X1253" s="229"/>
    </row>
    <row r="1254" spans="1:24" ht="15.75" hidden="1">
      <c r="A1254" s="343"/>
      <c r="B1254" s="344"/>
      <c r="C1254" s="275"/>
      <c r="D1254" s="275"/>
      <c r="E1254" s="275"/>
      <c r="F1254" s="275"/>
      <c r="G1254" s="275"/>
      <c r="H1254" s="275"/>
      <c r="I1254" s="275"/>
      <c r="J1254" s="275"/>
      <c r="K1254" s="275"/>
      <c r="L1254" s="275"/>
      <c r="M1254" s="275"/>
      <c r="N1254" s="275"/>
      <c r="O1254" s="276"/>
      <c r="P1254" s="276"/>
      <c r="Q1254" s="247">
        <f t="shared" si="25"/>
        <v>0</v>
      </c>
      <c r="R1254" s="229"/>
      <c r="S1254" s="229"/>
      <c r="T1254" s="229"/>
      <c r="U1254" s="229"/>
      <c r="V1254" s="229"/>
      <c r="W1254" s="229"/>
      <c r="X1254" s="229"/>
    </row>
    <row r="1255" spans="1:24" ht="15.75" hidden="1">
      <c r="A1255" s="343"/>
      <c r="B1255" s="344"/>
      <c r="C1255" s="275"/>
      <c r="D1255" s="275"/>
      <c r="E1255" s="275"/>
      <c r="F1255" s="275"/>
      <c r="G1255" s="275"/>
      <c r="H1255" s="275"/>
      <c r="I1255" s="275"/>
      <c r="J1255" s="275"/>
      <c r="K1255" s="275"/>
      <c r="L1255" s="275"/>
      <c r="M1255" s="275"/>
      <c r="N1255" s="275"/>
      <c r="O1255" s="276"/>
      <c r="P1255" s="276"/>
      <c r="Q1255" s="247">
        <f t="shared" si="25"/>
        <v>0</v>
      </c>
      <c r="R1255" s="229"/>
      <c r="S1255" s="229"/>
      <c r="T1255" s="229"/>
      <c r="U1255" s="229"/>
      <c r="V1255" s="229"/>
      <c r="W1255" s="229"/>
      <c r="X1255" s="229"/>
    </row>
    <row r="1256" spans="1:24" ht="15.75" hidden="1">
      <c r="A1256" s="343"/>
      <c r="B1256" s="344"/>
      <c r="C1256" s="275"/>
      <c r="D1256" s="275"/>
      <c r="E1256" s="275"/>
      <c r="F1256" s="275"/>
      <c r="G1256" s="275"/>
      <c r="H1256" s="275"/>
      <c r="I1256" s="275"/>
      <c r="J1256" s="275"/>
      <c r="K1256" s="275"/>
      <c r="L1256" s="275"/>
      <c r="M1256" s="275"/>
      <c r="N1256" s="275"/>
      <c r="O1256" s="276"/>
      <c r="P1256" s="276"/>
      <c r="Q1256" s="247">
        <f t="shared" si="25"/>
        <v>0</v>
      </c>
      <c r="R1256" s="229"/>
      <c r="S1256" s="229"/>
      <c r="T1256" s="229"/>
      <c r="U1256" s="229"/>
      <c r="V1256" s="229"/>
      <c r="W1256" s="229"/>
      <c r="X1256" s="229"/>
    </row>
    <row r="1257" spans="1:24" ht="15.75" hidden="1">
      <c r="A1257" s="343"/>
      <c r="B1257" s="344"/>
      <c r="C1257" s="275"/>
      <c r="D1257" s="275"/>
      <c r="E1257" s="275"/>
      <c r="F1257" s="275"/>
      <c r="G1257" s="275"/>
      <c r="H1257" s="275"/>
      <c r="I1257" s="275"/>
      <c r="J1257" s="275"/>
      <c r="K1257" s="275"/>
      <c r="L1257" s="275"/>
      <c r="M1257" s="275"/>
      <c r="N1257" s="275"/>
      <c r="O1257" s="276"/>
      <c r="P1257" s="276"/>
      <c r="Q1257" s="247">
        <f t="shared" si="25"/>
        <v>0</v>
      </c>
      <c r="R1257" s="229"/>
      <c r="S1257" s="229"/>
      <c r="T1257" s="229"/>
      <c r="U1257" s="229"/>
      <c r="V1257" s="229"/>
      <c r="W1257" s="229"/>
      <c r="X1257" s="229"/>
    </row>
    <row r="1258" spans="1:24" ht="15.75" hidden="1">
      <c r="A1258" s="343"/>
      <c r="B1258" s="344"/>
      <c r="C1258" s="275"/>
      <c r="D1258" s="275"/>
      <c r="E1258" s="275"/>
      <c r="F1258" s="275"/>
      <c r="G1258" s="275"/>
      <c r="H1258" s="275"/>
      <c r="I1258" s="275"/>
      <c r="J1258" s="275"/>
      <c r="K1258" s="275"/>
      <c r="L1258" s="275"/>
      <c r="M1258" s="275"/>
      <c r="N1258" s="275"/>
      <c r="O1258" s="276"/>
      <c r="P1258" s="276"/>
      <c r="Q1258" s="247">
        <f t="shared" si="25"/>
        <v>0</v>
      </c>
      <c r="R1258" s="229"/>
      <c r="S1258" s="229"/>
      <c r="T1258" s="229"/>
      <c r="U1258" s="229"/>
      <c r="V1258" s="229"/>
      <c r="W1258" s="229"/>
      <c r="X1258" s="229"/>
    </row>
    <row r="1259" spans="1:24" ht="15.75" hidden="1">
      <c r="A1259" s="343"/>
      <c r="B1259" s="344"/>
      <c r="C1259" s="275"/>
      <c r="D1259" s="275"/>
      <c r="E1259" s="275"/>
      <c r="F1259" s="275"/>
      <c r="G1259" s="275"/>
      <c r="H1259" s="275"/>
      <c r="I1259" s="275"/>
      <c r="J1259" s="275"/>
      <c r="K1259" s="275"/>
      <c r="L1259" s="275"/>
      <c r="M1259" s="275"/>
      <c r="N1259" s="275"/>
      <c r="O1259" s="276"/>
      <c r="P1259" s="276"/>
      <c r="Q1259" s="247">
        <f t="shared" si="25"/>
        <v>0</v>
      </c>
      <c r="R1259" s="229"/>
      <c r="S1259" s="229"/>
      <c r="T1259" s="229"/>
      <c r="U1259" s="229"/>
      <c r="V1259" s="229"/>
      <c r="W1259" s="229"/>
      <c r="X1259" s="229"/>
    </row>
    <row r="1260" spans="1:24" ht="15.75" hidden="1">
      <c r="A1260" s="343"/>
      <c r="B1260" s="344"/>
      <c r="C1260" s="275"/>
      <c r="D1260" s="275"/>
      <c r="E1260" s="275"/>
      <c r="F1260" s="275"/>
      <c r="G1260" s="275"/>
      <c r="H1260" s="275"/>
      <c r="I1260" s="275"/>
      <c r="J1260" s="275"/>
      <c r="K1260" s="275"/>
      <c r="L1260" s="275"/>
      <c r="M1260" s="275"/>
      <c r="N1260" s="275"/>
      <c r="O1260" s="276"/>
      <c r="P1260" s="276"/>
      <c r="Q1260" s="247">
        <f t="shared" si="25"/>
        <v>0</v>
      </c>
      <c r="R1260" s="229"/>
      <c r="S1260" s="229"/>
      <c r="T1260" s="229"/>
      <c r="U1260" s="229"/>
      <c r="V1260" s="229"/>
      <c r="W1260" s="229"/>
      <c r="X1260" s="229"/>
    </row>
    <row r="1261" spans="1:24" ht="15.75" hidden="1">
      <c r="A1261" s="343"/>
      <c r="B1261" s="344"/>
      <c r="C1261" s="275"/>
      <c r="D1261" s="275"/>
      <c r="E1261" s="275"/>
      <c r="F1261" s="275"/>
      <c r="G1261" s="275"/>
      <c r="H1261" s="275"/>
      <c r="I1261" s="275"/>
      <c r="J1261" s="275"/>
      <c r="K1261" s="275"/>
      <c r="L1261" s="275"/>
      <c r="M1261" s="275"/>
      <c r="N1261" s="275"/>
      <c r="O1261" s="276"/>
      <c r="P1261" s="276"/>
      <c r="Q1261" s="247">
        <f t="shared" si="25"/>
        <v>0</v>
      </c>
      <c r="R1261" s="229"/>
      <c r="S1261" s="229"/>
      <c r="T1261" s="229"/>
      <c r="U1261" s="229"/>
      <c r="V1261" s="229"/>
      <c r="W1261" s="229"/>
      <c r="X1261" s="229"/>
    </row>
    <row r="1262" spans="1:24" ht="15.75" hidden="1">
      <c r="A1262" s="343"/>
      <c r="B1262" s="344"/>
      <c r="C1262" s="275"/>
      <c r="D1262" s="275"/>
      <c r="E1262" s="275"/>
      <c r="F1262" s="275"/>
      <c r="G1262" s="275"/>
      <c r="H1262" s="275"/>
      <c r="I1262" s="275"/>
      <c r="J1262" s="275"/>
      <c r="K1262" s="275"/>
      <c r="L1262" s="275"/>
      <c r="M1262" s="275"/>
      <c r="N1262" s="275"/>
      <c r="O1262" s="276"/>
      <c r="P1262" s="276"/>
      <c r="Q1262" s="247">
        <f t="shared" si="25"/>
        <v>0</v>
      </c>
      <c r="R1262" s="229"/>
      <c r="S1262" s="229"/>
      <c r="T1262" s="229"/>
      <c r="U1262" s="229"/>
      <c r="V1262" s="229"/>
      <c r="W1262" s="229"/>
      <c r="X1262" s="229"/>
    </row>
    <row r="1263" spans="1:24" ht="15.75" hidden="1">
      <c r="A1263" s="343"/>
      <c r="B1263" s="344"/>
      <c r="C1263" s="275"/>
      <c r="D1263" s="275"/>
      <c r="E1263" s="275"/>
      <c r="F1263" s="275"/>
      <c r="G1263" s="275"/>
      <c r="H1263" s="275"/>
      <c r="I1263" s="275"/>
      <c r="J1263" s="275"/>
      <c r="K1263" s="275"/>
      <c r="L1263" s="275"/>
      <c r="M1263" s="275"/>
      <c r="N1263" s="275"/>
      <c r="O1263" s="276"/>
      <c r="P1263" s="276"/>
      <c r="Q1263" s="247">
        <f t="shared" si="25"/>
        <v>0</v>
      </c>
      <c r="R1263" s="229"/>
      <c r="S1263" s="229"/>
      <c r="T1263" s="229"/>
      <c r="U1263" s="229"/>
      <c r="V1263" s="229"/>
      <c r="W1263" s="229"/>
      <c r="X1263" s="229"/>
    </row>
    <row r="1264" spans="1:24" ht="15.75" hidden="1">
      <c r="A1264" s="343"/>
      <c r="B1264" s="344"/>
      <c r="C1264" s="275"/>
      <c r="D1264" s="275"/>
      <c r="E1264" s="275"/>
      <c r="F1264" s="275"/>
      <c r="G1264" s="275"/>
      <c r="H1264" s="275"/>
      <c r="I1264" s="275"/>
      <c r="J1264" s="275"/>
      <c r="K1264" s="275"/>
      <c r="L1264" s="275"/>
      <c r="M1264" s="275"/>
      <c r="N1264" s="275"/>
      <c r="O1264" s="276"/>
      <c r="P1264" s="276"/>
      <c r="Q1264" s="247">
        <f t="shared" si="25"/>
        <v>0</v>
      </c>
      <c r="R1264" s="229"/>
      <c r="S1264" s="229"/>
      <c r="T1264" s="229"/>
      <c r="U1264" s="229"/>
      <c r="V1264" s="229"/>
      <c r="W1264" s="229"/>
      <c r="X1264" s="229"/>
    </row>
    <row r="1265" spans="1:24" ht="15.75" hidden="1">
      <c r="A1265" s="343"/>
      <c r="B1265" s="344"/>
      <c r="C1265" s="275"/>
      <c r="D1265" s="275"/>
      <c r="E1265" s="275"/>
      <c r="F1265" s="275"/>
      <c r="G1265" s="275"/>
      <c r="H1265" s="275"/>
      <c r="I1265" s="275"/>
      <c r="J1265" s="275"/>
      <c r="K1265" s="275"/>
      <c r="L1265" s="275"/>
      <c r="M1265" s="275"/>
      <c r="N1265" s="275"/>
      <c r="O1265" s="276"/>
      <c r="P1265" s="276"/>
      <c r="Q1265" s="247">
        <f t="shared" si="25"/>
        <v>0</v>
      </c>
      <c r="R1265" s="229"/>
      <c r="S1265" s="229"/>
      <c r="T1265" s="229"/>
      <c r="U1265" s="229"/>
      <c r="V1265" s="229"/>
      <c r="W1265" s="229"/>
      <c r="X1265" s="229"/>
    </row>
    <row r="1266" spans="1:24" ht="15.75" hidden="1">
      <c r="A1266" s="343"/>
      <c r="B1266" s="344"/>
      <c r="C1266" s="275"/>
      <c r="D1266" s="275"/>
      <c r="E1266" s="275"/>
      <c r="F1266" s="275"/>
      <c r="G1266" s="275"/>
      <c r="H1266" s="275"/>
      <c r="I1266" s="275"/>
      <c r="J1266" s="275"/>
      <c r="K1266" s="275"/>
      <c r="L1266" s="275"/>
      <c r="M1266" s="275"/>
      <c r="N1266" s="275"/>
      <c r="O1266" s="276"/>
      <c r="P1266" s="276"/>
      <c r="Q1266" s="247">
        <f t="shared" si="25"/>
        <v>0</v>
      </c>
      <c r="R1266" s="229"/>
      <c r="S1266" s="229"/>
      <c r="T1266" s="229"/>
      <c r="U1266" s="229"/>
      <c r="V1266" s="229"/>
      <c r="W1266" s="229"/>
      <c r="X1266" s="229"/>
    </row>
    <row r="1267" spans="1:24" ht="15.75" hidden="1">
      <c r="A1267" s="343"/>
      <c r="B1267" s="344"/>
      <c r="C1267" s="275"/>
      <c r="D1267" s="275"/>
      <c r="E1267" s="275"/>
      <c r="F1267" s="275"/>
      <c r="G1267" s="275"/>
      <c r="H1267" s="275"/>
      <c r="I1267" s="275"/>
      <c r="J1267" s="275"/>
      <c r="K1267" s="275"/>
      <c r="L1267" s="275"/>
      <c r="M1267" s="275"/>
      <c r="N1267" s="275"/>
      <c r="O1267" s="276"/>
      <c r="P1267" s="276"/>
      <c r="Q1267" s="247">
        <f t="shared" si="25"/>
        <v>0</v>
      </c>
      <c r="R1267" s="229"/>
      <c r="S1267" s="229"/>
      <c r="T1267" s="229"/>
      <c r="U1267" s="229"/>
      <c r="V1267" s="229"/>
      <c r="W1267" s="229"/>
      <c r="X1267" s="229"/>
    </row>
    <row r="1268" spans="1:24" ht="15.75" hidden="1">
      <c r="A1268" s="343"/>
      <c r="B1268" s="344"/>
      <c r="C1268" s="275"/>
      <c r="D1268" s="275"/>
      <c r="E1268" s="275"/>
      <c r="F1268" s="275"/>
      <c r="G1268" s="275"/>
      <c r="H1268" s="275"/>
      <c r="I1268" s="275"/>
      <c r="J1268" s="275"/>
      <c r="K1268" s="275"/>
      <c r="L1268" s="275"/>
      <c r="M1268" s="275"/>
      <c r="N1268" s="275"/>
      <c r="O1268" s="276"/>
      <c r="P1268" s="276"/>
      <c r="Q1268" s="247">
        <f t="shared" si="25"/>
        <v>0</v>
      </c>
      <c r="R1268" s="229"/>
      <c r="S1268" s="229"/>
      <c r="T1268" s="229"/>
      <c r="U1268" s="229"/>
      <c r="V1268" s="229"/>
      <c r="W1268" s="229"/>
      <c r="X1268" s="229"/>
    </row>
    <row r="1269" spans="1:24" ht="15.75" hidden="1">
      <c r="A1269" s="343"/>
      <c r="B1269" s="344"/>
      <c r="C1269" s="275"/>
      <c r="D1269" s="275"/>
      <c r="E1269" s="275"/>
      <c r="F1269" s="275"/>
      <c r="G1269" s="275"/>
      <c r="H1269" s="275"/>
      <c r="I1269" s="275"/>
      <c r="J1269" s="275"/>
      <c r="K1269" s="275"/>
      <c r="L1269" s="275"/>
      <c r="M1269" s="275"/>
      <c r="N1269" s="275"/>
      <c r="O1269" s="276"/>
      <c r="P1269" s="276"/>
      <c r="Q1269" s="247">
        <f t="shared" si="25"/>
        <v>0</v>
      </c>
      <c r="R1269" s="229"/>
      <c r="S1269" s="229"/>
      <c r="T1269" s="229"/>
      <c r="U1269" s="229"/>
      <c r="V1269" s="229"/>
      <c r="W1269" s="229"/>
      <c r="X1269" s="229"/>
    </row>
    <row r="1270" spans="1:24" ht="15.75" hidden="1">
      <c r="A1270" s="343"/>
      <c r="B1270" s="344"/>
      <c r="C1270" s="275"/>
      <c r="D1270" s="275"/>
      <c r="E1270" s="275"/>
      <c r="F1270" s="275"/>
      <c r="G1270" s="275"/>
      <c r="H1270" s="275"/>
      <c r="I1270" s="275"/>
      <c r="J1270" s="275"/>
      <c r="K1270" s="275"/>
      <c r="L1270" s="275"/>
      <c r="M1270" s="275"/>
      <c r="N1270" s="275"/>
      <c r="O1270" s="276"/>
      <c r="P1270" s="276"/>
      <c r="Q1270" s="247">
        <f t="shared" si="25"/>
        <v>0</v>
      </c>
      <c r="R1270" s="229"/>
      <c r="S1270" s="229"/>
      <c r="T1270" s="229"/>
      <c r="U1270" s="229"/>
      <c r="V1270" s="229"/>
      <c r="W1270" s="229"/>
      <c r="X1270" s="229"/>
    </row>
    <row r="1271" spans="1:24" ht="15.75" hidden="1">
      <c r="A1271" s="343"/>
      <c r="B1271" s="344"/>
      <c r="C1271" s="275"/>
      <c r="D1271" s="275"/>
      <c r="E1271" s="275"/>
      <c r="F1271" s="275"/>
      <c r="G1271" s="275"/>
      <c r="H1271" s="275"/>
      <c r="I1271" s="275"/>
      <c r="J1271" s="275"/>
      <c r="K1271" s="275"/>
      <c r="L1271" s="275"/>
      <c r="M1271" s="275"/>
      <c r="N1271" s="275"/>
      <c r="O1271" s="276"/>
      <c r="P1271" s="276"/>
      <c r="Q1271" s="247">
        <f t="shared" si="25"/>
        <v>0</v>
      </c>
      <c r="R1271" s="229"/>
      <c r="S1271" s="229"/>
      <c r="T1271" s="229"/>
      <c r="U1271" s="229"/>
      <c r="V1271" s="229"/>
      <c r="W1271" s="229"/>
      <c r="X1271" s="229"/>
    </row>
    <row r="1272" spans="1:24" ht="15.75" hidden="1">
      <c r="A1272" s="343"/>
      <c r="B1272" s="344"/>
      <c r="C1272" s="275"/>
      <c r="D1272" s="275"/>
      <c r="E1272" s="275"/>
      <c r="F1272" s="275"/>
      <c r="G1272" s="275"/>
      <c r="H1272" s="275"/>
      <c r="I1272" s="275"/>
      <c r="J1272" s="275"/>
      <c r="K1272" s="275"/>
      <c r="L1272" s="275"/>
      <c r="M1272" s="275"/>
      <c r="N1272" s="275"/>
      <c r="O1272" s="276"/>
      <c r="P1272" s="276"/>
      <c r="Q1272" s="247">
        <f t="shared" si="25"/>
        <v>0</v>
      </c>
      <c r="R1272" s="229"/>
      <c r="S1272" s="229"/>
      <c r="T1272" s="229"/>
      <c r="U1272" s="229"/>
      <c r="V1272" s="229"/>
      <c r="W1272" s="229"/>
      <c r="X1272" s="229"/>
    </row>
    <row r="1273" spans="1:24" ht="15.75" hidden="1">
      <c r="A1273" s="343"/>
      <c r="B1273" s="344"/>
      <c r="C1273" s="275"/>
      <c r="D1273" s="275"/>
      <c r="E1273" s="275"/>
      <c r="F1273" s="275"/>
      <c r="G1273" s="275"/>
      <c r="H1273" s="275"/>
      <c r="I1273" s="275"/>
      <c r="J1273" s="275"/>
      <c r="K1273" s="275"/>
      <c r="L1273" s="275"/>
      <c r="M1273" s="275"/>
      <c r="N1273" s="275"/>
      <c r="O1273" s="276"/>
      <c r="P1273" s="276"/>
      <c r="Q1273" s="247">
        <f t="shared" si="25"/>
        <v>0</v>
      </c>
      <c r="R1273" s="229"/>
      <c r="S1273" s="229"/>
      <c r="T1273" s="229"/>
      <c r="U1273" s="229"/>
      <c r="V1273" s="229"/>
      <c r="W1273" s="229"/>
      <c r="X1273" s="229"/>
    </row>
    <row r="1274" spans="1:24" ht="15.75" hidden="1">
      <c r="A1274" s="343"/>
      <c r="B1274" s="344"/>
      <c r="C1274" s="275"/>
      <c r="D1274" s="275"/>
      <c r="E1274" s="275"/>
      <c r="F1274" s="275"/>
      <c r="G1274" s="275"/>
      <c r="H1274" s="275"/>
      <c r="I1274" s="275"/>
      <c r="J1274" s="275"/>
      <c r="K1274" s="275"/>
      <c r="L1274" s="275"/>
      <c r="M1274" s="275"/>
      <c r="N1274" s="275"/>
      <c r="O1274" s="276"/>
      <c r="P1274" s="276"/>
      <c r="Q1274" s="247">
        <f t="shared" si="25"/>
        <v>0</v>
      </c>
      <c r="R1274" s="229"/>
      <c r="S1274" s="229"/>
      <c r="T1274" s="229"/>
      <c r="U1274" s="229"/>
      <c r="V1274" s="229"/>
      <c r="W1274" s="229"/>
      <c r="X1274" s="229"/>
    </row>
    <row r="1275" spans="1:24" ht="15.75" hidden="1">
      <c r="A1275" s="343"/>
      <c r="B1275" s="344"/>
      <c r="C1275" s="275"/>
      <c r="D1275" s="275"/>
      <c r="E1275" s="275"/>
      <c r="F1275" s="275"/>
      <c r="G1275" s="275"/>
      <c r="H1275" s="275"/>
      <c r="I1275" s="275"/>
      <c r="J1275" s="275"/>
      <c r="K1275" s="275"/>
      <c r="L1275" s="275"/>
      <c r="M1275" s="275"/>
      <c r="N1275" s="275"/>
      <c r="O1275" s="276"/>
      <c r="P1275" s="276"/>
      <c r="Q1275" s="247">
        <f t="shared" si="25"/>
        <v>0</v>
      </c>
      <c r="R1275" s="229"/>
      <c r="S1275" s="229"/>
      <c r="T1275" s="229"/>
      <c r="U1275" s="229"/>
      <c r="V1275" s="229"/>
      <c r="W1275" s="229"/>
      <c r="X1275" s="229"/>
    </row>
    <row r="1276" spans="1:24" ht="15.75" hidden="1">
      <c r="A1276" s="343"/>
      <c r="B1276" s="344"/>
      <c r="C1276" s="275"/>
      <c r="D1276" s="275"/>
      <c r="E1276" s="275"/>
      <c r="F1276" s="275"/>
      <c r="G1276" s="275"/>
      <c r="H1276" s="275"/>
      <c r="I1276" s="275"/>
      <c r="J1276" s="275"/>
      <c r="K1276" s="275"/>
      <c r="L1276" s="275"/>
      <c r="M1276" s="275"/>
      <c r="N1276" s="275"/>
      <c r="O1276" s="276"/>
      <c r="P1276" s="276"/>
      <c r="Q1276" s="247">
        <f t="shared" si="25"/>
        <v>0</v>
      </c>
      <c r="R1276" s="229"/>
      <c r="S1276" s="229"/>
      <c r="T1276" s="229"/>
      <c r="U1276" s="229"/>
      <c r="V1276" s="229"/>
      <c r="W1276" s="229"/>
      <c r="X1276" s="229"/>
    </row>
    <row r="1277" spans="1:24" ht="15.75" hidden="1">
      <c r="A1277" s="343"/>
      <c r="B1277" s="344"/>
      <c r="C1277" s="275"/>
      <c r="D1277" s="275"/>
      <c r="E1277" s="275"/>
      <c r="F1277" s="275"/>
      <c r="G1277" s="275"/>
      <c r="H1277" s="275"/>
      <c r="I1277" s="275"/>
      <c r="J1277" s="275"/>
      <c r="K1277" s="275"/>
      <c r="L1277" s="275"/>
      <c r="M1277" s="275"/>
      <c r="N1277" s="275"/>
      <c r="O1277" s="276"/>
      <c r="P1277" s="276"/>
      <c r="Q1277" s="247">
        <f t="shared" si="25"/>
        <v>0</v>
      </c>
      <c r="R1277" s="229"/>
      <c r="S1277" s="229"/>
      <c r="T1277" s="229"/>
      <c r="U1277" s="229"/>
      <c r="V1277" s="229"/>
      <c r="W1277" s="229"/>
      <c r="X1277" s="229"/>
    </row>
    <row r="1278" spans="1:24" ht="15.75" hidden="1">
      <c r="A1278" s="343"/>
      <c r="B1278" s="344"/>
      <c r="C1278" s="275"/>
      <c r="D1278" s="275"/>
      <c r="E1278" s="275"/>
      <c r="F1278" s="275"/>
      <c r="G1278" s="275"/>
      <c r="H1278" s="275"/>
      <c r="I1278" s="275"/>
      <c r="J1278" s="275"/>
      <c r="K1278" s="275"/>
      <c r="L1278" s="275"/>
      <c r="M1278" s="275"/>
      <c r="N1278" s="275"/>
      <c r="O1278" s="276"/>
      <c r="P1278" s="276"/>
      <c r="Q1278" s="247">
        <f t="shared" si="25"/>
        <v>0</v>
      </c>
      <c r="R1278" s="229"/>
      <c r="S1278" s="229"/>
      <c r="T1278" s="229"/>
      <c r="U1278" s="229"/>
      <c r="V1278" s="229"/>
      <c r="W1278" s="229"/>
      <c r="X1278" s="229"/>
    </row>
    <row r="1279" spans="1:24" ht="15.75" hidden="1">
      <c r="A1279" s="343"/>
      <c r="B1279" s="344"/>
      <c r="C1279" s="275"/>
      <c r="D1279" s="275"/>
      <c r="E1279" s="275"/>
      <c r="F1279" s="275"/>
      <c r="G1279" s="275"/>
      <c r="H1279" s="275"/>
      <c r="I1279" s="275"/>
      <c r="J1279" s="275"/>
      <c r="K1279" s="275"/>
      <c r="L1279" s="275"/>
      <c r="M1279" s="275"/>
      <c r="N1279" s="275"/>
      <c r="O1279" s="276"/>
      <c r="P1279" s="276"/>
      <c r="Q1279" s="247">
        <f t="shared" si="25"/>
        <v>0</v>
      </c>
      <c r="R1279" s="229"/>
      <c r="S1279" s="229"/>
      <c r="T1279" s="229"/>
      <c r="U1279" s="229"/>
      <c r="V1279" s="229"/>
      <c r="W1279" s="229"/>
      <c r="X1279" s="229"/>
    </row>
    <row r="1280" spans="1:24" ht="15.75" hidden="1">
      <c r="A1280" s="343"/>
      <c r="B1280" s="344"/>
      <c r="C1280" s="275"/>
      <c r="D1280" s="275"/>
      <c r="E1280" s="275"/>
      <c r="F1280" s="275"/>
      <c r="G1280" s="275"/>
      <c r="H1280" s="275"/>
      <c r="I1280" s="275"/>
      <c r="J1280" s="275"/>
      <c r="K1280" s="275"/>
      <c r="L1280" s="275"/>
      <c r="M1280" s="275"/>
      <c r="N1280" s="275"/>
      <c r="O1280" s="276"/>
      <c r="P1280" s="276"/>
      <c r="Q1280" s="247">
        <f t="shared" si="25"/>
        <v>0</v>
      </c>
      <c r="R1280" s="229"/>
      <c r="S1280" s="229"/>
      <c r="T1280" s="229"/>
      <c r="U1280" s="229"/>
      <c r="V1280" s="229"/>
      <c r="W1280" s="229"/>
      <c r="X1280" s="229"/>
    </row>
    <row r="1281" spans="1:24" ht="15.75" hidden="1">
      <c r="A1281" s="343"/>
      <c r="B1281" s="344"/>
      <c r="C1281" s="275"/>
      <c r="D1281" s="275"/>
      <c r="E1281" s="275"/>
      <c r="F1281" s="275"/>
      <c r="G1281" s="275"/>
      <c r="H1281" s="275"/>
      <c r="I1281" s="275"/>
      <c r="J1281" s="275"/>
      <c r="K1281" s="275"/>
      <c r="L1281" s="275"/>
      <c r="M1281" s="275"/>
      <c r="N1281" s="275"/>
      <c r="O1281" s="276"/>
      <c r="P1281" s="276"/>
      <c r="Q1281" s="247">
        <f t="shared" si="25"/>
        <v>0</v>
      </c>
      <c r="R1281" s="229"/>
      <c r="S1281" s="229"/>
      <c r="T1281" s="229"/>
      <c r="U1281" s="229"/>
      <c r="V1281" s="229"/>
      <c r="W1281" s="229"/>
      <c r="X1281" s="229"/>
    </row>
    <row r="1282" spans="1:24" ht="15.75" hidden="1">
      <c r="A1282" s="343"/>
      <c r="B1282" s="344"/>
      <c r="C1282" s="275"/>
      <c r="D1282" s="275"/>
      <c r="E1282" s="275"/>
      <c r="F1282" s="275"/>
      <c r="G1282" s="275"/>
      <c r="H1282" s="275"/>
      <c r="I1282" s="275"/>
      <c r="J1282" s="275"/>
      <c r="K1282" s="275"/>
      <c r="L1282" s="275"/>
      <c r="M1282" s="275"/>
      <c r="N1282" s="275"/>
      <c r="O1282" s="276"/>
      <c r="P1282" s="276"/>
      <c r="Q1282" s="247">
        <f t="shared" si="25"/>
        <v>0</v>
      </c>
      <c r="R1282" s="229"/>
      <c r="S1282" s="229"/>
      <c r="T1282" s="229"/>
      <c r="U1282" s="229"/>
      <c r="V1282" s="229"/>
      <c r="W1282" s="229"/>
      <c r="X1282" s="229"/>
    </row>
    <row r="1283" spans="1:24" ht="15.75" hidden="1">
      <c r="A1283" s="343"/>
      <c r="B1283" s="344"/>
      <c r="C1283" s="275"/>
      <c r="D1283" s="275"/>
      <c r="E1283" s="275"/>
      <c r="F1283" s="275"/>
      <c r="G1283" s="275"/>
      <c r="H1283" s="275"/>
      <c r="I1283" s="275"/>
      <c r="J1283" s="275"/>
      <c r="K1283" s="275"/>
      <c r="L1283" s="275"/>
      <c r="M1283" s="275"/>
      <c r="N1283" s="275"/>
      <c r="O1283" s="276"/>
      <c r="P1283" s="276"/>
      <c r="Q1283" s="247">
        <f t="shared" si="25"/>
        <v>0</v>
      </c>
      <c r="R1283" s="229"/>
      <c r="S1283" s="229"/>
      <c r="T1283" s="229"/>
      <c r="U1283" s="229"/>
      <c r="V1283" s="229"/>
      <c r="W1283" s="229"/>
      <c r="X1283" s="229"/>
    </row>
    <row r="1284" spans="1:24" ht="15.75" hidden="1">
      <c r="A1284" s="343"/>
      <c r="B1284" s="344"/>
      <c r="C1284" s="275"/>
      <c r="D1284" s="275"/>
      <c r="E1284" s="275"/>
      <c r="F1284" s="275"/>
      <c r="G1284" s="275"/>
      <c r="H1284" s="275"/>
      <c r="I1284" s="275"/>
      <c r="J1284" s="275"/>
      <c r="K1284" s="275"/>
      <c r="L1284" s="275"/>
      <c r="M1284" s="275"/>
      <c r="N1284" s="275"/>
      <c r="O1284" s="276"/>
      <c r="P1284" s="276"/>
      <c r="Q1284" s="247">
        <f t="shared" si="25"/>
        <v>0</v>
      </c>
      <c r="R1284" s="229"/>
      <c r="S1284" s="229"/>
      <c r="T1284" s="229"/>
      <c r="U1284" s="229"/>
      <c r="V1284" s="229"/>
      <c r="W1284" s="229"/>
      <c r="X1284" s="229"/>
    </row>
    <row r="1285" spans="1:24" ht="15.75" hidden="1">
      <c r="A1285" s="343"/>
      <c r="B1285" s="344"/>
      <c r="C1285" s="275"/>
      <c r="D1285" s="275"/>
      <c r="E1285" s="275"/>
      <c r="F1285" s="275"/>
      <c r="G1285" s="275"/>
      <c r="H1285" s="275"/>
      <c r="I1285" s="275"/>
      <c r="J1285" s="275"/>
      <c r="K1285" s="275"/>
      <c r="L1285" s="275"/>
      <c r="M1285" s="275"/>
      <c r="N1285" s="275"/>
      <c r="O1285" s="276"/>
      <c r="P1285" s="276"/>
      <c r="Q1285" s="247">
        <f t="shared" si="25"/>
        <v>0</v>
      </c>
      <c r="R1285" s="229"/>
      <c r="S1285" s="229"/>
      <c r="T1285" s="229"/>
      <c r="U1285" s="229"/>
      <c r="V1285" s="229"/>
      <c r="W1285" s="229"/>
      <c r="X1285" s="229"/>
    </row>
    <row r="1286" spans="1:24" ht="15.75" hidden="1">
      <c r="A1286" s="343"/>
      <c r="B1286" s="344"/>
      <c r="C1286" s="275"/>
      <c r="D1286" s="275"/>
      <c r="E1286" s="275"/>
      <c r="F1286" s="275"/>
      <c r="G1286" s="275"/>
      <c r="H1286" s="275"/>
      <c r="I1286" s="275"/>
      <c r="J1286" s="275"/>
      <c r="K1286" s="275"/>
      <c r="L1286" s="275"/>
      <c r="M1286" s="275"/>
      <c r="N1286" s="275"/>
      <c r="O1286" s="276"/>
      <c r="P1286" s="276"/>
      <c r="Q1286" s="247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9"/>
      <c r="S1286" s="229"/>
      <c r="T1286" s="229"/>
      <c r="U1286" s="229"/>
      <c r="V1286" s="229"/>
      <c r="W1286" s="229"/>
      <c r="X1286" s="229"/>
    </row>
    <row r="1287" spans="1:24" ht="15.75" hidden="1">
      <c r="A1287" s="343"/>
      <c r="B1287" s="344"/>
      <c r="C1287" s="275"/>
      <c r="D1287" s="275"/>
      <c r="E1287" s="275"/>
      <c r="F1287" s="275"/>
      <c r="G1287" s="275"/>
      <c r="H1287" s="275"/>
      <c r="I1287" s="275"/>
      <c r="J1287" s="275"/>
      <c r="K1287" s="275"/>
      <c r="L1287" s="275"/>
      <c r="M1287" s="275"/>
      <c r="N1287" s="275"/>
      <c r="O1287" s="276"/>
      <c r="P1287" s="276"/>
      <c r="Q1287" s="247">
        <f t="shared" si="26"/>
        <v>0</v>
      </c>
      <c r="R1287" s="229"/>
      <c r="S1287" s="229"/>
      <c r="T1287" s="229"/>
      <c r="U1287" s="229"/>
      <c r="V1287" s="229"/>
      <c r="W1287" s="229"/>
      <c r="X1287" s="229"/>
    </row>
    <row r="1288" spans="1:24" ht="15.75" hidden="1">
      <c r="A1288" s="343"/>
      <c r="B1288" s="344"/>
      <c r="C1288" s="275"/>
      <c r="D1288" s="275"/>
      <c r="E1288" s="275"/>
      <c r="F1288" s="275"/>
      <c r="G1288" s="275"/>
      <c r="H1288" s="275"/>
      <c r="I1288" s="275"/>
      <c r="J1288" s="275"/>
      <c r="K1288" s="275"/>
      <c r="L1288" s="275"/>
      <c r="M1288" s="275"/>
      <c r="N1288" s="275"/>
      <c r="O1288" s="276"/>
      <c r="P1288" s="276"/>
      <c r="Q1288" s="247">
        <f t="shared" si="26"/>
        <v>0</v>
      </c>
      <c r="R1288" s="229"/>
      <c r="S1288" s="229"/>
      <c r="T1288" s="229"/>
      <c r="U1288" s="229"/>
      <c r="V1288" s="229"/>
      <c r="W1288" s="229"/>
      <c r="X1288" s="229"/>
    </row>
    <row r="1289" spans="1:24" ht="15.75" hidden="1">
      <c r="A1289" s="343"/>
      <c r="B1289" s="344"/>
      <c r="C1289" s="275"/>
      <c r="D1289" s="275"/>
      <c r="E1289" s="275"/>
      <c r="F1289" s="275"/>
      <c r="G1289" s="275"/>
      <c r="H1289" s="275"/>
      <c r="I1289" s="275"/>
      <c r="J1289" s="275"/>
      <c r="K1289" s="275"/>
      <c r="L1289" s="275"/>
      <c r="M1289" s="275"/>
      <c r="N1289" s="275"/>
      <c r="O1289" s="276"/>
      <c r="P1289" s="276"/>
      <c r="Q1289" s="247">
        <f t="shared" si="26"/>
        <v>0</v>
      </c>
      <c r="R1289" s="229"/>
      <c r="S1289" s="229"/>
      <c r="T1289" s="229"/>
      <c r="U1289" s="229"/>
      <c r="V1289" s="229"/>
      <c r="W1289" s="229"/>
      <c r="X1289" s="229"/>
    </row>
    <row r="1290" spans="1:24" ht="15.75" hidden="1">
      <c r="A1290" s="343"/>
      <c r="B1290" s="344"/>
      <c r="C1290" s="275"/>
      <c r="D1290" s="275"/>
      <c r="E1290" s="275"/>
      <c r="F1290" s="275"/>
      <c r="G1290" s="275"/>
      <c r="H1290" s="275"/>
      <c r="I1290" s="275"/>
      <c r="J1290" s="275"/>
      <c r="K1290" s="275"/>
      <c r="L1290" s="275"/>
      <c r="M1290" s="275"/>
      <c r="N1290" s="275"/>
      <c r="O1290" s="276"/>
      <c r="P1290" s="276"/>
      <c r="Q1290" s="247">
        <f t="shared" si="26"/>
        <v>0</v>
      </c>
      <c r="R1290" s="229"/>
      <c r="S1290" s="229"/>
      <c r="T1290" s="229"/>
      <c r="U1290" s="229"/>
      <c r="V1290" s="229"/>
      <c r="W1290" s="229"/>
      <c r="X1290" s="229"/>
    </row>
    <row r="1291" spans="1:24" ht="15.75" hidden="1">
      <c r="A1291" s="343"/>
      <c r="B1291" s="344"/>
      <c r="C1291" s="275"/>
      <c r="D1291" s="275"/>
      <c r="E1291" s="275"/>
      <c r="F1291" s="275"/>
      <c r="G1291" s="275"/>
      <c r="H1291" s="275"/>
      <c r="I1291" s="275"/>
      <c r="J1291" s="275"/>
      <c r="K1291" s="275"/>
      <c r="L1291" s="275"/>
      <c r="M1291" s="275"/>
      <c r="N1291" s="275"/>
      <c r="O1291" s="276"/>
      <c r="P1291" s="276"/>
      <c r="Q1291" s="247">
        <f t="shared" si="26"/>
        <v>0</v>
      </c>
      <c r="R1291" s="229"/>
      <c r="S1291" s="229"/>
      <c r="T1291" s="229"/>
      <c r="U1291" s="229"/>
      <c r="V1291" s="229"/>
      <c r="W1291" s="229"/>
      <c r="X1291" s="229"/>
    </row>
    <row r="1292" spans="1:24" ht="15.75" hidden="1">
      <c r="A1292" s="343"/>
      <c r="B1292" s="344"/>
      <c r="C1292" s="275"/>
      <c r="D1292" s="275"/>
      <c r="E1292" s="275"/>
      <c r="F1292" s="275"/>
      <c r="G1292" s="275"/>
      <c r="H1292" s="275"/>
      <c r="I1292" s="275"/>
      <c r="J1292" s="275"/>
      <c r="K1292" s="275"/>
      <c r="L1292" s="275"/>
      <c r="M1292" s="275"/>
      <c r="N1292" s="275"/>
      <c r="O1292" s="276"/>
      <c r="P1292" s="276"/>
      <c r="Q1292" s="247">
        <f t="shared" si="26"/>
        <v>0</v>
      </c>
      <c r="R1292" s="229"/>
      <c r="S1292" s="229"/>
      <c r="T1292" s="229"/>
      <c r="U1292" s="229"/>
      <c r="V1292" s="229"/>
      <c r="W1292" s="229"/>
      <c r="X1292" s="229"/>
    </row>
    <row r="1293" spans="1:24" ht="15.75" hidden="1">
      <c r="A1293" s="343"/>
      <c r="B1293" s="344"/>
      <c r="C1293" s="275"/>
      <c r="D1293" s="275"/>
      <c r="E1293" s="275"/>
      <c r="F1293" s="275"/>
      <c r="G1293" s="275"/>
      <c r="H1293" s="275"/>
      <c r="I1293" s="275"/>
      <c r="J1293" s="275"/>
      <c r="K1293" s="275"/>
      <c r="L1293" s="275"/>
      <c r="M1293" s="275"/>
      <c r="N1293" s="275"/>
      <c r="O1293" s="276"/>
      <c r="P1293" s="276"/>
      <c r="Q1293" s="247">
        <f t="shared" si="26"/>
        <v>0</v>
      </c>
      <c r="R1293" s="229"/>
      <c r="S1293" s="229"/>
      <c r="T1293" s="229"/>
      <c r="U1293" s="229"/>
      <c r="V1293" s="229"/>
      <c r="W1293" s="229"/>
      <c r="X1293" s="229"/>
    </row>
    <row r="1294" spans="1:24" ht="15.75" hidden="1">
      <c r="A1294" s="343"/>
      <c r="B1294" s="344"/>
      <c r="C1294" s="275"/>
      <c r="D1294" s="275"/>
      <c r="E1294" s="275"/>
      <c r="F1294" s="275"/>
      <c r="G1294" s="275"/>
      <c r="H1294" s="275"/>
      <c r="I1294" s="275"/>
      <c r="J1294" s="275"/>
      <c r="K1294" s="275"/>
      <c r="L1294" s="275"/>
      <c r="M1294" s="275"/>
      <c r="N1294" s="275"/>
      <c r="O1294" s="276"/>
      <c r="P1294" s="276"/>
      <c r="Q1294" s="247">
        <f t="shared" si="26"/>
        <v>0</v>
      </c>
      <c r="R1294" s="229"/>
      <c r="S1294" s="229"/>
      <c r="T1294" s="229"/>
      <c r="U1294" s="229"/>
      <c r="V1294" s="229"/>
      <c r="W1294" s="229"/>
      <c r="X1294" s="229"/>
    </row>
    <row r="1295" spans="1:24" ht="15.75" hidden="1">
      <c r="A1295" s="343"/>
      <c r="B1295" s="344"/>
      <c r="C1295" s="275"/>
      <c r="D1295" s="275"/>
      <c r="E1295" s="275"/>
      <c r="F1295" s="275"/>
      <c r="G1295" s="275"/>
      <c r="H1295" s="275"/>
      <c r="I1295" s="275"/>
      <c r="J1295" s="275"/>
      <c r="K1295" s="275"/>
      <c r="L1295" s="275"/>
      <c r="M1295" s="275"/>
      <c r="N1295" s="275"/>
      <c r="O1295" s="276"/>
      <c r="P1295" s="276"/>
      <c r="Q1295" s="247">
        <f t="shared" si="26"/>
        <v>0</v>
      </c>
      <c r="R1295" s="229"/>
      <c r="S1295" s="229"/>
      <c r="T1295" s="229"/>
      <c r="U1295" s="229"/>
      <c r="V1295" s="229"/>
      <c r="W1295" s="229"/>
      <c r="X1295" s="229"/>
    </row>
    <row r="1296" spans="1:24" ht="15.75" hidden="1">
      <c r="A1296" s="343"/>
      <c r="B1296" s="344"/>
      <c r="C1296" s="275"/>
      <c r="D1296" s="275"/>
      <c r="E1296" s="275"/>
      <c r="F1296" s="275"/>
      <c r="G1296" s="275"/>
      <c r="H1296" s="275"/>
      <c r="I1296" s="275"/>
      <c r="J1296" s="275"/>
      <c r="K1296" s="275"/>
      <c r="L1296" s="275"/>
      <c r="M1296" s="275"/>
      <c r="N1296" s="275"/>
      <c r="O1296" s="276"/>
      <c r="P1296" s="276"/>
      <c r="Q1296" s="247">
        <f t="shared" si="26"/>
        <v>0</v>
      </c>
      <c r="R1296" s="229"/>
      <c r="S1296" s="229"/>
      <c r="T1296" s="229"/>
      <c r="U1296" s="229"/>
      <c r="V1296" s="229"/>
      <c r="W1296" s="229"/>
      <c r="X1296" s="229"/>
    </row>
    <row r="1297" spans="1:24" ht="15.75" hidden="1">
      <c r="A1297" s="343"/>
      <c r="B1297" s="344"/>
      <c r="C1297" s="275"/>
      <c r="D1297" s="275"/>
      <c r="E1297" s="275"/>
      <c r="F1297" s="275"/>
      <c r="G1297" s="275"/>
      <c r="H1297" s="275"/>
      <c r="I1297" s="275"/>
      <c r="J1297" s="275"/>
      <c r="K1297" s="275"/>
      <c r="L1297" s="275"/>
      <c r="M1297" s="275"/>
      <c r="N1297" s="275"/>
      <c r="O1297" s="276"/>
      <c r="P1297" s="276"/>
      <c r="Q1297" s="247">
        <f t="shared" si="26"/>
        <v>0</v>
      </c>
      <c r="R1297" s="229"/>
      <c r="S1297" s="229"/>
      <c r="T1297" s="229"/>
      <c r="U1297" s="229"/>
      <c r="V1297" s="229"/>
      <c r="W1297" s="229"/>
      <c r="X1297" s="229"/>
    </row>
    <row r="1298" spans="1:24" ht="15.75" hidden="1">
      <c r="A1298" s="343"/>
      <c r="B1298" s="344"/>
      <c r="C1298" s="275"/>
      <c r="D1298" s="275"/>
      <c r="E1298" s="275"/>
      <c r="F1298" s="275"/>
      <c r="G1298" s="275"/>
      <c r="H1298" s="275"/>
      <c r="I1298" s="275"/>
      <c r="J1298" s="275"/>
      <c r="K1298" s="275"/>
      <c r="L1298" s="275"/>
      <c r="M1298" s="275"/>
      <c r="N1298" s="275"/>
      <c r="O1298" s="276"/>
      <c r="P1298" s="276"/>
      <c r="Q1298" s="247">
        <f t="shared" si="26"/>
        <v>0</v>
      </c>
      <c r="R1298" s="229"/>
      <c r="S1298" s="229"/>
      <c r="T1298" s="229"/>
      <c r="U1298" s="229"/>
      <c r="V1298" s="229"/>
      <c r="W1298" s="229"/>
      <c r="X1298" s="229"/>
    </row>
    <row r="1299" spans="1:24" ht="15.75" hidden="1">
      <c r="A1299" s="343"/>
      <c r="B1299" s="344"/>
      <c r="C1299" s="275"/>
      <c r="D1299" s="275"/>
      <c r="E1299" s="275"/>
      <c r="F1299" s="275"/>
      <c r="G1299" s="275"/>
      <c r="H1299" s="275"/>
      <c r="I1299" s="275"/>
      <c r="J1299" s="275"/>
      <c r="K1299" s="275"/>
      <c r="L1299" s="275"/>
      <c r="M1299" s="275"/>
      <c r="N1299" s="275"/>
      <c r="O1299" s="276"/>
      <c r="P1299" s="276"/>
      <c r="Q1299" s="247">
        <f t="shared" si="26"/>
        <v>0</v>
      </c>
      <c r="R1299" s="229"/>
      <c r="S1299" s="229"/>
      <c r="T1299" s="229"/>
      <c r="U1299" s="229"/>
      <c r="V1299" s="229"/>
      <c r="W1299" s="229"/>
      <c r="X1299" s="229"/>
    </row>
    <row r="1300" spans="1:24" ht="15.75" hidden="1">
      <c r="A1300" s="343"/>
      <c r="B1300" s="344"/>
      <c r="C1300" s="275"/>
      <c r="D1300" s="275"/>
      <c r="E1300" s="275"/>
      <c r="F1300" s="275"/>
      <c r="G1300" s="275"/>
      <c r="H1300" s="275"/>
      <c r="I1300" s="275"/>
      <c r="J1300" s="275"/>
      <c r="K1300" s="275"/>
      <c r="L1300" s="275"/>
      <c r="M1300" s="275"/>
      <c r="N1300" s="275"/>
      <c r="O1300" s="276"/>
      <c r="P1300" s="276"/>
      <c r="Q1300" s="247">
        <f t="shared" si="26"/>
        <v>0</v>
      </c>
      <c r="R1300" s="229"/>
      <c r="S1300" s="229"/>
      <c r="T1300" s="229"/>
      <c r="U1300" s="229"/>
      <c r="V1300" s="229"/>
      <c r="W1300" s="229"/>
      <c r="X1300" s="229"/>
    </row>
    <row r="1301" spans="1:24" ht="15.75" hidden="1">
      <c r="A1301" s="343"/>
      <c r="B1301" s="344"/>
      <c r="C1301" s="275"/>
      <c r="D1301" s="275"/>
      <c r="E1301" s="275"/>
      <c r="F1301" s="275"/>
      <c r="G1301" s="275"/>
      <c r="H1301" s="275"/>
      <c r="I1301" s="275"/>
      <c r="J1301" s="275"/>
      <c r="K1301" s="275"/>
      <c r="L1301" s="275"/>
      <c r="M1301" s="275"/>
      <c r="N1301" s="275"/>
      <c r="O1301" s="276"/>
      <c r="P1301" s="276"/>
      <c r="Q1301" s="247">
        <f t="shared" si="26"/>
        <v>0</v>
      </c>
      <c r="R1301" s="229"/>
      <c r="S1301" s="229"/>
      <c r="T1301" s="229"/>
      <c r="U1301" s="229"/>
      <c r="V1301" s="229"/>
      <c r="W1301" s="229"/>
      <c r="X1301" s="229"/>
    </row>
    <row r="1302" spans="1:24" ht="15.75" hidden="1">
      <c r="A1302" s="343"/>
      <c r="B1302" s="344"/>
      <c r="C1302" s="275"/>
      <c r="D1302" s="275"/>
      <c r="E1302" s="275"/>
      <c r="F1302" s="275"/>
      <c r="G1302" s="275"/>
      <c r="H1302" s="275"/>
      <c r="I1302" s="275"/>
      <c r="J1302" s="275"/>
      <c r="K1302" s="275"/>
      <c r="L1302" s="275"/>
      <c r="M1302" s="275"/>
      <c r="N1302" s="275"/>
      <c r="O1302" s="276"/>
      <c r="P1302" s="276"/>
      <c r="Q1302" s="247">
        <f t="shared" si="26"/>
        <v>0</v>
      </c>
      <c r="R1302" s="229"/>
      <c r="S1302" s="229"/>
      <c r="T1302" s="229"/>
      <c r="U1302" s="229"/>
      <c r="V1302" s="229"/>
      <c r="W1302" s="229"/>
      <c r="X1302" s="229"/>
    </row>
    <row r="1303" spans="1:24" ht="15.75" hidden="1">
      <c r="A1303" s="343"/>
      <c r="B1303" s="344"/>
      <c r="C1303" s="275"/>
      <c r="D1303" s="275"/>
      <c r="E1303" s="275"/>
      <c r="F1303" s="275"/>
      <c r="G1303" s="275"/>
      <c r="H1303" s="275"/>
      <c r="I1303" s="275"/>
      <c r="J1303" s="275"/>
      <c r="K1303" s="275"/>
      <c r="L1303" s="275"/>
      <c r="M1303" s="275"/>
      <c r="N1303" s="275"/>
      <c r="O1303" s="276"/>
      <c r="P1303" s="276"/>
      <c r="Q1303" s="247">
        <f t="shared" si="26"/>
        <v>0</v>
      </c>
      <c r="R1303" s="229"/>
      <c r="S1303" s="229"/>
      <c r="T1303" s="229"/>
      <c r="U1303" s="229"/>
      <c r="V1303" s="229"/>
      <c r="W1303" s="229"/>
      <c r="X1303" s="229"/>
    </row>
    <row r="1304" spans="1:24" ht="15.75" hidden="1">
      <c r="A1304" s="343"/>
      <c r="B1304" s="344"/>
      <c r="C1304" s="275"/>
      <c r="D1304" s="275"/>
      <c r="E1304" s="275"/>
      <c r="F1304" s="275"/>
      <c r="G1304" s="275"/>
      <c r="H1304" s="275"/>
      <c r="I1304" s="275"/>
      <c r="J1304" s="275"/>
      <c r="K1304" s="275"/>
      <c r="L1304" s="275"/>
      <c r="M1304" s="275"/>
      <c r="N1304" s="275"/>
      <c r="O1304" s="276"/>
      <c r="P1304" s="276"/>
      <c r="Q1304" s="247">
        <f t="shared" si="26"/>
        <v>0</v>
      </c>
      <c r="R1304" s="229"/>
      <c r="S1304" s="229"/>
      <c r="T1304" s="229"/>
      <c r="U1304" s="229"/>
      <c r="V1304" s="229"/>
      <c r="W1304" s="229"/>
      <c r="X1304" s="229"/>
    </row>
    <row r="1305" spans="1:24" ht="15.75" hidden="1">
      <c r="A1305" s="343"/>
      <c r="B1305" s="344"/>
      <c r="C1305" s="275"/>
      <c r="D1305" s="275"/>
      <c r="E1305" s="275"/>
      <c r="F1305" s="275"/>
      <c r="G1305" s="275"/>
      <c r="H1305" s="275"/>
      <c r="I1305" s="275"/>
      <c r="J1305" s="275"/>
      <c r="K1305" s="275"/>
      <c r="L1305" s="275"/>
      <c r="M1305" s="275"/>
      <c r="N1305" s="275"/>
      <c r="O1305" s="276"/>
      <c r="P1305" s="276"/>
      <c r="Q1305" s="247">
        <f t="shared" si="26"/>
        <v>0</v>
      </c>
      <c r="R1305" s="229"/>
      <c r="S1305" s="229"/>
      <c r="T1305" s="229"/>
      <c r="U1305" s="229"/>
      <c r="V1305" s="229"/>
      <c r="W1305" s="229"/>
      <c r="X1305" s="229"/>
    </row>
    <row r="1306" spans="1:24" ht="15.75" hidden="1">
      <c r="A1306" s="343"/>
      <c r="B1306" s="344"/>
      <c r="C1306" s="275"/>
      <c r="D1306" s="275"/>
      <c r="E1306" s="275"/>
      <c r="F1306" s="275"/>
      <c r="G1306" s="275"/>
      <c r="H1306" s="275"/>
      <c r="I1306" s="275"/>
      <c r="J1306" s="275"/>
      <c r="K1306" s="275"/>
      <c r="L1306" s="275"/>
      <c r="M1306" s="275"/>
      <c r="N1306" s="275"/>
      <c r="O1306" s="276"/>
      <c r="P1306" s="276"/>
      <c r="Q1306" s="247">
        <f t="shared" si="26"/>
        <v>0</v>
      </c>
      <c r="R1306" s="229"/>
      <c r="S1306" s="229"/>
      <c r="T1306" s="229"/>
      <c r="U1306" s="229"/>
      <c r="V1306" s="229"/>
      <c r="W1306" s="229"/>
      <c r="X1306" s="229"/>
    </row>
    <row r="1307" spans="1:24" ht="15.75" hidden="1">
      <c r="A1307" s="343"/>
      <c r="B1307" s="344"/>
      <c r="C1307" s="275"/>
      <c r="D1307" s="275"/>
      <c r="E1307" s="275"/>
      <c r="F1307" s="275"/>
      <c r="G1307" s="275"/>
      <c r="H1307" s="275"/>
      <c r="I1307" s="275"/>
      <c r="J1307" s="275"/>
      <c r="K1307" s="275"/>
      <c r="L1307" s="275"/>
      <c r="M1307" s="275"/>
      <c r="N1307" s="275"/>
      <c r="O1307" s="276"/>
      <c r="P1307" s="276"/>
      <c r="Q1307" s="247">
        <f t="shared" si="26"/>
        <v>0</v>
      </c>
      <c r="R1307" s="229"/>
      <c r="S1307" s="229"/>
      <c r="T1307" s="229"/>
      <c r="U1307" s="229"/>
      <c r="V1307" s="229"/>
      <c r="W1307" s="229"/>
      <c r="X1307" s="229"/>
    </row>
    <row r="1308" spans="1:24" ht="15.75" hidden="1">
      <c r="A1308" s="343"/>
      <c r="B1308" s="344"/>
      <c r="C1308" s="275"/>
      <c r="D1308" s="275"/>
      <c r="E1308" s="275"/>
      <c r="F1308" s="275"/>
      <c r="G1308" s="275"/>
      <c r="H1308" s="275"/>
      <c r="I1308" s="275"/>
      <c r="J1308" s="275"/>
      <c r="K1308" s="275"/>
      <c r="L1308" s="275"/>
      <c r="M1308" s="275"/>
      <c r="N1308" s="275"/>
      <c r="O1308" s="276"/>
      <c r="P1308" s="276"/>
      <c r="Q1308" s="247">
        <f t="shared" si="26"/>
        <v>0</v>
      </c>
      <c r="R1308" s="229"/>
      <c r="S1308" s="229"/>
      <c r="T1308" s="229"/>
      <c r="U1308" s="229"/>
      <c r="V1308" s="229"/>
      <c r="W1308" s="229"/>
      <c r="X1308" s="229"/>
    </row>
    <row r="1309" spans="1:24" ht="15.75" hidden="1">
      <c r="A1309" s="343"/>
      <c r="B1309" s="344"/>
      <c r="C1309" s="275"/>
      <c r="D1309" s="275"/>
      <c r="E1309" s="275"/>
      <c r="F1309" s="275"/>
      <c r="G1309" s="275"/>
      <c r="H1309" s="275"/>
      <c r="I1309" s="275"/>
      <c r="J1309" s="275"/>
      <c r="K1309" s="275"/>
      <c r="L1309" s="275"/>
      <c r="M1309" s="275"/>
      <c r="N1309" s="275"/>
      <c r="O1309" s="276"/>
      <c r="P1309" s="276"/>
      <c r="Q1309" s="247">
        <f t="shared" si="26"/>
        <v>0</v>
      </c>
      <c r="R1309" s="229"/>
      <c r="S1309" s="229"/>
      <c r="T1309" s="229"/>
      <c r="U1309" s="229"/>
      <c r="V1309" s="229"/>
      <c r="W1309" s="229"/>
      <c r="X1309" s="229"/>
    </row>
    <row r="1310" spans="1:24" ht="15.75" hidden="1">
      <c r="A1310" s="343"/>
      <c r="B1310" s="344"/>
      <c r="C1310" s="275"/>
      <c r="D1310" s="275"/>
      <c r="E1310" s="275"/>
      <c r="F1310" s="275"/>
      <c r="G1310" s="275"/>
      <c r="H1310" s="275"/>
      <c r="I1310" s="275"/>
      <c r="J1310" s="275"/>
      <c r="K1310" s="275"/>
      <c r="L1310" s="275"/>
      <c r="M1310" s="275"/>
      <c r="N1310" s="275"/>
      <c r="O1310" s="276"/>
      <c r="P1310" s="276"/>
      <c r="Q1310" s="247">
        <f t="shared" si="26"/>
        <v>0</v>
      </c>
      <c r="R1310" s="229"/>
      <c r="S1310" s="229"/>
      <c r="T1310" s="229"/>
      <c r="U1310" s="229"/>
      <c r="V1310" s="229"/>
      <c r="W1310" s="229"/>
      <c r="X1310" s="229"/>
    </row>
    <row r="1311" spans="1:24" ht="15.75" hidden="1">
      <c r="A1311" s="343"/>
      <c r="B1311" s="344"/>
      <c r="C1311" s="275"/>
      <c r="D1311" s="275"/>
      <c r="E1311" s="275"/>
      <c r="F1311" s="275"/>
      <c r="G1311" s="275"/>
      <c r="H1311" s="275"/>
      <c r="I1311" s="275"/>
      <c r="J1311" s="275"/>
      <c r="K1311" s="275"/>
      <c r="L1311" s="275"/>
      <c r="M1311" s="275"/>
      <c r="N1311" s="275"/>
      <c r="O1311" s="276"/>
      <c r="P1311" s="276"/>
      <c r="Q1311" s="247">
        <f t="shared" si="26"/>
        <v>0</v>
      </c>
      <c r="R1311" s="229"/>
      <c r="S1311" s="229"/>
      <c r="T1311" s="229"/>
      <c r="U1311" s="229"/>
      <c r="V1311" s="229"/>
      <c r="W1311" s="229"/>
      <c r="X1311" s="229"/>
    </row>
    <row r="1312" spans="1:24" ht="15.75" hidden="1">
      <c r="A1312" s="343"/>
      <c r="B1312" s="344"/>
      <c r="C1312" s="275"/>
      <c r="D1312" s="275"/>
      <c r="E1312" s="275"/>
      <c r="F1312" s="275"/>
      <c r="G1312" s="275"/>
      <c r="H1312" s="275"/>
      <c r="I1312" s="275"/>
      <c r="J1312" s="275"/>
      <c r="K1312" s="275"/>
      <c r="L1312" s="275"/>
      <c r="M1312" s="275"/>
      <c r="N1312" s="275"/>
      <c r="O1312" s="276"/>
      <c r="P1312" s="276"/>
      <c r="Q1312" s="247">
        <f t="shared" si="26"/>
        <v>0</v>
      </c>
      <c r="R1312" s="229"/>
      <c r="S1312" s="229"/>
      <c r="T1312" s="229"/>
      <c r="U1312" s="229"/>
      <c r="V1312" s="229"/>
      <c r="W1312" s="229"/>
      <c r="X1312" s="229"/>
    </row>
    <row r="1313" spans="1:24" ht="15.75" hidden="1">
      <c r="A1313" s="343"/>
      <c r="B1313" s="344"/>
      <c r="C1313" s="275"/>
      <c r="D1313" s="275"/>
      <c r="E1313" s="275"/>
      <c r="F1313" s="275"/>
      <c r="G1313" s="275"/>
      <c r="H1313" s="275"/>
      <c r="I1313" s="275"/>
      <c r="J1313" s="275"/>
      <c r="K1313" s="275"/>
      <c r="L1313" s="275"/>
      <c r="M1313" s="275"/>
      <c r="N1313" s="275"/>
      <c r="O1313" s="276"/>
      <c r="P1313" s="276"/>
      <c r="Q1313" s="247">
        <f t="shared" si="26"/>
        <v>0</v>
      </c>
      <c r="R1313" s="229"/>
      <c r="S1313" s="229"/>
      <c r="T1313" s="229"/>
      <c r="U1313" s="229"/>
      <c r="V1313" s="229"/>
      <c r="W1313" s="229"/>
      <c r="X1313" s="229"/>
    </row>
    <row r="1314" spans="1:24" ht="15.75" hidden="1">
      <c r="A1314" s="343"/>
      <c r="B1314" s="344"/>
      <c r="C1314" s="275"/>
      <c r="D1314" s="275"/>
      <c r="E1314" s="275"/>
      <c r="F1314" s="275"/>
      <c r="G1314" s="275"/>
      <c r="H1314" s="275"/>
      <c r="I1314" s="275"/>
      <c r="J1314" s="275"/>
      <c r="K1314" s="275"/>
      <c r="L1314" s="275"/>
      <c r="M1314" s="275"/>
      <c r="N1314" s="275"/>
      <c r="O1314" s="276"/>
      <c r="P1314" s="276"/>
      <c r="Q1314" s="247">
        <f t="shared" si="26"/>
        <v>0</v>
      </c>
      <c r="R1314" s="229"/>
      <c r="S1314" s="229"/>
      <c r="T1314" s="229"/>
      <c r="U1314" s="229"/>
      <c r="V1314" s="229"/>
      <c r="W1314" s="229"/>
      <c r="X1314" s="229"/>
    </row>
    <row r="1315" spans="1:24" ht="15.75" hidden="1">
      <c r="A1315" s="343"/>
      <c r="B1315" s="344"/>
      <c r="C1315" s="275"/>
      <c r="D1315" s="275"/>
      <c r="E1315" s="275"/>
      <c r="F1315" s="275"/>
      <c r="G1315" s="275"/>
      <c r="H1315" s="275"/>
      <c r="I1315" s="275"/>
      <c r="J1315" s="275"/>
      <c r="K1315" s="275"/>
      <c r="L1315" s="275"/>
      <c r="M1315" s="275"/>
      <c r="N1315" s="275"/>
      <c r="O1315" s="276"/>
      <c r="P1315" s="276"/>
      <c r="Q1315" s="247">
        <f t="shared" si="26"/>
        <v>0</v>
      </c>
      <c r="R1315" s="229"/>
      <c r="S1315" s="229"/>
      <c r="T1315" s="229"/>
      <c r="U1315" s="229"/>
      <c r="V1315" s="229"/>
      <c r="W1315" s="229"/>
      <c r="X1315" s="229"/>
    </row>
    <row r="1316" spans="1:24" ht="15.75" hidden="1">
      <c r="A1316" s="343"/>
      <c r="B1316" s="344"/>
      <c r="C1316" s="275"/>
      <c r="D1316" s="275"/>
      <c r="E1316" s="275"/>
      <c r="F1316" s="275"/>
      <c r="G1316" s="275"/>
      <c r="H1316" s="275"/>
      <c r="I1316" s="275"/>
      <c r="J1316" s="275"/>
      <c r="K1316" s="275"/>
      <c r="L1316" s="275"/>
      <c r="M1316" s="275"/>
      <c r="N1316" s="275"/>
      <c r="O1316" s="276"/>
      <c r="P1316" s="276"/>
      <c r="Q1316" s="247">
        <f t="shared" si="26"/>
        <v>0</v>
      </c>
      <c r="R1316" s="229"/>
      <c r="S1316" s="229"/>
      <c r="T1316" s="229"/>
      <c r="U1316" s="229"/>
      <c r="V1316" s="229"/>
      <c r="W1316" s="229"/>
      <c r="X1316" s="229"/>
    </row>
    <row r="1317" spans="1:24" ht="15.75" hidden="1">
      <c r="A1317" s="343"/>
      <c r="B1317" s="344"/>
      <c r="C1317" s="275"/>
      <c r="D1317" s="275"/>
      <c r="E1317" s="275"/>
      <c r="F1317" s="275"/>
      <c r="G1317" s="275"/>
      <c r="H1317" s="275"/>
      <c r="I1317" s="275"/>
      <c r="J1317" s="275"/>
      <c r="K1317" s="275"/>
      <c r="L1317" s="275"/>
      <c r="M1317" s="275"/>
      <c r="N1317" s="275"/>
      <c r="O1317" s="276"/>
      <c r="P1317" s="276"/>
      <c r="Q1317" s="247">
        <f t="shared" si="26"/>
        <v>0</v>
      </c>
      <c r="R1317" s="229"/>
      <c r="S1317" s="229"/>
      <c r="T1317" s="229"/>
      <c r="U1317" s="229"/>
      <c r="V1317" s="229"/>
      <c r="W1317" s="229"/>
      <c r="X1317" s="229"/>
    </row>
    <row r="1318" spans="1:24" ht="15.75" hidden="1">
      <c r="A1318" s="343"/>
      <c r="B1318" s="344"/>
      <c r="C1318" s="275"/>
      <c r="D1318" s="275"/>
      <c r="E1318" s="275"/>
      <c r="F1318" s="275"/>
      <c r="G1318" s="275"/>
      <c r="H1318" s="275"/>
      <c r="I1318" s="275"/>
      <c r="J1318" s="275"/>
      <c r="K1318" s="275"/>
      <c r="L1318" s="275"/>
      <c r="M1318" s="275"/>
      <c r="N1318" s="275"/>
      <c r="O1318" s="276"/>
      <c r="P1318" s="276"/>
      <c r="Q1318" s="247">
        <f t="shared" si="26"/>
        <v>0</v>
      </c>
      <c r="R1318" s="229"/>
      <c r="S1318" s="229"/>
      <c r="T1318" s="229"/>
      <c r="U1318" s="229"/>
      <c r="V1318" s="229"/>
      <c r="W1318" s="229"/>
      <c r="X1318" s="229"/>
    </row>
    <row r="1319" spans="1:24" ht="15.75" hidden="1">
      <c r="A1319" s="343"/>
      <c r="B1319" s="344"/>
      <c r="C1319" s="275"/>
      <c r="D1319" s="275"/>
      <c r="E1319" s="275"/>
      <c r="F1319" s="275"/>
      <c r="G1319" s="275"/>
      <c r="H1319" s="275"/>
      <c r="I1319" s="275"/>
      <c r="J1319" s="275"/>
      <c r="K1319" s="275"/>
      <c r="L1319" s="275"/>
      <c r="M1319" s="275"/>
      <c r="N1319" s="275"/>
      <c r="O1319" s="276"/>
      <c r="P1319" s="276"/>
      <c r="Q1319" s="247">
        <f t="shared" si="26"/>
        <v>0</v>
      </c>
      <c r="R1319" s="229"/>
      <c r="S1319" s="229"/>
      <c r="T1319" s="229"/>
      <c r="U1319" s="229"/>
      <c r="V1319" s="229"/>
      <c r="W1319" s="229"/>
      <c r="X1319" s="229"/>
    </row>
    <row r="1320" spans="1:24" ht="15.75" hidden="1">
      <c r="A1320" s="343"/>
      <c r="B1320" s="344"/>
      <c r="C1320" s="275"/>
      <c r="D1320" s="275"/>
      <c r="E1320" s="275"/>
      <c r="F1320" s="275"/>
      <c r="G1320" s="275"/>
      <c r="H1320" s="275"/>
      <c r="I1320" s="275"/>
      <c r="J1320" s="275"/>
      <c r="K1320" s="275"/>
      <c r="L1320" s="275"/>
      <c r="M1320" s="275"/>
      <c r="N1320" s="275"/>
      <c r="O1320" s="276"/>
      <c r="P1320" s="276"/>
      <c r="Q1320" s="247">
        <f t="shared" si="26"/>
        <v>0</v>
      </c>
      <c r="R1320" s="229"/>
      <c r="S1320" s="229"/>
      <c r="T1320" s="229"/>
      <c r="U1320" s="229"/>
      <c r="V1320" s="229"/>
      <c r="W1320" s="229"/>
      <c r="X1320" s="229"/>
    </row>
    <row r="1321" spans="1:24" ht="15.75" hidden="1">
      <c r="A1321" s="343"/>
      <c r="B1321" s="344"/>
      <c r="C1321" s="275"/>
      <c r="D1321" s="275"/>
      <c r="E1321" s="275"/>
      <c r="F1321" s="275"/>
      <c r="G1321" s="275"/>
      <c r="H1321" s="275"/>
      <c r="I1321" s="275"/>
      <c r="J1321" s="275"/>
      <c r="K1321" s="275"/>
      <c r="L1321" s="275"/>
      <c r="M1321" s="275"/>
      <c r="N1321" s="275"/>
      <c r="O1321" s="276"/>
      <c r="P1321" s="276"/>
      <c r="Q1321" s="247">
        <f t="shared" si="26"/>
        <v>0</v>
      </c>
      <c r="R1321" s="229"/>
      <c r="S1321" s="229"/>
      <c r="T1321" s="229"/>
      <c r="U1321" s="229"/>
      <c r="V1321" s="229"/>
      <c r="W1321" s="229"/>
      <c r="X1321" s="229"/>
    </row>
    <row r="1322" spans="1:24" ht="15.75" hidden="1">
      <c r="A1322" s="343"/>
      <c r="B1322" s="344"/>
      <c r="C1322" s="275"/>
      <c r="D1322" s="275"/>
      <c r="E1322" s="275"/>
      <c r="F1322" s="275"/>
      <c r="G1322" s="275"/>
      <c r="H1322" s="275"/>
      <c r="I1322" s="275"/>
      <c r="J1322" s="275"/>
      <c r="K1322" s="275"/>
      <c r="L1322" s="275"/>
      <c r="M1322" s="275"/>
      <c r="N1322" s="275"/>
      <c r="O1322" s="276"/>
      <c r="P1322" s="276"/>
      <c r="Q1322" s="247">
        <f t="shared" si="26"/>
        <v>0</v>
      </c>
      <c r="R1322" s="229"/>
      <c r="S1322" s="229"/>
      <c r="T1322" s="229"/>
      <c r="U1322" s="229"/>
      <c r="V1322" s="229"/>
      <c r="W1322" s="229"/>
      <c r="X1322" s="229"/>
    </row>
    <row r="1323" spans="1:24" ht="15.75" hidden="1">
      <c r="A1323" s="343"/>
      <c r="B1323" s="344"/>
      <c r="C1323" s="275"/>
      <c r="D1323" s="275"/>
      <c r="E1323" s="275"/>
      <c r="F1323" s="275"/>
      <c r="G1323" s="275"/>
      <c r="H1323" s="275"/>
      <c r="I1323" s="275"/>
      <c r="J1323" s="275"/>
      <c r="K1323" s="275"/>
      <c r="L1323" s="275"/>
      <c r="M1323" s="275"/>
      <c r="N1323" s="275"/>
      <c r="O1323" s="276"/>
      <c r="P1323" s="276"/>
      <c r="Q1323" s="247">
        <f t="shared" si="26"/>
        <v>0</v>
      </c>
      <c r="R1323" s="229"/>
      <c r="S1323" s="229"/>
      <c r="T1323" s="229"/>
      <c r="U1323" s="229"/>
      <c r="V1323" s="229"/>
      <c r="W1323" s="229"/>
      <c r="X1323" s="229"/>
    </row>
    <row r="1324" spans="1:24" ht="15.75" hidden="1">
      <c r="A1324" s="343"/>
      <c r="B1324" s="344"/>
      <c r="C1324" s="275"/>
      <c r="D1324" s="275"/>
      <c r="E1324" s="275"/>
      <c r="F1324" s="275"/>
      <c r="G1324" s="275"/>
      <c r="H1324" s="275"/>
      <c r="I1324" s="275"/>
      <c r="J1324" s="275"/>
      <c r="K1324" s="275"/>
      <c r="L1324" s="275"/>
      <c r="M1324" s="275"/>
      <c r="N1324" s="275"/>
      <c r="O1324" s="276"/>
      <c r="P1324" s="276"/>
      <c r="Q1324" s="247">
        <f t="shared" si="26"/>
        <v>0</v>
      </c>
      <c r="R1324" s="229"/>
      <c r="S1324" s="229"/>
      <c r="T1324" s="229"/>
      <c r="U1324" s="229"/>
      <c r="V1324" s="229"/>
      <c r="W1324" s="229"/>
      <c r="X1324" s="229"/>
    </row>
    <row r="1325" spans="1:24" ht="15.75" hidden="1">
      <c r="A1325" s="343"/>
      <c r="B1325" s="344"/>
      <c r="C1325" s="275"/>
      <c r="D1325" s="275"/>
      <c r="E1325" s="275"/>
      <c r="F1325" s="275"/>
      <c r="G1325" s="275"/>
      <c r="H1325" s="275"/>
      <c r="I1325" s="275"/>
      <c r="J1325" s="275"/>
      <c r="K1325" s="275"/>
      <c r="L1325" s="275"/>
      <c r="M1325" s="275"/>
      <c r="N1325" s="275"/>
      <c r="O1325" s="276"/>
      <c r="P1325" s="276"/>
      <c r="Q1325" s="247">
        <f t="shared" si="26"/>
        <v>0</v>
      </c>
      <c r="R1325" s="229"/>
      <c r="S1325" s="229"/>
      <c r="T1325" s="229"/>
      <c r="U1325" s="229"/>
      <c r="V1325" s="229"/>
      <c r="W1325" s="229"/>
      <c r="X1325" s="229"/>
    </row>
    <row r="1326" spans="1:24" ht="15.75" hidden="1">
      <c r="A1326" s="343"/>
      <c r="B1326" s="344"/>
      <c r="C1326" s="275"/>
      <c r="D1326" s="275"/>
      <c r="E1326" s="275"/>
      <c r="F1326" s="275"/>
      <c r="G1326" s="275"/>
      <c r="H1326" s="275"/>
      <c r="I1326" s="275"/>
      <c r="J1326" s="275"/>
      <c r="K1326" s="275"/>
      <c r="L1326" s="275"/>
      <c r="M1326" s="275"/>
      <c r="N1326" s="275"/>
      <c r="O1326" s="276"/>
      <c r="P1326" s="276"/>
      <c r="Q1326" s="247">
        <f t="shared" si="26"/>
        <v>0</v>
      </c>
      <c r="R1326" s="229"/>
      <c r="S1326" s="229"/>
      <c r="T1326" s="229"/>
      <c r="U1326" s="229"/>
      <c r="V1326" s="229"/>
      <c r="W1326" s="229"/>
      <c r="X1326" s="229"/>
    </row>
    <row r="1327" spans="1:24" ht="15.75" hidden="1">
      <c r="A1327" s="343"/>
      <c r="B1327" s="344"/>
      <c r="C1327" s="275"/>
      <c r="D1327" s="275"/>
      <c r="E1327" s="275"/>
      <c r="F1327" s="275"/>
      <c r="G1327" s="275"/>
      <c r="H1327" s="275"/>
      <c r="I1327" s="275"/>
      <c r="J1327" s="275"/>
      <c r="K1327" s="275"/>
      <c r="L1327" s="275"/>
      <c r="M1327" s="275"/>
      <c r="N1327" s="275"/>
      <c r="O1327" s="276"/>
      <c r="P1327" s="276"/>
      <c r="Q1327" s="247">
        <f t="shared" si="26"/>
        <v>0</v>
      </c>
      <c r="R1327" s="229"/>
      <c r="S1327" s="229"/>
      <c r="T1327" s="229"/>
      <c r="U1327" s="229"/>
      <c r="V1327" s="229"/>
      <c r="W1327" s="229"/>
      <c r="X1327" s="229"/>
    </row>
    <row r="1328" spans="1:24" ht="15.75" hidden="1">
      <c r="A1328" s="343"/>
      <c r="B1328" s="344"/>
      <c r="C1328" s="275"/>
      <c r="D1328" s="275"/>
      <c r="E1328" s="275"/>
      <c r="F1328" s="275"/>
      <c r="G1328" s="275"/>
      <c r="H1328" s="275"/>
      <c r="I1328" s="275"/>
      <c r="J1328" s="275"/>
      <c r="K1328" s="275"/>
      <c r="L1328" s="275"/>
      <c r="M1328" s="275"/>
      <c r="N1328" s="275"/>
      <c r="O1328" s="276"/>
      <c r="P1328" s="276"/>
      <c r="Q1328" s="247">
        <f t="shared" si="26"/>
        <v>0</v>
      </c>
      <c r="R1328" s="229"/>
      <c r="S1328" s="229"/>
      <c r="T1328" s="229"/>
      <c r="U1328" s="229"/>
      <c r="V1328" s="229"/>
      <c r="W1328" s="229"/>
      <c r="X1328" s="229"/>
    </row>
    <row r="1329" spans="1:24" ht="15.75" hidden="1">
      <c r="A1329" s="343"/>
      <c r="B1329" s="344"/>
      <c r="C1329" s="275"/>
      <c r="D1329" s="275"/>
      <c r="E1329" s="275"/>
      <c r="F1329" s="275"/>
      <c r="G1329" s="275"/>
      <c r="H1329" s="275"/>
      <c r="I1329" s="275"/>
      <c r="J1329" s="275"/>
      <c r="K1329" s="275"/>
      <c r="L1329" s="275"/>
      <c r="M1329" s="275"/>
      <c r="N1329" s="275"/>
      <c r="O1329" s="276"/>
      <c r="P1329" s="276"/>
      <c r="Q1329" s="247">
        <f t="shared" si="26"/>
        <v>0</v>
      </c>
      <c r="R1329" s="229"/>
      <c r="S1329" s="229"/>
      <c r="T1329" s="229"/>
      <c r="U1329" s="229"/>
      <c r="V1329" s="229"/>
      <c r="W1329" s="229"/>
      <c r="X1329" s="229"/>
    </row>
    <row r="1330" spans="1:24" ht="15.75" hidden="1">
      <c r="A1330" s="343"/>
      <c r="B1330" s="344"/>
      <c r="C1330" s="275"/>
      <c r="D1330" s="275"/>
      <c r="E1330" s="275"/>
      <c r="F1330" s="275"/>
      <c r="G1330" s="275"/>
      <c r="H1330" s="275"/>
      <c r="I1330" s="275"/>
      <c r="J1330" s="275"/>
      <c r="K1330" s="275"/>
      <c r="L1330" s="275"/>
      <c r="M1330" s="275"/>
      <c r="N1330" s="275"/>
      <c r="O1330" s="276"/>
      <c r="P1330" s="276"/>
      <c r="Q1330" s="247">
        <f t="shared" si="26"/>
        <v>0</v>
      </c>
      <c r="R1330" s="229"/>
      <c r="S1330" s="229"/>
      <c r="T1330" s="229"/>
      <c r="U1330" s="229"/>
      <c r="V1330" s="229"/>
      <c r="W1330" s="229"/>
      <c r="X1330" s="229"/>
    </row>
    <row r="1331" spans="1:24" ht="15.75" hidden="1">
      <c r="A1331" s="343"/>
      <c r="B1331" s="344"/>
      <c r="C1331" s="275"/>
      <c r="D1331" s="275"/>
      <c r="E1331" s="275"/>
      <c r="F1331" s="275"/>
      <c r="G1331" s="275"/>
      <c r="H1331" s="275"/>
      <c r="I1331" s="275"/>
      <c r="J1331" s="275"/>
      <c r="K1331" s="275"/>
      <c r="L1331" s="275"/>
      <c r="M1331" s="275"/>
      <c r="N1331" s="275"/>
      <c r="O1331" s="276"/>
      <c r="P1331" s="276"/>
      <c r="Q1331" s="247">
        <f t="shared" si="26"/>
        <v>0</v>
      </c>
      <c r="R1331" s="229"/>
      <c r="S1331" s="229"/>
      <c r="T1331" s="229"/>
      <c r="U1331" s="229"/>
      <c r="V1331" s="229"/>
      <c r="W1331" s="229"/>
      <c r="X1331" s="229"/>
    </row>
    <row r="1332" spans="1:24" ht="15.75" hidden="1">
      <c r="A1332" s="343"/>
      <c r="B1332" s="344"/>
      <c r="C1332" s="275"/>
      <c r="D1332" s="275"/>
      <c r="E1332" s="275"/>
      <c r="F1332" s="275"/>
      <c r="G1332" s="275"/>
      <c r="H1332" s="275"/>
      <c r="I1332" s="275"/>
      <c r="J1332" s="275"/>
      <c r="K1332" s="275"/>
      <c r="L1332" s="275"/>
      <c r="M1332" s="275"/>
      <c r="N1332" s="275"/>
      <c r="O1332" s="276"/>
      <c r="P1332" s="276"/>
      <c r="Q1332" s="247">
        <f t="shared" si="26"/>
        <v>0</v>
      </c>
      <c r="R1332" s="229"/>
      <c r="S1332" s="229"/>
      <c r="T1332" s="229"/>
      <c r="U1332" s="229"/>
      <c r="V1332" s="229"/>
      <c r="W1332" s="229"/>
      <c r="X1332" s="229"/>
    </row>
    <row r="1333" spans="1:24" ht="15.75" hidden="1">
      <c r="A1333" s="343"/>
      <c r="B1333" s="344"/>
      <c r="C1333" s="275"/>
      <c r="D1333" s="275"/>
      <c r="E1333" s="275"/>
      <c r="F1333" s="275"/>
      <c r="G1333" s="275"/>
      <c r="H1333" s="275"/>
      <c r="I1333" s="275"/>
      <c r="J1333" s="275"/>
      <c r="K1333" s="275"/>
      <c r="L1333" s="275"/>
      <c r="M1333" s="275"/>
      <c r="N1333" s="275"/>
      <c r="O1333" s="276"/>
      <c r="P1333" s="276"/>
      <c r="Q1333" s="247">
        <f t="shared" si="26"/>
        <v>0</v>
      </c>
      <c r="R1333" s="229"/>
      <c r="S1333" s="229"/>
      <c r="T1333" s="229"/>
      <c r="U1333" s="229"/>
      <c r="V1333" s="229"/>
      <c r="W1333" s="229"/>
      <c r="X1333" s="229"/>
    </row>
    <row r="1334" spans="1:24" ht="15.75" hidden="1">
      <c r="A1334" s="343"/>
      <c r="B1334" s="344"/>
      <c r="C1334" s="275"/>
      <c r="D1334" s="275"/>
      <c r="E1334" s="275"/>
      <c r="F1334" s="275"/>
      <c r="G1334" s="275"/>
      <c r="H1334" s="275"/>
      <c r="I1334" s="275"/>
      <c r="J1334" s="275"/>
      <c r="K1334" s="275"/>
      <c r="L1334" s="275"/>
      <c r="M1334" s="275"/>
      <c r="N1334" s="275"/>
      <c r="O1334" s="276"/>
      <c r="P1334" s="276"/>
      <c r="Q1334" s="247">
        <f t="shared" si="26"/>
        <v>0</v>
      </c>
      <c r="R1334" s="229"/>
      <c r="S1334" s="229"/>
      <c r="T1334" s="229"/>
      <c r="U1334" s="229"/>
      <c r="V1334" s="229"/>
      <c r="W1334" s="229"/>
      <c r="X1334" s="229"/>
    </row>
    <row r="1335" spans="1:24" ht="15.75" hidden="1">
      <c r="A1335" s="343"/>
      <c r="B1335" s="344"/>
      <c r="C1335" s="275"/>
      <c r="D1335" s="275"/>
      <c r="E1335" s="275"/>
      <c r="F1335" s="275"/>
      <c r="G1335" s="275"/>
      <c r="H1335" s="275"/>
      <c r="I1335" s="275"/>
      <c r="J1335" s="275"/>
      <c r="K1335" s="275"/>
      <c r="L1335" s="275"/>
      <c r="M1335" s="275"/>
      <c r="N1335" s="275"/>
      <c r="O1335" s="276"/>
      <c r="P1335" s="276"/>
      <c r="Q1335" s="247">
        <f t="shared" si="26"/>
        <v>0</v>
      </c>
      <c r="R1335" s="229"/>
      <c r="S1335" s="229"/>
      <c r="T1335" s="229"/>
      <c r="U1335" s="229"/>
      <c r="V1335" s="229"/>
      <c r="W1335" s="229"/>
      <c r="X1335" s="229"/>
    </row>
    <row r="1336" spans="1:24" ht="15.75" hidden="1">
      <c r="A1336" s="343"/>
      <c r="B1336" s="344"/>
      <c r="C1336" s="275"/>
      <c r="D1336" s="275"/>
      <c r="E1336" s="275"/>
      <c r="F1336" s="275"/>
      <c r="G1336" s="275"/>
      <c r="H1336" s="275"/>
      <c r="I1336" s="275"/>
      <c r="J1336" s="275"/>
      <c r="K1336" s="275"/>
      <c r="L1336" s="275"/>
      <c r="M1336" s="275"/>
      <c r="N1336" s="275"/>
      <c r="O1336" s="276"/>
      <c r="P1336" s="276"/>
      <c r="Q1336" s="247">
        <f t="shared" si="26"/>
        <v>0</v>
      </c>
      <c r="R1336" s="229"/>
      <c r="S1336" s="229"/>
      <c r="T1336" s="229"/>
      <c r="U1336" s="229"/>
      <c r="V1336" s="229"/>
      <c r="W1336" s="229"/>
      <c r="X1336" s="229"/>
    </row>
    <row r="1337" spans="1:24" ht="15.75" hidden="1">
      <c r="A1337" s="343"/>
      <c r="B1337" s="344"/>
      <c r="C1337" s="275"/>
      <c r="D1337" s="275"/>
      <c r="E1337" s="275"/>
      <c r="F1337" s="275"/>
      <c r="G1337" s="275"/>
      <c r="H1337" s="275"/>
      <c r="I1337" s="275"/>
      <c r="J1337" s="275"/>
      <c r="K1337" s="275"/>
      <c r="L1337" s="275"/>
      <c r="M1337" s="275"/>
      <c r="N1337" s="275"/>
      <c r="O1337" s="276"/>
      <c r="P1337" s="276"/>
      <c r="Q1337" s="247">
        <f t="shared" si="26"/>
        <v>0</v>
      </c>
      <c r="R1337" s="229"/>
      <c r="S1337" s="229"/>
      <c r="T1337" s="229"/>
      <c r="U1337" s="229"/>
      <c r="V1337" s="229"/>
      <c r="W1337" s="229"/>
      <c r="X1337" s="229"/>
    </row>
    <row r="1338" spans="1:24" ht="15.75" hidden="1">
      <c r="A1338" s="343"/>
      <c r="B1338" s="344"/>
      <c r="C1338" s="275"/>
      <c r="D1338" s="275"/>
      <c r="E1338" s="275"/>
      <c r="F1338" s="275"/>
      <c r="G1338" s="275"/>
      <c r="H1338" s="275"/>
      <c r="I1338" s="275"/>
      <c r="J1338" s="275"/>
      <c r="K1338" s="275"/>
      <c r="L1338" s="275"/>
      <c r="M1338" s="275"/>
      <c r="N1338" s="275"/>
      <c r="O1338" s="276"/>
      <c r="P1338" s="276"/>
      <c r="Q1338" s="247">
        <f t="shared" si="26"/>
        <v>0</v>
      </c>
      <c r="R1338" s="229"/>
      <c r="S1338" s="229"/>
      <c r="T1338" s="229"/>
      <c r="U1338" s="229"/>
      <c r="V1338" s="229"/>
      <c r="W1338" s="229"/>
      <c r="X1338" s="229"/>
    </row>
    <row r="1339" spans="1:24" ht="15.75" hidden="1">
      <c r="A1339" s="343"/>
      <c r="B1339" s="344"/>
      <c r="C1339" s="275"/>
      <c r="D1339" s="275"/>
      <c r="E1339" s="275"/>
      <c r="F1339" s="275"/>
      <c r="G1339" s="275"/>
      <c r="H1339" s="275"/>
      <c r="I1339" s="275"/>
      <c r="J1339" s="275"/>
      <c r="K1339" s="275"/>
      <c r="L1339" s="275"/>
      <c r="M1339" s="275"/>
      <c r="N1339" s="275"/>
      <c r="O1339" s="276"/>
      <c r="P1339" s="276"/>
      <c r="Q1339" s="247">
        <f t="shared" si="26"/>
        <v>0</v>
      </c>
      <c r="R1339" s="229"/>
      <c r="S1339" s="229"/>
      <c r="T1339" s="229"/>
      <c r="U1339" s="229"/>
      <c r="V1339" s="229"/>
      <c r="W1339" s="229"/>
      <c r="X1339" s="229"/>
    </row>
    <row r="1340" spans="1:24" ht="15.75" hidden="1">
      <c r="A1340" s="343"/>
      <c r="B1340" s="344"/>
      <c r="C1340" s="275"/>
      <c r="D1340" s="275"/>
      <c r="E1340" s="275"/>
      <c r="F1340" s="275"/>
      <c r="G1340" s="275"/>
      <c r="H1340" s="275"/>
      <c r="I1340" s="275"/>
      <c r="J1340" s="275"/>
      <c r="K1340" s="275"/>
      <c r="L1340" s="275"/>
      <c r="M1340" s="275"/>
      <c r="N1340" s="275"/>
      <c r="O1340" s="276"/>
      <c r="P1340" s="276"/>
      <c r="Q1340" s="247">
        <f t="shared" si="26"/>
        <v>0</v>
      </c>
      <c r="R1340" s="229"/>
      <c r="S1340" s="229"/>
      <c r="T1340" s="229"/>
      <c r="U1340" s="229"/>
      <c r="V1340" s="229"/>
      <c r="W1340" s="229"/>
      <c r="X1340" s="229"/>
    </row>
    <row r="1341" spans="1:24" ht="15.75" hidden="1">
      <c r="A1341" s="343"/>
      <c r="B1341" s="344"/>
      <c r="C1341" s="275"/>
      <c r="D1341" s="275"/>
      <c r="E1341" s="275"/>
      <c r="F1341" s="275"/>
      <c r="G1341" s="275"/>
      <c r="H1341" s="275"/>
      <c r="I1341" s="275"/>
      <c r="J1341" s="275"/>
      <c r="K1341" s="275"/>
      <c r="L1341" s="275"/>
      <c r="M1341" s="275"/>
      <c r="N1341" s="275"/>
      <c r="O1341" s="276"/>
      <c r="P1341" s="276"/>
      <c r="Q1341" s="247">
        <f t="shared" si="26"/>
        <v>0</v>
      </c>
      <c r="R1341" s="229"/>
      <c r="S1341" s="229"/>
      <c r="T1341" s="229"/>
      <c r="U1341" s="229"/>
      <c r="V1341" s="229"/>
      <c r="W1341" s="229"/>
      <c r="X1341" s="229"/>
    </row>
    <row r="1342" spans="1:24" ht="15.75" hidden="1">
      <c r="A1342" s="343"/>
      <c r="B1342" s="344"/>
      <c r="C1342" s="275"/>
      <c r="D1342" s="275"/>
      <c r="E1342" s="275"/>
      <c r="F1342" s="275"/>
      <c r="G1342" s="275"/>
      <c r="H1342" s="275"/>
      <c r="I1342" s="275"/>
      <c r="J1342" s="275"/>
      <c r="K1342" s="275"/>
      <c r="L1342" s="275"/>
      <c r="M1342" s="275"/>
      <c r="N1342" s="275"/>
      <c r="O1342" s="276"/>
      <c r="P1342" s="276"/>
      <c r="Q1342" s="247">
        <f t="shared" si="26"/>
        <v>0</v>
      </c>
      <c r="R1342" s="229"/>
      <c r="S1342" s="229"/>
      <c r="T1342" s="229"/>
      <c r="U1342" s="229"/>
      <c r="V1342" s="229"/>
      <c r="W1342" s="229"/>
      <c r="X1342" s="229"/>
    </row>
    <row r="1343" spans="1:24" ht="15.75" hidden="1">
      <c r="A1343" s="343"/>
      <c r="B1343" s="344"/>
      <c r="C1343" s="275"/>
      <c r="D1343" s="275"/>
      <c r="E1343" s="275"/>
      <c r="F1343" s="275"/>
      <c r="G1343" s="275"/>
      <c r="H1343" s="275"/>
      <c r="I1343" s="275"/>
      <c r="J1343" s="275"/>
      <c r="K1343" s="275"/>
      <c r="L1343" s="275"/>
      <c r="M1343" s="275"/>
      <c r="N1343" s="275"/>
      <c r="O1343" s="276"/>
      <c r="P1343" s="276"/>
      <c r="Q1343" s="247">
        <f t="shared" si="26"/>
        <v>0</v>
      </c>
      <c r="R1343" s="229"/>
      <c r="S1343" s="229"/>
      <c r="T1343" s="229"/>
      <c r="U1343" s="229"/>
      <c r="V1343" s="229"/>
      <c r="W1343" s="229"/>
      <c r="X1343" s="229"/>
    </row>
    <row r="1344" spans="1:24" ht="15.75" hidden="1">
      <c r="A1344" s="343"/>
      <c r="B1344" s="344"/>
      <c r="C1344" s="275"/>
      <c r="D1344" s="275"/>
      <c r="E1344" s="275"/>
      <c r="F1344" s="275"/>
      <c r="G1344" s="275"/>
      <c r="H1344" s="275"/>
      <c r="I1344" s="275"/>
      <c r="J1344" s="275"/>
      <c r="K1344" s="275"/>
      <c r="L1344" s="275"/>
      <c r="M1344" s="275"/>
      <c r="N1344" s="275"/>
      <c r="O1344" s="276"/>
      <c r="P1344" s="276"/>
      <c r="Q1344" s="247">
        <f t="shared" si="26"/>
        <v>0</v>
      </c>
      <c r="R1344" s="229"/>
      <c r="S1344" s="229"/>
      <c r="T1344" s="229"/>
      <c r="U1344" s="229"/>
      <c r="V1344" s="229"/>
      <c r="W1344" s="229"/>
      <c r="X1344" s="229"/>
    </row>
    <row r="1345" spans="1:24" ht="15.75" hidden="1">
      <c r="A1345" s="343"/>
      <c r="B1345" s="344"/>
      <c r="C1345" s="275"/>
      <c r="D1345" s="275"/>
      <c r="E1345" s="275"/>
      <c r="F1345" s="275"/>
      <c r="G1345" s="275"/>
      <c r="H1345" s="275"/>
      <c r="I1345" s="275"/>
      <c r="J1345" s="275"/>
      <c r="K1345" s="275"/>
      <c r="L1345" s="275"/>
      <c r="M1345" s="275"/>
      <c r="N1345" s="275"/>
      <c r="O1345" s="276"/>
      <c r="P1345" s="276"/>
      <c r="Q1345" s="247">
        <f t="shared" si="26"/>
        <v>0</v>
      </c>
      <c r="R1345" s="229"/>
      <c r="S1345" s="229"/>
      <c r="T1345" s="229"/>
      <c r="U1345" s="229"/>
      <c r="V1345" s="229"/>
      <c r="W1345" s="229"/>
      <c r="X1345" s="229"/>
    </row>
    <row r="1346" spans="1:24" ht="15.75" hidden="1">
      <c r="A1346" s="343"/>
      <c r="B1346" s="344"/>
      <c r="C1346" s="275"/>
      <c r="D1346" s="275"/>
      <c r="E1346" s="275"/>
      <c r="F1346" s="275"/>
      <c r="G1346" s="275"/>
      <c r="H1346" s="275"/>
      <c r="I1346" s="275"/>
      <c r="J1346" s="275"/>
      <c r="K1346" s="275"/>
      <c r="L1346" s="275"/>
      <c r="M1346" s="275"/>
      <c r="N1346" s="275"/>
      <c r="O1346" s="276"/>
      <c r="P1346" s="276"/>
      <c r="Q1346" s="247">
        <f t="shared" si="26"/>
        <v>0</v>
      </c>
      <c r="R1346" s="229"/>
      <c r="S1346" s="229"/>
      <c r="T1346" s="229"/>
      <c r="U1346" s="229"/>
      <c r="V1346" s="229"/>
      <c r="W1346" s="229"/>
      <c r="X1346" s="229"/>
    </row>
    <row r="1347" spans="1:24" ht="15.75" hidden="1">
      <c r="A1347" s="343"/>
      <c r="B1347" s="344"/>
      <c r="C1347" s="275"/>
      <c r="D1347" s="275"/>
      <c r="E1347" s="275"/>
      <c r="F1347" s="275"/>
      <c r="G1347" s="275"/>
      <c r="H1347" s="275"/>
      <c r="I1347" s="275"/>
      <c r="J1347" s="275"/>
      <c r="K1347" s="275"/>
      <c r="L1347" s="275"/>
      <c r="M1347" s="275"/>
      <c r="N1347" s="275"/>
      <c r="O1347" s="276"/>
      <c r="P1347" s="276"/>
      <c r="Q1347" s="247">
        <f t="shared" si="26"/>
        <v>0</v>
      </c>
      <c r="R1347" s="229"/>
      <c r="S1347" s="229"/>
      <c r="T1347" s="229"/>
      <c r="U1347" s="229"/>
      <c r="V1347" s="229"/>
      <c r="W1347" s="229"/>
      <c r="X1347" s="229"/>
    </row>
    <row r="1348" spans="1:24" ht="15.75" hidden="1">
      <c r="A1348" s="343"/>
      <c r="B1348" s="344"/>
      <c r="C1348" s="275"/>
      <c r="D1348" s="275"/>
      <c r="E1348" s="275"/>
      <c r="F1348" s="275"/>
      <c r="G1348" s="275"/>
      <c r="H1348" s="275"/>
      <c r="I1348" s="275"/>
      <c r="J1348" s="275"/>
      <c r="K1348" s="275"/>
      <c r="L1348" s="275"/>
      <c r="M1348" s="275"/>
      <c r="N1348" s="275"/>
      <c r="O1348" s="276"/>
      <c r="P1348" s="276"/>
      <c r="Q1348" s="247">
        <f t="shared" si="26"/>
        <v>0</v>
      </c>
      <c r="R1348" s="229"/>
      <c r="S1348" s="229"/>
      <c r="T1348" s="229"/>
      <c r="U1348" s="229"/>
      <c r="V1348" s="229"/>
      <c r="W1348" s="229"/>
      <c r="X1348" s="229"/>
    </row>
    <row r="1349" spans="1:24" ht="15.75" hidden="1">
      <c r="A1349" s="343"/>
      <c r="B1349" s="344"/>
      <c r="C1349" s="275"/>
      <c r="D1349" s="275"/>
      <c r="E1349" s="275"/>
      <c r="F1349" s="275"/>
      <c r="G1349" s="275"/>
      <c r="H1349" s="275"/>
      <c r="I1349" s="275"/>
      <c r="J1349" s="275"/>
      <c r="K1349" s="275"/>
      <c r="L1349" s="275"/>
      <c r="M1349" s="275"/>
      <c r="N1349" s="275"/>
      <c r="O1349" s="276"/>
      <c r="P1349" s="276"/>
      <c r="Q1349" s="247">
        <f t="shared" si="26"/>
        <v>0</v>
      </c>
      <c r="R1349" s="229"/>
      <c r="S1349" s="229"/>
      <c r="T1349" s="229"/>
      <c r="U1349" s="229"/>
      <c r="V1349" s="229"/>
      <c r="W1349" s="229"/>
      <c r="X1349" s="229"/>
    </row>
    <row r="1350" spans="1:24" ht="15.75" hidden="1">
      <c r="A1350" s="343"/>
      <c r="B1350" s="344"/>
      <c r="C1350" s="275"/>
      <c r="D1350" s="275"/>
      <c r="E1350" s="275"/>
      <c r="F1350" s="275"/>
      <c r="G1350" s="275"/>
      <c r="H1350" s="275"/>
      <c r="I1350" s="275"/>
      <c r="J1350" s="275"/>
      <c r="K1350" s="275"/>
      <c r="L1350" s="275"/>
      <c r="M1350" s="275"/>
      <c r="N1350" s="275"/>
      <c r="O1350" s="276"/>
      <c r="P1350" s="276"/>
      <c r="Q1350" s="247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9"/>
      <c r="S1350" s="229"/>
      <c r="T1350" s="229"/>
      <c r="U1350" s="229"/>
      <c r="V1350" s="229"/>
      <c r="W1350" s="229"/>
      <c r="X1350" s="229"/>
    </row>
    <row r="1351" spans="1:24" ht="15.75" hidden="1">
      <c r="A1351" s="343"/>
      <c r="B1351" s="344"/>
      <c r="C1351" s="275"/>
      <c r="D1351" s="275"/>
      <c r="E1351" s="275"/>
      <c r="F1351" s="275"/>
      <c r="G1351" s="275"/>
      <c r="H1351" s="275"/>
      <c r="I1351" s="275"/>
      <c r="J1351" s="275"/>
      <c r="K1351" s="275"/>
      <c r="L1351" s="275"/>
      <c r="M1351" s="275"/>
      <c r="N1351" s="275"/>
      <c r="O1351" s="276"/>
      <c r="P1351" s="276"/>
      <c r="Q1351" s="247">
        <f t="shared" si="27"/>
        <v>0</v>
      </c>
      <c r="R1351" s="229"/>
      <c r="S1351" s="229"/>
      <c r="T1351" s="229"/>
      <c r="U1351" s="229"/>
      <c r="V1351" s="229"/>
      <c r="W1351" s="229"/>
      <c r="X1351" s="229"/>
    </row>
    <row r="1352" spans="1:24" ht="15.75" hidden="1">
      <c r="A1352" s="343"/>
      <c r="B1352" s="344"/>
      <c r="C1352" s="275"/>
      <c r="D1352" s="275"/>
      <c r="E1352" s="275"/>
      <c r="F1352" s="275"/>
      <c r="G1352" s="275"/>
      <c r="H1352" s="275"/>
      <c r="I1352" s="275"/>
      <c r="J1352" s="275"/>
      <c r="K1352" s="275"/>
      <c r="L1352" s="275"/>
      <c r="M1352" s="275"/>
      <c r="N1352" s="275"/>
      <c r="O1352" s="276"/>
      <c r="P1352" s="276"/>
      <c r="Q1352" s="247">
        <f t="shared" si="27"/>
        <v>0</v>
      </c>
      <c r="R1352" s="229"/>
      <c r="S1352" s="229"/>
      <c r="T1352" s="229"/>
      <c r="U1352" s="229"/>
      <c r="V1352" s="229"/>
      <c r="W1352" s="229"/>
      <c r="X1352" s="229"/>
    </row>
    <row r="1353" spans="1:24" ht="15.75" hidden="1">
      <c r="A1353" s="343"/>
      <c r="B1353" s="344"/>
      <c r="C1353" s="275"/>
      <c r="D1353" s="275"/>
      <c r="E1353" s="275"/>
      <c r="F1353" s="275"/>
      <c r="G1353" s="275"/>
      <c r="H1353" s="275"/>
      <c r="I1353" s="275"/>
      <c r="J1353" s="275"/>
      <c r="K1353" s="275"/>
      <c r="L1353" s="275"/>
      <c r="M1353" s="275"/>
      <c r="N1353" s="275"/>
      <c r="O1353" s="276"/>
      <c r="P1353" s="276"/>
      <c r="Q1353" s="247">
        <f t="shared" si="27"/>
        <v>0</v>
      </c>
      <c r="R1353" s="229"/>
      <c r="S1353" s="229"/>
      <c r="T1353" s="229"/>
      <c r="U1353" s="229"/>
      <c r="V1353" s="229"/>
      <c r="W1353" s="229"/>
      <c r="X1353" s="229"/>
    </row>
    <row r="1354" spans="1:24" ht="15.75" hidden="1">
      <c r="A1354" s="343"/>
      <c r="B1354" s="344"/>
      <c r="C1354" s="275"/>
      <c r="D1354" s="275"/>
      <c r="E1354" s="275"/>
      <c r="F1354" s="275"/>
      <c r="G1354" s="275"/>
      <c r="H1354" s="275"/>
      <c r="I1354" s="275"/>
      <c r="J1354" s="275"/>
      <c r="K1354" s="275"/>
      <c r="L1354" s="275"/>
      <c r="M1354" s="275"/>
      <c r="N1354" s="275"/>
      <c r="O1354" s="276"/>
      <c r="P1354" s="276"/>
      <c r="Q1354" s="247">
        <f t="shared" si="27"/>
        <v>0</v>
      </c>
      <c r="R1354" s="229"/>
      <c r="S1354" s="229"/>
      <c r="T1354" s="229"/>
      <c r="U1354" s="229"/>
      <c r="V1354" s="229"/>
      <c r="W1354" s="229"/>
      <c r="X1354" s="229"/>
    </row>
    <row r="1355" spans="1:24" ht="15.75" hidden="1">
      <c r="A1355" s="343"/>
      <c r="B1355" s="344"/>
      <c r="C1355" s="275"/>
      <c r="D1355" s="275"/>
      <c r="E1355" s="275"/>
      <c r="F1355" s="275"/>
      <c r="G1355" s="275"/>
      <c r="H1355" s="275"/>
      <c r="I1355" s="275"/>
      <c r="J1355" s="275"/>
      <c r="K1355" s="275"/>
      <c r="L1355" s="275"/>
      <c r="M1355" s="275"/>
      <c r="N1355" s="275"/>
      <c r="O1355" s="276"/>
      <c r="P1355" s="276"/>
      <c r="Q1355" s="247">
        <f t="shared" si="27"/>
        <v>0</v>
      </c>
      <c r="R1355" s="229"/>
      <c r="S1355" s="229"/>
      <c r="T1355" s="229"/>
      <c r="U1355" s="229"/>
      <c r="V1355" s="229"/>
      <c r="W1355" s="229"/>
      <c r="X1355" s="229"/>
    </row>
    <row r="1356" spans="1:24" ht="15.75" hidden="1">
      <c r="A1356" s="343"/>
      <c r="B1356" s="344"/>
      <c r="C1356" s="275"/>
      <c r="D1356" s="275"/>
      <c r="E1356" s="275"/>
      <c r="F1356" s="275"/>
      <c r="G1356" s="275"/>
      <c r="H1356" s="275"/>
      <c r="I1356" s="275"/>
      <c r="J1356" s="275"/>
      <c r="K1356" s="275"/>
      <c r="L1356" s="275"/>
      <c r="M1356" s="275"/>
      <c r="N1356" s="275"/>
      <c r="O1356" s="276"/>
      <c r="P1356" s="276"/>
      <c r="Q1356" s="247">
        <f t="shared" si="27"/>
        <v>0</v>
      </c>
      <c r="R1356" s="229"/>
      <c r="S1356" s="229"/>
      <c r="T1356" s="229"/>
      <c r="U1356" s="229"/>
      <c r="V1356" s="229"/>
      <c r="W1356" s="229"/>
      <c r="X1356" s="229"/>
    </row>
    <row r="1357" spans="1:24" ht="15.75" hidden="1">
      <c r="A1357" s="343"/>
      <c r="B1357" s="344"/>
      <c r="C1357" s="275"/>
      <c r="D1357" s="275"/>
      <c r="E1357" s="275"/>
      <c r="F1357" s="275"/>
      <c r="G1357" s="275"/>
      <c r="H1357" s="275"/>
      <c r="I1357" s="275"/>
      <c r="J1357" s="275"/>
      <c r="K1357" s="275"/>
      <c r="L1357" s="275"/>
      <c r="M1357" s="275"/>
      <c r="N1357" s="275"/>
      <c r="O1357" s="276"/>
      <c r="P1357" s="276"/>
      <c r="Q1357" s="247">
        <f t="shared" si="27"/>
        <v>0</v>
      </c>
      <c r="R1357" s="229"/>
      <c r="S1357" s="229"/>
      <c r="T1357" s="229"/>
      <c r="U1357" s="229"/>
      <c r="V1357" s="229"/>
      <c r="W1357" s="229"/>
      <c r="X1357" s="229"/>
    </row>
    <row r="1358" spans="1:24" ht="15.75" hidden="1">
      <c r="A1358" s="343"/>
      <c r="B1358" s="344"/>
      <c r="C1358" s="275"/>
      <c r="D1358" s="275"/>
      <c r="E1358" s="275"/>
      <c r="F1358" s="275"/>
      <c r="G1358" s="275"/>
      <c r="H1358" s="275"/>
      <c r="I1358" s="275"/>
      <c r="J1358" s="275"/>
      <c r="K1358" s="275"/>
      <c r="L1358" s="275"/>
      <c r="M1358" s="275"/>
      <c r="N1358" s="275"/>
      <c r="O1358" s="276"/>
      <c r="P1358" s="276"/>
      <c r="Q1358" s="247">
        <f t="shared" si="27"/>
        <v>0</v>
      </c>
      <c r="R1358" s="229"/>
      <c r="S1358" s="229"/>
      <c r="T1358" s="229"/>
      <c r="U1358" s="229"/>
      <c r="V1358" s="229"/>
      <c r="W1358" s="229"/>
      <c r="X1358" s="229"/>
    </row>
    <row r="1359" spans="1:24" ht="15.75" hidden="1">
      <c r="A1359" s="343"/>
      <c r="B1359" s="344"/>
      <c r="C1359" s="275"/>
      <c r="D1359" s="275"/>
      <c r="E1359" s="275"/>
      <c r="F1359" s="275"/>
      <c r="G1359" s="275"/>
      <c r="H1359" s="275"/>
      <c r="I1359" s="275"/>
      <c r="J1359" s="275"/>
      <c r="K1359" s="275"/>
      <c r="L1359" s="275"/>
      <c r="M1359" s="275"/>
      <c r="N1359" s="275"/>
      <c r="O1359" s="276"/>
      <c r="P1359" s="276"/>
      <c r="Q1359" s="247">
        <f t="shared" si="27"/>
        <v>0</v>
      </c>
      <c r="R1359" s="229"/>
      <c r="S1359" s="229"/>
      <c r="T1359" s="229"/>
      <c r="U1359" s="229"/>
      <c r="V1359" s="229"/>
      <c r="W1359" s="229"/>
      <c r="X1359" s="229"/>
    </row>
    <row r="1360" spans="1:24" ht="15.75" hidden="1">
      <c r="A1360" s="343"/>
      <c r="B1360" s="344"/>
      <c r="C1360" s="275"/>
      <c r="D1360" s="275"/>
      <c r="E1360" s="275"/>
      <c r="F1360" s="275"/>
      <c r="G1360" s="275"/>
      <c r="H1360" s="275"/>
      <c r="I1360" s="275"/>
      <c r="J1360" s="275"/>
      <c r="K1360" s="275"/>
      <c r="L1360" s="275"/>
      <c r="M1360" s="275"/>
      <c r="N1360" s="275"/>
      <c r="O1360" s="276"/>
      <c r="P1360" s="276"/>
      <c r="Q1360" s="247">
        <f t="shared" si="27"/>
        <v>0</v>
      </c>
      <c r="R1360" s="229"/>
      <c r="S1360" s="229"/>
      <c r="T1360" s="229"/>
      <c r="U1360" s="229"/>
      <c r="V1360" s="229"/>
      <c r="W1360" s="229"/>
      <c r="X1360" s="229"/>
    </row>
    <row r="1361" spans="1:24" ht="15.75" hidden="1">
      <c r="A1361" s="343"/>
      <c r="B1361" s="344"/>
      <c r="C1361" s="275"/>
      <c r="D1361" s="275"/>
      <c r="E1361" s="275"/>
      <c r="F1361" s="275"/>
      <c r="G1361" s="275"/>
      <c r="H1361" s="275"/>
      <c r="I1361" s="275"/>
      <c r="J1361" s="275"/>
      <c r="K1361" s="275"/>
      <c r="L1361" s="275"/>
      <c r="M1361" s="275"/>
      <c r="N1361" s="275"/>
      <c r="O1361" s="276"/>
      <c r="P1361" s="276"/>
      <c r="Q1361" s="247">
        <f t="shared" si="27"/>
        <v>0</v>
      </c>
      <c r="R1361" s="229"/>
      <c r="S1361" s="229"/>
      <c r="T1361" s="229"/>
      <c r="U1361" s="229"/>
      <c r="V1361" s="229"/>
      <c r="W1361" s="229"/>
      <c r="X1361" s="229"/>
    </row>
    <row r="1362" spans="1:24" ht="15.75" hidden="1">
      <c r="A1362" s="343"/>
      <c r="B1362" s="344"/>
      <c r="C1362" s="275"/>
      <c r="D1362" s="275"/>
      <c r="E1362" s="275"/>
      <c r="F1362" s="275"/>
      <c r="G1362" s="275"/>
      <c r="H1362" s="275"/>
      <c r="I1362" s="275"/>
      <c r="J1362" s="275"/>
      <c r="K1362" s="275"/>
      <c r="L1362" s="275"/>
      <c r="M1362" s="275"/>
      <c r="N1362" s="275"/>
      <c r="O1362" s="276"/>
      <c r="P1362" s="276"/>
      <c r="Q1362" s="247">
        <f t="shared" si="27"/>
        <v>0</v>
      </c>
      <c r="R1362" s="229"/>
      <c r="S1362" s="229"/>
      <c r="T1362" s="229"/>
      <c r="U1362" s="229"/>
      <c r="V1362" s="229"/>
      <c r="W1362" s="229"/>
      <c r="X1362" s="229"/>
    </row>
    <row r="1363" spans="1:24" ht="15.75" hidden="1">
      <c r="A1363" s="343"/>
      <c r="B1363" s="344"/>
      <c r="C1363" s="275"/>
      <c r="D1363" s="275"/>
      <c r="E1363" s="275"/>
      <c r="F1363" s="275"/>
      <c r="G1363" s="275"/>
      <c r="H1363" s="275"/>
      <c r="I1363" s="275"/>
      <c r="J1363" s="275"/>
      <c r="K1363" s="275"/>
      <c r="L1363" s="275"/>
      <c r="M1363" s="275"/>
      <c r="N1363" s="275"/>
      <c r="O1363" s="276"/>
      <c r="P1363" s="276"/>
      <c r="Q1363" s="247">
        <f t="shared" si="27"/>
        <v>0</v>
      </c>
      <c r="R1363" s="229"/>
      <c r="S1363" s="229"/>
      <c r="T1363" s="229"/>
      <c r="U1363" s="229"/>
      <c r="V1363" s="229"/>
      <c r="W1363" s="229"/>
      <c r="X1363" s="229"/>
    </row>
    <row r="1364" spans="1:24" ht="15.75" hidden="1">
      <c r="A1364" s="343"/>
      <c r="B1364" s="344"/>
      <c r="C1364" s="275"/>
      <c r="D1364" s="275"/>
      <c r="E1364" s="275"/>
      <c r="F1364" s="275"/>
      <c r="G1364" s="275"/>
      <c r="H1364" s="275"/>
      <c r="I1364" s="275"/>
      <c r="J1364" s="275"/>
      <c r="K1364" s="275"/>
      <c r="L1364" s="275"/>
      <c r="M1364" s="275"/>
      <c r="N1364" s="275"/>
      <c r="O1364" s="276"/>
      <c r="P1364" s="276"/>
      <c r="Q1364" s="247">
        <f t="shared" si="27"/>
        <v>0</v>
      </c>
      <c r="R1364" s="229"/>
      <c r="S1364" s="229"/>
      <c r="T1364" s="229"/>
      <c r="U1364" s="229"/>
      <c r="V1364" s="229"/>
      <c r="W1364" s="229"/>
      <c r="X1364" s="229"/>
    </row>
    <row r="1365" spans="1:24" ht="15.75" hidden="1">
      <c r="A1365" s="343"/>
      <c r="B1365" s="344"/>
      <c r="C1365" s="275"/>
      <c r="D1365" s="275"/>
      <c r="E1365" s="275"/>
      <c r="F1365" s="275"/>
      <c r="G1365" s="275"/>
      <c r="H1365" s="275"/>
      <c r="I1365" s="275"/>
      <c r="J1365" s="275"/>
      <c r="K1365" s="275"/>
      <c r="L1365" s="275"/>
      <c r="M1365" s="275"/>
      <c r="N1365" s="275"/>
      <c r="O1365" s="276"/>
      <c r="P1365" s="276"/>
      <c r="Q1365" s="247">
        <f t="shared" si="27"/>
        <v>0</v>
      </c>
      <c r="R1365" s="229"/>
      <c r="S1365" s="229"/>
      <c r="T1365" s="229"/>
      <c r="U1365" s="229"/>
      <c r="V1365" s="229"/>
      <c r="W1365" s="229"/>
      <c r="X1365" s="229"/>
    </row>
    <row r="1366" spans="1:24" ht="15.75" hidden="1">
      <c r="A1366" s="343"/>
      <c r="B1366" s="344"/>
      <c r="C1366" s="275"/>
      <c r="D1366" s="275"/>
      <c r="E1366" s="275"/>
      <c r="F1366" s="275"/>
      <c r="G1366" s="275"/>
      <c r="H1366" s="275"/>
      <c r="I1366" s="275"/>
      <c r="J1366" s="275"/>
      <c r="K1366" s="275"/>
      <c r="L1366" s="275"/>
      <c r="M1366" s="275"/>
      <c r="N1366" s="275"/>
      <c r="O1366" s="276"/>
      <c r="P1366" s="276"/>
      <c r="Q1366" s="247">
        <f t="shared" si="27"/>
        <v>0</v>
      </c>
      <c r="R1366" s="229"/>
      <c r="S1366" s="229"/>
      <c r="T1366" s="229"/>
      <c r="U1366" s="229"/>
      <c r="V1366" s="229"/>
      <c r="W1366" s="229"/>
      <c r="X1366" s="229"/>
    </row>
    <row r="1367" spans="1:24" ht="15.75" hidden="1">
      <c r="A1367" s="343"/>
      <c r="B1367" s="344"/>
      <c r="C1367" s="275"/>
      <c r="D1367" s="275"/>
      <c r="E1367" s="275"/>
      <c r="F1367" s="275"/>
      <c r="G1367" s="275"/>
      <c r="H1367" s="275"/>
      <c r="I1367" s="275"/>
      <c r="J1367" s="275"/>
      <c r="K1367" s="275"/>
      <c r="L1367" s="275"/>
      <c r="M1367" s="275"/>
      <c r="N1367" s="275"/>
      <c r="O1367" s="276"/>
      <c r="P1367" s="276"/>
      <c r="Q1367" s="247">
        <f t="shared" si="27"/>
        <v>0</v>
      </c>
      <c r="R1367" s="229"/>
      <c r="S1367" s="229"/>
      <c r="T1367" s="229"/>
      <c r="U1367" s="229"/>
      <c r="V1367" s="229"/>
      <c r="W1367" s="229"/>
      <c r="X1367" s="229"/>
    </row>
    <row r="1368" spans="1:24" ht="15.75" hidden="1">
      <c r="A1368" s="343"/>
      <c r="B1368" s="344"/>
      <c r="C1368" s="275"/>
      <c r="D1368" s="275"/>
      <c r="E1368" s="275"/>
      <c r="F1368" s="275"/>
      <c r="G1368" s="275"/>
      <c r="H1368" s="275"/>
      <c r="I1368" s="275"/>
      <c r="J1368" s="275"/>
      <c r="K1368" s="275"/>
      <c r="L1368" s="275"/>
      <c r="M1368" s="275"/>
      <c r="N1368" s="275"/>
      <c r="O1368" s="276"/>
      <c r="P1368" s="276"/>
      <c r="Q1368" s="247">
        <f t="shared" si="27"/>
        <v>0</v>
      </c>
      <c r="R1368" s="229"/>
      <c r="S1368" s="229"/>
      <c r="T1368" s="229"/>
      <c r="U1368" s="229"/>
      <c r="V1368" s="229"/>
      <c r="W1368" s="229"/>
      <c r="X1368" s="229"/>
    </row>
    <row r="1369" spans="1:24" ht="15.75" hidden="1">
      <c r="A1369" s="343"/>
      <c r="B1369" s="344"/>
      <c r="C1369" s="275"/>
      <c r="D1369" s="275"/>
      <c r="E1369" s="275"/>
      <c r="F1369" s="275"/>
      <c r="G1369" s="275"/>
      <c r="H1369" s="275"/>
      <c r="I1369" s="275"/>
      <c r="J1369" s="275"/>
      <c r="K1369" s="275"/>
      <c r="L1369" s="275"/>
      <c r="M1369" s="275"/>
      <c r="N1369" s="275"/>
      <c r="O1369" s="276"/>
      <c r="P1369" s="276"/>
      <c r="Q1369" s="247">
        <f t="shared" si="27"/>
        <v>0</v>
      </c>
      <c r="R1369" s="229"/>
      <c r="S1369" s="229"/>
      <c r="T1369" s="229"/>
      <c r="U1369" s="229"/>
      <c r="V1369" s="229"/>
      <c r="W1369" s="229"/>
      <c r="X1369" s="229"/>
    </row>
    <row r="1370" spans="1:24" ht="15.75" hidden="1">
      <c r="A1370" s="343"/>
      <c r="B1370" s="344"/>
      <c r="C1370" s="275"/>
      <c r="D1370" s="275"/>
      <c r="E1370" s="275"/>
      <c r="F1370" s="275"/>
      <c r="G1370" s="275"/>
      <c r="H1370" s="275"/>
      <c r="I1370" s="275"/>
      <c r="J1370" s="275"/>
      <c r="K1370" s="275"/>
      <c r="L1370" s="275"/>
      <c r="M1370" s="275"/>
      <c r="N1370" s="275"/>
      <c r="O1370" s="276"/>
      <c r="P1370" s="276"/>
      <c r="Q1370" s="247">
        <f t="shared" si="27"/>
        <v>0</v>
      </c>
      <c r="R1370" s="229"/>
      <c r="S1370" s="229"/>
      <c r="T1370" s="229"/>
      <c r="U1370" s="229"/>
      <c r="V1370" s="229"/>
      <c r="W1370" s="229"/>
      <c r="X1370" s="229"/>
    </row>
    <row r="1371" spans="1:24" ht="15.75" hidden="1">
      <c r="A1371" s="343"/>
      <c r="B1371" s="344"/>
      <c r="C1371" s="275"/>
      <c r="D1371" s="275"/>
      <c r="E1371" s="275"/>
      <c r="F1371" s="275"/>
      <c r="G1371" s="275"/>
      <c r="H1371" s="275"/>
      <c r="I1371" s="275"/>
      <c r="J1371" s="275"/>
      <c r="K1371" s="275"/>
      <c r="L1371" s="275"/>
      <c r="M1371" s="275"/>
      <c r="N1371" s="275"/>
      <c r="O1371" s="276"/>
      <c r="P1371" s="276"/>
      <c r="Q1371" s="247">
        <f t="shared" si="27"/>
        <v>0</v>
      </c>
      <c r="R1371" s="229"/>
      <c r="S1371" s="229"/>
      <c r="T1371" s="229"/>
      <c r="U1371" s="229"/>
      <c r="V1371" s="229"/>
      <c r="W1371" s="229"/>
      <c r="X1371" s="229"/>
    </row>
    <row r="1372" spans="1:24" ht="15.75" hidden="1">
      <c r="A1372" s="343"/>
      <c r="B1372" s="344"/>
      <c r="C1372" s="275"/>
      <c r="D1372" s="275"/>
      <c r="E1372" s="275"/>
      <c r="F1372" s="275"/>
      <c r="G1372" s="275"/>
      <c r="H1372" s="275"/>
      <c r="I1372" s="275"/>
      <c r="J1372" s="275"/>
      <c r="K1372" s="275"/>
      <c r="L1372" s="275"/>
      <c r="M1372" s="275"/>
      <c r="N1372" s="275"/>
      <c r="O1372" s="276"/>
      <c r="P1372" s="276"/>
      <c r="Q1372" s="247">
        <f t="shared" si="27"/>
        <v>0</v>
      </c>
      <c r="R1372" s="229"/>
      <c r="S1372" s="229"/>
      <c r="T1372" s="229"/>
      <c r="U1372" s="229"/>
      <c r="V1372" s="229"/>
      <c r="W1372" s="229"/>
      <c r="X1372" s="229"/>
    </row>
    <row r="1373" spans="1:24" ht="15.75" hidden="1">
      <c r="A1373" s="343"/>
      <c r="B1373" s="344"/>
      <c r="C1373" s="275"/>
      <c r="D1373" s="275"/>
      <c r="E1373" s="275"/>
      <c r="F1373" s="275"/>
      <c r="G1373" s="275"/>
      <c r="H1373" s="275"/>
      <c r="I1373" s="275"/>
      <c r="J1373" s="275"/>
      <c r="K1373" s="275"/>
      <c r="L1373" s="275"/>
      <c r="M1373" s="275"/>
      <c r="N1373" s="275"/>
      <c r="O1373" s="276"/>
      <c r="P1373" s="276"/>
      <c r="Q1373" s="247">
        <f t="shared" si="27"/>
        <v>0</v>
      </c>
      <c r="R1373" s="229"/>
      <c r="S1373" s="229"/>
      <c r="T1373" s="229"/>
      <c r="U1373" s="229"/>
      <c r="V1373" s="229"/>
      <c r="W1373" s="229"/>
      <c r="X1373" s="229"/>
    </row>
    <row r="1374" spans="1:24" ht="15.75" hidden="1">
      <c r="A1374" s="343"/>
      <c r="B1374" s="344"/>
      <c r="C1374" s="275"/>
      <c r="D1374" s="275"/>
      <c r="E1374" s="275"/>
      <c r="F1374" s="275"/>
      <c r="G1374" s="275"/>
      <c r="H1374" s="275"/>
      <c r="I1374" s="275"/>
      <c r="J1374" s="275"/>
      <c r="K1374" s="275"/>
      <c r="L1374" s="275"/>
      <c r="M1374" s="275"/>
      <c r="N1374" s="275"/>
      <c r="O1374" s="276"/>
      <c r="P1374" s="276"/>
      <c r="Q1374" s="247">
        <f t="shared" si="27"/>
        <v>0</v>
      </c>
      <c r="R1374" s="229"/>
      <c r="S1374" s="229"/>
      <c r="T1374" s="229"/>
      <c r="U1374" s="229"/>
      <c r="V1374" s="229"/>
      <c r="W1374" s="229"/>
      <c r="X1374" s="229"/>
    </row>
    <row r="1375" spans="1:24" ht="15.75" hidden="1">
      <c r="A1375" s="343"/>
      <c r="B1375" s="344"/>
      <c r="C1375" s="275"/>
      <c r="D1375" s="275"/>
      <c r="E1375" s="275"/>
      <c r="F1375" s="275"/>
      <c r="G1375" s="275"/>
      <c r="H1375" s="275"/>
      <c r="I1375" s="275"/>
      <c r="J1375" s="275"/>
      <c r="K1375" s="275"/>
      <c r="L1375" s="275"/>
      <c r="M1375" s="275"/>
      <c r="N1375" s="275"/>
      <c r="O1375" s="276"/>
      <c r="P1375" s="276"/>
      <c r="Q1375" s="247">
        <f t="shared" si="27"/>
        <v>0</v>
      </c>
      <c r="R1375" s="229"/>
      <c r="S1375" s="229"/>
      <c r="T1375" s="229"/>
      <c r="U1375" s="229"/>
      <c r="V1375" s="229"/>
      <c r="W1375" s="229"/>
      <c r="X1375" s="229"/>
    </row>
    <row r="1376" spans="1:24" ht="15.75" hidden="1">
      <c r="A1376" s="343"/>
      <c r="B1376" s="344"/>
      <c r="C1376" s="275"/>
      <c r="D1376" s="275"/>
      <c r="E1376" s="275"/>
      <c r="F1376" s="275"/>
      <c r="G1376" s="275"/>
      <c r="H1376" s="275"/>
      <c r="I1376" s="275"/>
      <c r="J1376" s="275"/>
      <c r="K1376" s="275"/>
      <c r="L1376" s="275"/>
      <c r="M1376" s="275"/>
      <c r="N1376" s="275"/>
      <c r="O1376" s="276"/>
      <c r="P1376" s="276"/>
      <c r="Q1376" s="247">
        <f t="shared" si="27"/>
        <v>0</v>
      </c>
      <c r="R1376" s="229"/>
      <c r="S1376" s="229"/>
      <c r="T1376" s="229"/>
      <c r="U1376" s="229"/>
      <c r="V1376" s="229"/>
      <c r="W1376" s="229"/>
      <c r="X1376" s="229"/>
    </row>
    <row r="1377" spans="1:24" ht="15.75" hidden="1">
      <c r="A1377" s="343"/>
      <c r="B1377" s="344"/>
      <c r="C1377" s="275"/>
      <c r="D1377" s="275"/>
      <c r="E1377" s="275"/>
      <c r="F1377" s="275"/>
      <c r="G1377" s="275"/>
      <c r="H1377" s="275"/>
      <c r="I1377" s="275"/>
      <c r="J1377" s="275"/>
      <c r="K1377" s="275"/>
      <c r="L1377" s="275"/>
      <c r="M1377" s="275"/>
      <c r="N1377" s="275"/>
      <c r="O1377" s="276"/>
      <c r="P1377" s="276"/>
      <c r="Q1377" s="247">
        <f t="shared" si="27"/>
        <v>0</v>
      </c>
      <c r="R1377" s="229"/>
      <c r="S1377" s="229"/>
      <c r="T1377" s="229"/>
      <c r="U1377" s="229"/>
      <c r="V1377" s="229"/>
      <c r="W1377" s="229"/>
      <c r="X1377" s="229"/>
    </row>
    <row r="1378" spans="1:24" ht="15.75" hidden="1">
      <c r="A1378" s="343"/>
      <c r="B1378" s="344"/>
      <c r="C1378" s="275"/>
      <c r="D1378" s="275"/>
      <c r="E1378" s="275"/>
      <c r="F1378" s="275"/>
      <c r="G1378" s="275"/>
      <c r="H1378" s="275"/>
      <c r="I1378" s="275"/>
      <c r="J1378" s="275"/>
      <c r="K1378" s="275"/>
      <c r="L1378" s="275"/>
      <c r="M1378" s="275"/>
      <c r="N1378" s="275"/>
      <c r="O1378" s="276"/>
      <c r="P1378" s="276"/>
      <c r="Q1378" s="247">
        <f t="shared" si="27"/>
        <v>0</v>
      </c>
      <c r="R1378" s="229"/>
      <c r="S1378" s="229"/>
      <c r="T1378" s="229"/>
      <c r="U1378" s="229"/>
      <c r="V1378" s="229"/>
      <c r="W1378" s="229"/>
      <c r="X1378" s="229"/>
    </row>
    <row r="1379" spans="1:24" ht="15.75" hidden="1">
      <c r="A1379" s="343"/>
      <c r="B1379" s="344"/>
      <c r="C1379" s="275"/>
      <c r="D1379" s="275"/>
      <c r="E1379" s="275"/>
      <c r="F1379" s="275"/>
      <c r="G1379" s="275"/>
      <c r="H1379" s="275"/>
      <c r="I1379" s="275"/>
      <c r="J1379" s="275"/>
      <c r="K1379" s="275"/>
      <c r="L1379" s="275"/>
      <c r="M1379" s="275"/>
      <c r="N1379" s="275"/>
      <c r="O1379" s="276"/>
      <c r="P1379" s="276"/>
      <c r="Q1379" s="247">
        <f t="shared" si="27"/>
        <v>0</v>
      </c>
      <c r="R1379" s="229"/>
      <c r="S1379" s="229"/>
      <c r="T1379" s="229"/>
      <c r="U1379" s="229"/>
      <c r="V1379" s="229"/>
      <c r="W1379" s="229"/>
      <c r="X1379" s="229"/>
    </row>
    <row r="1380" spans="1:24" ht="15.75" hidden="1">
      <c r="A1380" s="343"/>
      <c r="B1380" s="344"/>
      <c r="C1380" s="275"/>
      <c r="D1380" s="275"/>
      <c r="E1380" s="275"/>
      <c r="F1380" s="275"/>
      <c r="G1380" s="275"/>
      <c r="H1380" s="275"/>
      <c r="I1380" s="275"/>
      <c r="J1380" s="275"/>
      <c r="K1380" s="275"/>
      <c r="L1380" s="275"/>
      <c r="M1380" s="275"/>
      <c r="N1380" s="275"/>
      <c r="O1380" s="276"/>
      <c r="P1380" s="276"/>
      <c r="Q1380" s="247">
        <f t="shared" si="27"/>
        <v>0</v>
      </c>
      <c r="R1380" s="229"/>
      <c r="S1380" s="229"/>
      <c r="T1380" s="229"/>
      <c r="U1380" s="229"/>
      <c r="V1380" s="229"/>
      <c r="W1380" s="229"/>
      <c r="X1380" s="229"/>
    </row>
    <row r="1381" spans="1:24" ht="15.75" hidden="1">
      <c r="A1381" s="343"/>
      <c r="B1381" s="344"/>
      <c r="C1381" s="275"/>
      <c r="D1381" s="275"/>
      <c r="E1381" s="275"/>
      <c r="F1381" s="275"/>
      <c r="G1381" s="275"/>
      <c r="H1381" s="275"/>
      <c r="I1381" s="275"/>
      <c r="J1381" s="275"/>
      <c r="K1381" s="275"/>
      <c r="L1381" s="275"/>
      <c r="M1381" s="275"/>
      <c r="N1381" s="275"/>
      <c r="O1381" s="276"/>
      <c r="P1381" s="276"/>
      <c r="Q1381" s="247">
        <f t="shared" si="27"/>
        <v>0</v>
      </c>
      <c r="R1381" s="229"/>
      <c r="S1381" s="229"/>
      <c r="T1381" s="229"/>
      <c r="U1381" s="229"/>
      <c r="V1381" s="229"/>
      <c r="W1381" s="229"/>
      <c r="X1381" s="229"/>
    </row>
    <row r="1382" spans="1:24" ht="15.75" hidden="1">
      <c r="A1382" s="343"/>
      <c r="B1382" s="344"/>
      <c r="C1382" s="275"/>
      <c r="D1382" s="275"/>
      <c r="E1382" s="275"/>
      <c r="F1382" s="275"/>
      <c r="G1382" s="275"/>
      <c r="H1382" s="275"/>
      <c r="I1382" s="275"/>
      <c r="J1382" s="275"/>
      <c r="K1382" s="275"/>
      <c r="L1382" s="275"/>
      <c r="M1382" s="275"/>
      <c r="N1382" s="275"/>
      <c r="O1382" s="276"/>
      <c r="P1382" s="276"/>
      <c r="Q1382" s="247">
        <f t="shared" si="27"/>
        <v>0</v>
      </c>
      <c r="R1382" s="229"/>
      <c r="S1382" s="229"/>
      <c r="T1382" s="229"/>
      <c r="U1382" s="229"/>
      <c r="V1382" s="229"/>
      <c r="W1382" s="229"/>
      <c r="X1382" s="229"/>
    </row>
    <row r="1383" spans="1:24" ht="15.75" hidden="1">
      <c r="A1383" s="343"/>
      <c r="B1383" s="344"/>
      <c r="C1383" s="275"/>
      <c r="D1383" s="275"/>
      <c r="E1383" s="275"/>
      <c r="F1383" s="275"/>
      <c r="G1383" s="275"/>
      <c r="H1383" s="275"/>
      <c r="I1383" s="275"/>
      <c r="J1383" s="275"/>
      <c r="K1383" s="275"/>
      <c r="L1383" s="275"/>
      <c r="M1383" s="275"/>
      <c r="N1383" s="275"/>
      <c r="O1383" s="276"/>
      <c r="P1383" s="276"/>
      <c r="Q1383" s="247">
        <f t="shared" si="27"/>
        <v>0</v>
      </c>
      <c r="R1383" s="229"/>
      <c r="S1383" s="229"/>
      <c r="T1383" s="229"/>
      <c r="U1383" s="229"/>
      <c r="V1383" s="229"/>
      <c r="W1383" s="229"/>
      <c r="X1383" s="229"/>
    </row>
    <row r="1384" spans="1:24" ht="15.75" hidden="1">
      <c r="A1384" s="343"/>
      <c r="B1384" s="344"/>
      <c r="C1384" s="275"/>
      <c r="D1384" s="275"/>
      <c r="E1384" s="275"/>
      <c r="F1384" s="275"/>
      <c r="G1384" s="275"/>
      <c r="H1384" s="275"/>
      <c r="I1384" s="275"/>
      <c r="J1384" s="275"/>
      <c r="K1384" s="275"/>
      <c r="L1384" s="275"/>
      <c r="M1384" s="275"/>
      <c r="N1384" s="275"/>
      <c r="O1384" s="276"/>
      <c r="P1384" s="276"/>
      <c r="Q1384" s="247">
        <f t="shared" si="27"/>
        <v>0</v>
      </c>
      <c r="R1384" s="229"/>
      <c r="S1384" s="229"/>
      <c r="T1384" s="229"/>
      <c r="U1384" s="229"/>
      <c r="V1384" s="229"/>
      <c r="W1384" s="229"/>
      <c r="X1384" s="229"/>
    </row>
    <row r="1385" spans="1:24" ht="15.75" hidden="1">
      <c r="A1385" s="343"/>
      <c r="B1385" s="344"/>
      <c r="C1385" s="275"/>
      <c r="D1385" s="275"/>
      <c r="E1385" s="275"/>
      <c r="F1385" s="275"/>
      <c r="G1385" s="275"/>
      <c r="H1385" s="275"/>
      <c r="I1385" s="275"/>
      <c r="J1385" s="275"/>
      <c r="K1385" s="275"/>
      <c r="L1385" s="275"/>
      <c r="M1385" s="275"/>
      <c r="N1385" s="275"/>
      <c r="O1385" s="276"/>
      <c r="P1385" s="276"/>
      <c r="Q1385" s="247">
        <f t="shared" si="27"/>
        <v>0</v>
      </c>
      <c r="R1385" s="229"/>
      <c r="S1385" s="229"/>
      <c r="T1385" s="229"/>
      <c r="U1385" s="229"/>
      <c r="V1385" s="229"/>
      <c r="W1385" s="229"/>
      <c r="X1385" s="229"/>
    </row>
    <row r="1386" spans="1:24" ht="15.75" hidden="1">
      <c r="A1386" s="343"/>
      <c r="B1386" s="344"/>
      <c r="C1386" s="275"/>
      <c r="D1386" s="275"/>
      <c r="E1386" s="275"/>
      <c r="F1386" s="275"/>
      <c r="G1386" s="275"/>
      <c r="H1386" s="275"/>
      <c r="I1386" s="275"/>
      <c r="J1386" s="275"/>
      <c r="K1386" s="275"/>
      <c r="L1386" s="275"/>
      <c r="M1386" s="275"/>
      <c r="N1386" s="275"/>
      <c r="O1386" s="276"/>
      <c r="P1386" s="276"/>
      <c r="Q1386" s="247">
        <f t="shared" si="27"/>
        <v>0</v>
      </c>
      <c r="R1386" s="229"/>
      <c r="S1386" s="229"/>
      <c r="T1386" s="229"/>
      <c r="U1386" s="229"/>
      <c r="V1386" s="229"/>
      <c r="W1386" s="229"/>
      <c r="X1386" s="229"/>
    </row>
    <row r="1387" spans="1:24" ht="15.75" hidden="1">
      <c r="A1387" s="343"/>
      <c r="B1387" s="344"/>
      <c r="C1387" s="275"/>
      <c r="D1387" s="275"/>
      <c r="E1387" s="275"/>
      <c r="F1387" s="275"/>
      <c r="G1387" s="275"/>
      <c r="H1387" s="275"/>
      <c r="I1387" s="275"/>
      <c r="J1387" s="275"/>
      <c r="K1387" s="275"/>
      <c r="L1387" s="275"/>
      <c r="M1387" s="275"/>
      <c r="N1387" s="275"/>
      <c r="O1387" s="276"/>
      <c r="P1387" s="276"/>
      <c r="Q1387" s="247">
        <f t="shared" si="27"/>
        <v>0</v>
      </c>
      <c r="R1387" s="229"/>
      <c r="S1387" s="229"/>
      <c r="T1387" s="229"/>
      <c r="U1387" s="229"/>
      <c r="V1387" s="229"/>
      <c r="W1387" s="229"/>
      <c r="X1387" s="229"/>
    </row>
    <row r="1388" spans="1:24" ht="15.75" hidden="1">
      <c r="A1388" s="343"/>
      <c r="B1388" s="344"/>
      <c r="C1388" s="275"/>
      <c r="D1388" s="275"/>
      <c r="E1388" s="275"/>
      <c r="F1388" s="275"/>
      <c r="G1388" s="275"/>
      <c r="H1388" s="275"/>
      <c r="I1388" s="275"/>
      <c r="J1388" s="275"/>
      <c r="K1388" s="275"/>
      <c r="L1388" s="275"/>
      <c r="M1388" s="275"/>
      <c r="N1388" s="275"/>
      <c r="O1388" s="276"/>
      <c r="P1388" s="276"/>
      <c r="Q1388" s="247">
        <f t="shared" si="27"/>
        <v>0</v>
      </c>
      <c r="R1388" s="229"/>
      <c r="S1388" s="229"/>
      <c r="T1388" s="229"/>
      <c r="U1388" s="229"/>
      <c r="V1388" s="229"/>
      <c r="W1388" s="229"/>
      <c r="X1388" s="229"/>
    </row>
    <row r="1389" spans="1:24" ht="15.75" hidden="1">
      <c r="A1389" s="343"/>
      <c r="B1389" s="344"/>
      <c r="C1389" s="275"/>
      <c r="D1389" s="275"/>
      <c r="E1389" s="275"/>
      <c r="F1389" s="275"/>
      <c r="G1389" s="275"/>
      <c r="H1389" s="275"/>
      <c r="I1389" s="275"/>
      <c r="J1389" s="275"/>
      <c r="K1389" s="275"/>
      <c r="L1389" s="275"/>
      <c r="M1389" s="275"/>
      <c r="N1389" s="275"/>
      <c r="O1389" s="276"/>
      <c r="P1389" s="276"/>
      <c r="Q1389" s="247">
        <f t="shared" si="27"/>
        <v>0</v>
      </c>
      <c r="R1389" s="229"/>
      <c r="S1389" s="229"/>
      <c r="T1389" s="229"/>
      <c r="U1389" s="229"/>
      <c r="V1389" s="229"/>
      <c r="W1389" s="229"/>
      <c r="X1389" s="229"/>
    </row>
    <row r="1390" spans="1:24" ht="15.75" hidden="1">
      <c r="A1390" s="343"/>
      <c r="B1390" s="344"/>
      <c r="C1390" s="275"/>
      <c r="D1390" s="275"/>
      <c r="E1390" s="275"/>
      <c r="F1390" s="275"/>
      <c r="G1390" s="275"/>
      <c r="H1390" s="275"/>
      <c r="I1390" s="275"/>
      <c r="J1390" s="275"/>
      <c r="K1390" s="275"/>
      <c r="L1390" s="275"/>
      <c r="M1390" s="275"/>
      <c r="N1390" s="275"/>
      <c r="O1390" s="276"/>
      <c r="P1390" s="276"/>
      <c r="Q1390" s="247">
        <f t="shared" si="27"/>
        <v>0</v>
      </c>
      <c r="R1390" s="229"/>
      <c r="S1390" s="229"/>
      <c r="T1390" s="229"/>
      <c r="U1390" s="229"/>
      <c r="V1390" s="229"/>
      <c r="W1390" s="229"/>
      <c r="X1390" s="229"/>
    </row>
    <row r="1391" spans="1:24" ht="15.75" hidden="1">
      <c r="A1391" s="343"/>
      <c r="B1391" s="344"/>
      <c r="C1391" s="275"/>
      <c r="D1391" s="275"/>
      <c r="E1391" s="275"/>
      <c r="F1391" s="275"/>
      <c r="G1391" s="275"/>
      <c r="H1391" s="275"/>
      <c r="I1391" s="275"/>
      <c r="J1391" s="275"/>
      <c r="K1391" s="275"/>
      <c r="L1391" s="275"/>
      <c r="M1391" s="275"/>
      <c r="N1391" s="275"/>
      <c r="O1391" s="276"/>
      <c r="P1391" s="276"/>
      <c r="Q1391" s="247">
        <f t="shared" si="27"/>
        <v>0</v>
      </c>
      <c r="R1391" s="229"/>
      <c r="S1391" s="229"/>
      <c r="T1391" s="229"/>
      <c r="U1391" s="229"/>
      <c r="V1391" s="229"/>
      <c r="W1391" s="229"/>
      <c r="X1391" s="229"/>
    </row>
    <row r="1392" spans="1:24" ht="15.75" hidden="1">
      <c r="A1392" s="343"/>
      <c r="B1392" s="344"/>
      <c r="C1392" s="275"/>
      <c r="D1392" s="275"/>
      <c r="E1392" s="275"/>
      <c r="F1392" s="275"/>
      <c r="G1392" s="275"/>
      <c r="H1392" s="275"/>
      <c r="I1392" s="275"/>
      <c r="J1392" s="275"/>
      <c r="K1392" s="275"/>
      <c r="L1392" s="275"/>
      <c r="M1392" s="275"/>
      <c r="N1392" s="275"/>
      <c r="O1392" s="276"/>
      <c r="P1392" s="276"/>
      <c r="Q1392" s="247">
        <f t="shared" si="27"/>
        <v>0</v>
      </c>
      <c r="R1392" s="229"/>
      <c r="S1392" s="229"/>
      <c r="T1392" s="229"/>
      <c r="U1392" s="229"/>
      <c r="V1392" s="229"/>
      <c r="W1392" s="229"/>
      <c r="X1392" s="229"/>
    </row>
    <row r="1393" spans="1:24" ht="15.75" hidden="1">
      <c r="A1393" s="343"/>
      <c r="B1393" s="344"/>
      <c r="C1393" s="275"/>
      <c r="D1393" s="275"/>
      <c r="E1393" s="275"/>
      <c r="F1393" s="275"/>
      <c r="G1393" s="275"/>
      <c r="H1393" s="275"/>
      <c r="I1393" s="275"/>
      <c r="J1393" s="275"/>
      <c r="K1393" s="275"/>
      <c r="L1393" s="275"/>
      <c r="M1393" s="275"/>
      <c r="N1393" s="275"/>
      <c r="O1393" s="276"/>
      <c r="P1393" s="276"/>
      <c r="Q1393" s="247">
        <f t="shared" si="27"/>
        <v>0</v>
      </c>
      <c r="R1393" s="229"/>
      <c r="S1393" s="229"/>
      <c r="T1393" s="229"/>
      <c r="U1393" s="229"/>
      <c r="V1393" s="229"/>
      <c r="W1393" s="229"/>
      <c r="X1393" s="229"/>
    </row>
    <row r="1394" spans="1:24" ht="15.75" hidden="1">
      <c r="A1394" s="343"/>
      <c r="B1394" s="344"/>
      <c r="C1394" s="275"/>
      <c r="D1394" s="275"/>
      <c r="E1394" s="275"/>
      <c r="F1394" s="275"/>
      <c r="G1394" s="275"/>
      <c r="H1394" s="275"/>
      <c r="I1394" s="275"/>
      <c r="J1394" s="275"/>
      <c r="K1394" s="275"/>
      <c r="L1394" s="275"/>
      <c r="M1394" s="275"/>
      <c r="N1394" s="275"/>
      <c r="O1394" s="276"/>
      <c r="P1394" s="276"/>
      <c r="Q1394" s="247">
        <f t="shared" si="27"/>
        <v>0</v>
      </c>
      <c r="R1394" s="229"/>
      <c r="S1394" s="229"/>
      <c r="T1394" s="229"/>
      <c r="U1394" s="229"/>
      <c r="V1394" s="229"/>
      <c r="W1394" s="229"/>
      <c r="X1394" s="229"/>
    </row>
    <row r="1395" spans="1:24" ht="15.75" hidden="1">
      <c r="A1395" s="343"/>
      <c r="B1395" s="344"/>
      <c r="C1395" s="275"/>
      <c r="D1395" s="275"/>
      <c r="E1395" s="275"/>
      <c r="F1395" s="275"/>
      <c r="G1395" s="275"/>
      <c r="H1395" s="275"/>
      <c r="I1395" s="275"/>
      <c r="J1395" s="275"/>
      <c r="K1395" s="275"/>
      <c r="L1395" s="275"/>
      <c r="M1395" s="275"/>
      <c r="N1395" s="275"/>
      <c r="O1395" s="276"/>
      <c r="P1395" s="276"/>
      <c r="Q1395" s="247">
        <f t="shared" si="27"/>
        <v>0</v>
      </c>
      <c r="R1395" s="229"/>
      <c r="S1395" s="229"/>
      <c r="T1395" s="229"/>
      <c r="U1395" s="229"/>
      <c r="V1395" s="229"/>
      <c r="W1395" s="229"/>
      <c r="X1395" s="229"/>
    </row>
    <row r="1396" spans="1:24" ht="15.75" hidden="1">
      <c r="A1396" s="343"/>
      <c r="B1396" s="344"/>
      <c r="C1396" s="275"/>
      <c r="D1396" s="275"/>
      <c r="E1396" s="275"/>
      <c r="F1396" s="275"/>
      <c r="G1396" s="275"/>
      <c r="H1396" s="275"/>
      <c r="I1396" s="275"/>
      <c r="J1396" s="275"/>
      <c r="K1396" s="275"/>
      <c r="L1396" s="275"/>
      <c r="M1396" s="275"/>
      <c r="N1396" s="275"/>
      <c r="O1396" s="276"/>
      <c r="P1396" s="276"/>
      <c r="Q1396" s="247">
        <f t="shared" si="27"/>
        <v>0</v>
      </c>
      <c r="R1396" s="229"/>
      <c r="S1396" s="229"/>
      <c r="T1396" s="229"/>
      <c r="U1396" s="229"/>
      <c r="V1396" s="229"/>
      <c r="W1396" s="229"/>
      <c r="X1396" s="229"/>
    </row>
    <row r="1397" spans="1:24" ht="15.75" hidden="1">
      <c r="A1397" s="343"/>
      <c r="B1397" s="344"/>
      <c r="C1397" s="275"/>
      <c r="D1397" s="275"/>
      <c r="E1397" s="275"/>
      <c r="F1397" s="275"/>
      <c r="G1397" s="275"/>
      <c r="H1397" s="275"/>
      <c r="I1397" s="275"/>
      <c r="J1397" s="275"/>
      <c r="K1397" s="275"/>
      <c r="L1397" s="275"/>
      <c r="M1397" s="275"/>
      <c r="N1397" s="275"/>
      <c r="O1397" s="276"/>
      <c r="P1397" s="276"/>
      <c r="Q1397" s="247">
        <f t="shared" si="27"/>
        <v>0</v>
      </c>
      <c r="R1397" s="229"/>
      <c r="S1397" s="229"/>
      <c r="T1397" s="229"/>
      <c r="U1397" s="229"/>
      <c r="V1397" s="229"/>
      <c r="W1397" s="229"/>
      <c r="X1397" s="229"/>
    </row>
    <row r="1398" spans="1:24" ht="15.75" hidden="1">
      <c r="A1398" s="343"/>
      <c r="B1398" s="344"/>
      <c r="C1398" s="275"/>
      <c r="D1398" s="275"/>
      <c r="E1398" s="275"/>
      <c r="F1398" s="275"/>
      <c r="G1398" s="275"/>
      <c r="H1398" s="275"/>
      <c r="I1398" s="275"/>
      <c r="J1398" s="275"/>
      <c r="K1398" s="275"/>
      <c r="L1398" s="275"/>
      <c r="M1398" s="275"/>
      <c r="N1398" s="275"/>
      <c r="O1398" s="276"/>
      <c r="P1398" s="276"/>
      <c r="Q1398" s="247">
        <f t="shared" si="27"/>
        <v>0</v>
      </c>
      <c r="R1398" s="229"/>
      <c r="S1398" s="229"/>
      <c r="T1398" s="229"/>
      <c r="U1398" s="229"/>
      <c r="V1398" s="229"/>
      <c r="W1398" s="229"/>
      <c r="X1398" s="229"/>
    </row>
    <row r="1399" spans="1:24" ht="15.75" hidden="1">
      <c r="A1399" s="343"/>
      <c r="B1399" s="344"/>
      <c r="C1399" s="275"/>
      <c r="D1399" s="275"/>
      <c r="E1399" s="275"/>
      <c r="F1399" s="275"/>
      <c r="G1399" s="275"/>
      <c r="H1399" s="275"/>
      <c r="I1399" s="275"/>
      <c r="J1399" s="275"/>
      <c r="K1399" s="275"/>
      <c r="L1399" s="275"/>
      <c r="M1399" s="275"/>
      <c r="N1399" s="275"/>
      <c r="O1399" s="276"/>
      <c r="P1399" s="276"/>
      <c r="Q1399" s="247">
        <f t="shared" si="27"/>
        <v>0</v>
      </c>
      <c r="R1399" s="229"/>
      <c r="S1399" s="229"/>
      <c r="T1399" s="229"/>
      <c r="U1399" s="229"/>
      <c r="V1399" s="229"/>
      <c r="W1399" s="229"/>
      <c r="X1399" s="229"/>
    </row>
    <row r="1400" spans="1:24" ht="15.75" hidden="1">
      <c r="A1400" s="343"/>
      <c r="B1400" s="344"/>
      <c r="C1400" s="275"/>
      <c r="D1400" s="275"/>
      <c r="E1400" s="275"/>
      <c r="F1400" s="275"/>
      <c r="G1400" s="275"/>
      <c r="H1400" s="275"/>
      <c r="I1400" s="275"/>
      <c r="J1400" s="275"/>
      <c r="K1400" s="275"/>
      <c r="L1400" s="275"/>
      <c r="M1400" s="275"/>
      <c r="N1400" s="275"/>
      <c r="O1400" s="276"/>
      <c r="P1400" s="276"/>
      <c r="Q1400" s="247">
        <f t="shared" si="27"/>
        <v>0</v>
      </c>
      <c r="R1400" s="229"/>
      <c r="S1400" s="229"/>
      <c r="T1400" s="229"/>
      <c r="U1400" s="229"/>
      <c r="V1400" s="229"/>
      <c r="W1400" s="229"/>
      <c r="X1400" s="229"/>
    </row>
    <row r="1401" spans="1:24" ht="15.75" hidden="1">
      <c r="A1401" s="343"/>
      <c r="B1401" s="344"/>
      <c r="C1401" s="275"/>
      <c r="D1401" s="275"/>
      <c r="E1401" s="275"/>
      <c r="F1401" s="275"/>
      <c r="G1401" s="275"/>
      <c r="H1401" s="275"/>
      <c r="I1401" s="275"/>
      <c r="J1401" s="275"/>
      <c r="K1401" s="275"/>
      <c r="L1401" s="275"/>
      <c r="M1401" s="275"/>
      <c r="N1401" s="275"/>
      <c r="O1401" s="276"/>
      <c r="P1401" s="276"/>
      <c r="Q1401" s="247">
        <f t="shared" si="27"/>
        <v>0</v>
      </c>
      <c r="R1401" s="229"/>
      <c r="S1401" s="229"/>
      <c r="T1401" s="229"/>
      <c r="U1401" s="229"/>
      <c r="V1401" s="229"/>
      <c r="W1401" s="229"/>
      <c r="X1401" s="229"/>
    </row>
    <row r="1402" spans="1:24" ht="15.75" hidden="1">
      <c r="A1402" s="343"/>
      <c r="B1402" s="344"/>
      <c r="C1402" s="275"/>
      <c r="D1402" s="275"/>
      <c r="E1402" s="275"/>
      <c r="F1402" s="275"/>
      <c r="G1402" s="275"/>
      <c r="H1402" s="275"/>
      <c r="I1402" s="275"/>
      <c r="J1402" s="275"/>
      <c r="K1402" s="275"/>
      <c r="L1402" s="275"/>
      <c r="M1402" s="275"/>
      <c r="N1402" s="275"/>
      <c r="O1402" s="276"/>
      <c r="P1402" s="276"/>
      <c r="Q1402" s="247">
        <f t="shared" si="27"/>
        <v>0</v>
      </c>
      <c r="R1402" s="229"/>
      <c r="S1402" s="229"/>
      <c r="T1402" s="229"/>
      <c r="U1402" s="229"/>
      <c r="V1402" s="229"/>
      <c r="W1402" s="229"/>
      <c r="X1402" s="229"/>
    </row>
    <row r="1403" spans="1:24" ht="15.75" hidden="1">
      <c r="A1403" s="343"/>
      <c r="B1403" s="344"/>
      <c r="C1403" s="275"/>
      <c r="D1403" s="275"/>
      <c r="E1403" s="275"/>
      <c r="F1403" s="275"/>
      <c r="G1403" s="275"/>
      <c r="H1403" s="275"/>
      <c r="I1403" s="275"/>
      <c r="J1403" s="275"/>
      <c r="K1403" s="275"/>
      <c r="L1403" s="275"/>
      <c r="M1403" s="275"/>
      <c r="N1403" s="275"/>
      <c r="O1403" s="276"/>
      <c r="P1403" s="276"/>
      <c r="Q1403" s="247">
        <f t="shared" si="27"/>
        <v>0</v>
      </c>
      <c r="R1403" s="229"/>
      <c r="S1403" s="229"/>
      <c r="T1403" s="229"/>
      <c r="U1403" s="229"/>
      <c r="V1403" s="229"/>
      <c r="W1403" s="229"/>
      <c r="X1403" s="229"/>
    </row>
    <row r="1404" spans="1:24" ht="15.75" hidden="1">
      <c r="A1404" s="343"/>
      <c r="B1404" s="344"/>
      <c r="C1404" s="275"/>
      <c r="D1404" s="275"/>
      <c r="E1404" s="275"/>
      <c r="F1404" s="275"/>
      <c r="G1404" s="275"/>
      <c r="H1404" s="275"/>
      <c r="I1404" s="275"/>
      <c r="J1404" s="275"/>
      <c r="K1404" s="275"/>
      <c r="L1404" s="275"/>
      <c r="M1404" s="275"/>
      <c r="N1404" s="275"/>
      <c r="O1404" s="276"/>
      <c r="P1404" s="276"/>
      <c r="Q1404" s="247">
        <f t="shared" si="27"/>
        <v>0</v>
      </c>
      <c r="R1404" s="229"/>
      <c r="S1404" s="229"/>
      <c r="T1404" s="229"/>
      <c r="U1404" s="229"/>
      <c r="V1404" s="229"/>
      <c r="W1404" s="229"/>
      <c r="X1404" s="229"/>
    </row>
    <row r="1405" spans="1:24" ht="15.75" hidden="1">
      <c r="A1405" s="343"/>
      <c r="B1405" s="344"/>
      <c r="C1405" s="275"/>
      <c r="D1405" s="275"/>
      <c r="E1405" s="275"/>
      <c r="F1405" s="275"/>
      <c r="G1405" s="275"/>
      <c r="H1405" s="275"/>
      <c r="I1405" s="275"/>
      <c r="J1405" s="275"/>
      <c r="K1405" s="275"/>
      <c r="L1405" s="275"/>
      <c r="M1405" s="275"/>
      <c r="N1405" s="275"/>
      <c r="O1405" s="276"/>
      <c r="P1405" s="276"/>
      <c r="Q1405" s="247">
        <f t="shared" si="27"/>
        <v>0</v>
      </c>
      <c r="R1405" s="229"/>
      <c r="S1405" s="229"/>
      <c r="T1405" s="229"/>
      <c r="U1405" s="229"/>
      <c r="V1405" s="229"/>
      <c r="W1405" s="229"/>
      <c r="X1405" s="229"/>
    </row>
    <row r="1406" spans="1:24" ht="15.75" hidden="1">
      <c r="A1406" s="343"/>
      <c r="B1406" s="344"/>
      <c r="C1406" s="275"/>
      <c r="D1406" s="275"/>
      <c r="E1406" s="275"/>
      <c r="F1406" s="275"/>
      <c r="G1406" s="275"/>
      <c r="H1406" s="275"/>
      <c r="I1406" s="275"/>
      <c r="J1406" s="275"/>
      <c r="K1406" s="275"/>
      <c r="L1406" s="275"/>
      <c r="M1406" s="275"/>
      <c r="N1406" s="275"/>
      <c r="O1406" s="276"/>
      <c r="P1406" s="276"/>
      <c r="Q1406" s="247">
        <f t="shared" si="27"/>
        <v>0</v>
      </c>
      <c r="R1406" s="229"/>
      <c r="S1406" s="229"/>
      <c r="T1406" s="229"/>
      <c r="U1406" s="229"/>
      <c r="V1406" s="229"/>
      <c r="W1406" s="229"/>
      <c r="X1406" s="229"/>
    </row>
    <row r="1407" spans="1:24" ht="15.75" hidden="1">
      <c r="A1407" s="343"/>
      <c r="B1407" s="344"/>
      <c r="C1407" s="275"/>
      <c r="D1407" s="275"/>
      <c r="E1407" s="275"/>
      <c r="F1407" s="275"/>
      <c r="G1407" s="275"/>
      <c r="H1407" s="275"/>
      <c r="I1407" s="275"/>
      <c r="J1407" s="275"/>
      <c r="K1407" s="275"/>
      <c r="L1407" s="275"/>
      <c r="M1407" s="275"/>
      <c r="N1407" s="275"/>
      <c r="O1407" s="276"/>
      <c r="P1407" s="276"/>
      <c r="Q1407" s="247">
        <f t="shared" si="27"/>
        <v>0</v>
      </c>
      <c r="R1407" s="229"/>
      <c r="S1407" s="229"/>
      <c r="T1407" s="229"/>
      <c r="U1407" s="229"/>
      <c r="V1407" s="229"/>
      <c r="W1407" s="229"/>
      <c r="X1407" s="229"/>
    </row>
    <row r="1408" spans="1:24" ht="15.75" hidden="1">
      <c r="A1408" s="343"/>
      <c r="B1408" s="344"/>
      <c r="C1408" s="275"/>
      <c r="D1408" s="275"/>
      <c r="E1408" s="275"/>
      <c r="F1408" s="275"/>
      <c r="G1408" s="275"/>
      <c r="H1408" s="275"/>
      <c r="I1408" s="275"/>
      <c r="J1408" s="275"/>
      <c r="K1408" s="275"/>
      <c r="L1408" s="275"/>
      <c r="M1408" s="275"/>
      <c r="N1408" s="275"/>
      <c r="O1408" s="276"/>
      <c r="P1408" s="276"/>
      <c r="Q1408" s="247">
        <f t="shared" si="27"/>
        <v>0</v>
      </c>
      <c r="R1408" s="229"/>
      <c r="S1408" s="229"/>
      <c r="T1408" s="229"/>
      <c r="U1408" s="229"/>
      <c r="V1408" s="229"/>
      <c r="W1408" s="229"/>
      <c r="X1408" s="229"/>
    </row>
    <row r="1409" spans="1:24" ht="15.75" hidden="1">
      <c r="A1409" s="343"/>
      <c r="B1409" s="344"/>
      <c r="C1409" s="275"/>
      <c r="D1409" s="275"/>
      <c r="E1409" s="275"/>
      <c r="F1409" s="275"/>
      <c r="G1409" s="275"/>
      <c r="H1409" s="275"/>
      <c r="I1409" s="275"/>
      <c r="J1409" s="275"/>
      <c r="K1409" s="275"/>
      <c r="L1409" s="275"/>
      <c r="M1409" s="275"/>
      <c r="N1409" s="275"/>
      <c r="O1409" s="276"/>
      <c r="P1409" s="276"/>
      <c r="Q1409" s="247">
        <f t="shared" si="27"/>
        <v>0</v>
      </c>
      <c r="R1409" s="229"/>
      <c r="S1409" s="229"/>
      <c r="T1409" s="229"/>
      <c r="U1409" s="229"/>
      <c r="V1409" s="229"/>
      <c r="W1409" s="229"/>
      <c r="X1409" s="229"/>
    </row>
    <row r="1410" spans="1:24" ht="15.75" hidden="1">
      <c r="A1410" s="343"/>
      <c r="B1410" s="344"/>
      <c r="C1410" s="275"/>
      <c r="D1410" s="275"/>
      <c r="E1410" s="275"/>
      <c r="F1410" s="275"/>
      <c r="G1410" s="275"/>
      <c r="H1410" s="275"/>
      <c r="I1410" s="275"/>
      <c r="J1410" s="275"/>
      <c r="K1410" s="275"/>
      <c r="L1410" s="275"/>
      <c r="M1410" s="275"/>
      <c r="N1410" s="275"/>
      <c r="O1410" s="276"/>
      <c r="P1410" s="276"/>
      <c r="Q1410" s="247">
        <f t="shared" si="27"/>
        <v>0</v>
      </c>
      <c r="R1410" s="229"/>
      <c r="S1410" s="229"/>
      <c r="T1410" s="229"/>
      <c r="U1410" s="229"/>
      <c r="V1410" s="229"/>
      <c r="W1410" s="229"/>
      <c r="X1410" s="229"/>
    </row>
    <row r="1411" spans="1:24" ht="15.75" hidden="1">
      <c r="A1411" s="343"/>
      <c r="B1411" s="344"/>
      <c r="C1411" s="275"/>
      <c r="D1411" s="275"/>
      <c r="E1411" s="275"/>
      <c r="F1411" s="275"/>
      <c r="G1411" s="275"/>
      <c r="H1411" s="275"/>
      <c r="I1411" s="275"/>
      <c r="J1411" s="275"/>
      <c r="K1411" s="275"/>
      <c r="L1411" s="275"/>
      <c r="M1411" s="275"/>
      <c r="N1411" s="275"/>
      <c r="O1411" s="276"/>
      <c r="P1411" s="276"/>
      <c r="Q1411" s="247">
        <f t="shared" si="27"/>
        <v>0</v>
      </c>
      <c r="R1411" s="229"/>
      <c r="S1411" s="229"/>
      <c r="T1411" s="229"/>
      <c r="U1411" s="229"/>
      <c r="V1411" s="229"/>
      <c r="W1411" s="229"/>
      <c r="X1411" s="229"/>
    </row>
    <row r="1412" spans="1:24" ht="15.75" hidden="1">
      <c r="A1412" s="343"/>
      <c r="B1412" s="344"/>
      <c r="C1412" s="275"/>
      <c r="D1412" s="275"/>
      <c r="E1412" s="275"/>
      <c r="F1412" s="275"/>
      <c r="G1412" s="275"/>
      <c r="H1412" s="275"/>
      <c r="I1412" s="275"/>
      <c r="J1412" s="275"/>
      <c r="K1412" s="275"/>
      <c r="L1412" s="275"/>
      <c r="M1412" s="275"/>
      <c r="N1412" s="275"/>
      <c r="O1412" s="276"/>
      <c r="P1412" s="276"/>
      <c r="Q1412" s="247">
        <f t="shared" si="27"/>
        <v>0</v>
      </c>
      <c r="R1412" s="229"/>
      <c r="S1412" s="229"/>
      <c r="T1412" s="229"/>
      <c r="U1412" s="229"/>
      <c r="V1412" s="229"/>
      <c r="W1412" s="229"/>
      <c r="X1412" s="229"/>
    </row>
    <row r="1413" spans="1:24" ht="15.75" hidden="1">
      <c r="A1413" s="343"/>
      <c r="B1413" s="344"/>
      <c r="C1413" s="275"/>
      <c r="D1413" s="275"/>
      <c r="E1413" s="275"/>
      <c r="F1413" s="275"/>
      <c r="G1413" s="275"/>
      <c r="H1413" s="275"/>
      <c r="I1413" s="275"/>
      <c r="J1413" s="275"/>
      <c r="K1413" s="275"/>
      <c r="L1413" s="275"/>
      <c r="M1413" s="275"/>
      <c r="N1413" s="275"/>
      <c r="O1413" s="276"/>
      <c r="P1413" s="276"/>
      <c r="Q1413" s="247">
        <f t="shared" si="27"/>
        <v>0</v>
      </c>
      <c r="R1413" s="229"/>
      <c r="S1413" s="229"/>
      <c r="T1413" s="229"/>
      <c r="U1413" s="229"/>
      <c r="V1413" s="229"/>
      <c r="W1413" s="229"/>
      <c r="X1413" s="229"/>
    </row>
    <row r="1414" spans="1:24" ht="15.75" hidden="1">
      <c r="A1414" s="343"/>
      <c r="B1414" s="344"/>
      <c r="C1414" s="275"/>
      <c r="D1414" s="275"/>
      <c r="E1414" s="275"/>
      <c r="F1414" s="275"/>
      <c r="G1414" s="275"/>
      <c r="H1414" s="275"/>
      <c r="I1414" s="275"/>
      <c r="J1414" s="275"/>
      <c r="K1414" s="275"/>
      <c r="L1414" s="275"/>
      <c r="M1414" s="275"/>
      <c r="N1414" s="275"/>
      <c r="O1414" s="276"/>
      <c r="P1414" s="276"/>
      <c r="Q1414" s="247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9"/>
      <c r="S1414" s="229"/>
      <c r="T1414" s="229"/>
      <c r="U1414" s="229"/>
      <c r="V1414" s="229"/>
      <c r="W1414" s="229"/>
      <c r="X1414" s="229"/>
    </row>
    <row r="1415" spans="1:24" ht="15.75" hidden="1">
      <c r="A1415" s="343"/>
      <c r="B1415" s="344"/>
      <c r="C1415" s="275"/>
      <c r="D1415" s="275"/>
      <c r="E1415" s="275"/>
      <c r="F1415" s="275"/>
      <c r="G1415" s="275"/>
      <c r="H1415" s="275"/>
      <c r="I1415" s="275"/>
      <c r="J1415" s="275"/>
      <c r="K1415" s="275"/>
      <c r="L1415" s="275"/>
      <c r="M1415" s="275"/>
      <c r="N1415" s="275"/>
      <c r="O1415" s="276"/>
      <c r="P1415" s="276"/>
      <c r="Q1415" s="247">
        <f t="shared" si="28"/>
        <v>0</v>
      </c>
      <c r="R1415" s="229"/>
      <c r="S1415" s="229"/>
      <c r="T1415" s="229"/>
      <c r="U1415" s="229"/>
      <c r="V1415" s="229"/>
      <c r="W1415" s="229"/>
      <c r="X1415" s="229"/>
    </row>
    <row r="1416" spans="1:24" ht="15.75" hidden="1">
      <c r="A1416" s="343"/>
      <c r="B1416" s="344"/>
      <c r="C1416" s="275"/>
      <c r="D1416" s="275"/>
      <c r="E1416" s="275"/>
      <c r="F1416" s="275"/>
      <c r="G1416" s="275"/>
      <c r="H1416" s="275"/>
      <c r="I1416" s="275"/>
      <c r="J1416" s="275"/>
      <c r="K1416" s="275"/>
      <c r="L1416" s="275"/>
      <c r="M1416" s="275"/>
      <c r="N1416" s="275"/>
      <c r="O1416" s="276"/>
      <c r="P1416" s="276"/>
      <c r="Q1416" s="247">
        <f t="shared" si="28"/>
        <v>0</v>
      </c>
      <c r="R1416" s="229"/>
      <c r="S1416" s="229"/>
      <c r="T1416" s="229"/>
      <c r="U1416" s="229"/>
      <c r="V1416" s="229"/>
      <c r="W1416" s="229"/>
      <c r="X1416" s="229"/>
    </row>
    <row r="1417" spans="1:24" ht="15.75" hidden="1">
      <c r="A1417" s="343"/>
      <c r="B1417" s="344"/>
      <c r="C1417" s="275"/>
      <c r="D1417" s="275"/>
      <c r="E1417" s="275"/>
      <c r="F1417" s="275"/>
      <c r="G1417" s="275"/>
      <c r="H1417" s="275"/>
      <c r="I1417" s="275"/>
      <c r="J1417" s="275"/>
      <c r="K1417" s="275"/>
      <c r="L1417" s="275"/>
      <c r="M1417" s="275"/>
      <c r="N1417" s="275"/>
      <c r="O1417" s="276"/>
      <c r="P1417" s="276"/>
      <c r="Q1417" s="247">
        <f t="shared" si="28"/>
        <v>0</v>
      </c>
      <c r="R1417" s="229"/>
      <c r="S1417" s="229"/>
      <c r="T1417" s="229"/>
      <c r="U1417" s="229"/>
      <c r="V1417" s="229"/>
      <c r="W1417" s="229"/>
      <c r="X1417" s="229"/>
    </row>
    <row r="1418" spans="1:24" ht="15.75" hidden="1">
      <c r="A1418" s="343"/>
      <c r="B1418" s="344"/>
      <c r="C1418" s="275"/>
      <c r="D1418" s="275"/>
      <c r="E1418" s="275"/>
      <c r="F1418" s="275"/>
      <c r="G1418" s="275"/>
      <c r="H1418" s="275"/>
      <c r="I1418" s="275"/>
      <c r="J1418" s="275"/>
      <c r="K1418" s="275"/>
      <c r="L1418" s="275"/>
      <c r="M1418" s="275"/>
      <c r="N1418" s="275"/>
      <c r="O1418" s="276"/>
      <c r="P1418" s="276"/>
      <c r="Q1418" s="247">
        <f t="shared" si="28"/>
        <v>0</v>
      </c>
      <c r="R1418" s="229"/>
      <c r="S1418" s="229"/>
      <c r="T1418" s="229"/>
      <c r="U1418" s="229"/>
      <c r="V1418" s="229"/>
      <c r="W1418" s="229"/>
      <c r="X1418" s="229"/>
    </row>
    <row r="1419" spans="1:24" ht="15.75" hidden="1">
      <c r="A1419" s="343"/>
      <c r="B1419" s="344"/>
      <c r="C1419" s="275"/>
      <c r="D1419" s="275"/>
      <c r="E1419" s="275"/>
      <c r="F1419" s="275"/>
      <c r="G1419" s="275"/>
      <c r="H1419" s="275"/>
      <c r="I1419" s="275"/>
      <c r="J1419" s="275"/>
      <c r="K1419" s="275"/>
      <c r="L1419" s="275"/>
      <c r="M1419" s="275"/>
      <c r="N1419" s="275"/>
      <c r="O1419" s="276"/>
      <c r="P1419" s="276"/>
      <c r="Q1419" s="247">
        <f t="shared" si="28"/>
        <v>0</v>
      </c>
      <c r="R1419" s="229"/>
      <c r="S1419" s="229"/>
      <c r="T1419" s="229"/>
      <c r="U1419" s="229"/>
      <c r="V1419" s="229"/>
      <c r="W1419" s="229"/>
      <c r="X1419" s="229"/>
    </row>
    <row r="1420" spans="1:24" ht="15.75" hidden="1">
      <c r="A1420" s="343"/>
      <c r="B1420" s="344"/>
      <c r="C1420" s="275"/>
      <c r="D1420" s="275"/>
      <c r="E1420" s="275"/>
      <c r="F1420" s="275"/>
      <c r="G1420" s="275"/>
      <c r="H1420" s="275"/>
      <c r="I1420" s="275"/>
      <c r="J1420" s="275"/>
      <c r="K1420" s="275"/>
      <c r="L1420" s="275"/>
      <c r="M1420" s="275"/>
      <c r="N1420" s="275"/>
      <c r="O1420" s="276"/>
      <c r="P1420" s="276"/>
      <c r="Q1420" s="247">
        <f t="shared" si="28"/>
        <v>0</v>
      </c>
      <c r="R1420" s="229"/>
      <c r="S1420" s="229"/>
      <c r="T1420" s="229"/>
      <c r="U1420" s="229"/>
      <c r="V1420" s="229"/>
      <c r="W1420" s="229"/>
      <c r="X1420" s="229"/>
    </row>
    <row r="1421" spans="1:24" ht="15.75" hidden="1">
      <c r="A1421" s="343"/>
      <c r="B1421" s="344"/>
      <c r="C1421" s="275"/>
      <c r="D1421" s="275"/>
      <c r="E1421" s="275"/>
      <c r="F1421" s="275"/>
      <c r="G1421" s="275"/>
      <c r="H1421" s="275"/>
      <c r="I1421" s="275"/>
      <c r="J1421" s="275"/>
      <c r="K1421" s="275"/>
      <c r="L1421" s="275"/>
      <c r="M1421" s="275"/>
      <c r="N1421" s="275"/>
      <c r="O1421" s="276"/>
      <c r="P1421" s="276"/>
      <c r="Q1421" s="247">
        <f t="shared" si="28"/>
        <v>0</v>
      </c>
      <c r="R1421" s="229"/>
      <c r="S1421" s="229"/>
      <c r="T1421" s="229"/>
      <c r="U1421" s="229"/>
      <c r="V1421" s="229"/>
      <c r="W1421" s="229"/>
      <c r="X1421" s="229"/>
    </row>
    <row r="1422" spans="1:24" ht="15.75" hidden="1">
      <c r="A1422" s="343"/>
      <c r="B1422" s="344"/>
      <c r="C1422" s="275"/>
      <c r="D1422" s="275"/>
      <c r="E1422" s="275"/>
      <c r="F1422" s="275"/>
      <c r="G1422" s="275"/>
      <c r="H1422" s="275"/>
      <c r="I1422" s="275"/>
      <c r="J1422" s="275"/>
      <c r="K1422" s="275"/>
      <c r="L1422" s="275"/>
      <c r="M1422" s="275"/>
      <c r="N1422" s="275"/>
      <c r="O1422" s="276"/>
      <c r="P1422" s="276"/>
      <c r="Q1422" s="247">
        <f t="shared" si="28"/>
        <v>0</v>
      </c>
      <c r="R1422" s="229"/>
      <c r="S1422" s="229"/>
      <c r="T1422" s="229"/>
      <c r="U1422" s="229"/>
      <c r="V1422" s="229"/>
      <c r="W1422" s="229"/>
      <c r="X1422" s="229"/>
    </row>
    <row r="1423" spans="1:24" ht="15.75" hidden="1">
      <c r="A1423" s="343"/>
      <c r="B1423" s="344"/>
      <c r="C1423" s="275"/>
      <c r="D1423" s="275"/>
      <c r="E1423" s="275"/>
      <c r="F1423" s="275"/>
      <c r="G1423" s="275"/>
      <c r="H1423" s="275"/>
      <c r="I1423" s="275"/>
      <c r="J1423" s="275"/>
      <c r="K1423" s="275"/>
      <c r="L1423" s="275"/>
      <c r="M1423" s="275"/>
      <c r="N1423" s="275"/>
      <c r="O1423" s="276"/>
      <c r="P1423" s="276"/>
      <c r="Q1423" s="247">
        <f t="shared" si="28"/>
        <v>0</v>
      </c>
      <c r="R1423" s="229"/>
      <c r="S1423" s="229"/>
      <c r="T1423" s="229"/>
      <c r="U1423" s="229"/>
      <c r="V1423" s="229"/>
      <c r="W1423" s="229"/>
      <c r="X1423" s="229"/>
    </row>
    <row r="1424" spans="1:24" ht="15.75" hidden="1">
      <c r="A1424" s="343"/>
      <c r="B1424" s="344"/>
      <c r="C1424" s="275"/>
      <c r="D1424" s="275"/>
      <c r="E1424" s="275"/>
      <c r="F1424" s="275"/>
      <c r="G1424" s="275"/>
      <c r="H1424" s="275"/>
      <c r="I1424" s="275"/>
      <c r="J1424" s="275"/>
      <c r="K1424" s="275"/>
      <c r="L1424" s="275"/>
      <c r="M1424" s="275"/>
      <c r="N1424" s="275"/>
      <c r="O1424" s="276"/>
      <c r="P1424" s="276"/>
      <c r="Q1424" s="247">
        <f t="shared" si="28"/>
        <v>0</v>
      </c>
      <c r="R1424" s="229"/>
      <c r="S1424" s="229"/>
      <c r="T1424" s="229"/>
      <c r="U1424" s="229"/>
      <c r="V1424" s="229"/>
      <c r="W1424" s="229"/>
      <c r="X1424" s="229"/>
    </row>
    <row r="1425" spans="1:24" ht="15.75" hidden="1">
      <c r="A1425" s="343"/>
      <c r="B1425" s="344"/>
      <c r="C1425" s="275"/>
      <c r="D1425" s="275"/>
      <c r="E1425" s="275"/>
      <c r="F1425" s="275"/>
      <c r="G1425" s="275"/>
      <c r="H1425" s="275"/>
      <c r="I1425" s="275"/>
      <c r="J1425" s="275"/>
      <c r="K1425" s="275"/>
      <c r="L1425" s="275"/>
      <c r="M1425" s="275"/>
      <c r="N1425" s="275"/>
      <c r="O1425" s="276"/>
      <c r="P1425" s="276"/>
      <c r="Q1425" s="247">
        <f t="shared" si="28"/>
        <v>0</v>
      </c>
      <c r="R1425" s="229"/>
      <c r="S1425" s="229"/>
      <c r="T1425" s="229"/>
      <c r="U1425" s="229"/>
      <c r="V1425" s="229"/>
      <c r="W1425" s="229"/>
      <c r="X1425" s="229"/>
    </row>
    <row r="1426" spans="1:24" ht="15.75" hidden="1">
      <c r="A1426" s="343"/>
      <c r="B1426" s="344"/>
      <c r="C1426" s="275"/>
      <c r="D1426" s="275"/>
      <c r="E1426" s="275"/>
      <c r="F1426" s="275"/>
      <c r="G1426" s="275"/>
      <c r="H1426" s="275"/>
      <c r="I1426" s="275"/>
      <c r="J1426" s="275"/>
      <c r="K1426" s="275"/>
      <c r="L1426" s="275"/>
      <c r="M1426" s="275"/>
      <c r="N1426" s="275"/>
      <c r="O1426" s="276"/>
      <c r="P1426" s="276"/>
      <c r="Q1426" s="247">
        <f t="shared" si="28"/>
        <v>0</v>
      </c>
      <c r="R1426" s="229"/>
      <c r="S1426" s="229"/>
      <c r="T1426" s="229"/>
      <c r="U1426" s="229"/>
      <c r="V1426" s="229"/>
      <c r="W1426" s="229"/>
      <c r="X1426" s="229"/>
    </row>
    <row r="1427" spans="1:24" ht="15.75" hidden="1">
      <c r="A1427" s="343"/>
      <c r="B1427" s="344"/>
      <c r="C1427" s="275"/>
      <c r="D1427" s="275"/>
      <c r="E1427" s="275"/>
      <c r="F1427" s="275"/>
      <c r="G1427" s="275"/>
      <c r="H1427" s="275"/>
      <c r="I1427" s="275"/>
      <c r="J1427" s="275"/>
      <c r="K1427" s="275"/>
      <c r="L1427" s="275"/>
      <c r="M1427" s="275"/>
      <c r="N1427" s="275"/>
      <c r="O1427" s="276"/>
      <c r="P1427" s="276"/>
      <c r="Q1427" s="247">
        <f t="shared" si="28"/>
        <v>0</v>
      </c>
      <c r="R1427" s="229"/>
      <c r="S1427" s="229"/>
      <c r="T1427" s="229"/>
      <c r="U1427" s="229"/>
      <c r="V1427" s="229"/>
      <c r="W1427" s="229"/>
      <c r="X1427" s="229"/>
    </row>
    <row r="1428" spans="1:24" ht="15.75" hidden="1">
      <c r="A1428" s="343"/>
      <c r="B1428" s="344"/>
      <c r="C1428" s="275"/>
      <c r="D1428" s="275"/>
      <c r="E1428" s="275"/>
      <c r="F1428" s="275"/>
      <c r="G1428" s="275"/>
      <c r="H1428" s="275"/>
      <c r="I1428" s="275"/>
      <c r="J1428" s="275"/>
      <c r="K1428" s="275"/>
      <c r="L1428" s="275"/>
      <c r="M1428" s="275"/>
      <c r="N1428" s="275"/>
      <c r="O1428" s="276"/>
      <c r="P1428" s="276"/>
      <c r="Q1428" s="247">
        <f t="shared" si="28"/>
        <v>0</v>
      </c>
      <c r="R1428" s="229"/>
      <c r="S1428" s="229"/>
      <c r="T1428" s="229"/>
      <c r="U1428" s="229"/>
      <c r="V1428" s="229"/>
      <c r="W1428" s="229"/>
      <c r="X1428" s="229"/>
    </row>
    <row r="1429" spans="1:24" ht="15.75" hidden="1">
      <c r="A1429" s="343"/>
      <c r="B1429" s="344"/>
      <c r="C1429" s="275"/>
      <c r="D1429" s="275"/>
      <c r="E1429" s="275"/>
      <c r="F1429" s="275"/>
      <c r="G1429" s="275"/>
      <c r="H1429" s="275"/>
      <c r="I1429" s="275"/>
      <c r="J1429" s="275"/>
      <c r="K1429" s="275"/>
      <c r="L1429" s="275"/>
      <c r="M1429" s="275"/>
      <c r="N1429" s="275"/>
      <c r="O1429" s="276"/>
      <c r="P1429" s="276"/>
      <c r="Q1429" s="247">
        <f t="shared" si="28"/>
        <v>0</v>
      </c>
      <c r="R1429" s="229"/>
      <c r="S1429" s="229"/>
      <c r="T1429" s="229"/>
      <c r="U1429" s="229"/>
      <c r="V1429" s="229"/>
      <c r="W1429" s="229"/>
      <c r="X1429" s="229"/>
    </row>
    <row r="1430" spans="1:24" ht="15.75" hidden="1">
      <c r="A1430" s="343"/>
      <c r="B1430" s="344"/>
      <c r="C1430" s="275"/>
      <c r="D1430" s="275"/>
      <c r="E1430" s="275"/>
      <c r="F1430" s="275"/>
      <c r="G1430" s="275"/>
      <c r="H1430" s="275"/>
      <c r="I1430" s="275"/>
      <c r="J1430" s="275"/>
      <c r="K1430" s="275"/>
      <c r="L1430" s="275"/>
      <c r="M1430" s="275"/>
      <c r="N1430" s="275"/>
      <c r="O1430" s="276"/>
      <c r="P1430" s="276"/>
      <c r="Q1430" s="247">
        <f t="shared" si="28"/>
        <v>0</v>
      </c>
      <c r="R1430" s="229"/>
      <c r="S1430" s="229"/>
      <c r="T1430" s="229"/>
      <c r="U1430" s="229"/>
      <c r="V1430" s="229"/>
      <c r="W1430" s="229"/>
      <c r="X1430" s="229"/>
    </row>
    <row r="1431" spans="1:24" ht="15.75" hidden="1">
      <c r="A1431" s="343"/>
      <c r="B1431" s="344"/>
      <c r="C1431" s="275"/>
      <c r="D1431" s="275"/>
      <c r="E1431" s="275"/>
      <c r="F1431" s="275"/>
      <c r="G1431" s="275"/>
      <c r="H1431" s="275"/>
      <c r="I1431" s="275"/>
      <c r="J1431" s="275"/>
      <c r="K1431" s="275"/>
      <c r="L1431" s="275"/>
      <c r="M1431" s="275"/>
      <c r="N1431" s="275"/>
      <c r="O1431" s="276"/>
      <c r="P1431" s="276"/>
      <c r="Q1431" s="247">
        <f t="shared" si="28"/>
        <v>0</v>
      </c>
      <c r="R1431" s="229"/>
      <c r="S1431" s="229"/>
      <c r="T1431" s="229"/>
      <c r="U1431" s="229"/>
      <c r="V1431" s="229"/>
      <c r="W1431" s="229"/>
      <c r="X1431" s="229"/>
    </row>
    <row r="1432" spans="1:24" ht="15.75" hidden="1">
      <c r="A1432" s="343"/>
      <c r="B1432" s="344"/>
      <c r="C1432" s="275"/>
      <c r="D1432" s="275"/>
      <c r="E1432" s="275"/>
      <c r="F1432" s="275"/>
      <c r="G1432" s="275"/>
      <c r="H1432" s="275"/>
      <c r="I1432" s="275"/>
      <c r="J1432" s="275"/>
      <c r="K1432" s="275"/>
      <c r="L1432" s="275"/>
      <c r="M1432" s="275"/>
      <c r="N1432" s="275"/>
      <c r="O1432" s="276"/>
      <c r="P1432" s="276"/>
      <c r="Q1432" s="247">
        <f t="shared" si="28"/>
        <v>0</v>
      </c>
      <c r="R1432" s="229"/>
      <c r="S1432" s="229"/>
      <c r="T1432" s="229"/>
      <c r="U1432" s="229"/>
      <c r="V1432" s="229"/>
      <c r="W1432" s="229"/>
      <c r="X1432" s="229"/>
    </row>
    <row r="1433" spans="1:24" ht="15.75" hidden="1">
      <c r="A1433" s="343"/>
      <c r="B1433" s="344"/>
      <c r="C1433" s="275"/>
      <c r="D1433" s="275"/>
      <c r="E1433" s="275"/>
      <c r="F1433" s="275"/>
      <c r="G1433" s="275"/>
      <c r="H1433" s="275"/>
      <c r="I1433" s="275"/>
      <c r="J1433" s="275"/>
      <c r="K1433" s="275"/>
      <c r="L1433" s="275"/>
      <c r="M1433" s="275"/>
      <c r="N1433" s="275"/>
      <c r="O1433" s="276"/>
      <c r="P1433" s="276"/>
      <c r="Q1433" s="247">
        <f t="shared" si="28"/>
        <v>0</v>
      </c>
      <c r="R1433" s="229"/>
      <c r="S1433" s="229"/>
      <c r="T1433" s="229"/>
      <c r="U1433" s="229"/>
      <c r="V1433" s="229"/>
      <c r="W1433" s="229"/>
      <c r="X1433" s="229"/>
    </row>
    <row r="1434" spans="1:24" ht="15.75" hidden="1">
      <c r="A1434" s="343"/>
      <c r="B1434" s="344"/>
      <c r="C1434" s="275"/>
      <c r="D1434" s="275"/>
      <c r="E1434" s="275"/>
      <c r="F1434" s="275"/>
      <c r="G1434" s="275"/>
      <c r="H1434" s="275"/>
      <c r="I1434" s="275"/>
      <c r="J1434" s="275"/>
      <c r="K1434" s="275"/>
      <c r="L1434" s="275"/>
      <c r="M1434" s="275"/>
      <c r="N1434" s="275"/>
      <c r="O1434" s="276"/>
      <c r="P1434" s="276"/>
      <c r="Q1434" s="247">
        <f t="shared" si="28"/>
        <v>0</v>
      </c>
      <c r="R1434" s="229"/>
      <c r="S1434" s="229"/>
      <c r="T1434" s="229"/>
      <c r="U1434" s="229"/>
      <c r="V1434" s="229"/>
      <c r="W1434" s="229"/>
      <c r="X1434" s="229"/>
    </row>
    <row r="1435" spans="1:24" ht="15.75" hidden="1">
      <c r="A1435" s="343"/>
      <c r="B1435" s="344"/>
      <c r="C1435" s="275"/>
      <c r="D1435" s="275"/>
      <c r="E1435" s="275"/>
      <c r="F1435" s="275"/>
      <c r="G1435" s="275"/>
      <c r="H1435" s="275"/>
      <c r="I1435" s="275"/>
      <c r="J1435" s="275"/>
      <c r="K1435" s="275"/>
      <c r="L1435" s="275"/>
      <c r="M1435" s="275"/>
      <c r="N1435" s="275"/>
      <c r="O1435" s="276"/>
      <c r="P1435" s="276"/>
      <c r="Q1435" s="247">
        <f t="shared" si="28"/>
        <v>0</v>
      </c>
      <c r="R1435" s="229"/>
      <c r="S1435" s="229"/>
      <c r="T1435" s="229"/>
      <c r="U1435" s="229"/>
      <c r="V1435" s="229"/>
      <c r="W1435" s="229"/>
      <c r="X1435" s="229"/>
    </row>
    <row r="1436" spans="1:24" ht="15.75" hidden="1">
      <c r="A1436" s="343"/>
      <c r="B1436" s="344"/>
      <c r="C1436" s="275"/>
      <c r="D1436" s="275"/>
      <c r="E1436" s="275"/>
      <c r="F1436" s="275"/>
      <c r="G1436" s="275"/>
      <c r="H1436" s="275"/>
      <c r="I1436" s="275"/>
      <c r="J1436" s="275"/>
      <c r="K1436" s="275"/>
      <c r="L1436" s="275"/>
      <c r="M1436" s="275"/>
      <c r="N1436" s="275"/>
      <c r="O1436" s="276"/>
      <c r="P1436" s="276"/>
      <c r="Q1436" s="247">
        <f t="shared" si="28"/>
        <v>0</v>
      </c>
      <c r="R1436" s="229"/>
      <c r="S1436" s="229"/>
      <c r="T1436" s="229"/>
      <c r="U1436" s="229"/>
      <c r="V1436" s="229"/>
      <c r="W1436" s="229"/>
      <c r="X1436" s="229"/>
    </row>
    <row r="1437" spans="1:24" ht="15.75" hidden="1">
      <c r="A1437" s="343"/>
      <c r="B1437" s="344"/>
      <c r="C1437" s="275"/>
      <c r="D1437" s="275"/>
      <c r="E1437" s="275"/>
      <c r="F1437" s="275"/>
      <c r="G1437" s="275"/>
      <c r="H1437" s="275"/>
      <c r="I1437" s="275"/>
      <c r="J1437" s="275"/>
      <c r="K1437" s="275"/>
      <c r="L1437" s="275"/>
      <c r="M1437" s="275"/>
      <c r="N1437" s="275"/>
      <c r="O1437" s="276"/>
      <c r="P1437" s="276"/>
      <c r="Q1437" s="247">
        <f t="shared" si="28"/>
        <v>0</v>
      </c>
      <c r="R1437" s="229"/>
      <c r="S1437" s="229"/>
      <c r="T1437" s="229"/>
      <c r="U1437" s="229"/>
      <c r="V1437" s="229"/>
      <c r="W1437" s="229"/>
      <c r="X1437" s="229"/>
    </row>
    <row r="1438" spans="1:24" ht="15.75" hidden="1">
      <c r="A1438" s="343"/>
      <c r="B1438" s="344"/>
      <c r="C1438" s="275"/>
      <c r="D1438" s="275"/>
      <c r="E1438" s="275"/>
      <c r="F1438" s="275"/>
      <c r="G1438" s="275"/>
      <c r="H1438" s="275"/>
      <c r="I1438" s="275"/>
      <c r="J1438" s="275"/>
      <c r="K1438" s="275"/>
      <c r="L1438" s="275"/>
      <c r="M1438" s="275"/>
      <c r="N1438" s="275"/>
      <c r="O1438" s="276"/>
      <c r="P1438" s="276"/>
      <c r="Q1438" s="247">
        <f t="shared" si="28"/>
        <v>0</v>
      </c>
      <c r="R1438" s="229"/>
      <c r="S1438" s="229"/>
      <c r="T1438" s="229"/>
      <c r="U1438" s="229"/>
      <c r="V1438" s="229"/>
      <c r="W1438" s="229"/>
      <c r="X1438" s="229"/>
    </row>
    <row r="1439" spans="1:24" ht="15.75" hidden="1">
      <c r="A1439" s="343"/>
      <c r="B1439" s="344"/>
      <c r="C1439" s="275"/>
      <c r="D1439" s="275"/>
      <c r="E1439" s="275"/>
      <c r="F1439" s="275"/>
      <c r="G1439" s="275"/>
      <c r="H1439" s="275"/>
      <c r="I1439" s="275"/>
      <c r="J1439" s="275"/>
      <c r="K1439" s="275"/>
      <c r="L1439" s="275"/>
      <c r="M1439" s="275"/>
      <c r="N1439" s="275"/>
      <c r="O1439" s="276"/>
      <c r="P1439" s="276"/>
      <c r="Q1439" s="247">
        <f t="shared" si="28"/>
        <v>0</v>
      </c>
      <c r="R1439" s="229"/>
      <c r="S1439" s="229"/>
      <c r="T1439" s="229"/>
      <c r="U1439" s="229"/>
      <c r="V1439" s="229"/>
      <c r="W1439" s="229"/>
      <c r="X1439" s="229"/>
    </row>
    <row r="1440" spans="1:24" ht="15.75" hidden="1">
      <c r="A1440" s="343"/>
      <c r="B1440" s="344"/>
      <c r="C1440" s="275"/>
      <c r="D1440" s="275"/>
      <c r="E1440" s="275"/>
      <c r="F1440" s="275"/>
      <c r="G1440" s="275"/>
      <c r="H1440" s="275"/>
      <c r="I1440" s="275"/>
      <c r="J1440" s="275"/>
      <c r="K1440" s="275"/>
      <c r="L1440" s="275"/>
      <c r="M1440" s="275"/>
      <c r="N1440" s="275"/>
      <c r="O1440" s="276"/>
      <c r="P1440" s="276"/>
      <c r="Q1440" s="247">
        <f t="shared" si="28"/>
        <v>0</v>
      </c>
      <c r="R1440" s="229"/>
      <c r="S1440" s="229"/>
      <c r="T1440" s="229"/>
      <c r="U1440" s="229"/>
      <c r="V1440" s="229"/>
      <c r="W1440" s="229"/>
      <c r="X1440" s="229"/>
    </row>
    <row r="1441" spans="1:24" ht="15.75" hidden="1">
      <c r="A1441" s="343"/>
      <c r="B1441" s="344"/>
      <c r="C1441" s="275"/>
      <c r="D1441" s="275"/>
      <c r="E1441" s="275"/>
      <c r="F1441" s="275"/>
      <c r="G1441" s="275"/>
      <c r="H1441" s="275"/>
      <c r="I1441" s="275"/>
      <c r="J1441" s="275"/>
      <c r="K1441" s="275"/>
      <c r="L1441" s="275"/>
      <c r="M1441" s="275"/>
      <c r="N1441" s="275"/>
      <c r="O1441" s="276"/>
      <c r="P1441" s="276"/>
      <c r="Q1441" s="247">
        <f t="shared" si="28"/>
        <v>0</v>
      </c>
      <c r="R1441" s="229"/>
      <c r="S1441" s="229"/>
      <c r="T1441" s="229"/>
      <c r="U1441" s="229"/>
      <c r="V1441" s="229"/>
      <c r="W1441" s="229"/>
      <c r="X1441" s="229"/>
    </row>
    <row r="1442" spans="1:24" ht="15.75" hidden="1">
      <c r="A1442" s="343"/>
      <c r="B1442" s="344"/>
      <c r="C1442" s="275"/>
      <c r="D1442" s="275"/>
      <c r="E1442" s="275"/>
      <c r="F1442" s="275"/>
      <c r="G1442" s="275"/>
      <c r="H1442" s="275"/>
      <c r="I1442" s="275"/>
      <c r="J1442" s="275"/>
      <c r="K1442" s="275"/>
      <c r="L1442" s="275"/>
      <c r="M1442" s="275"/>
      <c r="N1442" s="275"/>
      <c r="O1442" s="276"/>
      <c r="P1442" s="276"/>
      <c r="Q1442" s="247">
        <f t="shared" si="28"/>
        <v>0</v>
      </c>
      <c r="R1442" s="229"/>
      <c r="S1442" s="229"/>
      <c r="T1442" s="229"/>
      <c r="U1442" s="229"/>
      <c r="V1442" s="229"/>
      <c r="W1442" s="229"/>
      <c r="X1442" s="229"/>
    </row>
    <row r="1443" spans="1:24" ht="15.75" hidden="1">
      <c r="A1443" s="343"/>
      <c r="B1443" s="344"/>
      <c r="C1443" s="275"/>
      <c r="D1443" s="275"/>
      <c r="E1443" s="275"/>
      <c r="F1443" s="275"/>
      <c r="G1443" s="275"/>
      <c r="H1443" s="275"/>
      <c r="I1443" s="275"/>
      <c r="J1443" s="275"/>
      <c r="K1443" s="275"/>
      <c r="L1443" s="275"/>
      <c r="M1443" s="275"/>
      <c r="N1443" s="275"/>
      <c r="O1443" s="276"/>
      <c r="P1443" s="276"/>
      <c r="Q1443" s="247">
        <f t="shared" si="28"/>
        <v>0</v>
      </c>
      <c r="R1443" s="229"/>
      <c r="S1443" s="229"/>
      <c r="T1443" s="229"/>
      <c r="U1443" s="229"/>
      <c r="V1443" s="229"/>
      <c r="W1443" s="229"/>
      <c r="X1443" s="229"/>
    </row>
    <row r="1444" spans="1:24" ht="15.75" hidden="1">
      <c r="A1444" s="343"/>
      <c r="B1444" s="344"/>
      <c r="C1444" s="275"/>
      <c r="D1444" s="275"/>
      <c r="E1444" s="275"/>
      <c r="F1444" s="275"/>
      <c r="G1444" s="275"/>
      <c r="H1444" s="275"/>
      <c r="I1444" s="275"/>
      <c r="J1444" s="275"/>
      <c r="K1444" s="275"/>
      <c r="L1444" s="275"/>
      <c r="M1444" s="275"/>
      <c r="N1444" s="275"/>
      <c r="O1444" s="276"/>
      <c r="P1444" s="276"/>
      <c r="Q1444" s="247">
        <f t="shared" si="28"/>
        <v>0</v>
      </c>
      <c r="R1444" s="229"/>
      <c r="S1444" s="229"/>
      <c r="T1444" s="229"/>
      <c r="U1444" s="229"/>
      <c r="V1444" s="229"/>
      <c r="W1444" s="229"/>
      <c r="X1444" s="229"/>
    </row>
    <row r="1445" spans="1:24" ht="15.75" hidden="1">
      <c r="A1445" s="343"/>
      <c r="B1445" s="344"/>
      <c r="C1445" s="275"/>
      <c r="D1445" s="275"/>
      <c r="E1445" s="275"/>
      <c r="F1445" s="275"/>
      <c r="G1445" s="275"/>
      <c r="H1445" s="275"/>
      <c r="I1445" s="275"/>
      <c r="J1445" s="275"/>
      <c r="K1445" s="275"/>
      <c r="L1445" s="275"/>
      <c r="M1445" s="275"/>
      <c r="N1445" s="275"/>
      <c r="O1445" s="276"/>
      <c r="P1445" s="276"/>
      <c r="Q1445" s="247">
        <f t="shared" si="28"/>
        <v>0</v>
      </c>
      <c r="R1445" s="229"/>
      <c r="S1445" s="229"/>
      <c r="T1445" s="229"/>
      <c r="U1445" s="229"/>
      <c r="V1445" s="229"/>
      <c r="W1445" s="229"/>
      <c r="X1445" s="229"/>
    </row>
    <row r="1446" spans="1:24" ht="15.75" hidden="1">
      <c r="A1446" s="343"/>
      <c r="B1446" s="344"/>
      <c r="C1446" s="275"/>
      <c r="D1446" s="275"/>
      <c r="E1446" s="275"/>
      <c r="F1446" s="275"/>
      <c r="G1446" s="275"/>
      <c r="H1446" s="275"/>
      <c r="I1446" s="275"/>
      <c r="J1446" s="275"/>
      <c r="K1446" s="275"/>
      <c r="L1446" s="275"/>
      <c r="M1446" s="275"/>
      <c r="N1446" s="275"/>
      <c r="O1446" s="276"/>
      <c r="P1446" s="276"/>
      <c r="Q1446" s="247">
        <f t="shared" si="28"/>
        <v>0</v>
      </c>
      <c r="R1446" s="229"/>
      <c r="S1446" s="229"/>
      <c r="T1446" s="229"/>
      <c r="U1446" s="229"/>
      <c r="V1446" s="229"/>
      <c r="W1446" s="229"/>
      <c r="X1446" s="229"/>
    </row>
    <row r="1447" spans="1:24" ht="15.75" hidden="1">
      <c r="A1447" s="343"/>
      <c r="B1447" s="344"/>
      <c r="C1447" s="275"/>
      <c r="D1447" s="275"/>
      <c r="E1447" s="275"/>
      <c r="F1447" s="275"/>
      <c r="G1447" s="275"/>
      <c r="H1447" s="275"/>
      <c r="I1447" s="275"/>
      <c r="J1447" s="275"/>
      <c r="K1447" s="275"/>
      <c r="L1447" s="275"/>
      <c r="M1447" s="275"/>
      <c r="N1447" s="275"/>
      <c r="O1447" s="276"/>
      <c r="P1447" s="276"/>
      <c r="Q1447" s="247">
        <f t="shared" si="28"/>
        <v>0</v>
      </c>
      <c r="R1447" s="229"/>
      <c r="S1447" s="229"/>
      <c r="T1447" s="229"/>
      <c r="U1447" s="229"/>
      <c r="V1447" s="229"/>
      <c r="W1447" s="229"/>
      <c r="X1447" s="229"/>
    </row>
    <row r="1448" spans="1:24" ht="15.75" hidden="1">
      <c r="A1448" s="343"/>
      <c r="B1448" s="344"/>
      <c r="C1448" s="275"/>
      <c r="D1448" s="275"/>
      <c r="E1448" s="275"/>
      <c r="F1448" s="275"/>
      <c r="G1448" s="275"/>
      <c r="H1448" s="275"/>
      <c r="I1448" s="275"/>
      <c r="J1448" s="275"/>
      <c r="K1448" s="275"/>
      <c r="L1448" s="275"/>
      <c r="M1448" s="275"/>
      <c r="N1448" s="275"/>
      <c r="O1448" s="276"/>
      <c r="P1448" s="276"/>
      <c r="Q1448" s="247">
        <f t="shared" si="28"/>
        <v>0</v>
      </c>
      <c r="R1448" s="229"/>
      <c r="S1448" s="229"/>
      <c r="T1448" s="229"/>
      <c r="U1448" s="229"/>
      <c r="V1448" s="229"/>
      <c r="W1448" s="229"/>
      <c r="X1448" s="229"/>
    </row>
    <row r="1449" spans="1:24" ht="15.75" hidden="1">
      <c r="A1449" s="343"/>
      <c r="B1449" s="344"/>
      <c r="C1449" s="275"/>
      <c r="D1449" s="275"/>
      <c r="E1449" s="275"/>
      <c r="F1449" s="275"/>
      <c r="G1449" s="275"/>
      <c r="H1449" s="275"/>
      <c r="I1449" s="275"/>
      <c r="J1449" s="275"/>
      <c r="K1449" s="275"/>
      <c r="L1449" s="275"/>
      <c r="M1449" s="275"/>
      <c r="N1449" s="275"/>
      <c r="O1449" s="276"/>
      <c r="P1449" s="276"/>
      <c r="Q1449" s="247">
        <f t="shared" si="28"/>
        <v>0</v>
      </c>
      <c r="R1449" s="229"/>
      <c r="S1449" s="229"/>
      <c r="T1449" s="229"/>
      <c r="U1449" s="229"/>
      <c r="V1449" s="229"/>
      <c r="W1449" s="229"/>
      <c r="X1449" s="229"/>
    </row>
    <row r="1450" spans="1:24" ht="15.75" hidden="1">
      <c r="A1450" s="343"/>
      <c r="B1450" s="344"/>
      <c r="C1450" s="275"/>
      <c r="D1450" s="275"/>
      <c r="E1450" s="275"/>
      <c r="F1450" s="275"/>
      <c r="G1450" s="275"/>
      <c r="H1450" s="275"/>
      <c r="I1450" s="275"/>
      <c r="J1450" s="275"/>
      <c r="K1450" s="275"/>
      <c r="L1450" s="275"/>
      <c r="M1450" s="275"/>
      <c r="N1450" s="275"/>
      <c r="O1450" s="276"/>
      <c r="P1450" s="276"/>
      <c r="Q1450" s="247">
        <f t="shared" si="28"/>
        <v>0</v>
      </c>
      <c r="R1450" s="229"/>
      <c r="S1450" s="229"/>
      <c r="T1450" s="229"/>
      <c r="U1450" s="229"/>
      <c r="V1450" s="229"/>
      <c r="W1450" s="229"/>
      <c r="X1450" s="229"/>
    </row>
    <row r="1451" spans="1:24" ht="15.75" hidden="1">
      <c r="A1451" s="343"/>
      <c r="B1451" s="344"/>
      <c r="C1451" s="275"/>
      <c r="D1451" s="275"/>
      <c r="E1451" s="275"/>
      <c r="F1451" s="275"/>
      <c r="G1451" s="275"/>
      <c r="H1451" s="275"/>
      <c r="I1451" s="275"/>
      <c r="J1451" s="275"/>
      <c r="K1451" s="275"/>
      <c r="L1451" s="275"/>
      <c r="M1451" s="275"/>
      <c r="N1451" s="275"/>
      <c r="O1451" s="276"/>
      <c r="P1451" s="276"/>
      <c r="Q1451" s="247">
        <f t="shared" si="28"/>
        <v>0</v>
      </c>
      <c r="R1451" s="229"/>
      <c r="S1451" s="229"/>
      <c r="T1451" s="229"/>
      <c r="U1451" s="229"/>
      <c r="V1451" s="229"/>
      <c r="W1451" s="229"/>
      <c r="X1451" s="229"/>
    </row>
    <row r="1452" spans="1:24" ht="15.75" hidden="1">
      <c r="A1452" s="343"/>
      <c r="B1452" s="344"/>
      <c r="C1452" s="275"/>
      <c r="D1452" s="275"/>
      <c r="E1452" s="275"/>
      <c r="F1452" s="275"/>
      <c r="G1452" s="275"/>
      <c r="H1452" s="275"/>
      <c r="I1452" s="275"/>
      <c r="J1452" s="275"/>
      <c r="K1452" s="275"/>
      <c r="L1452" s="275"/>
      <c r="M1452" s="275"/>
      <c r="N1452" s="275"/>
      <c r="O1452" s="276"/>
      <c r="P1452" s="276"/>
      <c r="Q1452" s="247">
        <f t="shared" si="28"/>
        <v>0</v>
      </c>
      <c r="R1452" s="229"/>
      <c r="S1452" s="229"/>
      <c r="T1452" s="229"/>
      <c r="U1452" s="229"/>
      <c r="V1452" s="229"/>
      <c r="W1452" s="229"/>
      <c r="X1452" s="229"/>
    </row>
    <row r="1453" spans="1:24" ht="15.75" hidden="1">
      <c r="A1453" s="343"/>
      <c r="B1453" s="344"/>
      <c r="C1453" s="275"/>
      <c r="D1453" s="275"/>
      <c r="E1453" s="275"/>
      <c r="F1453" s="275"/>
      <c r="G1453" s="275"/>
      <c r="H1453" s="275"/>
      <c r="I1453" s="275"/>
      <c r="J1453" s="275"/>
      <c r="K1453" s="275"/>
      <c r="L1453" s="275"/>
      <c r="M1453" s="275"/>
      <c r="N1453" s="275"/>
      <c r="O1453" s="276"/>
      <c r="P1453" s="276"/>
      <c r="Q1453" s="247">
        <f t="shared" si="28"/>
        <v>0</v>
      </c>
      <c r="R1453" s="229"/>
      <c r="S1453" s="229"/>
      <c r="T1453" s="229"/>
      <c r="U1453" s="229"/>
      <c r="V1453" s="229"/>
      <c r="W1453" s="229"/>
      <c r="X1453" s="229"/>
    </row>
    <row r="1454" spans="1:24" ht="15.75" hidden="1">
      <c r="A1454" s="343"/>
      <c r="B1454" s="344"/>
      <c r="C1454" s="275"/>
      <c r="D1454" s="275"/>
      <c r="E1454" s="275"/>
      <c r="F1454" s="275"/>
      <c r="G1454" s="275"/>
      <c r="H1454" s="275"/>
      <c r="I1454" s="275"/>
      <c r="J1454" s="275"/>
      <c r="K1454" s="275"/>
      <c r="L1454" s="275"/>
      <c r="M1454" s="275"/>
      <c r="N1454" s="275"/>
      <c r="O1454" s="276"/>
      <c r="P1454" s="276"/>
      <c r="Q1454" s="247">
        <f t="shared" si="28"/>
        <v>0</v>
      </c>
      <c r="R1454" s="229"/>
      <c r="S1454" s="229"/>
      <c r="T1454" s="229"/>
      <c r="U1454" s="229"/>
      <c r="V1454" s="229"/>
      <c r="W1454" s="229"/>
      <c r="X1454" s="229"/>
    </row>
    <row r="1455" spans="1:24" ht="15.75" hidden="1">
      <c r="A1455" s="343"/>
      <c r="B1455" s="344"/>
      <c r="C1455" s="275"/>
      <c r="D1455" s="275"/>
      <c r="E1455" s="275"/>
      <c r="F1455" s="275"/>
      <c r="G1455" s="275"/>
      <c r="H1455" s="275"/>
      <c r="I1455" s="275"/>
      <c r="J1455" s="275"/>
      <c r="K1455" s="275"/>
      <c r="L1455" s="275"/>
      <c r="M1455" s="275"/>
      <c r="N1455" s="275"/>
      <c r="O1455" s="276"/>
      <c r="P1455" s="276"/>
      <c r="Q1455" s="247">
        <f t="shared" si="28"/>
        <v>0</v>
      </c>
      <c r="R1455" s="229"/>
      <c r="S1455" s="229"/>
      <c r="T1455" s="229"/>
      <c r="U1455" s="229"/>
      <c r="V1455" s="229"/>
      <c r="W1455" s="229"/>
      <c r="X1455" s="229"/>
    </row>
    <row r="1456" spans="1:24" ht="15.75" hidden="1">
      <c r="A1456" s="343"/>
      <c r="B1456" s="344"/>
      <c r="C1456" s="275"/>
      <c r="D1456" s="275"/>
      <c r="E1456" s="275"/>
      <c r="F1456" s="275"/>
      <c r="G1456" s="275"/>
      <c r="H1456" s="275"/>
      <c r="I1456" s="275"/>
      <c r="J1456" s="275"/>
      <c r="K1456" s="275"/>
      <c r="L1456" s="275"/>
      <c r="M1456" s="275"/>
      <c r="N1456" s="275"/>
      <c r="O1456" s="276"/>
      <c r="P1456" s="276"/>
      <c r="Q1456" s="247">
        <f t="shared" si="28"/>
        <v>0</v>
      </c>
      <c r="R1456" s="229"/>
      <c r="S1456" s="229"/>
      <c r="T1456" s="229"/>
      <c r="U1456" s="229"/>
      <c r="V1456" s="229"/>
      <c r="W1456" s="229"/>
      <c r="X1456" s="229"/>
    </row>
    <row r="1457" spans="1:24" ht="15.75" hidden="1">
      <c r="A1457" s="343"/>
      <c r="B1457" s="344"/>
      <c r="C1457" s="275"/>
      <c r="D1457" s="275"/>
      <c r="E1457" s="275"/>
      <c r="F1457" s="275"/>
      <c r="G1457" s="275"/>
      <c r="H1457" s="275"/>
      <c r="I1457" s="275"/>
      <c r="J1457" s="275"/>
      <c r="K1457" s="275"/>
      <c r="L1457" s="275"/>
      <c r="M1457" s="275"/>
      <c r="N1457" s="275"/>
      <c r="O1457" s="276"/>
      <c r="P1457" s="276"/>
      <c r="Q1457" s="247">
        <f t="shared" si="28"/>
        <v>0</v>
      </c>
      <c r="R1457" s="229"/>
      <c r="S1457" s="229"/>
      <c r="T1457" s="229"/>
      <c r="U1457" s="229"/>
      <c r="V1457" s="229"/>
      <c r="W1457" s="229"/>
      <c r="X1457" s="229"/>
    </row>
    <row r="1458" spans="1:24" ht="15.75" hidden="1">
      <c r="A1458" s="343"/>
      <c r="B1458" s="344"/>
      <c r="C1458" s="275"/>
      <c r="D1458" s="275"/>
      <c r="E1458" s="275"/>
      <c r="F1458" s="275"/>
      <c r="G1458" s="275"/>
      <c r="H1458" s="275"/>
      <c r="I1458" s="275"/>
      <c r="J1458" s="275"/>
      <c r="K1458" s="275"/>
      <c r="L1458" s="275"/>
      <c r="M1458" s="275"/>
      <c r="N1458" s="275"/>
      <c r="O1458" s="276"/>
      <c r="P1458" s="276"/>
      <c r="Q1458" s="247">
        <f t="shared" si="28"/>
        <v>0</v>
      </c>
      <c r="R1458" s="229"/>
      <c r="S1458" s="229"/>
      <c r="T1458" s="229"/>
      <c r="U1458" s="229"/>
      <c r="V1458" s="229"/>
      <c r="W1458" s="229"/>
      <c r="X1458" s="229"/>
    </row>
    <row r="1459" spans="1:24" ht="15.75" hidden="1">
      <c r="A1459" s="343"/>
      <c r="B1459" s="344"/>
      <c r="C1459" s="275"/>
      <c r="D1459" s="275"/>
      <c r="E1459" s="275"/>
      <c r="F1459" s="275"/>
      <c r="G1459" s="275"/>
      <c r="H1459" s="275"/>
      <c r="I1459" s="275"/>
      <c r="J1459" s="275"/>
      <c r="K1459" s="275"/>
      <c r="L1459" s="275"/>
      <c r="M1459" s="275"/>
      <c r="N1459" s="275"/>
      <c r="O1459" s="276"/>
      <c r="P1459" s="276"/>
      <c r="Q1459" s="247">
        <f t="shared" si="28"/>
        <v>0</v>
      </c>
      <c r="R1459" s="229"/>
      <c r="S1459" s="229"/>
      <c r="T1459" s="229"/>
      <c r="U1459" s="229"/>
      <c r="V1459" s="229"/>
      <c r="W1459" s="229"/>
      <c r="X1459" s="229"/>
    </row>
    <row r="1460" spans="1:24" ht="15.75" hidden="1">
      <c r="A1460" s="343"/>
      <c r="B1460" s="344"/>
      <c r="C1460" s="275"/>
      <c r="D1460" s="275"/>
      <c r="E1460" s="275"/>
      <c r="F1460" s="275"/>
      <c r="G1460" s="275"/>
      <c r="H1460" s="275"/>
      <c r="I1460" s="275"/>
      <c r="J1460" s="275"/>
      <c r="K1460" s="275"/>
      <c r="L1460" s="275"/>
      <c r="M1460" s="275"/>
      <c r="N1460" s="275"/>
      <c r="O1460" s="276"/>
      <c r="P1460" s="276"/>
      <c r="Q1460" s="247">
        <f t="shared" si="28"/>
        <v>0</v>
      </c>
      <c r="R1460" s="229"/>
      <c r="S1460" s="229"/>
      <c r="T1460" s="229"/>
      <c r="U1460" s="229"/>
      <c r="V1460" s="229"/>
      <c r="W1460" s="229"/>
      <c r="X1460" s="229"/>
    </row>
    <row r="1461" spans="1:24" ht="15.75" hidden="1">
      <c r="A1461" s="343"/>
      <c r="B1461" s="344"/>
      <c r="C1461" s="275"/>
      <c r="D1461" s="275"/>
      <c r="E1461" s="275"/>
      <c r="F1461" s="275"/>
      <c r="G1461" s="275"/>
      <c r="H1461" s="275"/>
      <c r="I1461" s="275"/>
      <c r="J1461" s="275"/>
      <c r="K1461" s="275"/>
      <c r="L1461" s="275"/>
      <c r="M1461" s="275"/>
      <c r="N1461" s="275"/>
      <c r="O1461" s="276"/>
      <c r="P1461" s="276"/>
      <c r="Q1461" s="247">
        <f t="shared" si="28"/>
        <v>0</v>
      </c>
      <c r="R1461" s="229"/>
      <c r="S1461" s="229"/>
      <c r="T1461" s="229"/>
      <c r="U1461" s="229"/>
      <c r="V1461" s="229"/>
      <c r="W1461" s="229"/>
      <c r="X1461" s="229"/>
    </row>
    <row r="1462" spans="1:24" ht="15.75" hidden="1">
      <c r="A1462" s="343"/>
      <c r="B1462" s="344"/>
      <c r="C1462" s="275"/>
      <c r="D1462" s="275"/>
      <c r="E1462" s="275"/>
      <c r="F1462" s="275"/>
      <c r="G1462" s="275"/>
      <c r="H1462" s="275"/>
      <c r="I1462" s="275"/>
      <c r="J1462" s="275"/>
      <c r="K1462" s="275"/>
      <c r="L1462" s="275"/>
      <c r="M1462" s="275"/>
      <c r="N1462" s="275"/>
      <c r="O1462" s="276"/>
      <c r="P1462" s="276"/>
      <c r="Q1462" s="247">
        <f t="shared" si="28"/>
        <v>0</v>
      </c>
      <c r="R1462" s="229"/>
      <c r="S1462" s="229"/>
      <c r="T1462" s="229"/>
      <c r="U1462" s="229"/>
      <c r="V1462" s="229"/>
      <c r="W1462" s="229"/>
      <c r="X1462" s="229"/>
    </row>
    <row r="1463" spans="1:24" ht="15.75" hidden="1">
      <c r="A1463" s="343"/>
      <c r="B1463" s="344"/>
      <c r="C1463" s="275"/>
      <c r="D1463" s="275"/>
      <c r="E1463" s="275"/>
      <c r="F1463" s="275"/>
      <c r="G1463" s="275"/>
      <c r="H1463" s="275"/>
      <c r="I1463" s="275"/>
      <c r="J1463" s="275"/>
      <c r="K1463" s="275"/>
      <c r="L1463" s="275"/>
      <c r="M1463" s="275"/>
      <c r="N1463" s="275"/>
      <c r="O1463" s="276"/>
      <c r="P1463" s="276"/>
      <c r="Q1463" s="247">
        <f t="shared" si="28"/>
        <v>0</v>
      </c>
      <c r="R1463" s="229"/>
      <c r="S1463" s="229"/>
      <c r="T1463" s="229"/>
      <c r="U1463" s="229"/>
      <c r="V1463" s="229"/>
      <c r="W1463" s="229"/>
      <c r="X1463" s="229"/>
    </row>
    <row r="1464" spans="1:24" ht="15.75" hidden="1">
      <c r="A1464" s="343"/>
      <c r="B1464" s="344"/>
      <c r="C1464" s="275"/>
      <c r="D1464" s="275"/>
      <c r="E1464" s="275"/>
      <c r="F1464" s="275"/>
      <c r="G1464" s="275"/>
      <c r="H1464" s="275"/>
      <c r="I1464" s="275"/>
      <c r="J1464" s="275"/>
      <c r="K1464" s="275"/>
      <c r="L1464" s="275"/>
      <c r="M1464" s="275"/>
      <c r="N1464" s="275"/>
      <c r="O1464" s="276"/>
      <c r="P1464" s="276"/>
      <c r="Q1464" s="247">
        <f t="shared" si="28"/>
        <v>0</v>
      </c>
      <c r="R1464" s="229"/>
      <c r="S1464" s="229"/>
      <c r="T1464" s="229"/>
      <c r="U1464" s="229"/>
      <c r="V1464" s="229"/>
      <c r="W1464" s="229"/>
      <c r="X1464" s="229"/>
    </row>
    <row r="1465" spans="1:24" ht="15.75" hidden="1">
      <c r="A1465" s="343"/>
      <c r="B1465" s="344"/>
      <c r="C1465" s="275"/>
      <c r="D1465" s="275"/>
      <c r="E1465" s="275"/>
      <c r="F1465" s="275"/>
      <c r="G1465" s="275"/>
      <c r="H1465" s="275"/>
      <c r="I1465" s="275"/>
      <c r="J1465" s="275"/>
      <c r="K1465" s="275"/>
      <c r="L1465" s="275"/>
      <c r="M1465" s="275"/>
      <c r="N1465" s="275"/>
      <c r="O1465" s="276"/>
      <c r="P1465" s="276"/>
      <c r="Q1465" s="247">
        <f t="shared" si="28"/>
        <v>0</v>
      </c>
      <c r="R1465" s="229"/>
      <c r="S1465" s="229"/>
      <c r="T1465" s="229"/>
      <c r="U1465" s="229"/>
      <c r="V1465" s="229"/>
      <c r="W1465" s="229"/>
      <c r="X1465" s="229"/>
    </row>
    <row r="1466" spans="1:24" ht="15.75" hidden="1">
      <c r="A1466" s="343"/>
      <c r="B1466" s="344"/>
      <c r="C1466" s="275"/>
      <c r="D1466" s="275"/>
      <c r="E1466" s="275"/>
      <c r="F1466" s="275"/>
      <c r="G1466" s="275"/>
      <c r="H1466" s="275"/>
      <c r="I1466" s="275"/>
      <c r="J1466" s="275"/>
      <c r="K1466" s="275"/>
      <c r="L1466" s="275"/>
      <c r="M1466" s="275"/>
      <c r="N1466" s="275"/>
      <c r="O1466" s="276"/>
      <c r="P1466" s="276"/>
      <c r="Q1466" s="247">
        <f t="shared" si="28"/>
        <v>0</v>
      </c>
      <c r="R1466" s="229"/>
      <c r="S1466" s="229"/>
      <c r="T1466" s="229"/>
      <c r="U1466" s="229"/>
      <c r="V1466" s="229"/>
      <c r="W1466" s="229"/>
      <c r="X1466" s="229"/>
    </row>
    <row r="1467" spans="1:24" ht="15.75" hidden="1">
      <c r="A1467" s="343"/>
      <c r="B1467" s="344"/>
      <c r="C1467" s="275"/>
      <c r="D1467" s="275"/>
      <c r="E1467" s="275"/>
      <c r="F1467" s="275"/>
      <c r="G1467" s="275"/>
      <c r="H1467" s="275"/>
      <c r="I1467" s="275"/>
      <c r="J1467" s="275"/>
      <c r="K1467" s="275"/>
      <c r="L1467" s="275"/>
      <c r="M1467" s="275"/>
      <c r="N1467" s="275"/>
      <c r="O1467" s="276"/>
      <c r="P1467" s="276"/>
      <c r="Q1467" s="247">
        <f t="shared" si="28"/>
        <v>0</v>
      </c>
      <c r="R1467" s="229"/>
      <c r="S1467" s="229"/>
      <c r="T1467" s="229"/>
      <c r="U1467" s="229"/>
      <c r="V1467" s="229"/>
      <c r="W1467" s="229"/>
      <c r="X1467" s="229"/>
    </row>
    <row r="1468" spans="1:24" ht="15.75" hidden="1">
      <c r="A1468" s="343"/>
      <c r="B1468" s="344"/>
      <c r="C1468" s="275"/>
      <c r="D1468" s="275"/>
      <c r="E1468" s="275"/>
      <c r="F1468" s="275"/>
      <c r="G1468" s="275"/>
      <c r="H1468" s="275"/>
      <c r="I1468" s="275"/>
      <c r="J1468" s="275"/>
      <c r="K1468" s="275"/>
      <c r="L1468" s="275"/>
      <c r="M1468" s="275"/>
      <c r="N1468" s="275"/>
      <c r="O1468" s="276"/>
      <c r="P1468" s="276"/>
      <c r="Q1468" s="247">
        <f t="shared" si="28"/>
        <v>0</v>
      </c>
      <c r="R1468" s="229"/>
      <c r="S1468" s="229"/>
      <c r="T1468" s="229"/>
      <c r="U1468" s="229"/>
      <c r="V1468" s="229"/>
      <c r="W1468" s="229"/>
      <c r="X1468" s="229"/>
    </row>
    <row r="1469" spans="1:24" ht="15.75" hidden="1">
      <c r="A1469" s="343"/>
      <c r="B1469" s="344"/>
      <c r="C1469" s="275"/>
      <c r="D1469" s="275"/>
      <c r="E1469" s="275"/>
      <c r="F1469" s="275"/>
      <c r="G1469" s="275"/>
      <c r="H1469" s="275"/>
      <c r="I1469" s="275"/>
      <c r="J1469" s="275"/>
      <c r="K1469" s="275"/>
      <c r="L1469" s="275"/>
      <c r="M1469" s="275"/>
      <c r="N1469" s="275"/>
      <c r="O1469" s="276"/>
      <c r="P1469" s="276"/>
      <c r="Q1469" s="247">
        <f t="shared" si="28"/>
        <v>0</v>
      </c>
      <c r="R1469" s="229"/>
      <c r="S1469" s="229"/>
      <c r="T1469" s="229"/>
      <c r="U1469" s="229"/>
      <c r="V1469" s="229"/>
      <c r="W1469" s="229"/>
      <c r="X1469" s="229"/>
    </row>
    <row r="1470" spans="1:24" ht="15.75" hidden="1">
      <c r="A1470" s="343"/>
      <c r="B1470" s="344"/>
      <c r="C1470" s="275"/>
      <c r="D1470" s="275"/>
      <c r="E1470" s="275"/>
      <c r="F1470" s="275"/>
      <c r="G1470" s="275"/>
      <c r="H1470" s="275"/>
      <c r="I1470" s="275"/>
      <c r="J1470" s="275"/>
      <c r="K1470" s="275"/>
      <c r="L1470" s="275"/>
      <c r="M1470" s="275"/>
      <c r="N1470" s="275"/>
      <c r="O1470" s="276"/>
      <c r="P1470" s="276"/>
      <c r="Q1470" s="247">
        <f t="shared" si="28"/>
        <v>0</v>
      </c>
      <c r="R1470" s="229"/>
      <c r="S1470" s="229"/>
      <c r="T1470" s="229"/>
      <c r="U1470" s="229"/>
      <c r="V1470" s="229"/>
      <c r="W1470" s="229"/>
      <c r="X1470" s="229"/>
    </row>
    <row r="1471" spans="1:24" ht="15.75" hidden="1">
      <c r="A1471" s="343"/>
      <c r="B1471" s="344"/>
      <c r="C1471" s="275"/>
      <c r="D1471" s="275"/>
      <c r="E1471" s="275"/>
      <c r="F1471" s="275"/>
      <c r="G1471" s="275"/>
      <c r="H1471" s="275"/>
      <c r="I1471" s="275"/>
      <c r="J1471" s="275"/>
      <c r="K1471" s="275"/>
      <c r="L1471" s="275"/>
      <c r="M1471" s="275"/>
      <c r="N1471" s="275"/>
      <c r="O1471" s="276"/>
      <c r="P1471" s="276"/>
      <c r="Q1471" s="247">
        <f t="shared" si="28"/>
        <v>0</v>
      </c>
      <c r="R1471" s="229"/>
      <c r="S1471" s="229"/>
      <c r="T1471" s="229"/>
      <c r="U1471" s="229"/>
      <c r="V1471" s="229"/>
      <c r="W1471" s="229"/>
      <c r="X1471" s="229"/>
    </row>
    <row r="1472" spans="1:24" ht="15.75" hidden="1">
      <c r="A1472" s="343"/>
      <c r="B1472" s="344"/>
      <c r="C1472" s="275"/>
      <c r="D1472" s="275"/>
      <c r="E1472" s="275"/>
      <c r="F1472" s="275"/>
      <c r="G1472" s="275"/>
      <c r="H1472" s="275"/>
      <c r="I1472" s="275"/>
      <c r="J1472" s="275"/>
      <c r="K1472" s="275"/>
      <c r="L1472" s="275"/>
      <c r="M1472" s="275"/>
      <c r="N1472" s="275"/>
      <c r="O1472" s="276"/>
      <c r="P1472" s="276"/>
      <c r="Q1472" s="247">
        <f t="shared" si="28"/>
        <v>0</v>
      </c>
      <c r="R1472" s="229"/>
      <c r="S1472" s="229"/>
      <c r="T1472" s="229"/>
      <c r="U1472" s="229"/>
      <c r="V1472" s="229"/>
      <c r="W1472" s="229"/>
      <c r="X1472" s="229"/>
    </row>
    <row r="1473" spans="1:24" ht="15.75" hidden="1">
      <c r="A1473" s="343"/>
      <c r="B1473" s="344"/>
      <c r="C1473" s="275"/>
      <c r="D1473" s="275"/>
      <c r="E1473" s="275"/>
      <c r="F1473" s="275"/>
      <c r="G1473" s="275"/>
      <c r="H1473" s="275"/>
      <c r="I1473" s="275"/>
      <c r="J1473" s="275"/>
      <c r="K1473" s="275"/>
      <c r="L1473" s="275"/>
      <c r="M1473" s="275"/>
      <c r="N1473" s="275"/>
      <c r="O1473" s="276"/>
      <c r="P1473" s="276"/>
      <c r="Q1473" s="247">
        <f t="shared" si="28"/>
        <v>0</v>
      </c>
      <c r="R1473" s="229"/>
      <c r="S1473" s="229"/>
      <c r="T1473" s="229"/>
      <c r="U1473" s="229"/>
      <c r="V1473" s="229"/>
      <c r="W1473" s="229"/>
      <c r="X1473" s="229"/>
    </row>
    <row r="1474" spans="1:24" ht="15.75" hidden="1">
      <c r="A1474" s="343"/>
      <c r="B1474" s="344"/>
      <c r="C1474" s="275"/>
      <c r="D1474" s="275"/>
      <c r="E1474" s="275"/>
      <c r="F1474" s="275"/>
      <c r="G1474" s="275"/>
      <c r="H1474" s="275"/>
      <c r="I1474" s="275"/>
      <c r="J1474" s="275"/>
      <c r="K1474" s="275"/>
      <c r="L1474" s="275"/>
      <c r="M1474" s="275"/>
      <c r="N1474" s="275"/>
      <c r="O1474" s="276"/>
      <c r="P1474" s="276"/>
      <c r="Q1474" s="247">
        <f t="shared" si="28"/>
        <v>0</v>
      </c>
      <c r="R1474" s="229"/>
      <c r="S1474" s="229"/>
      <c r="T1474" s="229"/>
      <c r="U1474" s="229"/>
      <c r="V1474" s="229"/>
      <c r="W1474" s="229"/>
      <c r="X1474" s="229"/>
    </row>
    <row r="1475" spans="1:24" ht="15.75" hidden="1">
      <c r="A1475" s="343"/>
      <c r="B1475" s="344"/>
      <c r="C1475" s="275"/>
      <c r="D1475" s="275"/>
      <c r="E1475" s="275"/>
      <c r="F1475" s="275"/>
      <c r="G1475" s="275"/>
      <c r="H1475" s="275"/>
      <c r="I1475" s="275"/>
      <c r="J1475" s="275"/>
      <c r="K1475" s="275"/>
      <c r="L1475" s="275"/>
      <c r="M1475" s="275"/>
      <c r="N1475" s="275"/>
      <c r="O1475" s="276"/>
      <c r="P1475" s="276"/>
      <c r="Q1475" s="247">
        <f t="shared" si="28"/>
        <v>0</v>
      </c>
      <c r="R1475" s="229"/>
      <c r="S1475" s="229"/>
      <c r="T1475" s="229"/>
      <c r="U1475" s="229"/>
      <c r="V1475" s="229"/>
      <c r="W1475" s="229"/>
      <c r="X1475" s="229"/>
    </row>
    <row r="1476" spans="1:24" ht="15.75" hidden="1">
      <c r="A1476" s="343"/>
      <c r="B1476" s="344"/>
      <c r="C1476" s="275"/>
      <c r="D1476" s="275"/>
      <c r="E1476" s="275"/>
      <c r="F1476" s="275"/>
      <c r="G1476" s="275"/>
      <c r="H1476" s="275"/>
      <c r="I1476" s="275"/>
      <c r="J1476" s="275"/>
      <c r="K1476" s="275"/>
      <c r="L1476" s="275"/>
      <c r="M1476" s="275"/>
      <c r="N1476" s="275"/>
      <c r="O1476" s="276"/>
      <c r="P1476" s="276"/>
      <c r="Q1476" s="247">
        <f t="shared" si="28"/>
        <v>0</v>
      </c>
      <c r="R1476" s="229"/>
      <c r="S1476" s="229"/>
      <c r="T1476" s="229"/>
      <c r="U1476" s="229"/>
      <c r="V1476" s="229"/>
      <c r="W1476" s="229"/>
      <c r="X1476" s="229"/>
    </row>
    <row r="1477" spans="1:24" ht="15.75" hidden="1">
      <c r="A1477" s="343"/>
      <c r="B1477" s="344"/>
      <c r="C1477" s="275"/>
      <c r="D1477" s="275"/>
      <c r="E1477" s="275"/>
      <c r="F1477" s="275"/>
      <c r="G1477" s="275"/>
      <c r="H1477" s="275"/>
      <c r="I1477" s="275"/>
      <c r="J1477" s="275"/>
      <c r="K1477" s="275"/>
      <c r="L1477" s="275"/>
      <c r="M1477" s="275"/>
      <c r="N1477" s="275"/>
      <c r="O1477" s="276"/>
      <c r="P1477" s="276"/>
      <c r="Q1477" s="247">
        <f t="shared" si="28"/>
        <v>0</v>
      </c>
      <c r="R1477" s="229"/>
      <c r="S1477" s="229"/>
      <c r="T1477" s="229"/>
      <c r="U1477" s="229"/>
      <c r="V1477" s="229"/>
      <c r="W1477" s="229"/>
      <c r="X1477" s="229"/>
    </row>
    <row r="1478" spans="1:24" ht="15.75" hidden="1">
      <c r="A1478" s="343"/>
      <c r="B1478" s="344"/>
      <c r="C1478" s="275"/>
      <c r="D1478" s="275"/>
      <c r="E1478" s="275"/>
      <c r="F1478" s="275"/>
      <c r="G1478" s="275"/>
      <c r="H1478" s="275"/>
      <c r="I1478" s="275"/>
      <c r="J1478" s="275"/>
      <c r="K1478" s="275"/>
      <c r="L1478" s="275"/>
      <c r="M1478" s="275"/>
      <c r="N1478" s="275"/>
      <c r="O1478" s="276"/>
      <c r="P1478" s="276"/>
      <c r="Q1478" s="247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9"/>
      <c r="S1478" s="229"/>
      <c r="T1478" s="229"/>
      <c r="U1478" s="229"/>
      <c r="V1478" s="229"/>
      <c r="W1478" s="229"/>
      <c r="X1478" s="229"/>
    </row>
    <row r="1479" spans="1:24" ht="15.75" hidden="1">
      <c r="A1479" s="343"/>
      <c r="B1479" s="344"/>
      <c r="C1479" s="275"/>
      <c r="D1479" s="275"/>
      <c r="E1479" s="275"/>
      <c r="F1479" s="275"/>
      <c r="G1479" s="275"/>
      <c r="H1479" s="275"/>
      <c r="I1479" s="275"/>
      <c r="J1479" s="275"/>
      <c r="K1479" s="275"/>
      <c r="L1479" s="275"/>
      <c r="M1479" s="275"/>
      <c r="N1479" s="275"/>
      <c r="O1479" s="276"/>
      <c r="P1479" s="276"/>
      <c r="Q1479" s="247">
        <f t="shared" si="29"/>
        <v>0</v>
      </c>
      <c r="R1479" s="229"/>
      <c r="S1479" s="229"/>
      <c r="T1479" s="229"/>
      <c r="U1479" s="229"/>
      <c r="V1479" s="229"/>
      <c r="W1479" s="229"/>
      <c r="X1479" s="229"/>
    </row>
    <row r="1480" spans="1:24" ht="15.75" hidden="1">
      <c r="A1480" s="343"/>
      <c r="B1480" s="344"/>
      <c r="C1480" s="275"/>
      <c r="D1480" s="275"/>
      <c r="E1480" s="275"/>
      <c r="F1480" s="275"/>
      <c r="G1480" s="275"/>
      <c r="H1480" s="275"/>
      <c r="I1480" s="275"/>
      <c r="J1480" s="275"/>
      <c r="K1480" s="275"/>
      <c r="L1480" s="275"/>
      <c r="M1480" s="275"/>
      <c r="N1480" s="275"/>
      <c r="O1480" s="276"/>
      <c r="P1480" s="276"/>
      <c r="Q1480" s="247">
        <f t="shared" si="29"/>
        <v>0</v>
      </c>
      <c r="R1480" s="229"/>
      <c r="S1480" s="229"/>
      <c r="T1480" s="229"/>
      <c r="U1480" s="229"/>
      <c r="V1480" s="229"/>
      <c r="W1480" s="229"/>
      <c r="X1480" s="229"/>
    </row>
    <row r="1481" spans="1:24" ht="15.75" hidden="1">
      <c r="A1481" s="343"/>
      <c r="B1481" s="344"/>
      <c r="C1481" s="275"/>
      <c r="D1481" s="275"/>
      <c r="E1481" s="275"/>
      <c r="F1481" s="275"/>
      <c r="G1481" s="275"/>
      <c r="H1481" s="275"/>
      <c r="I1481" s="275"/>
      <c r="J1481" s="275"/>
      <c r="K1481" s="275"/>
      <c r="L1481" s="275"/>
      <c r="M1481" s="275"/>
      <c r="N1481" s="275"/>
      <c r="O1481" s="276"/>
      <c r="P1481" s="276"/>
      <c r="Q1481" s="247">
        <f t="shared" si="29"/>
        <v>0</v>
      </c>
      <c r="R1481" s="229"/>
      <c r="S1481" s="229"/>
      <c r="T1481" s="229"/>
      <c r="U1481" s="229"/>
      <c r="V1481" s="229"/>
      <c r="W1481" s="229"/>
      <c r="X1481" s="229"/>
    </row>
    <row r="1482" spans="1:24" ht="15.75" hidden="1">
      <c r="A1482" s="343"/>
      <c r="B1482" s="344"/>
      <c r="C1482" s="275"/>
      <c r="D1482" s="275"/>
      <c r="E1482" s="275"/>
      <c r="F1482" s="275"/>
      <c r="G1482" s="275"/>
      <c r="H1482" s="275"/>
      <c r="I1482" s="275"/>
      <c r="J1482" s="275"/>
      <c r="K1482" s="275"/>
      <c r="L1482" s="275"/>
      <c r="M1482" s="275"/>
      <c r="N1482" s="275"/>
      <c r="O1482" s="276"/>
      <c r="P1482" s="276"/>
      <c r="Q1482" s="247">
        <f t="shared" si="29"/>
        <v>0</v>
      </c>
      <c r="R1482" s="229"/>
      <c r="S1482" s="229"/>
      <c r="T1482" s="229"/>
      <c r="U1482" s="229"/>
      <c r="V1482" s="229"/>
      <c r="W1482" s="229"/>
      <c r="X1482" s="229"/>
    </row>
    <row r="1483" spans="1:24" ht="15.75" hidden="1">
      <c r="A1483" s="343"/>
      <c r="B1483" s="344"/>
      <c r="C1483" s="275"/>
      <c r="D1483" s="275"/>
      <c r="E1483" s="275"/>
      <c r="F1483" s="275"/>
      <c r="G1483" s="275"/>
      <c r="H1483" s="275"/>
      <c r="I1483" s="275"/>
      <c r="J1483" s="275"/>
      <c r="K1483" s="275"/>
      <c r="L1483" s="275"/>
      <c r="M1483" s="275"/>
      <c r="N1483" s="275"/>
      <c r="O1483" s="276"/>
      <c r="P1483" s="276"/>
      <c r="Q1483" s="247">
        <f t="shared" si="29"/>
        <v>0</v>
      </c>
      <c r="R1483" s="229"/>
      <c r="S1483" s="229"/>
      <c r="T1483" s="229"/>
      <c r="U1483" s="229"/>
      <c r="V1483" s="229"/>
      <c r="W1483" s="229"/>
      <c r="X1483" s="229"/>
    </row>
    <row r="1484" spans="1:24" ht="15.75" hidden="1">
      <c r="A1484" s="343"/>
      <c r="B1484" s="344"/>
      <c r="C1484" s="275"/>
      <c r="D1484" s="275"/>
      <c r="E1484" s="275"/>
      <c r="F1484" s="275"/>
      <c r="G1484" s="275"/>
      <c r="H1484" s="275"/>
      <c r="I1484" s="275"/>
      <c r="J1484" s="275"/>
      <c r="K1484" s="275"/>
      <c r="L1484" s="275"/>
      <c r="M1484" s="275"/>
      <c r="N1484" s="275"/>
      <c r="O1484" s="276"/>
      <c r="P1484" s="276"/>
      <c r="Q1484" s="247">
        <f t="shared" si="29"/>
        <v>0</v>
      </c>
      <c r="R1484" s="229"/>
      <c r="S1484" s="229"/>
      <c r="T1484" s="229"/>
      <c r="U1484" s="229"/>
      <c r="V1484" s="229"/>
      <c r="W1484" s="229"/>
      <c r="X1484" s="229"/>
    </row>
    <row r="1485" spans="1:24" ht="15.75" hidden="1">
      <c r="A1485" s="343"/>
      <c r="B1485" s="344"/>
      <c r="C1485" s="275"/>
      <c r="D1485" s="275"/>
      <c r="E1485" s="275"/>
      <c r="F1485" s="275"/>
      <c r="G1485" s="275"/>
      <c r="H1485" s="275"/>
      <c r="I1485" s="275"/>
      <c r="J1485" s="275"/>
      <c r="K1485" s="275"/>
      <c r="L1485" s="275"/>
      <c r="M1485" s="275"/>
      <c r="N1485" s="275"/>
      <c r="O1485" s="276"/>
      <c r="P1485" s="276"/>
      <c r="Q1485" s="247">
        <f t="shared" si="29"/>
        <v>0</v>
      </c>
      <c r="R1485" s="229"/>
      <c r="S1485" s="229"/>
      <c r="T1485" s="229"/>
      <c r="U1485" s="229"/>
      <c r="V1485" s="229"/>
      <c r="W1485" s="229"/>
      <c r="X1485" s="229"/>
    </row>
    <row r="1486" spans="1:24" ht="15.75" hidden="1">
      <c r="A1486" s="343"/>
      <c r="B1486" s="344"/>
      <c r="C1486" s="275"/>
      <c r="D1486" s="275"/>
      <c r="E1486" s="275"/>
      <c r="F1486" s="275"/>
      <c r="G1486" s="275"/>
      <c r="H1486" s="275"/>
      <c r="I1486" s="275"/>
      <c r="J1486" s="275"/>
      <c r="K1486" s="275"/>
      <c r="L1486" s="275"/>
      <c r="M1486" s="275"/>
      <c r="N1486" s="275"/>
      <c r="O1486" s="276"/>
      <c r="P1486" s="276"/>
      <c r="Q1486" s="247">
        <f t="shared" si="29"/>
        <v>0</v>
      </c>
      <c r="R1486" s="229"/>
      <c r="S1486" s="229"/>
      <c r="T1486" s="229"/>
      <c r="U1486" s="229"/>
      <c r="V1486" s="229"/>
      <c r="W1486" s="229"/>
      <c r="X1486" s="229"/>
    </row>
    <row r="1487" spans="1:24" ht="15.75" hidden="1">
      <c r="A1487" s="343"/>
      <c r="B1487" s="344"/>
      <c r="C1487" s="275"/>
      <c r="D1487" s="275"/>
      <c r="E1487" s="275"/>
      <c r="F1487" s="275"/>
      <c r="G1487" s="275"/>
      <c r="H1487" s="275"/>
      <c r="I1487" s="275"/>
      <c r="J1487" s="275"/>
      <c r="K1487" s="275"/>
      <c r="L1487" s="275"/>
      <c r="M1487" s="275"/>
      <c r="N1487" s="275"/>
      <c r="O1487" s="276"/>
      <c r="P1487" s="276"/>
      <c r="Q1487" s="247">
        <f t="shared" si="29"/>
        <v>0</v>
      </c>
      <c r="R1487" s="229"/>
      <c r="S1487" s="229"/>
      <c r="T1487" s="229"/>
      <c r="U1487" s="229"/>
      <c r="V1487" s="229"/>
      <c r="W1487" s="229"/>
      <c r="X1487" s="229"/>
    </row>
    <row r="1488" spans="1:24" ht="15.75" hidden="1">
      <c r="A1488" s="343"/>
      <c r="B1488" s="344"/>
      <c r="C1488" s="275"/>
      <c r="D1488" s="275"/>
      <c r="E1488" s="275"/>
      <c r="F1488" s="275"/>
      <c r="G1488" s="275"/>
      <c r="H1488" s="275"/>
      <c r="I1488" s="275"/>
      <c r="J1488" s="275"/>
      <c r="K1488" s="275"/>
      <c r="L1488" s="275"/>
      <c r="M1488" s="275"/>
      <c r="N1488" s="275"/>
      <c r="O1488" s="276"/>
      <c r="P1488" s="276"/>
      <c r="Q1488" s="247">
        <f t="shared" si="29"/>
        <v>0</v>
      </c>
      <c r="R1488" s="229"/>
      <c r="S1488" s="229"/>
      <c r="T1488" s="229"/>
      <c r="U1488" s="229"/>
      <c r="V1488" s="229"/>
      <c r="W1488" s="229"/>
      <c r="X1488" s="229"/>
    </row>
    <row r="1489" spans="1:24" ht="15.75" hidden="1">
      <c r="A1489" s="343"/>
      <c r="B1489" s="344"/>
      <c r="C1489" s="275"/>
      <c r="D1489" s="275"/>
      <c r="E1489" s="275"/>
      <c r="F1489" s="275"/>
      <c r="G1489" s="275"/>
      <c r="H1489" s="275"/>
      <c r="I1489" s="275"/>
      <c r="J1489" s="275"/>
      <c r="K1489" s="275"/>
      <c r="L1489" s="275"/>
      <c r="M1489" s="275"/>
      <c r="N1489" s="275"/>
      <c r="O1489" s="276"/>
      <c r="P1489" s="276"/>
      <c r="Q1489" s="247">
        <f t="shared" si="29"/>
        <v>0</v>
      </c>
      <c r="R1489" s="229"/>
      <c r="S1489" s="229"/>
      <c r="T1489" s="229"/>
      <c r="U1489" s="229"/>
      <c r="V1489" s="229"/>
      <c r="W1489" s="229"/>
      <c r="X1489" s="229"/>
    </row>
    <row r="1490" spans="1:24" ht="15.75" hidden="1">
      <c r="A1490" s="343"/>
      <c r="B1490" s="344"/>
      <c r="C1490" s="275"/>
      <c r="D1490" s="275"/>
      <c r="E1490" s="275"/>
      <c r="F1490" s="275"/>
      <c r="G1490" s="275"/>
      <c r="H1490" s="275"/>
      <c r="I1490" s="275"/>
      <c r="J1490" s="275"/>
      <c r="K1490" s="275"/>
      <c r="L1490" s="275"/>
      <c r="M1490" s="275"/>
      <c r="N1490" s="275"/>
      <c r="O1490" s="276"/>
      <c r="P1490" s="276"/>
      <c r="Q1490" s="247">
        <f t="shared" si="29"/>
        <v>0</v>
      </c>
      <c r="R1490" s="229"/>
      <c r="S1490" s="229"/>
      <c r="T1490" s="229"/>
      <c r="U1490" s="229"/>
      <c r="V1490" s="229"/>
      <c r="W1490" s="229"/>
      <c r="X1490" s="229"/>
    </row>
    <row r="1491" spans="1:24" ht="15.75" hidden="1">
      <c r="A1491" s="343"/>
      <c r="B1491" s="344"/>
      <c r="C1491" s="275"/>
      <c r="D1491" s="275"/>
      <c r="E1491" s="275"/>
      <c r="F1491" s="275"/>
      <c r="G1491" s="275"/>
      <c r="H1491" s="275"/>
      <c r="I1491" s="275"/>
      <c r="J1491" s="275"/>
      <c r="K1491" s="275"/>
      <c r="L1491" s="275"/>
      <c r="M1491" s="275"/>
      <c r="N1491" s="275"/>
      <c r="O1491" s="276"/>
      <c r="P1491" s="276"/>
      <c r="Q1491" s="247">
        <f t="shared" si="29"/>
        <v>0</v>
      </c>
      <c r="R1491" s="229"/>
      <c r="S1491" s="229"/>
      <c r="T1491" s="229"/>
      <c r="U1491" s="229"/>
      <c r="V1491" s="229"/>
      <c r="W1491" s="229"/>
      <c r="X1491" s="229"/>
    </row>
    <row r="1492" spans="1:24" ht="15.75" hidden="1">
      <c r="A1492" s="343"/>
      <c r="B1492" s="344"/>
      <c r="C1492" s="275"/>
      <c r="D1492" s="275"/>
      <c r="E1492" s="275"/>
      <c r="F1492" s="275"/>
      <c r="G1492" s="275"/>
      <c r="H1492" s="275"/>
      <c r="I1492" s="275"/>
      <c r="J1492" s="275"/>
      <c r="K1492" s="275"/>
      <c r="L1492" s="275"/>
      <c r="M1492" s="275"/>
      <c r="N1492" s="275"/>
      <c r="O1492" s="276"/>
      <c r="P1492" s="276"/>
      <c r="Q1492" s="247">
        <f t="shared" si="29"/>
        <v>0</v>
      </c>
      <c r="R1492" s="229"/>
      <c r="S1492" s="229"/>
      <c r="T1492" s="229"/>
      <c r="U1492" s="229"/>
      <c r="V1492" s="229"/>
      <c r="W1492" s="229"/>
      <c r="X1492" s="229"/>
    </row>
    <row r="1493" spans="1:24" ht="15.75" hidden="1">
      <c r="A1493" s="343"/>
      <c r="B1493" s="344"/>
      <c r="C1493" s="275"/>
      <c r="D1493" s="275"/>
      <c r="E1493" s="275"/>
      <c r="F1493" s="275"/>
      <c r="G1493" s="275"/>
      <c r="H1493" s="275"/>
      <c r="I1493" s="275"/>
      <c r="J1493" s="275"/>
      <c r="K1493" s="275"/>
      <c r="L1493" s="275"/>
      <c r="M1493" s="275"/>
      <c r="N1493" s="275"/>
      <c r="O1493" s="276"/>
      <c r="P1493" s="276"/>
      <c r="Q1493" s="247">
        <f t="shared" si="29"/>
        <v>0</v>
      </c>
      <c r="R1493" s="229"/>
      <c r="S1493" s="229"/>
      <c r="T1493" s="229"/>
      <c r="U1493" s="229"/>
      <c r="V1493" s="229"/>
      <c r="W1493" s="229"/>
      <c r="X1493" s="229"/>
    </row>
    <row r="1494" spans="1:24" ht="15.75" hidden="1">
      <c r="A1494" s="343"/>
      <c r="B1494" s="344"/>
      <c r="C1494" s="275"/>
      <c r="D1494" s="275"/>
      <c r="E1494" s="275"/>
      <c r="F1494" s="275"/>
      <c r="G1494" s="275"/>
      <c r="H1494" s="275"/>
      <c r="I1494" s="275"/>
      <c r="J1494" s="275"/>
      <c r="K1494" s="275"/>
      <c r="L1494" s="275"/>
      <c r="M1494" s="275"/>
      <c r="N1494" s="275"/>
      <c r="O1494" s="276"/>
      <c r="P1494" s="276"/>
      <c r="Q1494" s="247">
        <f t="shared" si="29"/>
        <v>0</v>
      </c>
      <c r="R1494" s="229"/>
      <c r="S1494" s="229"/>
      <c r="T1494" s="229"/>
      <c r="U1494" s="229"/>
      <c r="V1494" s="229"/>
      <c r="W1494" s="229"/>
      <c r="X1494" s="229"/>
    </row>
    <row r="1495" spans="1:24" ht="15.75" hidden="1">
      <c r="A1495" s="343"/>
      <c r="B1495" s="344"/>
      <c r="C1495" s="275"/>
      <c r="D1495" s="275"/>
      <c r="E1495" s="275"/>
      <c r="F1495" s="275"/>
      <c r="G1495" s="275"/>
      <c r="H1495" s="275"/>
      <c r="I1495" s="275"/>
      <c r="J1495" s="275"/>
      <c r="K1495" s="275"/>
      <c r="L1495" s="275"/>
      <c r="M1495" s="275"/>
      <c r="N1495" s="275"/>
      <c r="O1495" s="276"/>
      <c r="P1495" s="276"/>
      <c r="Q1495" s="247">
        <f t="shared" si="29"/>
        <v>0</v>
      </c>
      <c r="R1495" s="229"/>
      <c r="S1495" s="229"/>
      <c r="T1495" s="229"/>
      <c r="U1495" s="229"/>
      <c r="V1495" s="229"/>
      <c r="W1495" s="229"/>
      <c r="X1495" s="229"/>
    </row>
    <row r="1496" spans="1:24" ht="15.75" hidden="1">
      <c r="A1496" s="343"/>
      <c r="B1496" s="344"/>
      <c r="C1496" s="275"/>
      <c r="D1496" s="275"/>
      <c r="E1496" s="275"/>
      <c r="F1496" s="275"/>
      <c r="G1496" s="275"/>
      <c r="H1496" s="275"/>
      <c r="I1496" s="275"/>
      <c r="J1496" s="275"/>
      <c r="K1496" s="275"/>
      <c r="L1496" s="275"/>
      <c r="M1496" s="275"/>
      <c r="N1496" s="275"/>
      <c r="O1496" s="276"/>
      <c r="P1496" s="276"/>
      <c r="Q1496" s="247">
        <f t="shared" si="29"/>
        <v>0</v>
      </c>
      <c r="R1496" s="229"/>
      <c r="S1496" s="229"/>
      <c r="T1496" s="229"/>
      <c r="U1496" s="229"/>
      <c r="V1496" s="229"/>
      <c r="W1496" s="229"/>
      <c r="X1496" s="229"/>
    </row>
    <row r="1497" spans="1:24" ht="15.75" hidden="1">
      <c r="A1497" s="343"/>
      <c r="B1497" s="344"/>
      <c r="C1497" s="275"/>
      <c r="D1497" s="275"/>
      <c r="E1497" s="275"/>
      <c r="F1497" s="275"/>
      <c r="G1497" s="275"/>
      <c r="H1497" s="275"/>
      <c r="I1497" s="275"/>
      <c r="J1497" s="275"/>
      <c r="K1497" s="275"/>
      <c r="L1497" s="275"/>
      <c r="M1497" s="275"/>
      <c r="N1497" s="275"/>
      <c r="O1497" s="276"/>
      <c r="P1497" s="276"/>
      <c r="Q1497" s="247">
        <f t="shared" si="29"/>
        <v>0</v>
      </c>
      <c r="R1497" s="229"/>
      <c r="S1497" s="229"/>
      <c r="T1497" s="229"/>
      <c r="U1497" s="229"/>
      <c r="V1497" s="229"/>
      <c r="W1497" s="229"/>
      <c r="X1497" s="229"/>
    </row>
    <row r="1498" spans="1:24" ht="15.75" hidden="1">
      <c r="A1498" s="343"/>
      <c r="B1498" s="344"/>
      <c r="C1498" s="275"/>
      <c r="D1498" s="275"/>
      <c r="E1498" s="275"/>
      <c r="F1498" s="275"/>
      <c r="G1498" s="275"/>
      <c r="H1498" s="275"/>
      <c r="I1498" s="275"/>
      <c r="J1498" s="275"/>
      <c r="K1498" s="275"/>
      <c r="L1498" s="275"/>
      <c r="M1498" s="275"/>
      <c r="N1498" s="275"/>
      <c r="O1498" s="276"/>
      <c r="P1498" s="276"/>
      <c r="Q1498" s="247">
        <f t="shared" si="29"/>
        <v>0</v>
      </c>
      <c r="R1498" s="229"/>
      <c r="S1498" s="229"/>
      <c r="T1498" s="229"/>
      <c r="U1498" s="229"/>
      <c r="V1498" s="229"/>
      <c r="W1498" s="229"/>
      <c r="X1498" s="229"/>
    </row>
    <row r="1499" spans="1:24" ht="15.75" hidden="1">
      <c r="A1499" s="343"/>
      <c r="B1499" s="344"/>
      <c r="C1499" s="275"/>
      <c r="D1499" s="275"/>
      <c r="E1499" s="275"/>
      <c r="F1499" s="275"/>
      <c r="G1499" s="275"/>
      <c r="H1499" s="275"/>
      <c r="I1499" s="275"/>
      <c r="J1499" s="275"/>
      <c r="K1499" s="275"/>
      <c r="L1499" s="275"/>
      <c r="M1499" s="275"/>
      <c r="N1499" s="275"/>
      <c r="O1499" s="276"/>
      <c r="P1499" s="276"/>
      <c r="Q1499" s="247">
        <f t="shared" si="29"/>
        <v>0</v>
      </c>
      <c r="R1499" s="229"/>
      <c r="S1499" s="229"/>
      <c r="T1499" s="229"/>
      <c r="U1499" s="229"/>
      <c r="V1499" s="229"/>
      <c r="W1499" s="229"/>
      <c r="X1499" s="229"/>
    </row>
    <row r="1500" spans="1:24" ht="15.75" hidden="1">
      <c r="A1500" s="343"/>
      <c r="B1500" s="344"/>
      <c r="C1500" s="275"/>
      <c r="D1500" s="275"/>
      <c r="E1500" s="275"/>
      <c r="F1500" s="275"/>
      <c r="G1500" s="275"/>
      <c r="H1500" s="275"/>
      <c r="I1500" s="275"/>
      <c r="J1500" s="275"/>
      <c r="K1500" s="275"/>
      <c r="L1500" s="275"/>
      <c r="M1500" s="275"/>
      <c r="N1500" s="275"/>
      <c r="O1500" s="276"/>
      <c r="P1500" s="276"/>
      <c r="Q1500" s="247">
        <f t="shared" si="29"/>
        <v>0</v>
      </c>
      <c r="R1500" s="229"/>
      <c r="S1500" s="229"/>
      <c r="T1500" s="229"/>
      <c r="U1500" s="229"/>
      <c r="V1500" s="229"/>
      <c r="W1500" s="229"/>
      <c r="X1500" s="229"/>
    </row>
    <row r="1501" spans="1:24" ht="15.75" hidden="1">
      <c r="A1501" s="343"/>
      <c r="B1501" s="344"/>
      <c r="C1501" s="275"/>
      <c r="D1501" s="275"/>
      <c r="E1501" s="275"/>
      <c r="F1501" s="275"/>
      <c r="G1501" s="275"/>
      <c r="H1501" s="275"/>
      <c r="I1501" s="275"/>
      <c r="J1501" s="275"/>
      <c r="K1501" s="275"/>
      <c r="L1501" s="275"/>
      <c r="M1501" s="275"/>
      <c r="N1501" s="275"/>
      <c r="O1501" s="276"/>
      <c r="P1501" s="276"/>
      <c r="Q1501" s="247">
        <f t="shared" si="29"/>
        <v>0</v>
      </c>
      <c r="R1501" s="229"/>
      <c r="S1501" s="229"/>
      <c r="T1501" s="229"/>
      <c r="U1501" s="229"/>
      <c r="V1501" s="229"/>
      <c r="W1501" s="229"/>
      <c r="X1501" s="229"/>
    </row>
    <row r="1502" spans="1:24" ht="15.75" hidden="1">
      <c r="A1502" s="343"/>
      <c r="B1502" s="344"/>
      <c r="C1502" s="275"/>
      <c r="D1502" s="275"/>
      <c r="E1502" s="275"/>
      <c r="F1502" s="275"/>
      <c r="G1502" s="275"/>
      <c r="H1502" s="275"/>
      <c r="I1502" s="275"/>
      <c r="J1502" s="275"/>
      <c r="K1502" s="275"/>
      <c r="L1502" s="275"/>
      <c r="M1502" s="275"/>
      <c r="N1502" s="275"/>
      <c r="O1502" s="276"/>
      <c r="P1502" s="276"/>
      <c r="Q1502" s="247">
        <f t="shared" si="29"/>
        <v>0</v>
      </c>
      <c r="R1502" s="229"/>
      <c r="S1502" s="229"/>
      <c r="T1502" s="229"/>
      <c r="U1502" s="229"/>
      <c r="V1502" s="229"/>
      <c r="W1502" s="229"/>
      <c r="X1502" s="229"/>
    </row>
    <row r="1503" spans="1:24" ht="15.75" hidden="1">
      <c r="A1503" s="343"/>
      <c r="B1503" s="344"/>
      <c r="C1503" s="275"/>
      <c r="D1503" s="275"/>
      <c r="E1503" s="275"/>
      <c r="F1503" s="275"/>
      <c r="G1503" s="275"/>
      <c r="H1503" s="275"/>
      <c r="I1503" s="275"/>
      <c r="J1503" s="275"/>
      <c r="K1503" s="275"/>
      <c r="L1503" s="275"/>
      <c r="M1503" s="275"/>
      <c r="N1503" s="275"/>
      <c r="O1503" s="276"/>
      <c r="P1503" s="276"/>
      <c r="Q1503" s="247">
        <f t="shared" si="29"/>
        <v>0</v>
      </c>
      <c r="R1503" s="229"/>
      <c r="S1503" s="229"/>
      <c r="T1503" s="229"/>
      <c r="U1503" s="229"/>
      <c r="V1503" s="229"/>
      <c r="W1503" s="229"/>
      <c r="X1503" s="229"/>
    </row>
    <row r="1504" spans="1:24" ht="15.75" hidden="1">
      <c r="A1504" s="343"/>
      <c r="B1504" s="344"/>
      <c r="C1504" s="275"/>
      <c r="D1504" s="275"/>
      <c r="E1504" s="275"/>
      <c r="F1504" s="275"/>
      <c r="G1504" s="275"/>
      <c r="H1504" s="275"/>
      <c r="I1504" s="275"/>
      <c r="J1504" s="275"/>
      <c r="K1504" s="275"/>
      <c r="L1504" s="275"/>
      <c r="M1504" s="275"/>
      <c r="N1504" s="275"/>
      <c r="O1504" s="276"/>
      <c r="P1504" s="276"/>
      <c r="Q1504" s="247">
        <f t="shared" si="29"/>
        <v>0</v>
      </c>
      <c r="R1504" s="229"/>
      <c r="S1504" s="229"/>
      <c r="T1504" s="229"/>
      <c r="U1504" s="229"/>
      <c r="V1504" s="229"/>
      <c r="W1504" s="229"/>
      <c r="X1504" s="229"/>
    </row>
    <row r="1505" spans="1:24" ht="15.75" hidden="1">
      <c r="A1505" s="343"/>
      <c r="B1505" s="344"/>
      <c r="C1505" s="275"/>
      <c r="D1505" s="275"/>
      <c r="E1505" s="275"/>
      <c r="F1505" s="275"/>
      <c r="G1505" s="275"/>
      <c r="H1505" s="275"/>
      <c r="I1505" s="275"/>
      <c r="J1505" s="275"/>
      <c r="K1505" s="275"/>
      <c r="L1505" s="275"/>
      <c r="M1505" s="275"/>
      <c r="N1505" s="275"/>
      <c r="O1505" s="276"/>
      <c r="P1505" s="276"/>
      <c r="Q1505" s="247">
        <f t="shared" si="29"/>
        <v>0</v>
      </c>
      <c r="R1505" s="229"/>
      <c r="S1505" s="229"/>
      <c r="T1505" s="229"/>
      <c r="U1505" s="229"/>
      <c r="V1505" s="229"/>
      <c r="W1505" s="229"/>
      <c r="X1505" s="229"/>
    </row>
    <row r="1506" spans="1:24" ht="15.75" hidden="1">
      <c r="A1506" s="343"/>
      <c r="B1506" s="344"/>
      <c r="C1506" s="275"/>
      <c r="D1506" s="275"/>
      <c r="E1506" s="275"/>
      <c r="F1506" s="275"/>
      <c r="G1506" s="275"/>
      <c r="H1506" s="275"/>
      <c r="I1506" s="275"/>
      <c r="J1506" s="275"/>
      <c r="K1506" s="275"/>
      <c r="L1506" s="275"/>
      <c r="M1506" s="275"/>
      <c r="N1506" s="275"/>
      <c r="O1506" s="276"/>
      <c r="P1506" s="276"/>
      <c r="Q1506" s="247">
        <f t="shared" si="29"/>
        <v>0</v>
      </c>
      <c r="R1506" s="229"/>
      <c r="S1506" s="229"/>
      <c r="T1506" s="229"/>
      <c r="U1506" s="229"/>
      <c r="V1506" s="229"/>
      <c r="W1506" s="229"/>
      <c r="X1506" s="229"/>
    </row>
    <row r="1507" spans="1:24" ht="15.75" hidden="1">
      <c r="A1507" s="343"/>
      <c r="B1507" s="344"/>
      <c r="C1507" s="275"/>
      <c r="D1507" s="275"/>
      <c r="E1507" s="275"/>
      <c r="F1507" s="275"/>
      <c r="G1507" s="275"/>
      <c r="H1507" s="275"/>
      <c r="I1507" s="275"/>
      <c r="J1507" s="275"/>
      <c r="K1507" s="275"/>
      <c r="L1507" s="275"/>
      <c r="M1507" s="275"/>
      <c r="N1507" s="275"/>
      <c r="O1507" s="276"/>
      <c r="P1507" s="276"/>
      <c r="Q1507" s="247">
        <f t="shared" si="29"/>
        <v>0</v>
      </c>
      <c r="R1507" s="229"/>
      <c r="S1507" s="229"/>
      <c r="T1507" s="229"/>
      <c r="U1507" s="229"/>
      <c r="V1507" s="229"/>
      <c r="W1507" s="229"/>
      <c r="X1507" s="229"/>
    </row>
    <row r="1508" spans="1:24" ht="15.75" hidden="1">
      <c r="A1508" s="343"/>
      <c r="B1508" s="344"/>
      <c r="C1508" s="275"/>
      <c r="D1508" s="275"/>
      <c r="E1508" s="275"/>
      <c r="F1508" s="275"/>
      <c r="G1508" s="275"/>
      <c r="H1508" s="275"/>
      <c r="I1508" s="275"/>
      <c r="J1508" s="275"/>
      <c r="K1508" s="275"/>
      <c r="L1508" s="275"/>
      <c r="M1508" s="275"/>
      <c r="N1508" s="275"/>
      <c r="O1508" s="276"/>
      <c r="P1508" s="276"/>
      <c r="Q1508" s="247">
        <f t="shared" si="29"/>
        <v>0</v>
      </c>
      <c r="R1508" s="229"/>
      <c r="S1508" s="229"/>
      <c r="T1508" s="229"/>
      <c r="U1508" s="229"/>
      <c r="V1508" s="229"/>
      <c r="W1508" s="229"/>
      <c r="X1508" s="229"/>
    </row>
    <row r="1509" spans="1:24" ht="15.75" hidden="1">
      <c r="A1509" s="343"/>
      <c r="B1509" s="344"/>
      <c r="C1509" s="275"/>
      <c r="D1509" s="275"/>
      <c r="E1509" s="275"/>
      <c r="F1509" s="275"/>
      <c r="G1509" s="275"/>
      <c r="H1509" s="275"/>
      <c r="I1509" s="275"/>
      <c r="J1509" s="275"/>
      <c r="K1509" s="275"/>
      <c r="L1509" s="275"/>
      <c r="M1509" s="275"/>
      <c r="N1509" s="275"/>
      <c r="O1509" s="276"/>
      <c r="P1509" s="276"/>
      <c r="Q1509" s="247">
        <f t="shared" si="29"/>
        <v>0</v>
      </c>
      <c r="R1509" s="229"/>
      <c r="S1509" s="229"/>
      <c r="T1509" s="229"/>
      <c r="U1509" s="229"/>
      <c r="V1509" s="229"/>
      <c r="W1509" s="229"/>
      <c r="X1509" s="229"/>
    </row>
    <row r="1510" spans="1:24" ht="15.75" hidden="1">
      <c r="A1510" s="343"/>
      <c r="B1510" s="344"/>
      <c r="C1510" s="275"/>
      <c r="D1510" s="275"/>
      <c r="E1510" s="275"/>
      <c r="F1510" s="275"/>
      <c r="G1510" s="275"/>
      <c r="H1510" s="275"/>
      <c r="I1510" s="275"/>
      <c r="J1510" s="275"/>
      <c r="K1510" s="275"/>
      <c r="L1510" s="275"/>
      <c r="M1510" s="275"/>
      <c r="N1510" s="275"/>
      <c r="O1510" s="276"/>
      <c r="P1510" s="276"/>
      <c r="Q1510" s="247">
        <f t="shared" si="29"/>
        <v>0</v>
      </c>
      <c r="R1510" s="229"/>
      <c r="S1510" s="229"/>
      <c r="T1510" s="229"/>
      <c r="U1510" s="229"/>
      <c r="V1510" s="229"/>
      <c r="W1510" s="229"/>
      <c r="X1510" s="229"/>
    </row>
    <row r="1511" spans="1:24" ht="15.75" hidden="1">
      <c r="A1511" s="343"/>
      <c r="B1511" s="344"/>
      <c r="C1511" s="275"/>
      <c r="D1511" s="275"/>
      <c r="E1511" s="275"/>
      <c r="F1511" s="275"/>
      <c r="G1511" s="275"/>
      <c r="H1511" s="275"/>
      <c r="I1511" s="275"/>
      <c r="J1511" s="275"/>
      <c r="K1511" s="275"/>
      <c r="L1511" s="275"/>
      <c r="M1511" s="275"/>
      <c r="N1511" s="275"/>
      <c r="O1511" s="276"/>
      <c r="P1511" s="276"/>
      <c r="Q1511" s="247">
        <f t="shared" si="29"/>
        <v>0</v>
      </c>
      <c r="R1511" s="229"/>
      <c r="S1511" s="229"/>
      <c r="T1511" s="229"/>
      <c r="U1511" s="229"/>
      <c r="V1511" s="229"/>
      <c r="W1511" s="229"/>
      <c r="X1511" s="229"/>
    </row>
    <row r="1512" spans="1:24" ht="15.75" hidden="1">
      <c r="A1512" s="343"/>
      <c r="B1512" s="344"/>
      <c r="C1512" s="275"/>
      <c r="D1512" s="275"/>
      <c r="E1512" s="275"/>
      <c r="F1512" s="275"/>
      <c r="G1512" s="275"/>
      <c r="H1512" s="275"/>
      <c r="I1512" s="275"/>
      <c r="J1512" s="275"/>
      <c r="K1512" s="275"/>
      <c r="L1512" s="275"/>
      <c r="M1512" s="275"/>
      <c r="N1512" s="275"/>
      <c r="O1512" s="276"/>
      <c r="P1512" s="276"/>
      <c r="Q1512" s="247">
        <f t="shared" si="29"/>
        <v>0</v>
      </c>
      <c r="R1512" s="229"/>
      <c r="S1512" s="229"/>
      <c r="T1512" s="229"/>
      <c r="U1512" s="229"/>
      <c r="V1512" s="229"/>
      <c r="W1512" s="229"/>
      <c r="X1512" s="229"/>
    </row>
    <row r="1513" spans="1:24" ht="15.75" hidden="1">
      <c r="A1513" s="343"/>
      <c r="B1513" s="344"/>
      <c r="C1513" s="275"/>
      <c r="D1513" s="275"/>
      <c r="E1513" s="275"/>
      <c r="F1513" s="275"/>
      <c r="G1513" s="275"/>
      <c r="H1513" s="275"/>
      <c r="I1513" s="275"/>
      <c r="J1513" s="275"/>
      <c r="K1513" s="275"/>
      <c r="L1513" s="275"/>
      <c r="M1513" s="275"/>
      <c r="N1513" s="275"/>
      <c r="O1513" s="276"/>
      <c r="P1513" s="276"/>
      <c r="Q1513" s="247">
        <f t="shared" si="29"/>
        <v>0</v>
      </c>
      <c r="R1513" s="229"/>
      <c r="S1513" s="229"/>
      <c r="T1513" s="229"/>
      <c r="U1513" s="229"/>
      <c r="V1513" s="229"/>
      <c r="W1513" s="229"/>
      <c r="X1513" s="229"/>
    </row>
    <row r="1514" spans="1:24" ht="15.75" hidden="1">
      <c r="A1514" s="343"/>
      <c r="B1514" s="344"/>
      <c r="C1514" s="275"/>
      <c r="D1514" s="275"/>
      <c r="E1514" s="275"/>
      <c r="F1514" s="275"/>
      <c r="G1514" s="275"/>
      <c r="H1514" s="275"/>
      <c r="I1514" s="275"/>
      <c r="J1514" s="275"/>
      <c r="K1514" s="275"/>
      <c r="L1514" s="275"/>
      <c r="M1514" s="275"/>
      <c r="N1514" s="275"/>
      <c r="O1514" s="276"/>
      <c r="P1514" s="276"/>
      <c r="Q1514" s="247">
        <f t="shared" si="29"/>
        <v>0</v>
      </c>
      <c r="R1514" s="229"/>
      <c r="S1514" s="229"/>
      <c r="T1514" s="229"/>
      <c r="U1514" s="229"/>
      <c r="V1514" s="229"/>
      <c r="W1514" s="229"/>
      <c r="X1514" s="229"/>
    </row>
    <row r="1515" spans="1:24" ht="15.75" hidden="1">
      <c r="A1515" s="343"/>
      <c r="B1515" s="344"/>
      <c r="C1515" s="275"/>
      <c r="D1515" s="275"/>
      <c r="E1515" s="275"/>
      <c r="F1515" s="275"/>
      <c r="G1515" s="275"/>
      <c r="H1515" s="275"/>
      <c r="I1515" s="275"/>
      <c r="J1515" s="275"/>
      <c r="K1515" s="275"/>
      <c r="L1515" s="275"/>
      <c r="M1515" s="275"/>
      <c r="N1515" s="275"/>
      <c r="O1515" s="276"/>
      <c r="P1515" s="276"/>
      <c r="Q1515" s="247">
        <f t="shared" si="29"/>
        <v>0</v>
      </c>
      <c r="R1515" s="229"/>
      <c r="S1515" s="229"/>
      <c r="T1515" s="229"/>
      <c r="U1515" s="229"/>
      <c r="V1515" s="229"/>
      <c r="W1515" s="229"/>
      <c r="X1515" s="229"/>
    </row>
    <row r="1516" spans="1:24" ht="15.75" hidden="1">
      <c r="A1516" s="343"/>
      <c r="B1516" s="344"/>
      <c r="C1516" s="275"/>
      <c r="D1516" s="275"/>
      <c r="E1516" s="275"/>
      <c r="F1516" s="275"/>
      <c r="G1516" s="275"/>
      <c r="H1516" s="275"/>
      <c r="I1516" s="275"/>
      <c r="J1516" s="275"/>
      <c r="K1516" s="275"/>
      <c r="L1516" s="275"/>
      <c r="M1516" s="275"/>
      <c r="N1516" s="275"/>
      <c r="O1516" s="276"/>
      <c r="P1516" s="276"/>
      <c r="Q1516" s="247">
        <f t="shared" si="29"/>
        <v>0</v>
      </c>
      <c r="R1516" s="229"/>
      <c r="S1516" s="229"/>
      <c r="T1516" s="229"/>
      <c r="U1516" s="229"/>
      <c r="V1516" s="229"/>
      <c r="W1516" s="229"/>
      <c r="X1516" s="229"/>
    </row>
    <row r="1517" spans="1:24" ht="15.75" hidden="1">
      <c r="A1517" s="343"/>
      <c r="B1517" s="344"/>
      <c r="C1517" s="275"/>
      <c r="D1517" s="275"/>
      <c r="E1517" s="275"/>
      <c r="F1517" s="275"/>
      <c r="G1517" s="275"/>
      <c r="H1517" s="275"/>
      <c r="I1517" s="275"/>
      <c r="J1517" s="275"/>
      <c r="K1517" s="275"/>
      <c r="L1517" s="275"/>
      <c r="M1517" s="275"/>
      <c r="N1517" s="275"/>
      <c r="O1517" s="276"/>
      <c r="P1517" s="276"/>
      <c r="Q1517" s="247">
        <f t="shared" si="29"/>
        <v>0</v>
      </c>
      <c r="R1517" s="229"/>
      <c r="S1517" s="229"/>
      <c r="T1517" s="229"/>
      <c r="U1517" s="229"/>
      <c r="V1517" s="229"/>
      <c r="W1517" s="229"/>
      <c r="X1517" s="229"/>
    </row>
    <row r="1518" spans="1:24" ht="15.75" hidden="1">
      <c r="A1518" s="343"/>
      <c r="B1518" s="344"/>
      <c r="C1518" s="275"/>
      <c r="D1518" s="275"/>
      <c r="E1518" s="275"/>
      <c r="F1518" s="275"/>
      <c r="G1518" s="275"/>
      <c r="H1518" s="275"/>
      <c r="I1518" s="275"/>
      <c r="J1518" s="275"/>
      <c r="K1518" s="275"/>
      <c r="L1518" s="275"/>
      <c r="M1518" s="275"/>
      <c r="N1518" s="275"/>
      <c r="O1518" s="276"/>
      <c r="P1518" s="276"/>
      <c r="Q1518" s="247">
        <f t="shared" si="29"/>
        <v>0</v>
      </c>
      <c r="R1518" s="229"/>
      <c r="S1518" s="229"/>
      <c r="T1518" s="229"/>
      <c r="U1518" s="229"/>
      <c r="V1518" s="229"/>
      <c r="W1518" s="229"/>
      <c r="X1518" s="229"/>
    </row>
    <row r="1519" spans="1:24" ht="15.75" hidden="1">
      <c r="A1519" s="343"/>
      <c r="B1519" s="344"/>
      <c r="C1519" s="275"/>
      <c r="D1519" s="275"/>
      <c r="E1519" s="275"/>
      <c r="F1519" s="275"/>
      <c r="G1519" s="275"/>
      <c r="H1519" s="275"/>
      <c r="I1519" s="275"/>
      <c r="J1519" s="275"/>
      <c r="K1519" s="275"/>
      <c r="L1519" s="275"/>
      <c r="M1519" s="275"/>
      <c r="N1519" s="275"/>
      <c r="O1519" s="276"/>
      <c r="P1519" s="276"/>
      <c r="Q1519" s="247">
        <f t="shared" si="29"/>
        <v>0</v>
      </c>
      <c r="R1519" s="229"/>
      <c r="S1519" s="229"/>
      <c r="T1519" s="229"/>
      <c r="U1519" s="229"/>
      <c r="V1519" s="229"/>
      <c r="W1519" s="229"/>
      <c r="X1519" s="229"/>
    </row>
    <row r="1520" spans="1:24" ht="15.75" hidden="1">
      <c r="A1520" s="343"/>
      <c r="B1520" s="344"/>
      <c r="C1520" s="275"/>
      <c r="D1520" s="275"/>
      <c r="E1520" s="275"/>
      <c r="F1520" s="275"/>
      <c r="G1520" s="275"/>
      <c r="H1520" s="275"/>
      <c r="I1520" s="275"/>
      <c r="J1520" s="275"/>
      <c r="K1520" s="275"/>
      <c r="L1520" s="275"/>
      <c r="M1520" s="275"/>
      <c r="N1520" s="275"/>
      <c r="O1520" s="276"/>
      <c r="P1520" s="276"/>
      <c r="Q1520" s="247">
        <f t="shared" si="29"/>
        <v>0</v>
      </c>
      <c r="R1520" s="229"/>
      <c r="S1520" s="229"/>
      <c r="T1520" s="229"/>
      <c r="U1520" s="229"/>
      <c r="V1520" s="229"/>
      <c r="W1520" s="229"/>
      <c r="X1520" s="229"/>
    </row>
    <row r="1521" spans="1:24" ht="15.75" hidden="1">
      <c r="A1521" s="343"/>
      <c r="B1521" s="344"/>
      <c r="C1521" s="275"/>
      <c r="D1521" s="275"/>
      <c r="E1521" s="275"/>
      <c r="F1521" s="275"/>
      <c r="G1521" s="275"/>
      <c r="H1521" s="275"/>
      <c r="I1521" s="275"/>
      <c r="J1521" s="275"/>
      <c r="K1521" s="275"/>
      <c r="L1521" s="275"/>
      <c r="M1521" s="275"/>
      <c r="N1521" s="275"/>
      <c r="O1521" s="276"/>
      <c r="P1521" s="276"/>
      <c r="Q1521" s="247">
        <f t="shared" si="29"/>
        <v>0</v>
      </c>
      <c r="R1521" s="229"/>
      <c r="S1521" s="229"/>
      <c r="T1521" s="229"/>
      <c r="U1521" s="229"/>
      <c r="V1521" s="229"/>
      <c r="W1521" s="229"/>
      <c r="X1521" s="229"/>
    </row>
    <row r="1522" spans="1:24" ht="15.75" hidden="1">
      <c r="A1522" s="343"/>
      <c r="B1522" s="344"/>
      <c r="C1522" s="275"/>
      <c r="D1522" s="275"/>
      <c r="E1522" s="275"/>
      <c r="F1522" s="275"/>
      <c r="G1522" s="275"/>
      <c r="H1522" s="275"/>
      <c r="I1522" s="275"/>
      <c r="J1522" s="275"/>
      <c r="K1522" s="275"/>
      <c r="L1522" s="275"/>
      <c r="M1522" s="275"/>
      <c r="N1522" s="275"/>
      <c r="O1522" s="276"/>
      <c r="P1522" s="276"/>
      <c r="Q1522" s="247">
        <f t="shared" si="29"/>
        <v>0</v>
      </c>
      <c r="R1522" s="229"/>
      <c r="S1522" s="229"/>
      <c r="T1522" s="229"/>
      <c r="U1522" s="229"/>
      <c r="V1522" s="229"/>
      <c r="W1522" s="229"/>
      <c r="X1522" s="229"/>
    </row>
    <row r="1523" spans="1:24" ht="15.75" hidden="1">
      <c r="A1523" s="343"/>
      <c r="B1523" s="344"/>
      <c r="C1523" s="275"/>
      <c r="D1523" s="275"/>
      <c r="E1523" s="275"/>
      <c r="F1523" s="275"/>
      <c r="G1523" s="275"/>
      <c r="H1523" s="275"/>
      <c r="I1523" s="275"/>
      <c r="J1523" s="275"/>
      <c r="K1523" s="275"/>
      <c r="L1523" s="275"/>
      <c r="M1523" s="275"/>
      <c r="N1523" s="275"/>
      <c r="O1523" s="276"/>
      <c r="P1523" s="276"/>
      <c r="Q1523" s="247">
        <f t="shared" si="29"/>
        <v>0</v>
      </c>
      <c r="R1523" s="229"/>
      <c r="S1523" s="229"/>
      <c r="T1523" s="229"/>
      <c r="U1523" s="229"/>
      <c r="V1523" s="229"/>
      <c r="W1523" s="229"/>
      <c r="X1523" s="229"/>
    </row>
    <row r="1524" spans="1:24" ht="15.75" hidden="1">
      <c r="A1524" s="343"/>
      <c r="B1524" s="344"/>
      <c r="C1524" s="275"/>
      <c r="D1524" s="275"/>
      <c r="E1524" s="275"/>
      <c r="F1524" s="275"/>
      <c r="G1524" s="275"/>
      <c r="H1524" s="275"/>
      <c r="I1524" s="275"/>
      <c r="J1524" s="275"/>
      <c r="K1524" s="275"/>
      <c r="L1524" s="275"/>
      <c r="M1524" s="275"/>
      <c r="N1524" s="275"/>
      <c r="O1524" s="276"/>
      <c r="P1524" s="276"/>
      <c r="Q1524" s="247">
        <f t="shared" si="29"/>
        <v>0</v>
      </c>
      <c r="R1524" s="229"/>
      <c r="S1524" s="229"/>
      <c r="T1524" s="229"/>
      <c r="U1524" s="229"/>
      <c r="V1524" s="229"/>
      <c r="W1524" s="229"/>
      <c r="X1524" s="229"/>
    </row>
    <row r="1525" spans="1:24" ht="15.75" hidden="1">
      <c r="A1525" s="343"/>
      <c r="B1525" s="344"/>
      <c r="C1525" s="275"/>
      <c r="D1525" s="275"/>
      <c r="E1525" s="275"/>
      <c r="F1525" s="275"/>
      <c r="G1525" s="275"/>
      <c r="H1525" s="275"/>
      <c r="I1525" s="275"/>
      <c r="J1525" s="275"/>
      <c r="K1525" s="275"/>
      <c r="L1525" s="275"/>
      <c r="M1525" s="275"/>
      <c r="N1525" s="275"/>
      <c r="O1525" s="276"/>
      <c r="P1525" s="276"/>
      <c r="Q1525" s="247">
        <f t="shared" si="29"/>
        <v>0</v>
      </c>
      <c r="R1525" s="229"/>
      <c r="S1525" s="229"/>
      <c r="T1525" s="229"/>
      <c r="U1525" s="229"/>
      <c r="V1525" s="229"/>
      <c r="W1525" s="229"/>
      <c r="X1525" s="229"/>
    </row>
    <row r="1526" spans="1:24" ht="15.75" hidden="1">
      <c r="A1526" s="343"/>
      <c r="B1526" s="344"/>
      <c r="C1526" s="275"/>
      <c r="D1526" s="275"/>
      <c r="E1526" s="275"/>
      <c r="F1526" s="275"/>
      <c r="G1526" s="275"/>
      <c r="H1526" s="275"/>
      <c r="I1526" s="275"/>
      <c r="J1526" s="275"/>
      <c r="K1526" s="275"/>
      <c r="L1526" s="275"/>
      <c r="M1526" s="275"/>
      <c r="N1526" s="275"/>
      <c r="O1526" s="276"/>
      <c r="P1526" s="276"/>
      <c r="Q1526" s="247">
        <f t="shared" si="29"/>
        <v>0</v>
      </c>
      <c r="R1526" s="229"/>
      <c r="S1526" s="229"/>
      <c r="T1526" s="229"/>
      <c r="U1526" s="229"/>
      <c r="V1526" s="229"/>
      <c r="W1526" s="229"/>
      <c r="X1526" s="229"/>
    </row>
    <row r="1527" spans="1:24" ht="15.75" hidden="1">
      <c r="A1527" s="343"/>
      <c r="B1527" s="344"/>
      <c r="C1527" s="275"/>
      <c r="D1527" s="275"/>
      <c r="E1527" s="275"/>
      <c r="F1527" s="275"/>
      <c r="G1527" s="275"/>
      <c r="H1527" s="275"/>
      <c r="I1527" s="275"/>
      <c r="J1527" s="275"/>
      <c r="K1527" s="275"/>
      <c r="L1527" s="275"/>
      <c r="M1527" s="275"/>
      <c r="N1527" s="275"/>
      <c r="O1527" s="276"/>
      <c r="P1527" s="276"/>
      <c r="Q1527" s="247">
        <f t="shared" si="29"/>
        <v>0</v>
      </c>
      <c r="R1527" s="229"/>
      <c r="S1527" s="229"/>
      <c r="T1527" s="229"/>
      <c r="U1527" s="229"/>
      <c r="V1527" s="229"/>
      <c r="W1527" s="229"/>
      <c r="X1527" s="229"/>
    </row>
    <row r="1528" spans="1:24" ht="15.75" hidden="1">
      <c r="A1528" s="343"/>
      <c r="B1528" s="344"/>
      <c r="C1528" s="275"/>
      <c r="D1528" s="275"/>
      <c r="E1528" s="275"/>
      <c r="F1528" s="275"/>
      <c r="G1528" s="275"/>
      <c r="H1528" s="275"/>
      <c r="I1528" s="275"/>
      <c r="J1528" s="275"/>
      <c r="K1528" s="275"/>
      <c r="L1528" s="275"/>
      <c r="M1528" s="275"/>
      <c r="N1528" s="275"/>
      <c r="O1528" s="276"/>
      <c r="P1528" s="276"/>
      <c r="Q1528" s="247">
        <f t="shared" si="29"/>
        <v>0</v>
      </c>
      <c r="R1528" s="229"/>
      <c r="S1528" s="229"/>
      <c r="T1528" s="229"/>
      <c r="U1528" s="229"/>
      <c r="V1528" s="229"/>
      <c r="W1528" s="229"/>
      <c r="X1528" s="229"/>
    </row>
    <row r="1529" spans="1:24" ht="15.75" hidden="1">
      <c r="A1529" s="343"/>
      <c r="B1529" s="344"/>
      <c r="C1529" s="275"/>
      <c r="D1529" s="275"/>
      <c r="E1529" s="275"/>
      <c r="F1529" s="275"/>
      <c r="G1529" s="275"/>
      <c r="H1529" s="275"/>
      <c r="I1529" s="275"/>
      <c r="J1529" s="275"/>
      <c r="K1529" s="275"/>
      <c r="L1529" s="275"/>
      <c r="M1529" s="275"/>
      <c r="N1529" s="275"/>
      <c r="O1529" s="276"/>
      <c r="P1529" s="276"/>
      <c r="Q1529" s="247">
        <f t="shared" si="29"/>
        <v>0</v>
      </c>
      <c r="R1529" s="229"/>
      <c r="S1529" s="229"/>
      <c r="T1529" s="229"/>
      <c r="U1529" s="229"/>
      <c r="V1529" s="229"/>
      <c r="W1529" s="229"/>
      <c r="X1529" s="229"/>
    </row>
    <row r="1530" spans="1:24" ht="15.75" hidden="1">
      <c r="A1530" s="343"/>
      <c r="B1530" s="344"/>
      <c r="C1530" s="275"/>
      <c r="D1530" s="275"/>
      <c r="E1530" s="275"/>
      <c r="F1530" s="275"/>
      <c r="G1530" s="275"/>
      <c r="H1530" s="275"/>
      <c r="I1530" s="275"/>
      <c r="J1530" s="275"/>
      <c r="K1530" s="275"/>
      <c r="L1530" s="275"/>
      <c r="M1530" s="275"/>
      <c r="N1530" s="275"/>
      <c r="O1530" s="276"/>
      <c r="P1530" s="276"/>
      <c r="Q1530" s="247">
        <f t="shared" si="29"/>
        <v>0</v>
      </c>
      <c r="R1530" s="229"/>
      <c r="S1530" s="229"/>
      <c r="T1530" s="229"/>
      <c r="U1530" s="229"/>
      <c r="V1530" s="229"/>
      <c r="W1530" s="229"/>
      <c r="X1530" s="229"/>
    </row>
    <row r="1531" spans="1:24" ht="15.75" hidden="1">
      <c r="A1531" s="343"/>
      <c r="B1531" s="344"/>
      <c r="C1531" s="275"/>
      <c r="D1531" s="275"/>
      <c r="E1531" s="275"/>
      <c r="F1531" s="275"/>
      <c r="G1531" s="275"/>
      <c r="H1531" s="275"/>
      <c r="I1531" s="275"/>
      <c r="J1531" s="275"/>
      <c r="K1531" s="275"/>
      <c r="L1531" s="275"/>
      <c r="M1531" s="275"/>
      <c r="N1531" s="275"/>
      <c r="O1531" s="276"/>
      <c r="P1531" s="276"/>
      <c r="Q1531" s="247">
        <f t="shared" si="29"/>
        <v>0</v>
      </c>
      <c r="R1531" s="229"/>
      <c r="S1531" s="229"/>
      <c r="T1531" s="229"/>
      <c r="U1531" s="229"/>
      <c r="V1531" s="229"/>
      <c r="W1531" s="229"/>
      <c r="X1531" s="229"/>
    </row>
    <row r="1532" spans="1:24" ht="15.75" hidden="1">
      <c r="A1532" s="343"/>
      <c r="B1532" s="344"/>
      <c r="C1532" s="275"/>
      <c r="D1532" s="275"/>
      <c r="E1532" s="275"/>
      <c r="F1532" s="275"/>
      <c r="G1532" s="275"/>
      <c r="H1532" s="275"/>
      <c r="I1532" s="275"/>
      <c r="J1532" s="275"/>
      <c r="K1532" s="275"/>
      <c r="L1532" s="275"/>
      <c r="M1532" s="275"/>
      <c r="N1532" s="275"/>
      <c r="O1532" s="276"/>
      <c r="P1532" s="276"/>
      <c r="Q1532" s="247">
        <f t="shared" si="29"/>
        <v>0</v>
      </c>
      <c r="R1532" s="229"/>
      <c r="S1532" s="229"/>
      <c r="T1532" s="229"/>
      <c r="U1532" s="229"/>
      <c r="V1532" s="229"/>
      <c r="W1532" s="229"/>
      <c r="X1532" s="229"/>
    </row>
    <row r="1533" spans="1:24" ht="15.75" hidden="1">
      <c r="A1533" s="343"/>
      <c r="B1533" s="344"/>
      <c r="C1533" s="275"/>
      <c r="D1533" s="275"/>
      <c r="E1533" s="275"/>
      <c r="F1533" s="275"/>
      <c r="G1533" s="275"/>
      <c r="H1533" s="275"/>
      <c r="I1533" s="275"/>
      <c r="J1533" s="275"/>
      <c r="K1533" s="275"/>
      <c r="L1533" s="275"/>
      <c r="M1533" s="275"/>
      <c r="N1533" s="275"/>
      <c r="O1533" s="276"/>
      <c r="P1533" s="276"/>
      <c r="Q1533" s="247">
        <f t="shared" si="29"/>
        <v>0</v>
      </c>
      <c r="R1533" s="229"/>
      <c r="S1533" s="229"/>
      <c r="T1533" s="229"/>
      <c r="U1533" s="229"/>
      <c r="V1533" s="229"/>
      <c r="W1533" s="229"/>
      <c r="X1533" s="229"/>
    </row>
    <row r="1534" spans="1:24" ht="15.75" hidden="1">
      <c r="A1534" s="343"/>
      <c r="B1534" s="344"/>
      <c r="C1534" s="275"/>
      <c r="D1534" s="275"/>
      <c r="E1534" s="275"/>
      <c r="F1534" s="275"/>
      <c r="G1534" s="275"/>
      <c r="H1534" s="275"/>
      <c r="I1534" s="275"/>
      <c r="J1534" s="275"/>
      <c r="K1534" s="275"/>
      <c r="L1534" s="275"/>
      <c r="M1534" s="275"/>
      <c r="N1534" s="275"/>
      <c r="O1534" s="276"/>
      <c r="P1534" s="276"/>
      <c r="Q1534" s="247">
        <f t="shared" si="29"/>
        <v>0</v>
      </c>
      <c r="R1534" s="229"/>
      <c r="S1534" s="229"/>
      <c r="T1534" s="229"/>
      <c r="U1534" s="229"/>
      <c r="V1534" s="229"/>
      <c r="W1534" s="229"/>
      <c r="X1534" s="229"/>
    </row>
    <row r="1535" spans="1:24" ht="15.75" hidden="1">
      <c r="A1535" s="343"/>
      <c r="B1535" s="344"/>
      <c r="C1535" s="275"/>
      <c r="D1535" s="275"/>
      <c r="E1535" s="275"/>
      <c r="F1535" s="275"/>
      <c r="G1535" s="275"/>
      <c r="H1535" s="275"/>
      <c r="I1535" s="275"/>
      <c r="J1535" s="275"/>
      <c r="K1535" s="275"/>
      <c r="L1535" s="275"/>
      <c r="M1535" s="275"/>
      <c r="N1535" s="275"/>
      <c r="O1535" s="276"/>
      <c r="P1535" s="276"/>
      <c r="Q1535" s="247">
        <f t="shared" si="29"/>
        <v>0</v>
      </c>
      <c r="R1535" s="229"/>
      <c r="S1535" s="229"/>
      <c r="T1535" s="229"/>
      <c r="U1535" s="229"/>
      <c r="V1535" s="229"/>
      <c r="W1535" s="229"/>
      <c r="X1535" s="229"/>
    </row>
    <row r="1536" spans="1:24" ht="15.75" hidden="1">
      <c r="A1536" s="343"/>
      <c r="B1536" s="344"/>
      <c r="C1536" s="275"/>
      <c r="D1536" s="275"/>
      <c r="E1536" s="275"/>
      <c r="F1536" s="275"/>
      <c r="G1536" s="275"/>
      <c r="H1536" s="275"/>
      <c r="I1536" s="275"/>
      <c r="J1536" s="275"/>
      <c r="K1536" s="275"/>
      <c r="L1536" s="275"/>
      <c r="M1536" s="275"/>
      <c r="N1536" s="275"/>
      <c r="O1536" s="276"/>
      <c r="P1536" s="276"/>
      <c r="Q1536" s="247">
        <f t="shared" si="29"/>
        <v>0</v>
      </c>
      <c r="R1536" s="229"/>
      <c r="S1536" s="229"/>
      <c r="T1536" s="229"/>
      <c r="U1536" s="229"/>
      <c r="V1536" s="229"/>
      <c r="W1536" s="229"/>
      <c r="X1536" s="229"/>
    </row>
    <row r="1537" spans="1:24" ht="15.75" hidden="1">
      <c r="A1537" s="343"/>
      <c r="B1537" s="344"/>
      <c r="C1537" s="275"/>
      <c r="D1537" s="275"/>
      <c r="E1537" s="275"/>
      <c r="F1537" s="275"/>
      <c r="G1537" s="275"/>
      <c r="H1537" s="275"/>
      <c r="I1537" s="275"/>
      <c r="J1537" s="275"/>
      <c r="K1537" s="275"/>
      <c r="L1537" s="275"/>
      <c r="M1537" s="275"/>
      <c r="N1537" s="275"/>
      <c r="O1537" s="276"/>
      <c r="P1537" s="276"/>
      <c r="Q1537" s="247">
        <f t="shared" si="29"/>
        <v>0</v>
      </c>
      <c r="R1537" s="229"/>
      <c r="S1537" s="229"/>
      <c r="T1537" s="229"/>
      <c r="U1537" s="229"/>
      <c r="V1537" s="229"/>
      <c r="W1537" s="229"/>
      <c r="X1537" s="229"/>
    </row>
    <row r="1538" spans="1:24" ht="15.75" hidden="1">
      <c r="A1538" s="343"/>
      <c r="B1538" s="344"/>
      <c r="C1538" s="275"/>
      <c r="D1538" s="275"/>
      <c r="E1538" s="275"/>
      <c r="F1538" s="275"/>
      <c r="G1538" s="275"/>
      <c r="H1538" s="275"/>
      <c r="I1538" s="275"/>
      <c r="J1538" s="275"/>
      <c r="K1538" s="275"/>
      <c r="L1538" s="275"/>
      <c r="M1538" s="275"/>
      <c r="N1538" s="275"/>
      <c r="O1538" s="276"/>
      <c r="P1538" s="276"/>
      <c r="Q1538" s="247">
        <f t="shared" si="29"/>
        <v>0</v>
      </c>
      <c r="R1538" s="229"/>
      <c r="S1538" s="229"/>
      <c r="T1538" s="229"/>
      <c r="U1538" s="229"/>
      <c r="V1538" s="229"/>
      <c r="W1538" s="229"/>
      <c r="X1538" s="229"/>
    </row>
    <row r="1539" spans="1:24" ht="15.75" hidden="1">
      <c r="A1539" s="343"/>
      <c r="B1539" s="344"/>
      <c r="C1539" s="275"/>
      <c r="D1539" s="275"/>
      <c r="E1539" s="275"/>
      <c r="F1539" s="275"/>
      <c r="G1539" s="275"/>
      <c r="H1539" s="275"/>
      <c r="I1539" s="275"/>
      <c r="J1539" s="275"/>
      <c r="K1539" s="275"/>
      <c r="L1539" s="275"/>
      <c r="M1539" s="275"/>
      <c r="N1539" s="275"/>
      <c r="O1539" s="276"/>
      <c r="P1539" s="276"/>
      <c r="Q1539" s="247">
        <f t="shared" si="29"/>
        <v>0</v>
      </c>
      <c r="R1539" s="229"/>
      <c r="S1539" s="229"/>
      <c r="T1539" s="229"/>
      <c r="U1539" s="229"/>
      <c r="V1539" s="229"/>
      <c r="W1539" s="229"/>
      <c r="X1539" s="229"/>
    </row>
    <row r="1540" spans="1:24" ht="15.75" hidden="1">
      <c r="A1540" s="343"/>
      <c r="B1540" s="344"/>
      <c r="C1540" s="275"/>
      <c r="D1540" s="275"/>
      <c r="E1540" s="275"/>
      <c r="F1540" s="275"/>
      <c r="G1540" s="275"/>
      <c r="H1540" s="275"/>
      <c r="I1540" s="275"/>
      <c r="J1540" s="275"/>
      <c r="K1540" s="275"/>
      <c r="L1540" s="275"/>
      <c r="M1540" s="275"/>
      <c r="N1540" s="275"/>
      <c r="O1540" s="276"/>
      <c r="P1540" s="276"/>
      <c r="Q1540" s="247">
        <f t="shared" si="29"/>
        <v>0</v>
      </c>
      <c r="R1540" s="229"/>
      <c r="S1540" s="229"/>
      <c r="T1540" s="229"/>
      <c r="U1540" s="229"/>
      <c r="V1540" s="229"/>
      <c r="W1540" s="229"/>
      <c r="X1540" s="229"/>
    </row>
    <row r="1541" spans="1:24" ht="15.75" hidden="1">
      <c r="A1541" s="343"/>
      <c r="B1541" s="344"/>
      <c r="C1541" s="275"/>
      <c r="D1541" s="275"/>
      <c r="E1541" s="275"/>
      <c r="F1541" s="275"/>
      <c r="G1541" s="275"/>
      <c r="H1541" s="275"/>
      <c r="I1541" s="275"/>
      <c r="J1541" s="275"/>
      <c r="K1541" s="275"/>
      <c r="L1541" s="275"/>
      <c r="M1541" s="275"/>
      <c r="N1541" s="275"/>
      <c r="O1541" s="276"/>
      <c r="P1541" s="276"/>
      <c r="Q1541" s="247">
        <f t="shared" si="29"/>
        <v>0</v>
      </c>
      <c r="R1541" s="229"/>
      <c r="S1541" s="229"/>
      <c r="T1541" s="229"/>
      <c r="U1541" s="229"/>
      <c r="V1541" s="229"/>
      <c r="W1541" s="229"/>
      <c r="X1541" s="229"/>
    </row>
    <row r="1542" spans="1:24" ht="15.75" hidden="1">
      <c r="A1542" s="343"/>
      <c r="B1542" s="344"/>
      <c r="C1542" s="275"/>
      <c r="D1542" s="275"/>
      <c r="E1542" s="275"/>
      <c r="F1542" s="275"/>
      <c r="G1542" s="275"/>
      <c r="H1542" s="275"/>
      <c r="I1542" s="275"/>
      <c r="J1542" s="275"/>
      <c r="K1542" s="275"/>
      <c r="L1542" s="275"/>
      <c r="M1542" s="275"/>
      <c r="N1542" s="275"/>
      <c r="O1542" s="276"/>
      <c r="P1542" s="276"/>
      <c r="Q1542" s="247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9"/>
      <c r="S1542" s="229"/>
      <c r="T1542" s="229"/>
      <c r="U1542" s="229"/>
      <c r="V1542" s="229"/>
      <c r="W1542" s="229"/>
      <c r="X1542" s="229"/>
    </row>
    <row r="1543" spans="1:24" ht="15.75" hidden="1">
      <c r="A1543" s="343"/>
      <c r="B1543" s="344"/>
      <c r="C1543" s="275"/>
      <c r="D1543" s="275"/>
      <c r="E1543" s="275"/>
      <c r="F1543" s="275"/>
      <c r="G1543" s="275"/>
      <c r="H1543" s="275"/>
      <c r="I1543" s="275"/>
      <c r="J1543" s="275"/>
      <c r="K1543" s="275"/>
      <c r="L1543" s="275"/>
      <c r="M1543" s="275"/>
      <c r="N1543" s="275"/>
      <c r="O1543" s="276"/>
      <c r="P1543" s="276"/>
      <c r="Q1543" s="247">
        <f t="shared" si="30"/>
        <v>0</v>
      </c>
      <c r="R1543" s="229"/>
      <c r="S1543" s="229"/>
      <c r="T1543" s="229"/>
      <c r="U1543" s="229"/>
      <c r="V1543" s="229"/>
      <c r="W1543" s="229"/>
      <c r="X1543" s="229"/>
    </row>
    <row r="1544" spans="1:24" ht="15.75" hidden="1">
      <c r="A1544" s="343"/>
      <c r="B1544" s="344"/>
      <c r="C1544" s="275"/>
      <c r="D1544" s="275"/>
      <c r="E1544" s="275"/>
      <c r="F1544" s="275"/>
      <c r="G1544" s="275"/>
      <c r="H1544" s="275"/>
      <c r="I1544" s="275"/>
      <c r="J1544" s="275"/>
      <c r="K1544" s="275"/>
      <c r="L1544" s="275"/>
      <c r="M1544" s="275"/>
      <c r="N1544" s="275"/>
      <c r="O1544" s="276"/>
      <c r="P1544" s="276"/>
      <c r="Q1544" s="247">
        <f t="shared" si="30"/>
        <v>0</v>
      </c>
      <c r="R1544" s="229"/>
      <c r="S1544" s="229"/>
      <c r="T1544" s="229"/>
      <c r="U1544" s="229"/>
      <c r="V1544" s="229"/>
      <c r="W1544" s="229"/>
      <c r="X1544" s="229"/>
    </row>
    <row r="1545" spans="1:24" ht="15.75" hidden="1">
      <c r="A1545" s="343"/>
      <c r="B1545" s="344"/>
      <c r="C1545" s="275"/>
      <c r="D1545" s="275"/>
      <c r="E1545" s="275"/>
      <c r="F1545" s="275"/>
      <c r="G1545" s="275"/>
      <c r="H1545" s="275"/>
      <c r="I1545" s="275"/>
      <c r="J1545" s="275"/>
      <c r="K1545" s="275"/>
      <c r="L1545" s="275"/>
      <c r="M1545" s="275"/>
      <c r="N1545" s="275"/>
      <c r="O1545" s="276"/>
      <c r="P1545" s="276"/>
      <c r="Q1545" s="247">
        <f t="shared" si="30"/>
        <v>0</v>
      </c>
      <c r="R1545" s="229"/>
      <c r="S1545" s="229"/>
      <c r="T1545" s="229"/>
      <c r="U1545" s="229"/>
      <c r="V1545" s="229"/>
      <c r="W1545" s="229"/>
      <c r="X1545" s="229"/>
    </row>
    <row r="1546" spans="1:24" ht="15.75" hidden="1">
      <c r="A1546" s="343"/>
      <c r="B1546" s="344"/>
      <c r="C1546" s="275"/>
      <c r="D1546" s="275"/>
      <c r="E1546" s="275"/>
      <c r="F1546" s="275"/>
      <c r="G1546" s="275"/>
      <c r="H1546" s="275"/>
      <c r="I1546" s="275"/>
      <c r="J1546" s="275"/>
      <c r="K1546" s="275"/>
      <c r="L1546" s="275"/>
      <c r="M1546" s="275"/>
      <c r="N1546" s="275"/>
      <c r="O1546" s="276"/>
      <c r="P1546" s="276"/>
      <c r="Q1546" s="247">
        <f t="shared" si="30"/>
        <v>0</v>
      </c>
      <c r="R1546" s="229"/>
      <c r="S1546" s="229"/>
      <c r="T1546" s="229"/>
      <c r="U1546" s="229"/>
      <c r="V1546" s="229"/>
      <c r="W1546" s="229"/>
      <c r="X1546" s="229"/>
    </row>
    <row r="1547" spans="1:24" ht="15.75" hidden="1">
      <c r="A1547" s="343"/>
      <c r="B1547" s="344"/>
      <c r="C1547" s="275"/>
      <c r="D1547" s="275"/>
      <c r="E1547" s="275"/>
      <c r="F1547" s="275"/>
      <c r="G1547" s="275"/>
      <c r="H1547" s="275"/>
      <c r="I1547" s="275"/>
      <c r="J1547" s="275"/>
      <c r="K1547" s="275"/>
      <c r="L1547" s="275"/>
      <c r="M1547" s="275"/>
      <c r="N1547" s="275"/>
      <c r="O1547" s="276"/>
      <c r="P1547" s="276"/>
      <c r="Q1547" s="247">
        <f t="shared" si="30"/>
        <v>0</v>
      </c>
      <c r="R1547" s="229"/>
      <c r="S1547" s="229"/>
      <c r="T1547" s="229"/>
      <c r="U1547" s="229"/>
      <c r="V1547" s="229"/>
      <c r="W1547" s="229"/>
      <c r="X1547" s="229"/>
    </row>
    <row r="1548" spans="1:24" ht="15.75" hidden="1">
      <c r="A1548" s="343"/>
      <c r="B1548" s="344"/>
      <c r="C1548" s="275"/>
      <c r="D1548" s="275"/>
      <c r="E1548" s="275"/>
      <c r="F1548" s="275"/>
      <c r="G1548" s="275"/>
      <c r="H1548" s="275"/>
      <c r="I1548" s="275"/>
      <c r="J1548" s="275"/>
      <c r="K1548" s="275"/>
      <c r="L1548" s="275"/>
      <c r="M1548" s="275"/>
      <c r="N1548" s="275"/>
      <c r="O1548" s="276"/>
      <c r="P1548" s="276"/>
      <c r="Q1548" s="247">
        <f t="shared" si="30"/>
        <v>0</v>
      </c>
      <c r="R1548" s="229"/>
      <c r="S1548" s="229"/>
      <c r="T1548" s="229"/>
      <c r="U1548" s="229"/>
      <c r="V1548" s="229"/>
      <c r="W1548" s="229"/>
      <c r="X1548" s="229"/>
    </row>
    <row r="1549" spans="1:24" ht="15.75" hidden="1">
      <c r="A1549" s="343"/>
      <c r="B1549" s="344"/>
      <c r="C1549" s="275"/>
      <c r="D1549" s="275"/>
      <c r="E1549" s="275"/>
      <c r="F1549" s="275"/>
      <c r="G1549" s="275"/>
      <c r="H1549" s="275"/>
      <c r="I1549" s="275"/>
      <c r="J1549" s="275"/>
      <c r="K1549" s="275"/>
      <c r="L1549" s="275"/>
      <c r="M1549" s="275"/>
      <c r="N1549" s="275"/>
      <c r="O1549" s="276"/>
      <c r="P1549" s="276"/>
      <c r="Q1549" s="247">
        <f t="shared" si="30"/>
        <v>0</v>
      </c>
      <c r="R1549" s="229"/>
      <c r="S1549" s="229"/>
      <c r="T1549" s="229"/>
      <c r="U1549" s="229"/>
      <c r="V1549" s="229"/>
      <c r="W1549" s="229"/>
      <c r="X1549" s="229"/>
    </row>
    <row r="1550" spans="1:24" ht="15.75" hidden="1">
      <c r="A1550" s="343"/>
      <c r="B1550" s="344"/>
      <c r="C1550" s="275"/>
      <c r="D1550" s="275"/>
      <c r="E1550" s="275"/>
      <c r="F1550" s="275"/>
      <c r="G1550" s="275"/>
      <c r="H1550" s="275"/>
      <c r="I1550" s="275"/>
      <c r="J1550" s="275"/>
      <c r="K1550" s="275"/>
      <c r="L1550" s="275"/>
      <c r="M1550" s="275"/>
      <c r="N1550" s="275"/>
      <c r="O1550" s="276"/>
      <c r="P1550" s="276"/>
      <c r="Q1550" s="247">
        <f t="shared" si="30"/>
        <v>0</v>
      </c>
      <c r="R1550" s="229"/>
      <c r="S1550" s="229"/>
      <c r="T1550" s="229"/>
      <c r="U1550" s="229"/>
      <c r="V1550" s="229"/>
      <c r="W1550" s="229"/>
      <c r="X1550" s="229"/>
    </row>
    <row r="1551" spans="1:24" ht="15.75" hidden="1">
      <c r="A1551" s="343"/>
      <c r="B1551" s="344"/>
      <c r="C1551" s="275"/>
      <c r="D1551" s="275"/>
      <c r="E1551" s="275"/>
      <c r="F1551" s="275"/>
      <c r="G1551" s="275"/>
      <c r="H1551" s="275"/>
      <c r="I1551" s="275"/>
      <c r="J1551" s="275"/>
      <c r="K1551" s="275"/>
      <c r="L1551" s="275"/>
      <c r="M1551" s="275"/>
      <c r="N1551" s="275"/>
      <c r="O1551" s="276"/>
      <c r="P1551" s="276"/>
      <c r="Q1551" s="247">
        <f t="shared" si="30"/>
        <v>0</v>
      </c>
      <c r="R1551" s="229"/>
      <c r="S1551" s="229"/>
      <c r="T1551" s="229"/>
      <c r="U1551" s="229"/>
      <c r="V1551" s="229"/>
      <c r="W1551" s="229"/>
      <c r="X1551" s="229"/>
    </row>
    <row r="1552" spans="1:24" ht="15.75" hidden="1">
      <c r="A1552" s="343"/>
      <c r="B1552" s="344"/>
      <c r="C1552" s="275"/>
      <c r="D1552" s="275"/>
      <c r="E1552" s="275"/>
      <c r="F1552" s="275"/>
      <c r="G1552" s="275"/>
      <c r="H1552" s="275"/>
      <c r="I1552" s="275"/>
      <c r="J1552" s="275"/>
      <c r="K1552" s="275"/>
      <c r="L1552" s="275"/>
      <c r="M1552" s="275"/>
      <c r="N1552" s="275"/>
      <c r="O1552" s="276"/>
      <c r="P1552" s="276"/>
      <c r="Q1552" s="247">
        <f t="shared" si="30"/>
        <v>0</v>
      </c>
      <c r="R1552" s="229"/>
      <c r="S1552" s="229"/>
      <c r="T1552" s="229"/>
      <c r="U1552" s="229"/>
      <c r="V1552" s="229"/>
      <c r="W1552" s="229"/>
      <c r="X1552" s="229"/>
    </row>
    <row r="1553" spans="1:24" ht="15.75" hidden="1">
      <c r="A1553" s="343"/>
      <c r="B1553" s="344"/>
      <c r="C1553" s="275"/>
      <c r="D1553" s="275"/>
      <c r="E1553" s="275"/>
      <c r="F1553" s="275"/>
      <c r="G1553" s="275"/>
      <c r="H1553" s="275"/>
      <c r="I1553" s="275"/>
      <c r="J1553" s="275"/>
      <c r="K1553" s="275"/>
      <c r="L1553" s="275"/>
      <c r="M1553" s="275"/>
      <c r="N1553" s="275"/>
      <c r="O1553" s="276"/>
      <c r="P1553" s="276"/>
      <c r="Q1553" s="247">
        <f t="shared" si="30"/>
        <v>0</v>
      </c>
      <c r="R1553" s="229"/>
      <c r="S1553" s="229"/>
      <c r="T1553" s="229"/>
      <c r="U1553" s="229"/>
      <c r="V1553" s="229"/>
      <c r="W1553" s="229"/>
      <c r="X1553" s="229"/>
    </row>
    <row r="1554" spans="1:24" ht="15.75" hidden="1">
      <c r="A1554" s="343"/>
      <c r="B1554" s="344"/>
      <c r="C1554" s="275"/>
      <c r="D1554" s="275"/>
      <c r="E1554" s="275"/>
      <c r="F1554" s="275"/>
      <c r="G1554" s="275"/>
      <c r="H1554" s="275"/>
      <c r="I1554" s="275"/>
      <c r="J1554" s="275"/>
      <c r="K1554" s="275"/>
      <c r="L1554" s="275"/>
      <c r="M1554" s="275"/>
      <c r="N1554" s="275"/>
      <c r="O1554" s="276"/>
      <c r="P1554" s="276"/>
      <c r="Q1554" s="247">
        <f t="shared" si="30"/>
        <v>0</v>
      </c>
      <c r="R1554" s="229"/>
      <c r="S1554" s="229"/>
      <c r="T1554" s="229"/>
      <c r="U1554" s="229"/>
      <c r="V1554" s="229"/>
      <c r="W1554" s="229"/>
      <c r="X1554" s="229"/>
    </row>
    <row r="1555" spans="1:24" ht="15.75" hidden="1">
      <c r="A1555" s="343"/>
      <c r="B1555" s="344"/>
      <c r="C1555" s="275"/>
      <c r="D1555" s="275"/>
      <c r="E1555" s="275"/>
      <c r="F1555" s="275"/>
      <c r="G1555" s="275"/>
      <c r="H1555" s="275"/>
      <c r="I1555" s="275"/>
      <c r="J1555" s="275"/>
      <c r="K1555" s="275"/>
      <c r="L1555" s="275"/>
      <c r="M1555" s="275"/>
      <c r="N1555" s="275"/>
      <c r="O1555" s="276"/>
      <c r="P1555" s="276"/>
      <c r="Q1555" s="247">
        <f t="shared" si="30"/>
        <v>0</v>
      </c>
      <c r="R1555" s="229"/>
      <c r="S1555" s="229"/>
      <c r="T1555" s="229"/>
      <c r="U1555" s="229"/>
      <c r="V1555" s="229"/>
      <c r="W1555" s="229"/>
      <c r="X1555" s="229"/>
    </row>
    <row r="1556" spans="1:24" ht="15.75" hidden="1">
      <c r="A1556" s="343"/>
      <c r="B1556" s="344"/>
      <c r="C1556" s="275"/>
      <c r="D1556" s="275"/>
      <c r="E1556" s="275"/>
      <c r="F1556" s="275"/>
      <c r="G1556" s="275"/>
      <c r="H1556" s="275"/>
      <c r="I1556" s="275"/>
      <c r="J1556" s="275"/>
      <c r="K1556" s="275"/>
      <c r="L1556" s="275"/>
      <c r="M1556" s="275"/>
      <c r="N1556" s="275"/>
      <c r="O1556" s="276"/>
      <c r="P1556" s="276"/>
      <c r="Q1556" s="247">
        <f t="shared" si="30"/>
        <v>0</v>
      </c>
      <c r="R1556" s="229"/>
      <c r="S1556" s="229"/>
      <c r="T1556" s="229"/>
      <c r="U1556" s="229"/>
      <c r="V1556" s="229"/>
      <c r="W1556" s="229"/>
      <c r="X1556" s="229"/>
    </row>
    <row r="1557" spans="1:24" ht="15.75" hidden="1">
      <c r="A1557" s="343"/>
      <c r="B1557" s="344"/>
      <c r="C1557" s="275"/>
      <c r="D1557" s="275"/>
      <c r="E1557" s="275"/>
      <c r="F1557" s="275"/>
      <c r="G1557" s="275"/>
      <c r="H1557" s="275"/>
      <c r="I1557" s="275"/>
      <c r="J1557" s="275"/>
      <c r="K1557" s="275"/>
      <c r="L1557" s="275"/>
      <c r="M1557" s="275"/>
      <c r="N1557" s="275"/>
      <c r="O1557" s="276"/>
      <c r="P1557" s="276"/>
      <c r="Q1557" s="247">
        <f t="shared" si="30"/>
        <v>0</v>
      </c>
      <c r="R1557" s="229"/>
      <c r="S1557" s="229"/>
      <c r="T1557" s="229"/>
      <c r="U1557" s="229"/>
      <c r="V1557" s="229"/>
      <c r="W1557" s="229"/>
      <c r="X1557" s="229"/>
    </row>
    <row r="1558" spans="1:24" ht="15.75" hidden="1">
      <c r="A1558" s="343"/>
      <c r="B1558" s="344"/>
      <c r="C1558" s="275"/>
      <c r="D1558" s="275"/>
      <c r="E1558" s="275"/>
      <c r="F1558" s="275"/>
      <c r="G1558" s="275"/>
      <c r="H1558" s="275"/>
      <c r="I1558" s="275"/>
      <c r="J1558" s="275"/>
      <c r="K1558" s="275"/>
      <c r="L1558" s="275"/>
      <c r="M1558" s="275"/>
      <c r="N1558" s="275"/>
      <c r="O1558" s="276"/>
      <c r="P1558" s="276"/>
      <c r="Q1558" s="247">
        <f t="shared" si="30"/>
        <v>0</v>
      </c>
      <c r="R1558" s="229"/>
      <c r="S1558" s="229"/>
      <c r="T1558" s="229"/>
      <c r="U1558" s="229"/>
      <c r="V1558" s="229"/>
      <c r="W1558" s="229"/>
      <c r="X1558" s="229"/>
    </row>
    <row r="1559" spans="1:24" ht="15.75" hidden="1">
      <c r="A1559" s="343"/>
      <c r="B1559" s="344"/>
      <c r="C1559" s="275"/>
      <c r="D1559" s="275"/>
      <c r="E1559" s="275"/>
      <c r="F1559" s="275"/>
      <c r="G1559" s="275"/>
      <c r="H1559" s="275"/>
      <c r="I1559" s="275"/>
      <c r="J1559" s="275"/>
      <c r="K1559" s="275"/>
      <c r="L1559" s="275"/>
      <c r="M1559" s="275"/>
      <c r="N1559" s="275"/>
      <c r="O1559" s="276"/>
      <c r="P1559" s="276"/>
      <c r="Q1559" s="247">
        <f t="shared" si="30"/>
        <v>0</v>
      </c>
      <c r="R1559" s="229"/>
      <c r="S1559" s="229"/>
      <c r="T1559" s="229"/>
      <c r="U1559" s="229"/>
      <c r="V1559" s="229"/>
      <c r="W1559" s="229"/>
      <c r="X1559" s="229"/>
    </row>
    <row r="1560" spans="1:24" ht="15.75" hidden="1">
      <c r="A1560" s="343"/>
      <c r="B1560" s="344"/>
      <c r="C1560" s="275"/>
      <c r="D1560" s="275"/>
      <c r="E1560" s="275"/>
      <c r="F1560" s="275"/>
      <c r="G1560" s="275"/>
      <c r="H1560" s="275"/>
      <c r="I1560" s="275"/>
      <c r="J1560" s="275"/>
      <c r="K1560" s="275"/>
      <c r="L1560" s="275"/>
      <c r="M1560" s="275"/>
      <c r="N1560" s="275"/>
      <c r="O1560" s="276"/>
      <c r="P1560" s="276"/>
      <c r="Q1560" s="247">
        <f t="shared" si="30"/>
        <v>0</v>
      </c>
      <c r="R1560" s="229"/>
      <c r="S1560" s="229"/>
      <c r="T1560" s="229"/>
      <c r="U1560" s="229"/>
      <c r="V1560" s="229"/>
      <c r="W1560" s="229"/>
      <c r="X1560" s="229"/>
    </row>
    <row r="1561" spans="1:24" ht="15.75" hidden="1">
      <c r="A1561" s="343"/>
      <c r="B1561" s="344"/>
      <c r="C1561" s="275"/>
      <c r="D1561" s="275"/>
      <c r="E1561" s="275"/>
      <c r="F1561" s="275"/>
      <c r="G1561" s="275"/>
      <c r="H1561" s="275"/>
      <c r="I1561" s="275"/>
      <c r="J1561" s="275"/>
      <c r="K1561" s="275"/>
      <c r="L1561" s="275"/>
      <c r="M1561" s="275"/>
      <c r="N1561" s="275"/>
      <c r="O1561" s="276"/>
      <c r="P1561" s="276"/>
      <c r="Q1561" s="247">
        <f t="shared" si="30"/>
        <v>0</v>
      </c>
      <c r="R1561" s="229"/>
      <c r="S1561" s="229"/>
      <c r="T1561" s="229"/>
      <c r="U1561" s="229"/>
      <c r="V1561" s="229"/>
      <c r="W1561" s="229"/>
      <c r="X1561" s="229"/>
    </row>
    <row r="1562" spans="1:24" ht="15.75" hidden="1">
      <c r="A1562" s="343"/>
      <c r="B1562" s="344"/>
      <c r="C1562" s="275"/>
      <c r="D1562" s="275"/>
      <c r="E1562" s="275"/>
      <c r="F1562" s="275"/>
      <c r="G1562" s="275"/>
      <c r="H1562" s="275"/>
      <c r="I1562" s="275"/>
      <c r="J1562" s="275"/>
      <c r="K1562" s="275"/>
      <c r="L1562" s="275"/>
      <c r="M1562" s="275"/>
      <c r="N1562" s="275"/>
      <c r="O1562" s="276"/>
      <c r="P1562" s="276"/>
      <c r="Q1562" s="247">
        <f t="shared" si="30"/>
        <v>0</v>
      </c>
      <c r="R1562" s="229"/>
      <c r="S1562" s="229"/>
      <c r="T1562" s="229"/>
      <c r="U1562" s="229"/>
      <c r="V1562" s="229"/>
      <c r="W1562" s="229"/>
      <c r="X1562" s="229"/>
    </row>
    <row r="1563" spans="1:24" ht="15.75" hidden="1">
      <c r="A1563" s="343"/>
      <c r="B1563" s="344"/>
      <c r="C1563" s="275"/>
      <c r="D1563" s="275"/>
      <c r="E1563" s="275"/>
      <c r="F1563" s="275"/>
      <c r="G1563" s="275"/>
      <c r="H1563" s="275"/>
      <c r="I1563" s="275"/>
      <c r="J1563" s="275"/>
      <c r="K1563" s="275"/>
      <c r="L1563" s="275"/>
      <c r="M1563" s="275"/>
      <c r="N1563" s="275"/>
      <c r="O1563" s="276"/>
      <c r="P1563" s="276"/>
      <c r="Q1563" s="247">
        <f t="shared" si="30"/>
        <v>0</v>
      </c>
      <c r="R1563" s="229"/>
      <c r="S1563" s="229"/>
      <c r="T1563" s="229"/>
      <c r="U1563" s="229"/>
      <c r="V1563" s="229"/>
      <c r="W1563" s="229"/>
      <c r="X1563" s="229"/>
    </row>
    <row r="1564" spans="1:24" ht="15.75" hidden="1">
      <c r="A1564" s="343"/>
      <c r="B1564" s="344"/>
      <c r="C1564" s="275"/>
      <c r="D1564" s="275"/>
      <c r="E1564" s="275"/>
      <c r="F1564" s="275"/>
      <c r="G1564" s="275"/>
      <c r="H1564" s="275"/>
      <c r="I1564" s="275"/>
      <c r="J1564" s="275"/>
      <c r="K1564" s="275"/>
      <c r="L1564" s="275"/>
      <c r="M1564" s="275"/>
      <c r="N1564" s="275"/>
      <c r="O1564" s="276"/>
      <c r="P1564" s="276"/>
      <c r="Q1564" s="247">
        <f t="shared" si="30"/>
        <v>0</v>
      </c>
      <c r="R1564" s="229"/>
      <c r="S1564" s="229"/>
      <c r="T1564" s="229"/>
      <c r="U1564" s="229"/>
      <c r="V1564" s="229"/>
      <c r="W1564" s="229"/>
      <c r="X1564" s="229"/>
    </row>
    <row r="1565" spans="1:24" ht="15.75" hidden="1">
      <c r="A1565" s="343"/>
      <c r="B1565" s="344"/>
      <c r="C1565" s="275"/>
      <c r="D1565" s="275"/>
      <c r="E1565" s="275"/>
      <c r="F1565" s="275"/>
      <c r="G1565" s="275"/>
      <c r="H1565" s="275"/>
      <c r="I1565" s="275"/>
      <c r="J1565" s="275"/>
      <c r="K1565" s="275"/>
      <c r="L1565" s="275"/>
      <c r="M1565" s="275"/>
      <c r="N1565" s="275"/>
      <c r="O1565" s="276"/>
      <c r="P1565" s="276"/>
      <c r="Q1565" s="247">
        <f t="shared" si="30"/>
        <v>0</v>
      </c>
      <c r="R1565" s="229"/>
      <c r="S1565" s="229"/>
      <c r="T1565" s="229"/>
      <c r="U1565" s="229"/>
      <c r="V1565" s="229"/>
      <c r="W1565" s="229"/>
      <c r="X1565" s="229"/>
    </row>
    <row r="1566" spans="1:24" ht="15.75" hidden="1">
      <c r="A1566" s="343"/>
      <c r="B1566" s="344"/>
      <c r="C1566" s="275"/>
      <c r="D1566" s="275"/>
      <c r="E1566" s="275"/>
      <c r="F1566" s="275"/>
      <c r="G1566" s="275"/>
      <c r="H1566" s="275"/>
      <c r="I1566" s="275"/>
      <c r="J1566" s="275"/>
      <c r="K1566" s="275"/>
      <c r="L1566" s="275"/>
      <c r="M1566" s="275"/>
      <c r="N1566" s="275"/>
      <c r="O1566" s="276"/>
      <c r="P1566" s="276"/>
      <c r="Q1566" s="247">
        <f t="shared" si="30"/>
        <v>0</v>
      </c>
      <c r="R1566" s="229"/>
      <c r="S1566" s="229"/>
      <c r="T1566" s="229"/>
      <c r="U1566" s="229"/>
      <c r="V1566" s="229"/>
      <c r="W1566" s="229"/>
      <c r="X1566" s="229"/>
    </row>
    <row r="1567" spans="1:24" ht="15.75" hidden="1">
      <c r="A1567" s="343"/>
      <c r="B1567" s="344"/>
      <c r="C1567" s="275"/>
      <c r="D1567" s="275"/>
      <c r="E1567" s="275"/>
      <c r="F1567" s="275"/>
      <c r="G1567" s="275"/>
      <c r="H1567" s="275"/>
      <c r="I1567" s="275"/>
      <c r="J1567" s="275"/>
      <c r="K1567" s="275"/>
      <c r="L1567" s="275"/>
      <c r="M1567" s="275"/>
      <c r="N1567" s="275"/>
      <c r="O1567" s="276"/>
      <c r="P1567" s="276"/>
      <c r="Q1567" s="247">
        <f t="shared" si="30"/>
        <v>0</v>
      </c>
      <c r="R1567" s="229"/>
      <c r="S1567" s="229"/>
      <c r="T1567" s="229"/>
      <c r="U1567" s="229"/>
      <c r="V1567" s="229"/>
      <c r="W1567" s="229"/>
      <c r="X1567" s="229"/>
    </row>
    <row r="1568" spans="1:24" ht="15.75" hidden="1">
      <c r="A1568" s="343"/>
      <c r="B1568" s="344"/>
      <c r="C1568" s="275"/>
      <c r="D1568" s="275"/>
      <c r="E1568" s="275"/>
      <c r="F1568" s="275"/>
      <c r="G1568" s="275"/>
      <c r="H1568" s="275"/>
      <c r="I1568" s="275"/>
      <c r="J1568" s="275"/>
      <c r="K1568" s="275"/>
      <c r="L1568" s="275"/>
      <c r="M1568" s="275"/>
      <c r="N1568" s="275"/>
      <c r="O1568" s="276"/>
      <c r="P1568" s="276"/>
      <c r="Q1568" s="247">
        <f t="shared" si="30"/>
        <v>0</v>
      </c>
      <c r="R1568" s="229"/>
      <c r="S1568" s="229"/>
      <c r="T1568" s="229"/>
      <c r="U1568" s="229"/>
      <c r="V1568" s="229"/>
      <c r="W1568" s="229"/>
      <c r="X1568" s="229"/>
    </row>
    <row r="1569" spans="1:24" ht="15.75" hidden="1">
      <c r="A1569" s="343"/>
      <c r="B1569" s="344"/>
      <c r="C1569" s="275"/>
      <c r="D1569" s="275"/>
      <c r="E1569" s="275"/>
      <c r="F1569" s="275"/>
      <c r="G1569" s="275"/>
      <c r="H1569" s="275"/>
      <c r="I1569" s="275"/>
      <c r="J1569" s="275"/>
      <c r="K1569" s="275"/>
      <c r="L1569" s="275"/>
      <c r="M1569" s="275"/>
      <c r="N1569" s="275"/>
      <c r="O1569" s="276"/>
      <c r="P1569" s="276"/>
      <c r="Q1569" s="247">
        <f t="shared" si="30"/>
        <v>0</v>
      </c>
      <c r="R1569" s="229"/>
      <c r="S1569" s="229"/>
      <c r="T1569" s="229"/>
      <c r="U1569" s="229"/>
      <c r="V1569" s="229"/>
      <c r="W1569" s="229"/>
      <c r="X1569" s="229"/>
    </row>
    <row r="1570" spans="1:24" ht="15.75" hidden="1">
      <c r="A1570" s="343"/>
      <c r="B1570" s="344"/>
      <c r="C1570" s="275"/>
      <c r="D1570" s="275"/>
      <c r="E1570" s="275"/>
      <c r="F1570" s="275"/>
      <c r="G1570" s="275"/>
      <c r="H1570" s="275"/>
      <c r="I1570" s="275"/>
      <c r="J1570" s="275"/>
      <c r="K1570" s="275"/>
      <c r="L1570" s="275"/>
      <c r="M1570" s="275"/>
      <c r="N1570" s="275"/>
      <c r="O1570" s="276"/>
      <c r="P1570" s="276"/>
      <c r="Q1570" s="247">
        <f t="shared" si="30"/>
        <v>0</v>
      </c>
      <c r="R1570" s="229"/>
      <c r="S1570" s="229"/>
      <c r="T1570" s="229"/>
      <c r="U1570" s="229"/>
      <c r="V1570" s="229"/>
      <c r="W1570" s="229"/>
      <c r="X1570" s="229"/>
    </row>
    <row r="1571" spans="1:24" ht="15.75" hidden="1">
      <c r="A1571" s="343"/>
      <c r="B1571" s="344"/>
      <c r="C1571" s="275"/>
      <c r="D1571" s="275"/>
      <c r="E1571" s="275"/>
      <c r="F1571" s="275"/>
      <c r="G1571" s="275"/>
      <c r="H1571" s="275"/>
      <c r="I1571" s="275"/>
      <c r="J1571" s="275"/>
      <c r="K1571" s="275"/>
      <c r="L1571" s="275"/>
      <c r="M1571" s="275"/>
      <c r="N1571" s="275"/>
      <c r="O1571" s="276"/>
      <c r="P1571" s="276"/>
      <c r="Q1571" s="247">
        <f t="shared" si="30"/>
        <v>0</v>
      </c>
      <c r="R1571" s="229"/>
      <c r="S1571" s="229"/>
      <c r="T1571" s="229"/>
      <c r="U1571" s="229"/>
      <c r="V1571" s="229"/>
      <c r="W1571" s="229"/>
      <c r="X1571" s="229"/>
    </row>
    <row r="1572" spans="1:24" ht="15.75" hidden="1">
      <c r="A1572" s="343"/>
      <c r="B1572" s="344"/>
      <c r="C1572" s="275"/>
      <c r="D1572" s="275"/>
      <c r="E1572" s="275"/>
      <c r="F1572" s="275"/>
      <c r="G1572" s="275"/>
      <c r="H1572" s="275"/>
      <c r="I1572" s="275"/>
      <c r="J1572" s="275"/>
      <c r="K1572" s="275"/>
      <c r="L1572" s="275"/>
      <c r="M1572" s="275"/>
      <c r="N1572" s="275"/>
      <c r="O1572" s="276"/>
      <c r="P1572" s="276"/>
      <c r="Q1572" s="247">
        <f t="shared" si="30"/>
        <v>0</v>
      </c>
      <c r="R1572" s="229"/>
      <c r="S1572" s="229"/>
      <c r="T1572" s="229"/>
      <c r="U1572" s="229"/>
      <c r="V1572" s="229"/>
      <c r="W1572" s="229"/>
      <c r="X1572" s="229"/>
    </row>
    <row r="1573" spans="1:24" ht="15.75" hidden="1">
      <c r="A1573" s="343"/>
      <c r="B1573" s="344"/>
      <c r="C1573" s="275"/>
      <c r="D1573" s="275"/>
      <c r="E1573" s="275"/>
      <c r="F1573" s="275"/>
      <c r="G1573" s="275"/>
      <c r="H1573" s="275"/>
      <c r="I1573" s="275"/>
      <c r="J1573" s="275"/>
      <c r="K1573" s="275"/>
      <c r="L1573" s="275"/>
      <c r="M1573" s="275"/>
      <c r="N1573" s="275"/>
      <c r="O1573" s="276"/>
      <c r="P1573" s="276"/>
      <c r="Q1573" s="247">
        <f t="shared" si="30"/>
        <v>0</v>
      </c>
      <c r="R1573" s="229"/>
      <c r="S1573" s="229"/>
      <c r="T1573" s="229"/>
      <c r="U1573" s="229"/>
      <c r="V1573" s="229"/>
      <c r="W1573" s="229"/>
      <c r="X1573" s="229"/>
    </row>
    <row r="1574" spans="1:24" ht="15.75" hidden="1">
      <c r="A1574" s="343"/>
      <c r="B1574" s="344"/>
      <c r="C1574" s="275"/>
      <c r="D1574" s="275"/>
      <c r="E1574" s="275"/>
      <c r="F1574" s="275"/>
      <c r="G1574" s="275"/>
      <c r="H1574" s="275"/>
      <c r="I1574" s="275"/>
      <c r="J1574" s="275"/>
      <c r="K1574" s="275"/>
      <c r="L1574" s="275"/>
      <c r="M1574" s="275"/>
      <c r="N1574" s="275"/>
      <c r="O1574" s="276"/>
      <c r="P1574" s="276"/>
      <c r="Q1574" s="247">
        <f t="shared" si="30"/>
        <v>0</v>
      </c>
      <c r="R1574" s="229"/>
      <c r="S1574" s="229"/>
      <c r="T1574" s="229"/>
      <c r="U1574" s="229"/>
      <c r="V1574" s="229"/>
      <c r="W1574" s="229"/>
      <c r="X1574" s="229"/>
    </row>
    <row r="1575" spans="1:24" ht="15.75" hidden="1">
      <c r="A1575" s="343"/>
      <c r="B1575" s="344"/>
      <c r="C1575" s="275"/>
      <c r="D1575" s="275"/>
      <c r="E1575" s="275"/>
      <c r="F1575" s="275"/>
      <c r="G1575" s="275"/>
      <c r="H1575" s="275"/>
      <c r="I1575" s="275"/>
      <c r="J1575" s="275"/>
      <c r="K1575" s="275"/>
      <c r="L1575" s="275"/>
      <c r="M1575" s="275"/>
      <c r="N1575" s="275"/>
      <c r="O1575" s="276"/>
      <c r="P1575" s="276"/>
      <c r="Q1575" s="247">
        <f t="shared" si="30"/>
        <v>0</v>
      </c>
      <c r="R1575" s="229"/>
      <c r="S1575" s="229"/>
      <c r="T1575" s="229"/>
      <c r="U1575" s="229"/>
      <c r="V1575" s="229"/>
      <c r="W1575" s="229"/>
      <c r="X1575" s="229"/>
    </row>
    <row r="1576" spans="1:24" ht="15.75" hidden="1">
      <c r="A1576" s="343"/>
      <c r="B1576" s="344"/>
      <c r="C1576" s="275"/>
      <c r="D1576" s="275"/>
      <c r="E1576" s="275"/>
      <c r="F1576" s="275"/>
      <c r="G1576" s="275"/>
      <c r="H1576" s="275"/>
      <c r="I1576" s="275"/>
      <c r="J1576" s="275"/>
      <c r="K1576" s="275"/>
      <c r="L1576" s="275"/>
      <c r="M1576" s="275"/>
      <c r="N1576" s="275"/>
      <c r="O1576" s="276"/>
      <c r="P1576" s="276"/>
      <c r="Q1576" s="247">
        <f t="shared" si="30"/>
        <v>0</v>
      </c>
      <c r="R1576" s="229"/>
      <c r="S1576" s="229"/>
      <c r="T1576" s="229"/>
      <c r="U1576" s="229"/>
      <c r="V1576" s="229"/>
      <c r="W1576" s="229"/>
      <c r="X1576" s="229"/>
    </row>
    <row r="1577" spans="1:24" ht="15.75" hidden="1">
      <c r="A1577" s="343"/>
      <c r="B1577" s="344"/>
      <c r="C1577" s="275"/>
      <c r="D1577" s="275"/>
      <c r="E1577" s="275"/>
      <c r="F1577" s="275"/>
      <c r="G1577" s="275"/>
      <c r="H1577" s="275"/>
      <c r="I1577" s="275"/>
      <c r="J1577" s="275"/>
      <c r="K1577" s="275"/>
      <c r="L1577" s="275"/>
      <c r="M1577" s="275"/>
      <c r="N1577" s="275"/>
      <c r="O1577" s="276"/>
      <c r="P1577" s="276"/>
      <c r="Q1577" s="247">
        <f t="shared" si="30"/>
        <v>0</v>
      </c>
      <c r="R1577" s="229"/>
      <c r="S1577" s="229"/>
      <c r="T1577" s="229"/>
      <c r="U1577" s="229"/>
      <c r="V1577" s="229"/>
      <c r="W1577" s="229"/>
      <c r="X1577" s="229"/>
    </row>
    <row r="1578" spans="1:24" ht="15.75" hidden="1">
      <c r="A1578" s="343"/>
      <c r="B1578" s="344"/>
      <c r="C1578" s="275"/>
      <c r="D1578" s="275"/>
      <c r="E1578" s="275"/>
      <c r="F1578" s="275"/>
      <c r="G1578" s="275"/>
      <c r="H1578" s="275"/>
      <c r="I1578" s="275"/>
      <c r="J1578" s="275"/>
      <c r="K1578" s="275"/>
      <c r="L1578" s="275"/>
      <c r="M1578" s="275"/>
      <c r="N1578" s="275"/>
      <c r="O1578" s="276"/>
      <c r="P1578" s="276"/>
      <c r="Q1578" s="247">
        <f t="shared" si="30"/>
        <v>0</v>
      </c>
      <c r="R1578" s="229"/>
      <c r="S1578" s="229"/>
      <c r="T1578" s="229"/>
      <c r="U1578" s="229"/>
      <c r="V1578" s="229"/>
      <c r="W1578" s="229"/>
      <c r="X1578" s="229"/>
    </row>
    <row r="1579" spans="1:24" ht="15.75" hidden="1">
      <c r="A1579" s="343"/>
      <c r="B1579" s="344"/>
      <c r="C1579" s="275"/>
      <c r="D1579" s="275"/>
      <c r="E1579" s="275"/>
      <c r="F1579" s="275"/>
      <c r="G1579" s="275"/>
      <c r="H1579" s="275"/>
      <c r="I1579" s="275"/>
      <c r="J1579" s="275"/>
      <c r="K1579" s="275"/>
      <c r="L1579" s="275"/>
      <c r="M1579" s="275"/>
      <c r="N1579" s="275"/>
      <c r="O1579" s="276"/>
      <c r="P1579" s="276"/>
      <c r="Q1579" s="247">
        <f t="shared" si="30"/>
        <v>0</v>
      </c>
      <c r="R1579" s="229"/>
      <c r="S1579" s="229"/>
      <c r="T1579" s="229"/>
      <c r="U1579" s="229"/>
      <c r="V1579" s="229"/>
      <c r="W1579" s="229"/>
      <c r="X1579" s="229"/>
    </row>
    <row r="1580" spans="1:24" ht="15.75" hidden="1">
      <c r="A1580" s="343"/>
      <c r="B1580" s="344"/>
      <c r="C1580" s="275"/>
      <c r="D1580" s="275"/>
      <c r="E1580" s="275"/>
      <c r="F1580" s="275"/>
      <c r="G1580" s="275"/>
      <c r="H1580" s="275"/>
      <c r="I1580" s="275"/>
      <c r="J1580" s="275"/>
      <c r="K1580" s="275"/>
      <c r="L1580" s="275"/>
      <c r="M1580" s="275"/>
      <c r="N1580" s="275"/>
      <c r="O1580" s="276"/>
      <c r="P1580" s="276"/>
      <c r="Q1580" s="247">
        <f t="shared" si="30"/>
        <v>0</v>
      </c>
      <c r="R1580" s="229"/>
      <c r="S1580" s="229"/>
      <c r="T1580" s="229"/>
      <c r="U1580" s="229"/>
      <c r="V1580" s="229"/>
      <c r="W1580" s="229"/>
      <c r="X1580" s="229"/>
    </row>
    <row r="1581" spans="1:24" ht="15.75" hidden="1">
      <c r="A1581" s="343"/>
      <c r="B1581" s="344"/>
      <c r="C1581" s="275"/>
      <c r="D1581" s="275"/>
      <c r="E1581" s="275"/>
      <c r="F1581" s="275"/>
      <c r="G1581" s="275"/>
      <c r="H1581" s="275"/>
      <c r="I1581" s="275"/>
      <c r="J1581" s="275"/>
      <c r="K1581" s="275"/>
      <c r="L1581" s="275"/>
      <c r="M1581" s="275"/>
      <c r="N1581" s="275"/>
      <c r="O1581" s="276"/>
      <c r="P1581" s="276"/>
      <c r="Q1581" s="247">
        <f t="shared" si="30"/>
        <v>0</v>
      </c>
      <c r="R1581" s="229"/>
      <c r="S1581" s="229"/>
      <c r="T1581" s="229"/>
      <c r="U1581" s="229"/>
      <c r="V1581" s="229"/>
      <c r="W1581" s="229"/>
      <c r="X1581" s="229"/>
    </row>
    <row r="1582" spans="1:24" ht="15.75" hidden="1">
      <c r="A1582" s="343"/>
      <c r="B1582" s="344"/>
      <c r="C1582" s="275"/>
      <c r="D1582" s="275"/>
      <c r="E1582" s="275"/>
      <c r="F1582" s="275"/>
      <c r="G1582" s="275"/>
      <c r="H1582" s="275"/>
      <c r="I1582" s="275"/>
      <c r="J1582" s="275"/>
      <c r="K1582" s="275"/>
      <c r="L1582" s="275"/>
      <c r="M1582" s="275"/>
      <c r="N1582" s="275"/>
      <c r="O1582" s="276"/>
      <c r="P1582" s="276"/>
      <c r="Q1582" s="247">
        <f t="shared" si="30"/>
        <v>0</v>
      </c>
      <c r="R1582" s="229"/>
      <c r="S1582" s="229"/>
      <c r="T1582" s="229"/>
      <c r="U1582" s="229"/>
      <c r="V1582" s="229"/>
      <c r="W1582" s="229"/>
      <c r="X1582" s="229"/>
    </row>
    <row r="1583" spans="1:24" ht="15.75" hidden="1">
      <c r="A1583" s="343"/>
      <c r="B1583" s="344"/>
      <c r="C1583" s="275"/>
      <c r="D1583" s="275"/>
      <c r="E1583" s="275"/>
      <c r="F1583" s="275"/>
      <c r="G1583" s="275"/>
      <c r="H1583" s="275"/>
      <c r="I1583" s="275"/>
      <c r="J1583" s="275"/>
      <c r="K1583" s="275"/>
      <c r="L1583" s="275"/>
      <c r="M1583" s="275"/>
      <c r="N1583" s="275"/>
      <c r="O1583" s="276"/>
      <c r="P1583" s="276"/>
      <c r="Q1583" s="247">
        <f t="shared" si="30"/>
        <v>0</v>
      </c>
      <c r="R1583" s="229"/>
      <c r="S1583" s="229"/>
      <c r="T1583" s="229"/>
      <c r="U1583" s="229"/>
      <c r="V1583" s="229"/>
      <c r="W1583" s="229"/>
      <c r="X1583" s="229"/>
    </row>
    <row r="1584" spans="1:24" ht="15.75" hidden="1">
      <c r="A1584" s="343"/>
      <c r="B1584" s="344"/>
      <c r="C1584" s="275"/>
      <c r="D1584" s="275"/>
      <c r="E1584" s="275"/>
      <c r="F1584" s="275"/>
      <c r="G1584" s="275"/>
      <c r="H1584" s="275"/>
      <c r="I1584" s="275"/>
      <c r="J1584" s="275"/>
      <c r="K1584" s="275"/>
      <c r="L1584" s="275"/>
      <c r="M1584" s="275"/>
      <c r="N1584" s="275"/>
      <c r="O1584" s="276"/>
      <c r="P1584" s="276"/>
      <c r="Q1584" s="247">
        <f t="shared" si="30"/>
        <v>0</v>
      </c>
      <c r="R1584" s="229"/>
      <c r="S1584" s="229"/>
      <c r="T1584" s="229"/>
      <c r="U1584" s="229"/>
      <c r="V1584" s="229"/>
      <c r="W1584" s="229"/>
      <c r="X1584" s="229"/>
    </row>
    <row r="1585" spans="1:24" ht="15.75" hidden="1">
      <c r="A1585" s="343"/>
      <c r="B1585" s="344"/>
      <c r="C1585" s="275"/>
      <c r="D1585" s="275"/>
      <c r="E1585" s="275"/>
      <c r="F1585" s="275"/>
      <c r="G1585" s="275"/>
      <c r="H1585" s="275"/>
      <c r="I1585" s="275"/>
      <c r="J1585" s="275"/>
      <c r="K1585" s="275"/>
      <c r="L1585" s="275"/>
      <c r="M1585" s="275"/>
      <c r="N1585" s="275"/>
      <c r="O1585" s="276"/>
      <c r="P1585" s="276"/>
      <c r="Q1585" s="247">
        <f t="shared" si="30"/>
        <v>0</v>
      </c>
      <c r="R1585" s="229"/>
      <c r="S1585" s="229"/>
      <c r="T1585" s="229"/>
      <c r="U1585" s="229"/>
      <c r="V1585" s="229"/>
      <c r="W1585" s="229"/>
      <c r="X1585" s="229"/>
    </row>
    <row r="1586" spans="1:24" ht="15.75" hidden="1">
      <c r="A1586" s="343"/>
      <c r="B1586" s="344"/>
      <c r="C1586" s="275"/>
      <c r="D1586" s="275"/>
      <c r="E1586" s="275"/>
      <c r="F1586" s="275"/>
      <c r="G1586" s="275"/>
      <c r="H1586" s="275"/>
      <c r="I1586" s="275"/>
      <c r="J1586" s="275"/>
      <c r="K1586" s="275"/>
      <c r="L1586" s="275"/>
      <c r="M1586" s="275"/>
      <c r="N1586" s="275"/>
      <c r="O1586" s="276"/>
      <c r="P1586" s="276"/>
      <c r="Q1586" s="247">
        <f t="shared" si="30"/>
        <v>0</v>
      </c>
      <c r="R1586" s="229"/>
      <c r="S1586" s="229"/>
      <c r="T1586" s="229"/>
      <c r="U1586" s="229"/>
      <c r="V1586" s="229"/>
      <c r="W1586" s="229"/>
      <c r="X1586" s="229"/>
    </row>
    <row r="1587" spans="1:24" ht="15.75" hidden="1">
      <c r="A1587" s="343"/>
      <c r="B1587" s="344"/>
      <c r="C1587" s="275"/>
      <c r="D1587" s="275"/>
      <c r="E1587" s="275"/>
      <c r="F1587" s="275"/>
      <c r="G1587" s="275"/>
      <c r="H1587" s="275"/>
      <c r="I1587" s="275"/>
      <c r="J1587" s="275"/>
      <c r="K1587" s="275"/>
      <c r="L1587" s="275"/>
      <c r="M1587" s="275"/>
      <c r="N1587" s="275"/>
      <c r="O1587" s="276"/>
      <c r="P1587" s="276"/>
      <c r="Q1587" s="247">
        <f t="shared" si="30"/>
        <v>0</v>
      </c>
      <c r="R1587" s="229"/>
      <c r="S1587" s="229"/>
      <c r="T1587" s="229"/>
      <c r="U1587" s="229"/>
      <c r="V1587" s="229"/>
      <c r="W1587" s="229"/>
      <c r="X1587" s="229"/>
    </row>
    <row r="1588" spans="1:24" ht="15.75" hidden="1">
      <c r="A1588" s="343"/>
      <c r="B1588" s="344"/>
      <c r="C1588" s="275"/>
      <c r="D1588" s="275"/>
      <c r="E1588" s="275"/>
      <c r="F1588" s="275"/>
      <c r="G1588" s="275"/>
      <c r="H1588" s="275"/>
      <c r="I1588" s="275"/>
      <c r="J1588" s="275"/>
      <c r="K1588" s="275"/>
      <c r="L1588" s="275"/>
      <c r="M1588" s="275"/>
      <c r="N1588" s="275"/>
      <c r="O1588" s="276"/>
      <c r="P1588" s="276"/>
      <c r="Q1588" s="247">
        <f t="shared" si="30"/>
        <v>0</v>
      </c>
      <c r="R1588" s="229"/>
      <c r="S1588" s="229"/>
      <c r="T1588" s="229"/>
      <c r="U1588" s="229"/>
      <c r="V1588" s="229"/>
      <c r="W1588" s="229"/>
      <c r="X1588" s="229"/>
    </row>
    <row r="1589" spans="1:24" ht="15.75" hidden="1">
      <c r="A1589" s="343"/>
      <c r="B1589" s="344"/>
      <c r="C1589" s="275"/>
      <c r="D1589" s="275"/>
      <c r="E1589" s="275"/>
      <c r="F1589" s="275"/>
      <c r="G1589" s="275"/>
      <c r="H1589" s="275"/>
      <c r="I1589" s="275"/>
      <c r="J1589" s="275"/>
      <c r="K1589" s="275"/>
      <c r="L1589" s="275"/>
      <c r="M1589" s="275"/>
      <c r="N1589" s="275"/>
      <c r="O1589" s="276"/>
      <c r="P1589" s="276"/>
      <c r="Q1589" s="247">
        <f t="shared" si="30"/>
        <v>0</v>
      </c>
      <c r="R1589" s="229"/>
      <c r="S1589" s="229"/>
      <c r="T1589" s="229"/>
      <c r="U1589" s="229"/>
      <c r="V1589" s="229"/>
      <c r="W1589" s="229"/>
      <c r="X1589" s="229"/>
    </row>
    <row r="1590" spans="1:24" ht="15.75" hidden="1">
      <c r="A1590" s="343"/>
      <c r="B1590" s="344"/>
      <c r="C1590" s="275"/>
      <c r="D1590" s="275"/>
      <c r="E1590" s="275"/>
      <c r="F1590" s="275"/>
      <c r="G1590" s="275"/>
      <c r="H1590" s="275"/>
      <c r="I1590" s="275"/>
      <c r="J1590" s="275"/>
      <c r="K1590" s="275"/>
      <c r="L1590" s="275"/>
      <c r="M1590" s="275"/>
      <c r="N1590" s="275"/>
      <c r="O1590" s="276"/>
      <c r="P1590" s="276"/>
      <c r="Q1590" s="247">
        <f t="shared" si="30"/>
        <v>0</v>
      </c>
      <c r="R1590" s="229"/>
      <c r="S1590" s="229"/>
      <c r="T1590" s="229"/>
      <c r="U1590" s="229"/>
      <c r="V1590" s="229"/>
      <c r="W1590" s="229"/>
      <c r="X1590" s="229"/>
    </row>
    <row r="1591" spans="1:24" ht="15.75" hidden="1">
      <c r="A1591" s="343"/>
      <c r="B1591" s="344"/>
      <c r="C1591" s="275"/>
      <c r="D1591" s="275"/>
      <c r="E1591" s="275"/>
      <c r="F1591" s="275"/>
      <c r="G1591" s="275"/>
      <c r="H1591" s="275"/>
      <c r="I1591" s="275"/>
      <c r="J1591" s="275"/>
      <c r="K1591" s="275"/>
      <c r="L1591" s="275"/>
      <c r="M1591" s="275"/>
      <c r="N1591" s="275"/>
      <c r="O1591" s="276"/>
      <c r="P1591" s="276"/>
      <c r="Q1591" s="247">
        <f t="shared" si="30"/>
        <v>0</v>
      </c>
      <c r="R1591" s="229"/>
      <c r="S1591" s="229"/>
      <c r="T1591" s="229"/>
      <c r="U1591" s="229"/>
      <c r="V1591" s="229"/>
      <c r="W1591" s="229"/>
      <c r="X1591" s="229"/>
    </row>
    <row r="1592" spans="1:24" ht="15.75" hidden="1">
      <c r="A1592" s="343"/>
      <c r="B1592" s="344"/>
      <c r="C1592" s="275"/>
      <c r="D1592" s="275"/>
      <c r="E1592" s="275"/>
      <c r="F1592" s="275"/>
      <c r="G1592" s="275"/>
      <c r="H1592" s="275"/>
      <c r="I1592" s="275"/>
      <c r="J1592" s="275"/>
      <c r="K1592" s="275"/>
      <c r="L1592" s="275"/>
      <c r="M1592" s="275"/>
      <c r="N1592" s="275"/>
      <c r="O1592" s="276"/>
      <c r="P1592" s="276"/>
      <c r="Q1592" s="247">
        <f t="shared" si="30"/>
        <v>0</v>
      </c>
      <c r="R1592" s="229"/>
      <c r="S1592" s="229"/>
      <c r="T1592" s="229"/>
      <c r="U1592" s="229"/>
      <c r="V1592" s="229"/>
      <c r="W1592" s="229"/>
      <c r="X1592" s="229"/>
    </row>
    <row r="1593" spans="1:24" ht="15.75" hidden="1">
      <c r="A1593" s="343"/>
      <c r="B1593" s="344"/>
      <c r="C1593" s="275"/>
      <c r="D1593" s="275"/>
      <c r="E1593" s="275"/>
      <c r="F1593" s="275"/>
      <c r="G1593" s="275"/>
      <c r="H1593" s="275"/>
      <c r="I1593" s="275"/>
      <c r="J1593" s="275"/>
      <c r="K1593" s="275"/>
      <c r="L1593" s="275"/>
      <c r="M1593" s="275"/>
      <c r="N1593" s="275"/>
      <c r="O1593" s="276"/>
      <c r="P1593" s="276"/>
      <c r="Q1593" s="247">
        <f t="shared" si="30"/>
        <v>0</v>
      </c>
      <c r="R1593" s="229"/>
      <c r="S1593" s="229"/>
      <c r="T1593" s="229"/>
      <c r="U1593" s="229"/>
      <c r="V1593" s="229"/>
      <c r="W1593" s="229"/>
      <c r="X1593" s="229"/>
    </row>
    <row r="1594" spans="1:24" ht="15.75" hidden="1">
      <c r="A1594" s="343"/>
      <c r="B1594" s="344"/>
      <c r="C1594" s="275"/>
      <c r="D1594" s="275"/>
      <c r="E1594" s="275"/>
      <c r="F1594" s="275"/>
      <c r="G1594" s="275"/>
      <c r="H1594" s="275"/>
      <c r="I1594" s="275"/>
      <c r="J1594" s="275"/>
      <c r="K1594" s="275"/>
      <c r="L1594" s="275"/>
      <c r="M1594" s="275"/>
      <c r="N1594" s="275"/>
      <c r="O1594" s="276"/>
      <c r="P1594" s="276"/>
      <c r="Q1594" s="247">
        <f t="shared" si="30"/>
        <v>0</v>
      </c>
      <c r="R1594" s="229"/>
      <c r="S1594" s="229"/>
      <c r="T1594" s="229"/>
      <c r="U1594" s="229"/>
      <c r="V1594" s="229"/>
      <c r="W1594" s="229"/>
      <c r="X1594" s="229"/>
    </row>
    <row r="1595" spans="1:24" ht="15.75" hidden="1">
      <c r="A1595" s="343"/>
      <c r="B1595" s="344"/>
      <c r="C1595" s="275"/>
      <c r="D1595" s="275"/>
      <c r="E1595" s="275"/>
      <c r="F1595" s="275"/>
      <c r="G1595" s="275"/>
      <c r="H1595" s="275"/>
      <c r="I1595" s="275"/>
      <c r="J1595" s="275"/>
      <c r="K1595" s="275"/>
      <c r="L1595" s="275"/>
      <c r="M1595" s="275"/>
      <c r="N1595" s="275"/>
      <c r="O1595" s="276"/>
      <c r="P1595" s="276"/>
      <c r="Q1595" s="247">
        <f t="shared" si="30"/>
        <v>0</v>
      </c>
      <c r="R1595" s="229"/>
      <c r="S1595" s="229"/>
      <c r="T1595" s="229"/>
      <c r="U1595" s="229"/>
      <c r="V1595" s="229"/>
      <c r="W1595" s="229"/>
      <c r="X1595" s="229"/>
    </row>
    <row r="1596" spans="1:24" ht="15.75" hidden="1">
      <c r="A1596" s="343"/>
      <c r="B1596" s="344"/>
      <c r="C1596" s="275"/>
      <c r="D1596" s="275"/>
      <c r="E1596" s="275"/>
      <c r="F1596" s="275"/>
      <c r="G1596" s="275"/>
      <c r="H1596" s="275"/>
      <c r="I1596" s="275"/>
      <c r="J1596" s="275"/>
      <c r="K1596" s="275"/>
      <c r="L1596" s="275"/>
      <c r="M1596" s="275"/>
      <c r="N1596" s="275"/>
      <c r="O1596" s="276"/>
      <c r="P1596" s="276"/>
      <c r="Q1596" s="247">
        <f t="shared" si="30"/>
        <v>0</v>
      </c>
      <c r="R1596" s="229"/>
      <c r="S1596" s="229"/>
      <c r="T1596" s="229"/>
      <c r="U1596" s="229"/>
      <c r="V1596" s="229"/>
      <c r="W1596" s="229"/>
      <c r="X1596" s="229"/>
    </row>
    <row r="1597" spans="1:24" ht="15.75" hidden="1">
      <c r="A1597" s="343"/>
      <c r="B1597" s="344"/>
      <c r="C1597" s="275"/>
      <c r="D1597" s="275"/>
      <c r="E1597" s="275"/>
      <c r="F1597" s="275"/>
      <c r="G1597" s="275"/>
      <c r="H1597" s="275"/>
      <c r="I1597" s="275"/>
      <c r="J1597" s="275"/>
      <c r="K1597" s="275"/>
      <c r="L1597" s="275"/>
      <c r="M1597" s="275"/>
      <c r="N1597" s="275"/>
      <c r="O1597" s="276"/>
      <c r="P1597" s="276"/>
      <c r="Q1597" s="247">
        <f t="shared" si="30"/>
        <v>0</v>
      </c>
      <c r="R1597" s="229"/>
      <c r="S1597" s="229"/>
      <c r="T1597" s="229"/>
      <c r="U1597" s="229"/>
      <c r="V1597" s="229"/>
      <c r="W1597" s="229"/>
      <c r="X1597" s="229"/>
    </row>
    <row r="1598" spans="1:24" ht="15.75" hidden="1">
      <c r="A1598" s="343"/>
      <c r="B1598" s="344"/>
      <c r="C1598" s="275"/>
      <c r="D1598" s="275"/>
      <c r="E1598" s="275"/>
      <c r="F1598" s="275"/>
      <c r="G1598" s="275"/>
      <c r="H1598" s="275"/>
      <c r="I1598" s="275"/>
      <c r="J1598" s="275"/>
      <c r="K1598" s="275"/>
      <c r="L1598" s="275"/>
      <c r="M1598" s="275"/>
      <c r="N1598" s="275"/>
      <c r="O1598" s="276"/>
      <c r="P1598" s="276"/>
      <c r="Q1598" s="247">
        <f t="shared" si="30"/>
        <v>0</v>
      </c>
      <c r="R1598" s="229"/>
      <c r="S1598" s="229"/>
      <c r="T1598" s="229"/>
      <c r="U1598" s="229"/>
      <c r="V1598" s="229"/>
      <c r="W1598" s="229"/>
      <c r="X1598" s="229"/>
    </row>
    <row r="1599" spans="1:24" ht="15.75" hidden="1">
      <c r="A1599" s="343"/>
      <c r="B1599" s="344"/>
      <c r="C1599" s="275"/>
      <c r="D1599" s="275"/>
      <c r="E1599" s="275"/>
      <c r="F1599" s="275"/>
      <c r="G1599" s="275"/>
      <c r="H1599" s="275"/>
      <c r="I1599" s="275"/>
      <c r="J1599" s="275"/>
      <c r="K1599" s="275"/>
      <c r="L1599" s="275"/>
      <c r="M1599" s="275"/>
      <c r="N1599" s="275"/>
      <c r="O1599" s="276"/>
      <c r="P1599" s="276"/>
      <c r="Q1599" s="247">
        <f t="shared" si="30"/>
        <v>0</v>
      </c>
      <c r="R1599" s="229"/>
      <c r="S1599" s="229"/>
      <c r="T1599" s="229"/>
      <c r="U1599" s="229"/>
      <c r="V1599" s="229"/>
      <c r="W1599" s="229"/>
      <c r="X1599" s="229"/>
    </row>
    <row r="1600" spans="1:24" ht="15.75" hidden="1">
      <c r="A1600" s="343"/>
      <c r="B1600" s="344"/>
      <c r="C1600" s="275"/>
      <c r="D1600" s="275"/>
      <c r="E1600" s="275"/>
      <c r="F1600" s="275"/>
      <c r="G1600" s="275"/>
      <c r="H1600" s="275"/>
      <c r="I1600" s="275"/>
      <c r="J1600" s="275"/>
      <c r="K1600" s="275"/>
      <c r="L1600" s="275"/>
      <c r="M1600" s="275"/>
      <c r="N1600" s="275"/>
      <c r="O1600" s="276"/>
      <c r="P1600" s="276"/>
      <c r="Q1600" s="247">
        <f t="shared" si="30"/>
        <v>0</v>
      </c>
      <c r="R1600" s="229"/>
      <c r="S1600" s="229"/>
      <c r="T1600" s="229"/>
      <c r="U1600" s="229"/>
      <c r="V1600" s="229"/>
      <c r="W1600" s="229"/>
      <c r="X1600" s="229"/>
    </row>
    <row r="1601" spans="1:24" ht="15.75" hidden="1">
      <c r="A1601" s="343"/>
      <c r="B1601" s="344"/>
      <c r="C1601" s="275"/>
      <c r="D1601" s="275"/>
      <c r="E1601" s="275"/>
      <c r="F1601" s="275"/>
      <c r="G1601" s="275"/>
      <c r="H1601" s="275"/>
      <c r="I1601" s="275"/>
      <c r="J1601" s="275"/>
      <c r="K1601" s="275"/>
      <c r="L1601" s="275"/>
      <c r="M1601" s="275"/>
      <c r="N1601" s="275"/>
      <c r="O1601" s="276"/>
      <c r="P1601" s="276"/>
      <c r="Q1601" s="247">
        <f t="shared" si="30"/>
        <v>0</v>
      </c>
      <c r="R1601" s="229"/>
      <c r="S1601" s="229"/>
      <c r="T1601" s="229"/>
      <c r="U1601" s="229"/>
      <c r="V1601" s="229"/>
      <c r="W1601" s="229"/>
      <c r="X1601" s="229"/>
    </row>
    <row r="1602" spans="1:24" ht="15.75" hidden="1">
      <c r="A1602" s="343"/>
      <c r="B1602" s="344"/>
      <c r="C1602" s="275"/>
      <c r="D1602" s="275"/>
      <c r="E1602" s="275"/>
      <c r="F1602" s="275"/>
      <c r="G1602" s="275"/>
      <c r="H1602" s="275"/>
      <c r="I1602" s="275"/>
      <c r="J1602" s="275"/>
      <c r="K1602" s="275"/>
      <c r="L1602" s="275"/>
      <c r="M1602" s="275"/>
      <c r="N1602" s="275"/>
      <c r="O1602" s="276"/>
      <c r="P1602" s="276"/>
      <c r="Q1602" s="247">
        <f t="shared" si="30"/>
        <v>0</v>
      </c>
      <c r="R1602" s="229"/>
      <c r="S1602" s="229"/>
      <c r="T1602" s="229"/>
      <c r="U1602" s="229"/>
      <c r="V1602" s="229"/>
      <c r="W1602" s="229"/>
      <c r="X1602" s="229"/>
    </row>
    <row r="1603" spans="1:24" ht="15.75" hidden="1">
      <c r="A1603" s="343"/>
      <c r="B1603" s="344"/>
      <c r="C1603" s="275"/>
      <c r="D1603" s="275"/>
      <c r="E1603" s="275"/>
      <c r="F1603" s="275"/>
      <c r="G1603" s="275"/>
      <c r="H1603" s="275"/>
      <c r="I1603" s="275"/>
      <c r="J1603" s="275"/>
      <c r="K1603" s="275"/>
      <c r="L1603" s="275"/>
      <c r="M1603" s="275"/>
      <c r="N1603" s="275"/>
      <c r="O1603" s="276"/>
      <c r="P1603" s="276"/>
      <c r="Q1603" s="247">
        <f t="shared" si="30"/>
        <v>0</v>
      </c>
      <c r="R1603" s="229"/>
      <c r="S1603" s="229"/>
      <c r="T1603" s="229"/>
      <c r="U1603" s="229"/>
      <c r="V1603" s="229"/>
      <c r="W1603" s="229"/>
      <c r="X1603" s="229"/>
    </row>
    <row r="1604" spans="1:24" ht="15.75" hidden="1">
      <c r="A1604" s="343"/>
      <c r="B1604" s="344"/>
      <c r="C1604" s="275"/>
      <c r="D1604" s="275"/>
      <c r="E1604" s="275"/>
      <c r="F1604" s="275"/>
      <c r="G1604" s="275"/>
      <c r="H1604" s="275"/>
      <c r="I1604" s="275"/>
      <c r="J1604" s="275"/>
      <c r="K1604" s="275"/>
      <c r="L1604" s="275"/>
      <c r="M1604" s="275"/>
      <c r="N1604" s="275"/>
      <c r="O1604" s="276"/>
      <c r="P1604" s="276"/>
      <c r="Q1604" s="247">
        <f t="shared" si="30"/>
        <v>0</v>
      </c>
      <c r="R1604" s="229"/>
      <c r="S1604" s="229"/>
      <c r="T1604" s="229"/>
      <c r="U1604" s="229"/>
      <c r="V1604" s="229"/>
      <c r="W1604" s="229"/>
      <c r="X1604" s="229"/>
    </row>
    <row r="1605" spans="1:24" ht="15.75" hidden="1">
      <c r="A1605" s="343"/>
      <c r="B1605" s="344"/>
      <c r="C1605" s="275"/>
      <c r="D1605" s="275"/>
      <c r="E1605" s="275"/>
      <c r="F1605" s="275"/>
      <c r="G1605" s="275"/>
      <c r="H1605" s="275"/>
      <c r="I1605" s="275"/>
      <c r="J1605" s="275"/>
      <c r="K1605" s="275"/>
      <c r="L1605" s="275"/>
      <c r="M1605" s="275"/>
      <c r="N1605" s="275"/>
      <c r="O1605" s="276"/>
      <c r="P1605" s="276"/>
      <c r="Q1605" s="247">
        <f t="shared" si="30"/>
        <v>0</v>
      </c>
      <c r="R1605" s="229"/>
      <c r="S1605" s="229"/>
      <c r="T1605" s="229"/>
      <c r="U1605" s="229"/>
      <c r="V1605" s="229"/>
      <c r="W1605" s="229"/>
      <c r="X1605" s="229"/>
    </row>
    <row r="1606" spans="1:24" ht="15.75" hidden="1">
      <c r="A1606" s="343"/>
      <c r="B1606" s="344"/>
      <c r="C1606" s="275"/>
      <c r="D1606" s="275"/>
      <c r="E1606" s="275"/>
      <c r="F1606" s="275"/>
      <c r="G1606" s="275"/>
      <c r="H1606" s="275"/>
      <c r="I1606" s="275"/>
      <c r="J1606" s="275"/>
      <c r="K1606" s="275"/>
      <c r="L1606" s="275"/>
      <c r="M1606" s="275"/>
      <c r="N1606" s="275"/>
      <c r="O1606" s="276"/>
      <c r="P1606" s="276"/>
      <c r="Q1606" s="247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9"/>
      <c r="S1606" s="229"/>
      <c r="T1606" s="229"/>
      <c r="U1606" s="229"/>
      <c r="V1606" s="229"/>
      <c r="W1606" s="229"/>
      <c r="X1606" s="229"/>
    </row>
    <row r="1607" spans="1:24" ht="15.75" hidden="1">
      <c r="A1607" s="343"/>
      <c r="B1607" s="344"/>
      <c r="C1607" s="275"/>
      <c r="D1607" s="275"/>
      <c r="E1607" s="275"/>
      <c r="F1607" s="275"/>
      <c r="G1607" s="275"/>
      <c r="H1607" s="275"/>
      <c r="I1607" s="275"/>
      <c r="J1607" s="275"/>
      <c r="K1607" s="275"/>
      <c r="L1607" s="275"/>
      <c r="M1607" s="275"/>
      <c r="N1607" s="275"/>
      <c r="O1607" s="276"/>
      <c r="P1607" s="276"/>
      <c r="Q1607" s="247">
        <f t="shared" si="31"/>
        <v>0</v>
      </c>
      <c r="R1607" s="229"/>
      <c r="S1607" s="229"/>
      <c r="T1607" s="229"/>
      <c r="U1607" s="229"/>
      <c r="V1607" s="229"/>
      <c r="W1607" s="229"/>
      <c r="X1607" s="229"/>
    </row>
    <row r="1608" spans="1:24" ht="15.75" hidden="1">
      <c r="A1608" s="343"/>
      <c r="B1608" s="344"/>
      <c r="C1608" s="275"/>
      <c r="D1608" s="275"/>
      <c r="E1608" s="275"/>
      <c r="F1608" s="275"/>
      <c r="G1608" s="275"/>
      <c r="H1608" s="275"/>
      <c r="I1608" s="275"/>
      <c r="J1608" s="275"/>
      <c r="K1608" s="275"/>
      <c r="L1608" s="275"/>
      <c r="M1608" s="275"/>
      <c r="N1608" s="275"/>
      <c r="O1608" s="276"/>
      <c r="P1608" s="276"/>
      <c r="Q1608" s="247">
        <f t="shared" si="31"/>
        <v>0</v>
      </c>
      <c r="R1608" s="229"/>
      <c r="S1608" s="229"/>
      <c r="T1608" s="229"/>
      <c r="U1608" s="229"/>
      <c r="V1608" s="229"/>
      <c r="W1608" s="229"/>
      <c r="X1608" s="229"/>
    </row>
    <row r="1609" spans="1:24" ht="15.75" hidden="1">
      <c r="A1609" s="343"/>
      <c r="B1609" s="344"/>
      <c r="C1609" s="275"/>
      <c r="D1609" s="275"/>
      <c r="E1609" s="275"/>
      <c r="F1609" s="275"/>
      <c r="G1609" s="275"/>
      <c r="H1609" s="275"/>
      <c r="I1609" s="275"/>
      <c r="J1609" s="275"/>
      <c r="K1609" s="275"/>
      <c r="L1609" s="275"/>
      <c r="M1609" s="275"/>
      <c r="N1609" s="275"/>
      <c r="O1609" s="276"/>
      <c r="P1609" s="276"/>
      <c r="Q1609" s="247">
        <f t="shared" si="31"/>
        <v>0</v>
      </c>
      <c r="R1609" s="229"/>
      <c r="S1609" s="229"/>
      <c r="T1609" s="229"/>
      <c r="U1609" s="229"/>
      <c r="V1609" s="229"/>
      <c r="W1609" s="229"/>
      <c r="X1609" s="229"/>
    </row>
    <row r="1610" spans="1:24" ht="15.75" hidden="1">
      <c r="A1610" s="343"/>
      <c r="B1610" s="344"/>
      <c r="C1610" s="275"/>
      <c r="D1610" s="275"/>
      <c r="E1610" s="275"/>
      <c r="F1610" s="275"/>
      <c r="G1610" s="275"/>
      <c r="H1610" s="275"/>
      <c r="I1610" s="275"/>
      <c r="J1610" s="275"/>
      <c r="K1610" s="275"/>
      <c r="L1610" s="275"/>
      <c r="M1610" s="275"/>
      <c r="N1610" s="275"/>
      <c r="O1610" s="276"/>
      <c r="P1610" s="276"/>
      <c r="Q1610" s="247">
        <f t="shared" si="31"/>
        <v>0</v>
      </c>
      <c r="R1610" s="229"/>
      <c r="S1610" s="229"/>
      <c r="T1610" s="229"/>
      <c r="U1610" s="229"/>
      <c r="V1610" s="229"/>
      <c r="W1610" s="229"/>
      <c r="X1610" s="229"/>
    </row>
    <row r="1611" spans="1:24" ht="15.75" hidden="1">
      <c r="A1611" s="343"/>
      <c r="B1611" s="344"/>
      <c r="C1611" s="275"/>
      <c r="D1611" s="275"/>
      <c r="E1611" s="275"/>
      <c r="F1611" s="275"/>
      <c r="G1611" s="275"/>
      <c r="H1611" s="275"/>
      <c r="I1611" s="275"/>
      <c r="J1611" s="275"/>
      <c r="K1611" s="275"/>
      <c r="L1611" s="275"/>
      <c r="M1611" s="275"/>
      <c r="N1611" s="275"/>
      <c r="O1611" s="276"/>
      <c r="P1611" s="276"/>
      <c r="Q1611" s="247">
        <f t="shared" si="31"/>
        <v>0</v>
      </c>
      <c r="R1611" s="229"/>
      <c r="S1611" s="229"/>
      <c r="T1611" s="229"/>
      <c r="U1611" s="229"/>
      <c r="V1611" s="229"/>
      <c r="W1611" s="229"/>
      <c r="X1611" s="229"/>
    </row>
    <row r="1612" spans="1:24" ht="15.75" hidden="1">
      <c r="A1612" s="343"/>
      <c r="B1612" s="344"/>
      <c r="C1612" s="275"/>
      <c r="D1612" s="275"/>
      <c r="E1612" s="275"/>
      <c r="F1612" s="275"/>
      <c r="G1612" s="275"/>
      <c r="H1612" s="275"/>
      <c r="I1612" s="275"/>
      <c r="J1612" s="275"/>
      <c r="K1612" s="275"/>
      <c r="L1612" s="275"/>
      <c r="M1612" s="275"/>
      <c r="N1612" s="275"/>
      <c r="O1612" s="276"/>
      <c r="P1612" s="276"/>
      <c r="Q1612" s="247">
        <f t="shared" si="31"/>
        <v>0</v>
      </c>
      <c r="R1612" s="229"/>
      <c r="S1612" s="229"/>
      <c r="T1612" s="229"/>
      <c r="U1612" s="229"/>
      <c r="V1612" s="229"/>
      <c r="W1612" s="229"/>
      <c r="X1612" s="229"/>
    </row>
    <row r="1613" spans="1:24" ht="15.75" hidden="1">
      <c r="A1613" s="343"/>
      <c r="B1613" s="344"/>
      <c r="C1613" s="275"/>
      <c r="D1613" s="275"/>
      <c r="E1613" s="275"/>
      <c r="F1613" s="275"/>
      <c r="G1613" s="275"/>
      <c r="H1613" s="275"/>
      <c r="I1613" s="275"/>
      <c r="J1613" s="275"/>
      <c r="K1613" s="275"/>
      <c r="L1613" s="275"/>
      <c r="M1613" s="275"/>
      <c r="N1613" s="275"/>
      <c r="O1613" s="276"/>
      <c r="P1613" s="276"/>
      <c r="Q1613" s="247">
        <f t="shared" si="31"/>
        <v>0</v>
      </c>
      <c r="R1613" s="229"/>
      <c r="S1613" s="229"/>
      <c r="T1613" s="229"/>
      <c r="U1613" s="229"/>
      <c r="V1613" s="229"/>
      <c r="W1613" s="229"/>
      <c r="X1613" s="229"/>
    </row>
    <row r="1614" spans="1:24" ht="15.75" hidden="1">
      <c r="A1614" s="343"/>
      <c r="B1614" s="344"/>
      <c r="C1614" s="275"/>
      <c r="D1614" s="275"/>
      <c r="E1614" s="275"/>
      <c r="F1614" s="275"/>
      <c r="G1614" s="275"/>
      <c r="H1614" s="275"/>
      <c r="I1614" s="275"/>
      <c r="J1614" s="275"/>
      <c r="K1614" s="275"/>
      <c r="L1614" s="275"/>
      <c r="M1614" s="275"/>
      <c r="N1614" s="275"/>
      <c r="O1614" s="276"/>
      <c r="P1614" s="276"/>
      <c r="Q1614" s="247">
        <f t="shared" si="31"/>
        <v>0</v>
      </c>
      <c r="R1614" s="229"/>
      <c r="S1614" s="229"/>
      <c r="T1614" s="229"/>
      <c r="U1614" s="229"/>
      <c r="V1614" s="229"/>
      <c r="W1614" s="229"/>
      <c r="X1614" s="229"/>
    </row>
    <row r="1615" spans="1:24" ht="15.75" hidden="1">
      <c r="A1615" s="343"/>
      <c r="B1615" s="344"/>
      <c r="C1615" s="275"/>
      <c r="D1615" s="275"/>
      <c r="E1615" s="275"/>
      <c r="F1615" s="275"/>
      <c r="G1615" s="275"/>
      <c r="H1615" s="275"/>
      <c r="I1615" s="275"/>
      <c r="J1615" s="275"/>
      <c r="K1615" s="275"/>
      <c r="L1615" s="275"/>
      <c r="M1615" s="275"/>
      <c r="N1615" s="275"/>
      <c r="O1615" s="276"/>
      <c r="P1615" s="276"/>
      <c r="Q1615" s="247">
        <f t="shared" si="31"/>
        <v>0</v>
      </c>
      <c r="R1615" s="229"/>
      <c r="S1615" s="229"/>
      <c r="T1615" s="229"/>
      <c r="U1615" s="229"/>
      <c r="V1615" s="229"/>
      <c r="W1615" s="229"/>
      <c r="X1615" s="229"/>
    </row>
    <row r="1616" spans="1:24" ht="15.75" hidden="1">
      <c r="A1616" s="343"/>
      <c r="B1616" s="344"/>
      <c r="C1616" s="275"/>
      <c r="D1616" s="275"/>
      <c r="E1616" s="275"/>
      <c r="F1616" s="275"/>
      <c r="G1616" s="275"/>
      <c r="H1616" s="275"/>
      <c r="I1616" s="275"/>
      <c r="J1616" s="275"/>
      <c r="K1616" s="275"/>
      <c r="L1616" s="275"/>
      <c r="M1616" s="275"/>
      <c r="N1616" s="275"/>
      <c r="O1616" s="276"/>
      <c r="P1616" s="276"/>
      <c r="Q1616" s="247">
        <f t="shared" si="31"/>
        <v>0</v>
      </c>
      <c r="R1616" s="229"/>
      <c r="S1616" s="229"/>
      <c r="T1616" s="229"/>
      <c r="U1616" s="229"/>
      <c r="V1616" s="229"/>
      <c r="W1616" s="229"/>
      <c r="X1616" s="229"/>
    </row>
    <row r="1617" spans="1:24" ht="15.75" hidden="1">
      <c r="A1617" s="343"/>
      <c r="B1617" s="344"/>
      <c r="C1617" s="275"/>
      <c r="D1617" s="275"/>
      <c r="E1617" s="275"/>
      <c r="F1617" s="275"/>
      <c r="G1617" s="275"/>
      <c r="H1617" s="275"/>
      <c r="I1617" s="275"/>
      <c r="J1617" s="275"/>
      <c r="K1617" s="275"/>
      <c r="L1617" s="275"/>
      <c r="M1617" s="275"/>
      <c r="N1617" s="275"/>
      <c r="O1617" s="276"/>
      <c r="P1617" s="276"/>
      <c r="Q1617" s="247">
        <f t="shared" si="31"/>
        <v>0</v>
      </c>
      <c r="R1617" s="229"/>
      <c r="S1617" s="229"/>
      <c r="T1617" s="229"/>
      <c r="U1617" s="229"/>
      <c r="V1617" s="229"/>
      <c r="W1617" s="229"/>
      <c r="X1617" s="229"/>
    </row>
    <row r="1618" spans="1:24" ht="15.75" hidden="1">
      <c r="A1618" s="343"/>
      <c r="B1618" s="344"/>
      <c r="C1618" s="275"/>
      <c r="D1618" s="275"/>
      <c r="E1618" s="275"/>
      <c r="F1618" s="275"/>
      <c r="G1618" s="275"/>
      <c r="H1618" s="275"/>
      <c r="I1618" s="275"/>
      <c r="J1618" s="275"/>
      <c r="K1618" s="275"/>
      <c r="L1618" s="275"/>
      <c r="M1618" s="275"/>
      <c r="N1618" s="275"/>
      <c r="O1618" s="276"/>
      <c r="P1618" s="276"/>
      <c r="Q1618" s="247">
        <f t="shared" si="31"/>
        <v>0</v>
      </c>
      <c r="R1618" s="229"/>
      <c r="S1618" s="229"/>
      <c r="T1618" s="229"/>
      <c r="U1618" s="229"/>
      <c r="V1618" s="229"/>
      <c r="W1618" s="229"/>
      <c r="X1618" s="229"/>
    </row>
    <row r="1619" spans="1:24" ht="15.75" hidden="1">
      <c r="A1619" s="343"/>
      <c r="B1619" s="344"/>
      <c r="C1619" s="275"/>
      <c r="D1619" s="275"/>
      <c r="E1619" s="275"/>
      <c r="F1619" s="275"/>
      <c r="G1619" s="275"/>
      <c r="H1619" s="275"/>
      <c r="I1619" s="275"/>
      <c r="J1619" s="275"/>
      <c r="K1619" s="275"/>
      <c r="L1619" s="275"/>
      <c r="M1619" s="275"/>
      <c r="N1619" s="275"/>
      <c r="O1619" s="276"/>
      <c r="P1619" s="276"/>
      <c r="Q1619" s="247">
        <f t="shared" si="31"/>
        <v>0</v>
      </c>
      <c r="R1619" s="229"/>
      <c r="S1619" s="229"/>
      <c r="T1619" s="229"/>
      <c r="U1619" s="229"/>
      <c r="V1619" s="229"/>
      <c r="W1619" s="229"/>
      <c r="X1619" s="229"/>
    </row>
    <row r="1620" spans="1:24" ht="15.75" hidden="1">
      <c r="A1620" s="343"/>
      <c r="B1620" s="344"/>
      <c r="C1620" s="275"/>
      <c r="D1620" s="275"/>
      <c r="E1620" s="275"/>
      <c r="F1620" s="275"/>
      <c r="G1620" s="275"/>
      <c r="H1620" s="275"/>
      <c r="I1620" s="275"/>
      <c r="J1620" s="275"/>
      <c r="K1620" s="275"/>
      <c r="L1620" s="275"/>
      <c r="M1620" s="275"/>
      <c r="N1620" s="275"/>
      <c r="O1620" s="276"/>
      <c r="P1620" s="276"/>
      <c r="Q1620" s="247">
        <f t="shared" si="31"/>
        <v>0</v>
      </c>
      <c r="R1620" s="229"/>
      <c r="S1620" s="229"/>
      <c r="T1620" s="229"/>
      <c r="U1620" s="229"/>
      <c r="V1620" s="229"/>
      <c r="W1620" s="229"/>
      <c r="X1620" s="229"/>
    </row>
    <row r="1621" spans="1:24" ht="15.75" hidden="1">
      <c r="A1621" s="343"/>
      <c r="B1621" s="344"/>
      <c r="C1621" s="275"/>
      <c r="D1621" s="275"/>
      <c r="E1621" s="275"/>
      <c r="F1621" s="275"/>
      <c r="G1621" s="275"/>
      <c r="H1621" s="275"/>
      <c r="I1621" s="275"/>
      <c r="J1621" s="275"/>
      <c r="K1621" s="275"/>
      <c r="L1621" s="275"/>
      <c r="M1621" s="275"/>
      <c r="N1621" s="275"/>
      <c r="O1621" s="276"/>
      <c r="P1621" s="276"/>
      <c r="Q1621" s="247">
        <f t="shared" si="31"/>
        <v>0</v>
      </c>
      <c r="R1621" s="229"/>
      <c r="S1621" s="229"/>
      <c r="T1621" s="229"/>
      <c r="U1621" s="229"/>
      <c r="V1621" s="229"/>
      <c r="W1621" s="229"/>
      <c r="X1621" s="229"/>
    </row>
    <row r="1622" spans="1:24" ht="15.75" hidden="1">
      <c r="A1622" s="343"/>
      <c r="B1622" s="344"/>
      <c r="C1622" s="275"/>
      <c r="D1622" s="275"/>
      <c r="E1622" s="275"/>
      <c r="F1622" s="275"/>
      <c r="G1622" s="275"/>
      <c r="H1622" s="275"/>
      <c r="I1622" s="275"/>
      <c r="J1622" s="275"/>
      <c r="K1622" s="275"/>
      <c r="L1622" s="275"/>
      <c r="M1622" s="275"/>
      <c r="N1622" s="275"/>
      <c r="O1622" s="276"/>
      <c r="P1622" s="276"/>
      <c r="Q1622" s="247">
        <f t="shared" si="31"/>
        <v>0</v>
      </c>
      <c r="R1622" s="229"/>
      <c r="S1622" s="229"/>
      <c r="T1622" s="229"/>
      <c r="U1622" s="229"/>
      <c r="V1622" s="229"/>
      <c r="W1622" s="229"/>
      <c r="X1622" s="229"/>
    </row>
    <row r="1623" spans="1:24" ht="15.75" hidden="1">
      <c r="A1623" s="343"/>
      <c r="B1623" s="344"/>
      <c r="C1623" s="275"/>
      <c r="D1623" s="275"/>
      <c r="E1623" s="275"/>
      <c r="F1623" s="275"/>
      <c r="G1623" s="275"/>
      <c r="H1623" s="275"/>
      <c r="I1623" s="275"/>
      <c r="J1623" s="275"/>
      <c r="K1623" s="275"/>
      <c r="L1623" s="275"/>
      <c r="M1623" s="275"/>
      <c r="N1623" s="275"/>
      <c r="O1623" s="276"/>
      <c r="P1623" s="276"/>
      <c r="Q1623" s="247">
        <f t="shared" si="31"/>
        <v>0</v>
      </c>
      <c r="R1623" s="229"/>
      <c r="S1623" s="229"/>
      <c r="T1623" s="229"/>
      <c r="U1623" s="229"/>
      <c r="V1623" s="229"/>
      <c r="W1623" s="229"/>
      <c r="X1623" s="229"/>
    </row>
    <row r="1624" spans="1:24" ht="15.75" hidden="1">
      <c r="A1624" s="343"/>
      <c r="B1624" s="344"/>
      <c r="C1624" s="275"/>
      <c r="D1624" s="275"/>
      <c r="E1624" s="275"/>
      <c r="F1624" s="275"/>
      <c r="G1624" s="275"/>
      <c r="H1624" s="275"/>
      <c r="I1624" s="275"/>
      <c r="J1624" s="275"/>
      <c r="K1624" s="275"/>
      <c r="L1624" s="275"/>
      <c r="M1624" s="275"/>
      <c r="N1624" s="275"/>
      <c r="O1624" s="276"/>
      <c r="P1624" s="276"/>
      <c r="Q1624" s="247">
        <f t="shared" si="31"/>
        <v>0</v>
      </c>
      <c r="R1624" s="229"/>
      <c r="S1624" s="229"/>
      <c r="T1624" s="229"/>
      <c r="U1624" s="229"/>
      <c r="V1624" s="229"/>
      <c r="W1624" s="229"/>
      <c r="X1624" s="229"/>
    </row>
    <row r="1625" spans="1:24" ht="15.75" hidden="1">
      <c r="A1625" s="343"/>
      <c r="B1625" s="344"/>
      <c r="C1625" s="275"/>
      <c r="D1625" s="275"/>
      <c r="E1625" s="275"/>
      <c r="F1625" s="275"/>
      <c r="G1625" s="275"/>
      <c r="H1625" s="275"/>
      <c r="I1625" s="275"/>
      <c r="J1625" s="275"/>
      <c r="K1625" s="275"/>
      <c r="L1625" s="275"/>
      <c r="M1625" s="275"/>
      <c r="N1625" s="275"/>
      <c r="O1625" s="276"/>
      <c r="P1625" s="276"/>
      <c r="Q1625" s="247">
        <f t="shared" si="31"/>
        <v>0</v>
      </c>
      <c r="R1625" s="229"/>
      <c r="S1625" s="229"/>
      <c r="T1625" s="229"/>
      <c r="U1625" s="229"/>
      <c r="V1625" s="229"/>
      <c r="W1625" s="229"/>
      <c r="X1625" s="229"/>
    </row>
    <row r="1626" spans="1:24" ht="15.75" hidden="1">
      <c r="A1626" s="343"/>
      <c r="B1626" s="344"/>
      <c r="C1626" s="275"/>
      <c r="D1626" s="275"/>
      <c r="E1626" s="275"/>
      <c r="F1626" s="275"/>
      <c r="G1626" s="275"/>
      <c r="H1626" s="275"/>
      <c r="I1626" s="275"/>
      <c r="J1626" s="275"/>
      <c r="K1626" s="275"/>
      <c r="L1626" s="275"/>
      <c r="M1626" s="275"/>
      <c r="N1626" s="275"/>
      <c r="O1626" s="276"/>
      <c r="P1626" s="276"/>
      <c r="Q1626" s="247">
        <f t="shared" si="31"/>
        <v>0</v>
      </c>
      <c r="R1626" s="229"/>
      <c r="S1626" s="229"/>
      <c r="T1626" s="229"/>
      <c r="U1626" s="229"/>
      <c r="V1626" s="229"/>
      <c r="W1626" s="229"/>
      <c r="X1626" s="229"/>
    </row>
    <row r="1627" spans="1:24" ht="15.75" hidden="1">
      <c r="A1627" s="343"/>
      <c r="B1627" s="344"/>
      <c r="C1627" s="275"/>
      <c r="D1627" s="275"/>
      <c r="E1627" s="275"/>
      <c r="F1627" s="275"/>
      <c r="G1627" s="275"/>
      <c r="H1627" s="275"/>
      <c r="I1627" s="275"/>
      <c r="J1627" s="275"/>
      <c r="K1627" s="275"/>
      <c r="L1627" s="275"/>
      <c r="M1627" s="275"/>
      <c r="N1627" s="275"/>
      <c r="O1627" s="276"/>
      <c r="P1627" s="276"/>
      <c r="Q1627" s="247">
        <f t="shared" si="31"/>
        <v>0</v>
      </c>
      <c r="R1627" s="229"/>
      <c r="S1627" s="229"/>
      <c r="T1627" s="229"/>
      <c r="U1627" s="229"/>
      <c r="V1627" s="229"/>
      <c r="W1627" s="229"/>
      <c r="X1627" s="229"/>
    </row>
    <row r="1628" spans="1:24" ht="15.75" hidden="1">
      <c r="A1628" s="343"/>
      <c r="B1628" s="344"/>
      <c r="C1628" s="275"/>
      <c r="D1628" s="275"/>
      <c r="E1628" s="275"/>
      <c r="F1628" s="275"/>
      <c r="G1628" s="275"/>
      <c r="H1628" s="275"/>
      <c r="I1628" s="275"/>
      <c r="J1628" s="275"/>
      <c r="K1628" s="275"/>
      <c r="L1628" s="275"/>
      <c r="M1628" s="275"/>
      <c r="N1628" s="275"/>
      <c r="O1628" s="276"/>
      <c r="P1628" s="276"/>
      <c r="Q1628" s="247">
        <f t="shared" si="31"/>
        <v>0</v>
      </c>
      <c r="R1628" s="229"/>
      <c r="S1628" s="229"/>
      <c r="T1628" s="229"/>
      <c r="U1628" s="229"/>
      <c r="V1628" s="229"/>
      <c r="W1628" s="229"/>
      <c r="X1628" s="229"/>
    </row>
    <row r="1629" spans="1:24" ht="15.75" hidden="1">
      <c r="A1629" s="343"/>
      <c r="B1629" s="344"/>
      <c r="C1629" s="275"/>
      <c r="D1629" s="275"/>
      <c r="E1629" s="275"/>
      <c r="F1629" s="275"/>
      <c r="G1629" s="275"/>
      <c r="H1629" s="275"/>
      <c r="I1629" s="275"/>
      <c r="J1629" s="275"/>
      <c r="K1629" s="275"/>
      <c r="L1629" s="275"/>
      <c r="M1629" s="275"/>
      <c r="N1629" s="275"/>
      <c r="O1629" s="276"/>
      <c r="P1629" s="276"/>
      <c r="Q1629" s="247">
        <f t="shared" si="31"/>
        <v>0</v>
      </c>
      <c r="R1629" s="229"/>
      <c r="S1629" s="229"/>
      <c r="T1629" s="229"/>
      <c r="U1629" s="229"/>
      <c r="V1629" s="229"/>
      <c r="W1629" s="229"/>
      <c r="X1629" s="229"/>
    </row>
    <row r="1630" spans="1:24" ht="15.75" hidden="1">
      <c r="A1630" s="343"/>
      <c r="B1630" s="344"/>
      <c r="C1630" s="275"/>
      <c r="D1630" s="275"/>
      <c r="E1630" s="275"/>
      <c r="F1630" s="275"/>
      <c r="G1630" s="275"/>
      <c r="H1630" s="275"/>
      <c r="I1630" s="275"/>
      <c r="J1630" s="275"/>
      <c r="K1630" s="275"/>
      <c r="L1630" s="275"/>
      <c r="M1630" s="275"/>
      <c r="N1630" s="275"/>
      <c r="O1630" s="276"/>
      <c r="P1630" s="276"/>
      <c r="Q1630" s="247">
        <f t="shared" si="31"/>
        <v>0</v>
      </c>
      <c r="R1630" s="229"/>
      <c r="S1630" s="229"/>
      <c r="T1630" s="229"/>
      <c r="U1630" s="229"/>
      <c r="V1630" s="229"/>
      <c r="W1630" s="229"/>
      <c r="X1630" s="229"/>
    </row>
    <row r="1631" spans="1:24" ht="15.75" hidden="1">
      <c r="A1631" s="343"/>
      <c r="B1631" s="344"/>
      <c r="C1631" s="275"/>
      <c r="D1631" s="275"/>
      <c r="E1631" s="275"/>
      <c r="F1631" s="275"/>
      <c r="G1631" s="275"/>
      <c r="H1631" s="275"/>
      <c r="I1631" s="275"/>
      <c r="J1631" s="275"/>
      <c r="K1631" s="275"/>
      <c r="L1631" s="275"/>
      <c r="M1631" s="275"/>
      <c r="N1631" s="275"/>
      <c r="O1631" s="276"/>
      <c r="P1631" s="276"/>
      <c r="Q1631" s="247">
        <f t="shared" si="31"/>
        <v>0</v>
      </c>
      <c r="R1631" s="229"/>
      <c r="S1631" s="229"/>
      <c r="T1631" s="229"/>
      <c r="U1631" s="229"/>
      <c r="V1631" s="229"/>
      <c r="W1631" s="229"/>
      <c r="X1631" s="229"/>
    </row>
    <row r="1632" spans="1:24" ht="15.75" hidden="1">
      <c r="A1632" s="343"/>
      <c r="B1632" s="344"/>
      <c r="C1632" s="275"/>
      <c r="D1632" s="275"/>
      <c r="E1632" s="275"/>
      <c r="F1632" s="275"/>
      <c r="G1632" s="275"/>
      <c r="H1632" s="275"/>
      <c r="I1632" s="275"/>
      <c r="J1632" s="275"/>
      <c r="K1632" s="275"/>
      <c r="L1632" s="275"/>
      <c r="M1632" s="275"/>
      <c r="N1632" s="275"/>
      <c r="O1632" s="276"/>
      <c r="P1632" s="276"/>
      <c r="Q1632" s="247">
        <f t="shared" si="31"/>
        <v>0</v>
      </c>
      <c r="R1632" s="229"/>
      <c r="S1632" s="229"/>
      <c r="T1632" s="229"/>
      <c r="U1632" s="229"/>
      <c r="V1632" s="229"/>
      <c r="W1632" s="229"/>
      <c r="X1632" s="229"/>
    </row>
    <row r="1633" spans="1:24" ht="15.75" hidden="1">
      <c r="A1633" s="343"/>
      <c r="B1633" s="344"/>
      <c r="C1633" s="275"/>
      <c r="D1633" s="275"/>
      <c r="E1633" s="275"/>
      <c r="F1633" s="275"/>
      <c r="G1633" s="275"/>
      <c r="H1633" s="275"/>
      <c r="I1633" s="275"/>
      <c r="J1633" s="275"/>
      <c r="K1633" s="275"/>
      <c r="L1633" s="275"/>
      <c r="M1633" s="275"/>
      <c r="N1633" s="275"/>
      <c r="O1633" s="276"/>
      <c r="P1633" s="276"/>
      <c r="Q1633" s="247">
        <f t="shared" si="31"/>
        <v>0</v>
      </c>
      <c r="R1633" s="229"/>
      <c r="S1633" s="229"/>
      <c r="T1633" s="229"/>
      <c r="U1633" s="229"/>
      <c r="V1633" s="229"/>
      <c r="W1633" s="229"/>
      <c r="X1633" s="229"/>
    </row>
    <row r="1634" spans="1:24" ht="15.75" hidden="1">
      <c r="A1634" s="343"/>
      <c r="B1634" s="344"/>
      <c r="C1634" s="275"/>
      <c r="D1634" s="275"/>
      <c r="E1634" s="275"/>
      <c r="F1634" s="275"/>
      <c r="G1634" s="275"/>
      <c r="H1634" s="275"/>
      <c r="I1634" s="275"/>
      <c r="J1634" s="275"/>
      <c r="K1634" s="275"/>
      <c r="L1634" s="275"/>
      <c r="M1634" s="275"/>
      <c r="N1634" s="275"/>
      <c r="O1634" s="276"/>
      <c r="P1634" s="276"/>
      <c r="Q1634" s="247">
        <f t="shared" si="31"/>
        <v>0</v>
      </c>
      <c r="R1634" s="229"/>
      <c r="S1634" s="229"/>
      <c r="T1634" s="229"/>
      <c r="U1634" s="229"/>
      <c r="V1634" s="229"/>
      <c r="W1634" s="229"/>
      <c r="X1634" s="229"/>
    </row>
    <row r="1635" spans="1:24" ht="15.75" hidden="1">
      <c r="A1635" s="343"/>
      <c r="B1635" s="344"/>
      <c r="C1635" s="275"/>
      <c r="D1635" s="275"/>
      <c r="E1635" s="275"/>
      <c r="F1635" s="275"/>
      <c r="G1635" s="275"/>
      <c r="H1635" s="275"/>
      <c r="I1635" s="275"/>
      <c r="J1635" s="275"/>
      <c r="K1635" s="275"/>
      <c r="L1635" s="275"/>
      <c r="M1635" s="275"/>
      <c r="N1635" s="275"/>
      <c r="O1635" s="276"/>
      <c r="P1635" s="276"/>
      <c r="Q1635" s="247">
        <f t="shared" si="31"/>
        <v>0</v>
      </c>
      <c r="R1635" s="229"/>
      <c r="S1635" s="229"/>
      <c r="T1635" s="229"/>
      <c r="U1635" s="229"/>
      <c r="V1635" s="229"/>
      <c r="W1635" s="229"/>
      <c r="X1635" s="229"/>
    </row>
    <row r="1636" spans="1:24" ht="15.75" hidden="1">
      <c r="A1636" s="343"/>
      <c r="B1636" s="344"/>
      <c r="C1636" s="275"/>
      <c r="D1636" s="275"/>
      <c r="E1636" s="275"/>
      <c r="F1636" s="275"/>
      <c r="G1636" s="275"/>
      <c r="H1636" s="275"/>
      <c r="I1636" s="275"/>
      <c r="J1636" s="275"/>
      <c r="K1636" s="275"/>
      <c r="L1636" s="275"/>
      <c r="M1636" s="275"/>
      <c r="N1636" s="275"/>
      <c r="O1636" s="276"/>
      <c r="P1636" s="276"/>
      <c r="Q1636" s="247">
        <f t="shared" si="31"/>
        <v>0</v>
      </c>
      <c r="R1636" s="229"/>
      <c r="S1636" s="229"/>
      <c r="T1636" s="229"/>
      <c r="U1636" s="229"/>
      <c r="V1636" s="229"/>
      <c r="W1636" s="229"/>
      <c r="X1636" s="229"/>
    </row>
    <row r="1637" spans="1:24" ht="15.75" hidden="1">
      <c r="A1637" s="343"/>
      <c r="B1637" s="344"/>
      <c r="C1637" s="275"/>
      <c r="D1637" s="275"/>
      <c r="E1637" s="275"/>
      <c r="F1637" s="275"/>
      <c r="G1637" s="275"/>
      <c r="H1637" s="275"/>
      <c r="I1637" s="275"/>
      <c r="J1637" s="275"/>
      <c r="K1637" s="275"/>
      <c r="L1637" s="275"/>
      <c r="M1637" s="275"/>
      <c r="N1637" s="275"/>
      <c r="O1637" s="276"/>
      <c r="P1637" s="276"/>
      <c r="Q1637" s="247">
        <f t="shared" si="31"/>
        <v>0</v>
      </c>
      <c r="R1637" s="229"/>
      <c r="S1637" s="229"/>
      <c r="T1637" s="229"/>
      <c r="U1637" s="229"/>
      <c r="V1637" s="229"/>
      <c r="W1637" s="229"/>
      <c r="X1637" s="229"/>
    </row>
    <row r="1638" spans="1:24" ht="15.75" hidden="1">
      <c r="A1638" s="343"/>
      <c r="B1638" s="344"/>
      <c r="C1638" s="275"/>
      <c r="D1638" s="275"/>
      <c r="E1638" s="275"/>
      <c r="F1638" s="275"/>
      <c r="G1638" s="275"/>
      <c r="H1638" s="275"/>
      <c r="I1638" s="275"/>
      <c r="J1638" s="275"/>
      <c r="K1638" s="275"/>
      <c r="L1638" s="275"/>
      <c r="M1638" s="275"/>
      <c r="N1638" s="275"/>
      <c r="O1638" s="276"/>
      <c r="P1638" s="276"/>
      <c r="Q1638" s="247">
        <f t="shared" si="31"/>
        <v>0</v>
      </c>
      <c r="R1638" s="229"/>
      <c r="S1638" s="229"/>
      <c r="T1638" s="229"/>
      <c r="U1638" s="229"/>
      <c r="V1638" s="229"/>
      <c r="W1638" s="229"/>
      <c r="X1638" s="229"/>
    </row>
    <row r="1639" spans="1:24" ht="15.75" hidden="1">
      <c r="A1639" s="343"/>
      <c r="B1639" s="344"/>
      <c r="C1639" s="275"/>
      <c r="D1639" s="275"/>
      <c r="E1639" s="275"/>
      <c r="F1639" s="275"/>
      <c r="G1639" s="275"/>
      <c r="H1639" s="275"/>
      <c r="I1639" s="275"/>
      <c r="J1639" s="275"/>
      <c r="K1639" s="275"/>
      <c r="L1639" s="275"/>
      <c r="M1639" s="275"/>
      <c r="N1639" s="275"/>
      <c r="O1639" s="276"/>
      <c r="P1639" s="276"/>
      <c r="Q1639" s="247">
        <f t="shared" si="31"/>
        <v>0</v>
      </c>
      <c r="R1639" s="229"/>
      <c r="S1639" s="229"/>
      <c r="T1639" s="229"/>
      <c r="U1639" s="229"/>
      <c r="V1639" s="229"/>
      <c r="W1639" s="229"/>
      <c r="X1639" s="229"/>
    </row>
    <row r="1640" spans="1:24" ht="15.75" hidden="1">
      <c r="A1640" s="343"/>
      <c r="B1640" s="344"/>
      <c r="C1640" s="275"/>
      <c r="D1640" s="275"/>
      <c r="E1640" s="275"/>
      <c r="F1640" s="275"/>
      <c r="G1640" s="275"/>
      <c r="H1640" s="275"/>
      <c r="I1640" s="275"/>
      <c r="J1640" s="275"/>
      <c r="K1640" s="275"/>
      <c r="L1640" s="275"/>
      <c r="M1640" s="275"/>
      <c r="N1640" s="275"/>
      <c r="O1640" s="276"/>
      <c r="P1640" s="276"/>
      <c r="Q1640" s="247">
        <f t="shared" si="31"/>
        <v>0</v>
      </c>
      <c r="R1640" s="229"/>
      <c r="S1640" s="229"/>
      <c r="T1640" s="229"/>
      <c r="U1640" s="229"/>
      <c r="V1640" s="229"/>
      <c r="W1640" s="229"/>
      <c r="X1640" s="229"/>
    </row>
    <row r="1641" spans="1:24" ht="15.75" hidden="1">
      <c r="A1641" s="343"/>
      <c r="B1641" s="344"/>
      <c r="C1641" s="275"/>
      <c r="D1641" s="275"/>
      <c r="E1641" s="275"/>
      <c r="F1641" s="275"/>
      <c r="G1641" s="275"/>
      <c r="H1641" s="275"/>
      <c r="I1641" s="275"/>
      <c r="J1641" s="275"/>
      <c r="K1641" s="275"/>
      <c r="L1641" s="275"/>
      <c r="M1641" s="275"/>
      <c r="N1641" s="275"/>
      <c r="O1641" s="276"/>
      <c r="P1641" s="276"/>
      <c r="Q1641" s="247">
        <f t="shared" si="31"/>
        <v>0</v>
      </c>
      <c r="R1641" s="229"/>
      <c r="S1641" s="229"/>
      <c r="T1641" s="229"/>
      <c r="U1641" s="229"/>
      <c r="V1641" s="229"/>
      <c r="W1641" s="229"/>
      <c r="X1641" s="229"/>
    </row>
    <row r="1642" spans="1:24" ht="15.75" hidden="1">
      <c r="A1642" s="343"/>
      <c r="B1642" s="344"/>
      <c r="C1642" s="275"/>
      <c r="D1642" s="275"/>
      <c r="E1642" s="275"/>
      <c r="F1642" s="275"/>
      <c r="G1642" s="275"/>
      <c r="H1642" s="275"/>
      <c r="I1642" s="275"/>
      <c r="J1642" s="275"/>
      <c r="K1642" s="275"/>
      <c r="L1642" s="275"/>
      <c r="M1642" s="275"/>
      <c r="N1642" s="275"/>
      <c r="O1642" s="276"/>
      <c r="P1642" s="276"/>
      <c r="Q1642" s="247">
        <f t="shared" si="31"/>
        <v>0</v>
      </c>
      <c r="R1642" s="229"/>
      <c r="S1642" s="229"/>
      <c r="T1642" s="229"/>
      <c r="U1642" s="229"/>
      <c r="V1642" s="229"/>
      <c r="W1642" s="229"/>
      <c r="X1642" s="229"/>
    </row>
    <row r="1643" spans="1:24" ht="15.75" hidden="1">
      <c r="A1643" s="343"/>
      <c r="B1643" s="344"/>
      <c r="C1643" s="275"/>
      <c r="D1643" s="275"/>
      <c r="E1643" s="275"/>
      <c r="F1643" s="275"/>
      <c r="G1643" s="275"/>
      <c r="H1643" s="275"/>
      <c r="I1643" s="275"/>
      <c r="J1643" s="275"/>
      <c r="K1643" s="275"/>
      <c r="L1643" s="275"/>
      <c r="M1643" s="275"/>
      <c r="N1643" s="275"/>
      <c r="O1643" s="276"/>
      <c r="P1643" s="276"/>
      <c r="Q1643" s="247">
        <f t="shared" si="31"/>
        <v>0</v>
      </c>
      <c r="R1643" s="229"/>
      <c r="S1643" s="229"/>
      <c r="T1643" s="229"/>
      <c r="U1643" s="229"/>
      <c r="V1643" s="229"/>
      <c r="W1643" s="229"/>
      <c r="X1643" s="229"/>
    </row>
    <row r="1644" spans="1:24" ht="15.75" hidden="1">
      <c r="A1644" s="343"/>
      <c r="B1644" s="344"/>
      <c r="C1644" s="275"/>
      <c r="D1644" s="275"/>
      <c r="E1644" s="275"/>
      <c r="F1644" s="275"/>
      <c r="G1644" s="275"/>
      <c r="H1644" s="275"/>
      <c r="I1644" s="275"/>
      <c r="J1644" s="275"/>
      <c r="K1644" s="275"/>
      <c r="L1644" s="275"/>
      <c r="M1644" s="275"/>
      <c r="N1644" s="275"/>
      <c r="O1644" s="276"/>
      <c r="P1644" s="276"/>
      <c r="Q1644" s="247">
        <f t="shared" si="31"/>
        <v>0</v>
      </c>
      <c r="R1644" s="229"/>
      <c r="S1644" s="229"/>
      <c r="T1644" s="229"/>
      <c r="U1644" s="229"/>
      <c r="V1644" s="229"/>
      <c r="W1644" s="229"/>
      <c r="X1644" s="229"/>
    </row>
    <row r="1645" spans="1:24" ht="15.75" hidden="1">
      <c r="A1645" s="343"/>
      <c r="B1645" s="344"/>
      <c r="C1645" s="275"/>
      <c r="D1645" s="275"/>
      <c r="E1645" s="275"/>
      <c r="F1645" s="275"/>
      <c r="G1645" s="275"/>
      <c r="H1645" s="275"/>
      <c r="I1645" s="275"/>
      <c r="J1645" s="275"/>
      <c r="K1645" s="275"/>
      <c r="L1645" s="275"/>
      <c r="M1645" s="275"/>
      <c r="N1645" s="275"/>
      <c r="O1645" s="276"/>
      <c r="P1645" s="276"/>
      <c r="Q1645" s="247">
        <f t="shared" si="31"/>
        <v>0</v>
      </c>
      <c r="R1645" s="229"/>
      <c r="S1645" s="229"/>
      <c r="T1645" s="229"/>
      <c r="U1645" s="229"/>
      <c r="V1645" s="229"/>
      <c r="W1645" s="229"/>
      <c r="X1645" s="229"/>
    </row>
    <row r="1646" spans="1:24" ht="15.75" hidden="1">
      <c r="A1646" s="343"/>
      <c r="B1646" s="344"/>
      <c r="C1646" s="275"/>
      <c r="D1646" s="275"/>
      <c r="E1646" s="275"/>
      <c r="F1646" s="275"/>
      <c r="G1646" s="275"/>
      <c r="H1646" s="275"/>
      <c r="I1646" s="275"/>
      <c r="J1646" s="275"/>
      <c r="K1646" s="275"/>
      <c r="L1646" s="275"/>
      <c r="M1646" s="275"/>
      <c r="N1646" s="275"/>
      <c r="O1646" s="276"/>
      <c r="P1646" s="276"/>
      <c r="Q1646" s="247">
        <f t="shared" si="31"/>
        <v>0</v>
      </c>
      <c r="R1646" s="229"/>
      <c r="S1646" s="229"/>
      <c r="T1646" s="229"/>
      <c r="U1646" s="229"/>
      <c r="V1646" s="229"/>
      <c r="W1646" s="229"/>
      <c r="X1646" s="229"/>
    </row>
    <row r="1647" spans="1:24" ht="15.75" hidden="1">
      <c r="A1647" s="343"/>
      <c r="B1647" s="344"/>
      <c r="C1647" s="275"/>
      <c r="D1647" s="275"/>
      <c r="E1647" s="275"/>
      <c r="F1647" s="275"/>
      <c r="G1647" s="275"/>
      <c r="H1647" s="275"/>
      <c r="I1647" s="275"/>
      <c r="J1647" s="275"/>
      <c r="K1647" s="275"/>
      <c r="L1647" s="275"/>
      <c r="M1647" s="275"/>
      <c r="N1647" s="275"/>
      <c r="O1647" s="276"/>
      <c r="P1647" s="276"/>
      <c r="Q1647" s="247">
        <f t="shared" si="31"/>
        <v>0</v>
      </c>
      <c r="R1647" s="229"/>
      <c r="S1647" s="229"/>
      <c r="T1647" s="229"/>
      <c r="U1647" s="229"/>
      <c r="V1647" s="229"/>
      <c r="W1647" s="229"/>
      <c r="X1647" s="229"/>
    </row>
    <row r="1648" spans="1:24" ht="15.75" hidden="1">
      <c r="A1648" s="343"/>
      <c r="B1648" s="344"/>
      <c r="C1648" s="275"/>
      <c r="D1648" s="275"/>
      <c r="E1648" s="275"/>
      <c r="F1648" s="275"/>
      <c r="G1648" s="275"/>
      <c r="H1648" s="275"/>
      <c r="I1648" s="275"/>
      <c r="J1648" s="275"/>
      <c r="K1648" s="275"/>
      <c r="L1648" s="275"/>
      <c r="M1648" s="275"/>
      <c r="N1648" s="275"/>
      <c r="O1648" s="276"/>
      <c r="P1648" s="276"/>
      <c r="Q1648" s="247">
        <f t="shared" si="31"/>
        <v>0</v>
      </c>
      <c r="R1648" s="229"/>
      <c r="S1648" s="229"/>
      <c r="T1648" s="229"/>
      <c r="U1648" s="229"/>
      <c r="V1648" s="229"/>
      <c r="W1648" s="229"/>
      <c r="X1648" s="229"/>
    </row>
    <row r="1649" spans="1:24" ht="15.75" hidden="1">
      <c r="A1649" s="343"/>
      <c r="B1649" s="344"/>
      <c r="C1649" s="275"/>
      <c r="D1649" s="275"/>
      <c r="E1649" s="275"/>
      <c r="F1649" s="275"/>
      <c r="G1649" s="275"/>
      <c r="H1649" s="275"/>
      <c r="I1649" s="275"/>
      <c r="J1649" s="275"/>
      <c r="K1649" s="275"/>
      <c r="L1649" s="275"/>
      <c r="M1649" s="275"/>
      <c r="N1649" s="275"/>
      <c r="O1649" s="276"/>
      <c r="P1649" s="276"/>
      <c r="Q1649" s="247">
        <f t="shared" si="31"/>
        <v>0</v>
      </c>
      <c r="R1649" s="229"/>
      <c r="S1649" s="229"/>
      <c r="T1649" s="229"/>
      <c r="U1649" s="229"/>
      <c r="V1649" s="229"/>
      <c r="W1649" s="229"/>
      <c r="X1649" s="229"/>
    </row>
    <row r="1650" spans="1:24" ht="15.75" hidden="1">
      <c r="A1650" s="343"/>
      <c r="B1650" s="344"/>
      <c r="C1650" s="275"/>
      <c r="D1650" s="275"/>
      <c r="E1650" s="275"/>
      <c r="F1650" s="275"/>
      <c r="G1650" s="275"/>
      <c r="H1650" s="275"/>
      <c r="I1650" s="275"/>
      <c r="J1650" s="275"/>
      <c r="K1650" s="275"/>
      <c r="L1650" s="275"/>
      <c r="M1650" s="275"/>
      <c r="N1650" s="275"/>
      <c r="O1650" s="276"/>
      <c r="P1650" s="276"/>
      <c r="Q1650" s="247">
        <f t="shared" si="31"/>
        <v>0</v>
      </c>
      <c r="R1650" s="229"/>
      <c r="S1650" s="229"/>
      <c r="T1650" s="229"/>
      <c r="U1650" s="229"/>
      <c r="V1650" s="229"/>
      <c r="W1650" s="229"/>
      <c r="X1650" s="229"/>
    </row>
    <row r="1651" spans="1:24" ht="15.75" hidden="1">
      <c r="A1651" s="343"/>
      <c r="B1651" s="344"/>
      <c r="C1651" s="275"/>
      <c r="D1651" s="275"/>
      <c r="E1651" s="275"/>
      <c r="F1651" s="275"/>
      <c r="G1651" s="275"/>
      <c r="H1651" s="275"/>
      <c r="I1651" s="275"/>
      <c r="J1651" s="275"/>
      <c r="K1651" s="275"/>
      <c r="L1651" s="275"/>
      <c r="M1651" s="275"/>
      <c r="N1651" s="275"/>
      <c r="O1651" s="276"/>
      <c r="P1651" s="276"/>
      <c r="Q1651" s="247">
        <f t="shared" si="31"/>
        <v>0</v>
      </c>
      <c r="R1651" s="229"/>
      <c r="S1651" s="229"/>
      <c r="T1651" s="229"/>
      <c r="U1651" s="229"/>
      <c r="V1651" s="229"/>
      <c r="W1651" s="229"/>
      <c r="X1651" s="229"/>
    </row>
    <row r="1652" spans="1:24" ht="15.75" hidden="1">
      <c r="A1652" s="343"/>
      <c r="B1652" s="344"/>
      <c r="C1652" s="275"/>
      <c r="D1652" s="275"/>
      <c r="E1652" s="275"/>
      <c r="F1652" s="275"/>
      <c r="G1652" s="275"/>
      <c r="H1652" s="275"/>
      <c r="I1652" s="275"/>
      <c r="J1652" s="275"/>
      <c r="K1652" s="275"/>
      <c r="L1652" s="275"/>
      <c r="M1652" s="275"/>
      <c r="N1652" s="275"/>
      <c r="O1652" s="276"/>
      <c r="P1652" s="276"/>
      <c r="Q1652" s="247">
        <f t="shared" si="31"/>
        <v>0</v>
      </c>
      <c r="R1652" s="229"/>
      <c r="S1652" s="229"/>
      <c r="T1652" s="229"/>
      <c r="U1652" s="229"/>
      <c r="V1652" s="229"/>
      <c r="W1652" s="229"/>
      <c r="X1652" s="229"/>
    </row>
    <row r="1653" spans="1:24" ht="15.75" hidden="1">
      <c r="A1653" s="343"/>
      <c r="B1653" s="344"/>
      <c r="C1653" s="275"/>
      <c r="D1653" s="275"/>
      <c r="E1653" s="275"/>
      <c r="F1653" s="275"/>
      <c r="G1653" s="275"/>
      <c r="H1653" s="275"/>
      <c r="I1653" s="275"/>
      <c r="J1653" s="275"/>
      <c r="K1653" s="275"/>
      <c r="L1653" s="275"/>
      <c r="M1653" s="275"/>
      <c r="N1653" s="275"/>
      <c r="O1653" s="276"/>
      <c r="P1653" s="276"/>
      <c r="Q1653" s="247">
        <f t="shared" si="31"/>
        <v>0</v>
      </c>
      <c r="R1653" s="229"/>
      <c r="S1653" s="229"/>
      <c r="T1653" s="229"/>
      <c r="U1653" s="229"/>
      <c r="V1653" s="229"/>
      <c r="W1653" s="229"/>
      <c r="X1653" s="229"/>
    </row>
    <row r="1654" spans="1:24" ht="15.75" hidden="1">
      <c r="A1654" s="343"/>
      <c r="B1654" s="344"/>
      <c r="C1654" s="275"/>
      <c r="D1654" s="275"/>
      <c r="E1654" s="275"/>
      <c r="F1654" s="275"/>
      <c r="G1654" s="275"/>
      <c r="H1654" s="275"/>
      <c r="I1654" s="275"/>
      <c r="J1654" s="275"/>
      <c r="K1654" s="275"/>
      <c r="L1654" s="275"/>
      <c r="M1654" s="275"/>
      <c r="N1654" s="275"/>
      <c r="O1654" s="276"/>
      <c r="P1654" s="276"/>
      <c r="Q1654" s="247">
        <f t="shared" si="31"/>
        <v>0</v>
      </c>
      <c r="R1654" s="229"/>
      <c r="S1654" s="229"/>
      <c r="T1654" s="229"/>
      <c r="U1654" s="229"/>
      <c r="V1654" s="229"/>
      <c r="W1654" s="229"/>
      <c r="X1654" s="229"/>
    </row>
    <row r="1655" spans="1:24" ht="15.75" hidden="1">
      <c r="A1655" s="343"/>
      <c r="B1655" s="344"/>
      <c r="C1655" s="275"/>
      <c r="D1655" s="275"/>
      <c r="E1655" s="275"/>
      <c r="F1655" s="275"/>
      <c r="G1655" s="275"/>
      <c r="H1655" s="275"/>
      <c r="I1655" s="275"/>
      <c r="J1655" s="275"/>
      <c r="K1655" s="275"/>
      <c r="L1655" s="275"/>
      <c r="M1655" s="275"/>
      <c r="N1655" s="275"/>
      <c r="O1655" s="276"/>
      <c r="P1655" s="276"/>
      <c r="Q1655" s="247">
        <f t="shared" si="31"/>
        <v>0</v>
      </c>
      <c r="R1655" s="229"/>
      <c r="S1655" s="229"/>
      <c r="T1655" s="229"/>
      <c r="U1655" s="229"/>
      <c r="V1655" s="229"/>
      <c r="W1655" s="229"/>
      <c r="X1655" s="229"/>
    </row>
    <row r="1656" spans="1:24" ht="15.75" hidden="1">
      <c r="A1656" s="343"/>
      <c r="B1656" s="344"/>
      <c r="C1656" s="275"/>
      <c r="D1656" s="275"/>
      <c r="E1656" s="275"/>
      <c r="F1656" s="275"/>
      <c r="G1656" s="275"/>
      <c r="H1656" s="275"/>
      <c r="I1656" s="275"/>
      <c r="J1656" s="275"/>
      <c r="K1656" s="275"/>
      <c r="L1656" s="275"/>
      <c r="M1656" s="275"/>
      <c r="N1656" s="275"/>
      <c r="O1656" s="276"/>
      <c r="P1656" s="276"/>
      <c r="Q1656" s="247">
        <f t="shared" si="31"/>
        <v>0</v>
      </c>
      <c r="R1656" s="229"/>
      <c r="S1656" s="229"/>
      <c r="T1656" s="229"/>
      <c r="U1656" s="229"/>
      <c r="V1656" s="229"/>
      <c r="W1656" s="229"/>
      <c r="X1656" s="229"/>
    </row>
    <row r="1657" spans="1:24" ht="15.75" hidden="1">
      <c r="A1657" s="343"/>
      <c r="B1657" s="344"/>
      <c r="C1657" s="275"/>
      <c r="D1657" s="275"/>
      <c r="E1657" s="275"/>
      <c r="F1657" s="275"/>
      <c r="G1657" s="275"/>
      <c r="H1657" s="275"/>
      <c r="I1657" s="275"/>
      <c r="J1657" s="275"/>
      <c r="K1657" s="275"/>
      <c r="L1657" s="275"/>
      <c r="M1657" s="275"/>
      <c r="N1657" s="275"/>
      <c r="O1657" s="276"/>
      <c r="P1657" s="276"/>
      <c r="Q1657" s="247">
        <f t="shared" si="31"/>
        <v>0</v>
      </c>
      <c r="R1657" s="229"/>
      <c r="S1657" s="229"/>
      <c r="T1657" s="229"/>
      <c r="U1657" s="229"/>
      <c r="V1657" s="229"/>
      <c r="W1657" s="229"/>
      <c r="X1657" s="229"/>
    </row>
    <row r="1658" spans="1:24" ht="15.75" hidden="1">
      <c r="A1658" s="343"/>
      <c r="B1658" s="344"/>
      <c r="C1658" s="275"/>
      <c r="D1658" s="275"/>
      <c r="E1658" s="275"/>
      <c r="F1658" s="275"/>
      <c r="G1658" s="275"/>
      <c r="H1658" s="275"/>
      <c r="I1658" s="275"/>
      <c r="J1658" s="275"/>
      <c r="K1658" s="275"/>
      <c r="L1658" s="275"/>
      <c r="M1658" s="275"/>
      <c r="N1658" s="275"/>
      <c r="O1658" s="276"/>
      <c r="P1658" s="276"/>
      <c r="Q1658" s="247">
        <f t="shared" si="31"/>
        <v>0</v>
      </c>
      <c r="R1658" s="229"/>
      <c r="S1658" s="229"/>
      <c r="T1658" s="229"/>
      <c r="U1658" s="229"/>
      <c r="V1658" s="229"/>
      <c r="W1658" s="229"/>
      <c r="X1658" s="229"/>
    </row>
    <row r="1659" spans="1:24" ht="15.75" hidden="1">
      <c r="A1659" s="343"/>
      <c r="B1659" s="344"/>
      <c r="C1659" s="275"/>
      <c r="D1659" s="275"/>
      <c r="E1659" s="275"/>
      <c r="F1659" s="275"/>
      <c r="G1659" s="275"/>
      <c r="H1659" s="275"/>
      <c r="I1659" s="275"/>
      <c r="J1659" s="275"/>
      <c r="K1659" s="275"/>
      <c r="L1659" s="275"/>
      <c r="M1659" s="275"/>
      <c r="N1659" s="275"/>
      <c r="O1659" s="276"/>
      <c r="P1659" s="276"/>
      <c r="Q1659" s="247">
        <f t="shared" si="31"/>
        <v>0</v>
      </c>
      <c r="R1659" s="229"/>
      <c r="S1659" s="229"/>
      <c r="T1659" s="229"/>
      <c r="U1659" s="229"/>
      <c r="V1659" s="229"/>
      <c r="W1659" s="229"/>
      <c r="X1659" s="229"/>
    </row>
    <row r="1660" spans="1:24" ht="15.75" hidden="1">
      <c r="A1660" s="343"/>
      <c r="B1660" s="344"/>
      <c r="C1660" s="275"/>
      <c r="D1660" s="275"/>
      <c r="E1660" s="275"/>
      <c r="F1660" s="275"/>
      <c r="G1660" s="275"/>
      <c r="H1660" s="275"/>
      <c r="I1660" s="275"/>
      <c r="J1660" s="275"/>
      <c r="K1660" s="275"/>
      <c r="L1660" s="275"/>
      <c r="M1660" s="275"/>
      <c r="N1660" s="275"/>
      <c r="O1660" s="276"/>
      <c r="P1660" s="276"/>
      <c r="Q1660" s="247">
        <f t="shared" si="31"/>
        <v>0</v>
      </c>
      <c r="R1660" s="229"/>
      <c r="S1660" s="229"/>
      <c r="T1660" s="229"/>
      <c r="U1660" s="229"/>
      <c r="V1660" s="229"/>
      <c r="W1660" s="229"/>
      <c r="X1660" s="229"/>
    </row>
    <row r="1661" spans="1:24" ht="15.75" hidden="1">
      <c r="A1661" s="343"/>
      <c r="B1661" s="344"/>
      <c r="C1661" s="275"/>
      <c r="D1661" s="275"/>
      <c r="E1661" s="275"/>
      <c r="F1661" s="275"/>
      <c r="G1661" s="275"/>
      <c r="H1661" s="275"/>
      <c r="I1661" s="275"/>
      <c r="J1661" s="275"/>
      <c r="K1661" s="275"/>
      <c r="L1661" s="275"/>
      <c r="M1661" s="275"/>
      <c r="N1661" s="275"/>
      <c r="O1661" s="276"/>
      <c r="P1661" s="276"/>
      <c r="Q1661" s="247">
        <f t="shared" si="31"/>
        <v>0</v>
      </c>
      <c r="R1661" s="229"/>
      <c r="S1661" s="229"/>
      <c r="T1661" s="229"/>
      <c r="U1661" s="229"/>
      <c r="V1661" s="229"/>
      <c r="W1661" s="229"/>
      <c r="X1661" s="229"/>
    </row>
    <row r="1662" spans="1:24" ht="15.75" hidden="1">
      <c r="A1662" s="343"/>
      <c r="B1662" s="344"/>
      <c r="C1662" s="275"/>
      <c r="D1662" s="275"/>
      <c r="E1662" s="275"/>
      <c r="F1662" s="275"/>
      <c r="G1662" s="275"/>
      <c r="H1662" s="275"/>
      <c r="I1662" s="275"/>
      <c r="J1662" s="275"/>
      <c r="K1662" s="275"/>
      <c r="L1662" s="275"/>
      <c r="M1662" s="275"/>
      <c r="N1662" s="275"/>
      <c r="O1662" s="276"/>
      <c r="P1662" s="276"/>
      <c r="Q1662" s="247">
        <f t="shared" si="31"/>
        <v>0</v>
      </c>
      <c r="R1662" s="229"/>
      <c r="S1662" s="229"/>
      <c r="T1662" s="229"/>
      <c r="U1662" s="229"/>
      <c r="V1662" s="229"/>
      <c r="W1662" s="229"/>
      <c r="X1662" s="229"/>
    </row>
    <row r="1663" spans="1:24" ht="15.75" hidden="1">
      <c r="A1663" s="343"/>
      <c r="B1663" s="344"/>
      <c r="C1663" s="275"/>
      <c r="D1663" s="275"/>
      <c r="E1663" s="275"/>
      <c r="F1663" s="275"/>
      <c r="G1663" s="275"/>
      <c r="H1663" s="275"/>
      <c r="I1663" s="275"/>
      <c r="J1663" s="275"/>
      <c r="K1663" s="275"/>
      <c r="L1663" s="275"/>
      <c r="M1663" s="275"/>
      <c r="N1663" s="275"/>
      <c r="O1663" s="276"/>
      <c r="P1663" s="276"/>
      <c r="Q1663" s="247">
        <f t="shared" si="31"/>
        <v>0</v>
      </c>
      <c r="R1663" s="229"/>
      <c r="S1663" s="229"/>
      <c r="T1663" s="229"/>
      <c r="U1663" s="229"/>
      <c r="V1663" s="229"/>
      <c r="W1663" s="229"/>
      <c r="X1663" s="229"/>
    </row>
    <row r="1664" spans="1:24" ht="15.75" hidden="1">
      <c r="A1664" s="343"/>
      <c r="B1664" s="344"/>
      <c r="C1664" s="275"/>
      <c r="D1664" s="275"/>
      <c r="E1664" s="275"/>
      <c r="F1664" s="275"/>
      <c r="G1664" s="275"/>
      <c r="H1664" s="275"/>
      <c r="I1664" s="275"/>
      <c r="J1664" s="275"/>
      <c r="K1664" s="275"/>
      <c r="L1664" s="275"/>
      <c r="M1664" s="275"/>
      <c r="N1664" s="275"/>
      <c r="O1664" s="276"/>
      <c r="P1664" s="276"/>
      <c r="Q1664" s="247">
        <f t="shared" si="31"/>
        <v>0</v>
      </c>
      <c r="R1664" s="229"/>
      <c r="S1664" s="229"/>
      <c r="T1664" s="229"/>
      <c r="U1664" s="229"/>
      <c r="V1664" s="229"/>
      <c r="W1664" s="229"/>
      <c r="X1664" s="229"/>
    </row>
    <row r="1665" spans="1:24" ht="15.75" hidden="1">
      <c r="A1665" s="343"/>
      <c r="B1665" s="344"/>
      <c r="C1665" s="275"/>
      <c r="D1665" s="275"/>
      <c r="E1665" s="275"/>
      <c r="F1665" s="275"/>
      <c r="G1665" s="275"/>
      <c r="H1665" s="275"/>
      <c r="I1665" s="275"/>
      <c r="J1665" s="275"/>
      <c r="K1665" s="275"/>
      <c r="L1665" s="275"/>
      <c r="M1665" s="275"/>
      <c r="N1665" s="275"/>
      <c r="O1665" s="276"/>
      <c r="P1665" s="276"/>
      <c r="Q1665" s="247">
        <f t="shared" si="31"/>
        <v>0</v>
      </c>
      <c r="R1665" s="229"/>
      <c r="S1665" s="229"/>
      <c r="T1665" s="229"/>
      <c r="U1665" s="229"/>
      <c r="V1665" s="229"/>
      <c r="W1665" s="229"/>
      <c r="X1665" s="229"/>
    </row>
    <row r="1666" spans="1:24" ht="15.75" hidden="1">
      <c r="A1666" s="343"/>
      <c r="B1666" s="344"/>
      <c r="C1666" s="275"/>
      <c r="D1666" s="275"/>
      <c r="E1666" s="275"/>
      <c r="F1666" s="275"/>
      <c r="G1666" s="275"/>
      <c r="H1666" s="275"/>
      <c r="I1666" s="275"/>
      <c r="J1666" s="275"/>
      <c r="K1666" s="275"/>
      <c r="L1666" s="275"/>
      <c r="M1666" s="275"/>
      <c r="N1666" s="275"/>
      <c r="O1666" s="276"/>
      <c r="P1666" s="276"/>
      <c r="Q1666" s="247">
        <f t="shared" si="31"/>
        <v>0</v>
      </c>
      <c r="R1666" s="229"/>
      <c r="S1666" s="229"/>
      <c r="T1666" s="229"/>
      <c r="U1666" s="229"/>
      <c r="V1666" s="229"/>
      <c r="W1666" s="229"/>
      <c r="X1666" s="229"/>
    </row>
    <row r="1667" spans="1:24" ht="15.75" hidden="1">
      <c r="A1667" s="343"/>
      <c r="B1667" s="344"/>
      <c r="C1667" s="275"/>
      <c r="D1667" s="275"/>
      <c r="E1667" s="275"/>
      <c r="F1667" s="275"/>
      <c r="G1667" s="275"/>
      <c r="H1667" s="275"/>
      <c r="I1667" s="275"/>
      <c r="J1667" s="275"/>
      <c r="K1667" s="275"/>
      <c r="L1667" s="275"/>
      <c r="M1667" s="275"/>
      <c r="N1667" s="275"/>
      <c r="O1667" s="276"/>
      <c r="P1667" s="276"/>
      <c r="Q1667" s="247">
        <f t="shared" si="31"/>
        <v>0</v>
      </c>
      <c r="R1667" s="229"/>
      <c r="S1667" s="229"/>
      <c r="T1667" s="229"/>
      <c r="U1667" s="229"/>
      <c r="V1667" s="229"/>
      <c r="W1667" s="229"/>
      <c r="X1667" s="229"/>
    </row>
    <row r="1668" spans="1:24" ht="15.75" hidden="1">
      <c r="A1668" s="343"/>
      <c r="B1668" s="344"/>
      <c r="C1668" s="275"/>
      <c r="D1668" s="275"/>
      <c r="E1668" s="275"/>
      <c r="F1668" s="275"/>
      <c r="G1668" s="275"/>
      <c r="H1668" s="275"/>
      <c r="I1668" s="275"/>
      <c r="J1668" s="275"/>
      <c r="K1668" s="275"/>
      <c r="L1668" s="275"/>
      <c r="M1668" s="275"/>
      <c r="N1668" s="275"/>
      <c r="O1668" s="276"/>
      <c r="P1668" s="276"/>
      <c r="Q1668" s="247">
        <f t="shared" si="31"/>
        <v>0</v>
      </c>
      <c r="R1668" s="229"/>
      <c r="S1668" s="229"/>
      <c r="T1668" s="229"/>
      <c r="U1668" s="229"/>
      <c r="V1668" s="229"/>
      <c r="W1668" s="229"/>
      <c r="X1668" s="229"/>
    </row>
    <row r="1669" spans="1:24" ht="15.75" hidden="1">
      <c r="A1669" s="343"/>
      <c r="B1669" s="344"/>
      <c r="C1669" s="275"/>
      <c r="D1669" s="275"/>
      <c r="E1669" s="275"/>
      <c r="F1669" s="275"/>
      <c r="G1669" s="275"/>
      <c r="H1669" s="275"/>
      <c r="I1669" s="275"/>
      <c r="J1669" s="275"/>
      <c r="K1669" s="275"/>
      <c r="L1669" s="275"/>
      <c r="M1669" s="275"/>
      <c r="N1669" s="275"/>
      <c r="O1669" s="276"/>
      <c r="P1669" s="276"/>
      <c r="Q1669" s="247">
        <f t="shared" si="31"/>
        <v>0</v>
      </c>
      <c r="R1669" s="229"/>
      <c r="S1669" s="229"/>
      <c r="T1669" s="229"/>
      <c r="U1669" s="229"/>
      <c r="V1669" s="229"/>
      <c r="W1669" s="229"/>
      <c r="X1669" s="229"/>
    </row>
    <row r="1670" spans="1:24" ht="15.75" hidden="1">
      <c r="A1670" s="343"/>
      <c r="B1670" s="344"/>
      <c r="C1670" s="275"/>
      <c r="D1670" s="275"/>
      <c r="E1670" s="275"/>
      <c r="F1670" s="275"/>
      <c r="G1670" s="275"/>
      <c r="H1670" s="275"/>
      <c r="I1670" s="275"/>
      <c r="J1670" s="275"/>
      <c r="K1670" s="275"/>
      <c r="L1670" s="275"/>
      <c r="M1670" s="275"/>
      <c r="N1670" s="275"/>
      <c r="O1670" s="276"/>
      <c r="P1670" s="276"/>
      <c r="Q1670" s="247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9"/>
      <c r="S1670" s="229"/>
      <c r="T1670" s="229"/>
      <c r="U1670" s="229"/>
      <c r="V1670" s="229"/>
      <c r="W1670" s="229"/>
      <c r="X1670" s="229"/>
    </row>
    <row r="1671" spans="1:24" ht="15.75" hidden="1">
      <c r="A1671" s="343"/>
      <c r="B1671" s="344"/>
      <c r="C1671" s="275"/>
      <c r="D1671" s="275"/>
      <c r="E1671" s="275"/>
      <c r="F1671" s="275"/>
      <c r="G1671" s="275"/>
      <c r="H1671" s="275"/>
      <c r="I1671" s="275"/>
      <c r="J1671" s="275"/>
      <c r="K1671" s="275"/>
      <c r="L1671" s="275"/>
      <c r="M1671" s="275"/>
      <c r="N1671" s="275"/>
      <c r="O1671" s="276"/>
      <c r="P1671" s="276"/>
      <c r="Q1671" s="247">
        <f t="shared" si="32"/>
        <v>0</v>
      </c>
      <c r="R1671" s="229"/>
      <c r="S1671" s="229"/>
      <c r="T1671" s="229"/>
      <c r="U1671" s="229"/>
      <c r="V1671" s="229"/>
      <c r="W1671" s="229"/>
      <c r="X1671" s="229"/>
    </row>
    <row r="1672" spans="1:24" ht="15.75" hidden="1">
      <c r="A1672" s="343"/>
      <c r="B1672" s="344"/>
      <c r="C1672" s="275"/>
      <c r="D1672" s="275"/>
      <c r="E1672" s="275"/>
      <c r="F1672" s="275"/>
      <c r="G1672" s="275"/>
      <c r="H1672" s="275"/>
      <c r="I1672" s="275"/>
      <c r="J1672" s="275"/>
      <c r="K1672" s="275"/>
      <c r="L1672" s="275"/>
      <c r="M1672" s="275"/>
      <c r="N1672" s="275"/>
      <c r="O1672" s="276"/>
      <c r="P1672" s="276"/>
      <c r="Q1672" s="247">
        <f t="shared" si="32"/>
        <v>0</v>
      </c>
      <c r="R1672" s="229"/>
      <c r="S1672" s="229"/>
      <c r="T1672" s="229"/>
      <c r="U1672" s="229"/>
      <c r="V1672" s="229"/>
      <c r="W1672" s="229"/>
      <c r="X1672" s="229"/>
    </row>
    <row r="1673" spans="1:24" ht="15.75" hidden="1">
      <c r="A1673" s="343"/>
      <c r="B1673" s="344"/>
      <c r="C1673" s="275"/>
      <c r="D1673" s="275"/>
      <c r="E1673" s="275"/>
      <c r="F1673" s="275"/>
      <c r="G1673" s="275"/>
      <c r="H1673" s="275"/>
      <c r="I1673" s="275"/>
      <c r="J1673" s="275"/>
      <c r="K1673" s="275"/>
      <c r="L1673" s="275"/>
      <c r="M1673" s="275"/>
      <c r="N1673" s="275"/>
      <c r="O1673" s="276"/>
      <c r="P1673" s="276"/>
      <c r="Q1673" s="247">
        <f t="shared" si="32"/>
        <v>0</v>
      </c>
      <c r="R1673" s="229"/>
      <c r="S1673" s="229"/>
      <c r="T1673" s="229"/>
      <c r="U1673" s="229"/>
      <c r="V1673" s="229"/>
      <c r="W1673" s="229"/>
      <c r="X1673" s="229"/>
    </row>
    <row r="1674" spans="1:24" ht="15.75" hidden="1">
      <c r="A1674" s="343"/>
      <c r="B1674" s="344"/>
      <c r="C1674" s="275"/>
      <c r="D1674" s="275"/>
      <c r="E1674" s="275"/>
      <c r="F1674" s="275"/>
      <c r="G1674" s="275"/>
      <c r="H1674" s="275"/>
      <c r="I1674" s="275"/>
      <c r="J1674" s="275"/>
      <c r="K1674" s="275"/>
      <c r="L1674" s="275"/>
      <c r="M1674" s="275"/>
      <c r="N1674" s="275"/>
      <c r="O1674" s="276"/>
      <c r="P1674" s="276"/>
      <c r="Q1674" s="247">
        <f t="shared" si="32"/>
        <v>0</v>
      </c>
      <c r="R1674" s="229"/>
      <c r="S1674" s="229"/>
      <c r="T1674" s="229"/>
      <c r="U1674" s="229"/>
      <c r="V1674" s="229"/>
      <c r="W1674" s="229"/>
      <c r="X1674" s="229"/>
    </row>
    <row r="1675" spans="1:24" ht="15.75" hidden="1">
      <c r="A1675" s="343"/>
      <c r="B1675" s="344"/>
      <c r="C1675" s="275"/>
      <c r="D1675" s="275"/>
      <c r="E1675" s="275"/>
      <c r="F1675" s="275"/>
      <c r="G1675" s="275"/>
      <c r="H1675" s="275"/>
      <c r="I1675" s="275"/>
      <c r="J1675" s="275"/>
      <c r="K1675" s="275"/>
      <c r="L1675" s="275"/>
      <c r="M1675" s="275"/>
      <c r="N1675" s="275"/>
      <c r="O1675" s="276"/>
      <c r="P1675" s="276"/>
      <c r="Q1675" s="247">
        <f t="shared" si="32"/>
        <v>0</v>
      </c>
      <c r="R1675" s="229"/>
      <c r="S1675" s="229"/>
      <c r="T1675" s="229"/>
      <c r="U1675" s="229"/>
      <c r="V1675" s="229"/>
      <c r="W1675" s="229"/>
      <c r="X1675" s="229"/>
    </row>
    <row r="1676" spans="1:24" ht="15.75" hidden="1">
      <c r="A1676" s="343"/>
      <c r="B1676" s="344"/>
      <c r="C1676" s="275"/>
      <c r="D1676" s="275"/>
      <c r="E1676" s="275"/>
      <c r="F1676" s="275"/>
      <c r="G1676" s="275"/>
      <c r="H1676" s="275"/>
      <c r="I1676" s="275"/>
      <c r="J1676" s="275"/>
      <c r="K1676" s="275"/>
      <c r="L1676" s="275"/>
      <c r="M1676" s="275"/>
      <c r="N1676" s="275"/>
      <c r="O1676" s="276"/>
      <c r="P1676" s="276"/>
      <c r="Q1676" s="247">
        <f t="shared" si="32"/>
        <v>0</v>
      </c>
      <c r="R1676" s="229"/>
      <c r="S1676" s="229"/>
      <c r="T1676" s="229"/>
      <c r="U1676" s="229"/>
      <c r="V1676" s="229"/>
      <c r="W1676" s="229"/>
      <c r="X1676" s="229"/>
    </row>
    <row r="1677" spans="1:24" ht="15.75" hidden="1">
      <c r="A1677" s="343"/>
      <c r="B1677" s="344"/>
      <c r="C1677" s="275"/>
      <c r="D1677" s="275"/>
      <c r="E1677" s="275"/>
      <c r="F1677" s="275"/>
      <c r="G1677" s="275"/>
      <c r="H1677" s="275"/>
      <c r="I1677" s="275"/>
      <c r="J1677" s="275"/>
      <c r="K1677" s="275"/>
      <c r="L1677" s="275"/>
      <c r="M1677" s="275"/>
      <c r="N1677" s="275"/>
      <c r="O1677" s="276"/>
      <c r="P1677" s="276"/>
      <c r="Q1677" s="247">
        <f t="shared" si="32"/>
        <v>0</v>
      </c>
      <c r="R1677" s="229"/>
      <c r="S1677" s="229"/>
      <c r="T1677" s="229"/>
      <c r="U1677" s="229"/>
      <c r="V1677" s="229"/>
      <c r="W1677" s="229"/>
      <c r="X1677" s="229"/>
    </row>
    <row r="1678" spans="1:24" ht="15.75" hidden="1">
      <c r="A1678" s="343"/>
      <c r="B1678" s="344"/>
      <c r="C1678" s="275"/>
      <c r="D1678" s="275"/>
      <c r="E1678" s="275"/>
      <c r="F1678" s="275"/>
      <c r="G1678" s="275"/>
      <c r="H1678" s="275"/>
      <c r="I1678" s="275"/>
      <c r="J1678" s="275"/>
      <c r="K1678" s="275"/>
      <c r="L1678" s="275"/>
      <c r="M1678" s="275"/>
      <c r="N1678" s="275"/>
      <c r="O1678" s="276"/>
      <c r="P1678" s="276"/>
      <c r="Q1678" s="247">
        <f t="shared" si="32"/>
        <v>0</v>
      </c>
      <c r="R1678" s="229"/>
      <c r="S1678" s="229"/>
      <c r="T1678" s="229"/>
      <c r="U1678" s="229"/>
      <c r="V1678" s="229"/>
      <c r="W1678" s="229"/>
      <c r="X1678" s="229"/>
    </row>
    <row r="1679" spans="1:24" ht="15.75" hidden="1">
      <c r="A1679" s="343"/>
      <c r="B1679" s="344"/>
      <c r="C1679" s="275"/>
      <c r="D1679" s="275"/>
      <c r="E1679" s="275"/>
      <c r="F1679" s="275"/>
      <c r="G1679" s="275"/>
      <c r="H1679" s="275"/>
      <c r="I1679" s="275"/>
      <c r="J1679" s="275"/>
      <c r="K1679" s="275"/>
      <c r="L1679" s="275"/>
      <c r="M1679" s="275"/>
      <c r="N1679" s="275"/>
      <c r="O1679" s="276"/>
      <c r="P1679" s="276"/>
      <c r="Q1679" s="247">
        <f t="shared" si="32"/>
        <v>0</v>
      </c>
      <c r="R1679" s="229"/>
      <c r="S1679" s="229"/>
      <c r="T1679" s="229"/>
      <c r="U1679" s="229"/>
      <c r="V1679" s="229"/>
      <c r="W1679" s="229"/>
      <c r="X1679" s="229"/>
    </row>
    <row r="1680" spans="1:24" ht="15.75" hidden="1">
      <c r="A1680" s="343"/>
      <c r="B1680" s="344"/>
      <c r="C1680" s="275"/>
      <c r="D1680" s="275"/>
      <c r="E1680" s="275"/>
      <c r="F1680" s="275"/>
      <c r="G1680" s="275"/>
      <c r="H1680" s="275"/>
      <c r="I1680" s="275"/>
      <c r="J1680" s="275"/>
      <c r="K1680" s="275"/>
      <c r="L1680" s="275"/>
      <c r="M1680" s="275"/>
      <c r="N1680" s="275"/>
      <c r="O1680" s="276"/>
      <c r="P1680" s="276"/>
      <c r="Q1680" s="247">
        <f t="shared" si="32"/>
        <v>0</v>
      </c>
      <c r="R1680" s="229"/>
      <c r="S1680" s="229"/>
      <c r="T1680" s="229"/>
      <c r="U1680" s="229"/>
      <c r="V1680" s="229"/>
      <c r="W1680" s="229"/>
      <c r="X1680" s="229"/>
    </row>
    <row r="1681" spans="1:24" ht="15.75" hidden="1">
      <c r="A1681" s="343"/>
      <c r="B1681" s="344"/>
      <c r="C1681" s="275"/>
      <c r="D1681" s="275"/>
      <c r="E1681" s="275"/>
      <c r="F1681" s="275"/>
      <c r="G1681" s="275"/>
      <c r="H1681" s="275"/>
      <c r="I1681" s="275"/>
      <c r="J1681" s="275"/>
      <c r="K1681" s="275"/>
      <c r="L1681" s="275"/>
      <c r="M1681" s="275"/>
      <c r="N1681" s="275"/>
      <c r="O1681" s="276"/>
      <c r="P1681" s="276"/>
      <c r="Q1681" s="247">
        <f t="shared" si="32"/>
        <v>0</v>
      </c>
      <c r="R1681" s="229"/>
      <c r="S1681" s="229"/>
      <c r="T1681" s="229"/>
      <c r="U1681" s="229"/>
      <c r="V1681" s="229"/>
      <c r="W1681" s="229"/>
      <c r="X1681" s="229"/>
    </row>
    <row r="1682" spans="1:24" ht="15.75" hidden="1">
      <c r="A1682" s="343"/>
      <c r="B1682" s="344"/>
      <c r="C1682" s="275"/>
      <c r="D1682" s="275"/>
      <c r="E1682" s="275"/>
      <c r="F1682" s="275"/>
      <c r="G1682" s="275"/>
      <c r="H1682" s="275"/>
      <c r="I1682" s="275"/>
      <c r="J1682" s="275"/>
      <c r="K1682" s="275"/>
      <c r="L1682" s="275"/>
      <c r="M1682" s="275"/>
      <c r="N1682" s="275"/>
      <c r="O1682" s="276"/>
      <c r="P1682" s="276"/>
      <c r="Q1682" s="247">
        <f t="shared" si="32"/>
        <v>0</v>
      </c>
      <c r="R1682" s="229"/>
      <c r="S1682" s="229"/>
      <c r="T1682" s="229"/>
      <c r="U1682" s="229"/>
      <c r="V1682" s="229"/>
      <c r="W1682" s="229"/>
      <c r="X1682" s="229"/>
    </row>
    <row r="1683" spans="1:24" ht="15.75" hidden="1">
      <c r="A1683" s="343"/>
      <c r="B1683" s="344"/>
      <c r="C1683" s="275"/>
      <c r="D1683" s="275"/>
      <c r="E1683" s="275"/>
      <c r="F1683" s="275"/>
      <c r="G1683" s="275"/>
      <c r="H1683" s="275"/>
      <c r="I1683" s="275"/>
      <c r="J1683" s="275"/>
      <c r="K1683" s="275"/>
      <c r="L1683" s="275"/>
      <c r="M1683" s="275"/>
      <c r="N1683" s="275"/>
      <c r="O1683" s="276"/>
      <c r="P1683" s="276"/>
      <c r="Q1683" s="247">
        <f t="shared" si="32"/>
        <v>0</v>
      </c>
      <c r="R1683" s="229"/>
      <c r="S1683" s="229"/>
      <c r="T1683" s="229"/>
      <c r="U1683" s="229"/>
      <c r="V1683" s="229"/>
      <c r="W1683" s="229"/>
      <c r="X1683" s="229"/>
    </row>
    <row r="1684" spans="1:24" ht="15.75" hidden="1">
      <c r="A1684" s="343"/>
      <c r="B1684" s="344"/>
      <c r="C1684" s="275"/>
      <c r="D1684" s="275"/>
      <c r="E1684" s="275"/>
      <c r="F1684" s="275"/>
      <c r="G1684" s="275"/>
      <c r="H1684" s="275"/>
      <c r="I1684" s="275"/>
      <c r="J1684" s="275"/>
      <c r="K1684" s="275"/>
      <c r="L1684" s="275"/>
      <c r="M1684" s="275"/>
      <c r="N1684" s="275"/>
      <c r="O1684" s="276"/>
      <c r="P1684" s="276"/>
      <c r="Q1684" s="247">
        <f t="shared" si="32"/>
        <v>0</v>
      </c>
      <c r="R1684" s="229"/>
      <c r="S1684" s="229"/>
      <c r="T1684" s="229"/>
      <c r="U1684" s="229"/>
      <c r="V1684" s="229"/>
      <c r="W1684" s="229"/>
      <c r="X1684" s="229"/>
    </row>
    <row r="1685" spans="1:24" ht="15.75" hidden="1">
      <c r="A1685" s="343"/>
      <c r="B1685" s="344"/>
      <c r="C1685" s="275"/>
      <c r="D1685" s="275"/>
      <c r="E1685" s="275"/>
      <c r="F1685" s="275"/>
      <c r="G1685" s="275"/>
      <c r="H1685" s="275"/>
      <c r="I1685" s="275"/>
      <c r="J1685" s="275"/>
      <c r="K1685" s="275"/>
      <c r="L1685" s="275"/>
      <c r="M1685" s="275"/>
      <c r="N1685" s="275"/>
      <c r="O1685" s="276"/>
      <c r="P1685" s="276"/>
      <c r="Q1685" s="247">
        <f t="shared" si="32"/>
        <v>0</v>
      </c>
      <c r="R1685" s="229"/>
      <c r="S1685" s="229"/>
      <c r="T1685" s="229"/>
      <c r="U1685" s="229"/>
      <c r="V1685" s="229"/>
      <c r="W1685" s="229"/>
      <c r="X1685" s="229"/>
    </row>
    <row r="1686" spans="1:24" ht="15.75" hidden="1">
      <c r="A1686" s="343"/>
      <c r="B1686" s="344"/>
      <c r="C1686" s="275"/>
      <c r="D1686" s="275"/>
      <c r="E1686" s="275"/>
      <c r="F1686" s="275"/>
      <c r="G1686" s="275"/>
      <c r="H1686" s="275"/>
      <c r="I1686" s="275"/>
      <c r="J1686" s="275"/>
      <c r="K1686" s="275"/>
      <c r="L1686" s="275"/>
      <c r="M1686" s="275"/>
      <c r="N1686" s="275"/>
      <c r="O1686" s="276"/>
      <c r="P1686" s="276"/>
      <c r="Q1686" s="247">
        <f t="shared" si="32"/>
        <v>0</v>
      </c>
      <c r="R1686" s="229"/>
      <c r="S1686" s="229"/>
      <c r="T1686" s="229"/>
      <c r="U1686" s="229"/>
      <c r="V1686" s="229"/>
      <c r="W1686" s="229"/>
      <c r="X1686" s="229"/>
    </row>
    <row r="1687" spans="1:24" ht="15.75" hidden="1">
      <c r="A1687" s="343"/>
      <c r="B1687" s="344"/>
      <c r="C1687" s="275"/>
      <c r="D1687" s="275"/>
      <c r="E1687" s="275"/>
      <c r="F1687" s="275"/>
      <c r="G1687" s="275"/>
      <c r="H1687" s="275"/>
      <c r="I1687" s="275"/>
      <c r="J1687" s="275"/>
      <c r="K1687" s="275"/>
      <c r="L1687" s="275"/>
      <c r="M1687" s="275"/>
      <c r="N1687" s="275"/>
      <c r="O1687" s="276"/>
      <c r="P1687" s="276"/>
      <c r="Q1687" s="247">
        <f t="shared" si="32"/>
        <v>0</v>
      </c>
      <c r="R1687" s="229"/>
      <c r="S1687" s="229"/>
      <c r="T1687" s="229"/>
      <c r="U1687" s="229"/>
      <c r="V1687" s="229"/>
      <c r="W1687" s="229"/>
      <c r="X1687" s="229"/>
    </row>
    <row r="1688" spans="1:24" ht="15.75" hidden="1">
      <c r="A1688" s="343"/>
      <c r="B1688" s="344"/>
      <c r="C1688" s="275"/>
      <c r="D1688" s="275"/>
      <c r="E1688" s="275"/>
      <c r="F1688" s="275"/>
      <c r="G1688" s="275"/>
      <c r="H1688" s="275"/>
      <c r="I1688" s="275"/>
      <c r="J1688" s="275"/>
      <c r="K1688" s="275"/>
      <c r="L1688" s="275"/>
      <c r="M1688" s="275"/>
      <c r="N1688" s="275"/>
      <c r="O1688" s="276"/>
      <c r="P1688" s="276"/>
      <c r="Q1688" s="247">
        <f t="shared" si="32"/>
        <v>0</v>
      </c>
      <c r="R1688" s="229"/>
      <c r="S1688" s="229"/>
      <c r="T1688" s="229"/>
      <c r="U1688" s="229"/>
      <c r="V1688" s="229"/>
      <c r="W1688" s="229"/>
      <c r="X1688" s="229"/>
    </row>
    <row r="1689" spans="1:24" ht="15.75" hidden="1">
      <c r="A1689" s="343"/>
      <c r="B1689" s="344"/>
      <c r="C1689" s="275"/>
      <c r="D1689" s="275"/>
      <c r="E1689" s="275"/>
      <c r="F1689" s="275"/>
      <c r="G1689" s="275"/>
      <c r="H1689" s="275"/>
      <c r="I1689" s="275"/>
      <c r="J1689" s="275"/>
      <c r="K1689" s="275"/>
      <c r="L1689" s="275"/>
      <c r="M1689" s="275"/>
      <c r="N1689" s="275"/>
      <c r="O1689" s="276"/>
      <c r="P1689" s="276"/>
      <c r="Q1689" s="247">
        <f t="shared" si="32"/>
        <v>0</v>
      </c>
      <c r="R1689" s="229"/>
      <c r="S1689" s="229"/>
      <c r="T1689" s="229"/>
      <c r="U1689" s="229"/>
      <c r="V1689" s="229"/>
      <c r="W1689" s="229"/>
      <c r="X1689" s="229"/>
    </row>
    <row r="1690" spans="1:24" ht="15.75" hidden="1">
      <c r="A1690" s="343"/>
      <c r="B1690" s="344"/>
      <c r="C1690" s="275"/>
      <c r="D1690" s="275"/>
      <c r="E1690" s="275"/>
      <c r="F1690" s="275"/>
      <c r="G1690" s="275"/>
      <c r="H1690" s="275"/>
      <c r="I1690" s="275"/>
      <c r="J1690" s="275"/>
      <c r="K1690" s="275"/>
      <c r="L1690" s="275"/>
      <c r="M1690" s="275"/>
      <c r="N1690" s="275"/>
      <c r="O1690" s="276"/>
      <c r="P1690" s="276"/>
      <c r="Q1690" s="247">
        <f t="shared" si="32"/>
        <v>0</v>
      </c>
      <c r="R1690" s="229"/>
      <c r="S1690" s="229"/>
      <c r="T1690" s="229"/>
      <c r="U1690" s="229"/>
      <c r="V1690" s="229"/>
      <c r="W1690" s="229"/>
      <c r="X1690" s="229"/>
    </row>
    <row r="1691" spans="1:24" ht="15.75" hidden="1">
      <c r="A1691" s="343"/>
      <c r="B1691" s="344"/>
      <c r="C1691" s="275"/>
      <c r="D1691" s="275"/>
      <c r="E1691" s="275"/>
      <c r="F1691" s="275"/>
      <c r="G1691" s="275"/>
      <c r="H1691" s="275"/>
      <c r="I1691" s="275"/>
      <c r="J1691" s="275"/>
      <c r="K1691" s="275"/>
      <c r="L1691" s="275"/>
      <c r="M1691" s="275"/>
      <c r="N1691" s="275"/>
      <c r="O1691" s="276"/>
      <c r="P1691" s="276"/>
      <c r="Q1691" s="247">
        <f t="shared" si="32"/>
        <v>0</v>
      </c>
      <c r="R1691" s="229"/>
      <c r="S1691" s="229"/>
      <c r="T1691" s="229"/>
      <c r="U1691" s="229"/>
      <c r="V1691" s="229"/>
      <c r="W1691" s="229"/>
      <c r="X1691" s="229"/>
    </row>
    <row r="1692" spans="1:24" ht="15.75" hidden="1">
      <c r="A1692" s="343"/>
      <c r="B1692" s="344"/>
      <c r="C1692" s="275"/>
      <c r="D1692" s="275"/>
      <c r="E1692" s="275"/>
      <c r="F1692" s="275"/>
      <c r="G1692" s="275"/>
      <c r="H1692" s="275"/>
      <c r="I1692" s="275"/>
      <c r="J1692" s="275"/>
      <c r="K1692" s="275"/>
      <c r="L1692" s="275"/>
      <c r="M1692" s="275"/>
      <c r="N1692" s="275"/>
      <c r="O1692" s="276"/>
      <c r="P1692" s="276"/>
      <c r="Q1692" s="247">
        <f t="shared" si="32"/>
        <v>0</v>
      </c>
      <c r="R1692" s="229"/>
      <c r="S1692" s="229"/>
      <c r="T1692" s="229"/>
      <c r="U1692" s="229"/>
      <c r="V1692" s="229"/>
      <c r="W1692" s="229"/>
      <c r="X1692" s="229"/>
    </row>
    <row r="1693" spans="1:24" ht="15.75" hidden="1">
      <c r="A1693" s="343"/>
      <c r="B1693" s="344"/>
      <c r="C1693" s="275"/>
      <c r="D1693" s="275"/>
      <c r="E1693" s="275"/>
      <c r="F1693" s="275"/>
      <c r="G1693" s="275"/>
      <c r="H1693" s="275"/>
      <c r="I1693" s="275"/>
      <c r="J1693" s="275"/>
      <c r="K1693" s="275"/>
      <c r="L1693" s="275"/>
      <c r="M1693" s="275"/>
      <c r="N1693" s="275"/>
      <c r="O1693" s="276"/>
      <c r="P1693" s="276"/>
      <c r="Q1693" s="247">
        <f t="shared" si="32"/>
        <v>0</v>
      </c>
      <c r="R1693" s="229"/>
      <c r="S1693" s="229"/>
      <c r="T1693" s="229"/>
      <c r="U1693" s="229"/>
      <c r="V1693" s="229"/>
      <c r="W1693" s="229"/>
      <c r="X1693" s="229"/>
    </row>
    <row r="1694" spans="1:24" ht="15.75" hidden="1">
      <c r="A1694" s="343"/>
      <c r="B1694" s="344"/>
      <c r="C1694" s="275"/>
      <c r="D1694" s="275"/>
      <c r="E1694" s="275"/>
      <c r="F1694" s="275"/>
      <c r="G1694" s="275"/>
      <c r="H1694" s="275"/>
      <c r="I1694" s="275"/>
      <c r="J1694" s="275"/>
      <c r="K1694" s="275"/>
      <c r="L1694" s="275"/>
      <c r="M1694" s="275"/>
      <c r="N1694" s="275"/>
      <c r="O1694" s="276"/>
      <c r="P1694" s="276"/>
      <c r="Q1694" s="247">
        <f t="shared" si="32"/>
        <v>0</v>
      </c>
      <c r="R1694" s="229"/>
      <c r="S1694" s="229"/>
      <c r="T1694" s="229"/>
      <c r="U1694" s="229"/>
      <c r="V1694" s="229"/>
      <c r="W1694" s="229"/>
      <c r="X1694" s="229"/>
    </row>
    <row r="1695" spans="1:24" ht="15.75" hidden="1">
      <c r="A1695" s="343"/>
      <c r="B1695" s="344"/>
      <c r="C1695" s="275"/>
      <c r="D1695" s="275"/>
      <c r="E1695" s="275"/>
      <c r="F1695" s="275"/>
      <c r="G1695" s="275"/>
      <c r="H1695" s="275"/>
      <c r="I1695" s="275"/>
      <c r="J1695" s="275"/>
      <c r="K1695" s="275"/>
      <c r="L1695" s="275"/>
      <c r="M1695" s="275"/>
      <c r="N1695" s="275"/>
      <c r="O1695" s="276"/>
      <c r="P1695" s="276"/>
      <c r="Q1695" s="247">
        <f t="shared" si="32"/>
        <v>0</v>
      </c>
      <c r="R1695" s="229"/>
      <c r="S1695" s="229"/>
      <c r="T1695" s="229"/>
      <c r="U1695" s="229"/>
      <c r="V1695" s="229"/>
      <c r="W1695" s="229"/>
      <c r="X1695" s="229"/>
    </row>
    <row r="1696" spans="1:24" ht="15.75" hidden="1">
      <c r="A1696" s="343"/>
      <c r="B1696" s="344"/>
      <c r="C1696" s="275"/>
      <c r="D1696" s="275"/>
      <c r="E1696" s="275"/>
      <c r="F1696" s="275"/>
      <c r="G1696" s="275"/>
      <c r="H1696" s="275"/>
      <c r="I1696" s="275"/>
      <c r="J1696" s="275"/>
      <c r="K1696" s="275"/>
      <c r="L1696" s="275"/>
      <c r="M1696" s="275"/>
      <c r="N1696" s="275"/>
      <c r="O1696" s="276"/>
      <c r="P1696" s="276"/>
      <c r="Q1696" s="247">
        <f t="shared" si="32"/>
        <v>0</v>
      </c>
      <c r="R1696" s="229"/>
      <c r="S1696" s="229"/>
      <c r="T1696" s="229"/>
      <c r="U1696" s="229"/>
      <c r="V1696" s="229"/>
      <c r="W1696" s="229"/>
      <c r="X1696" s="229"/>
    </row>
    <row r="1697" spans="1:24" ht="15.75" hidden="1">
      <c r="A1697" s="343"/>
      <c r="B1697" s="344"/>
      <c r="C1697" s="275"/>
      <c r="D1697" s="275"/>
      <c r="E1697" s="275"/>
      <c r="F1697" s="275"/>
      <c r="G1697" s="275"/>
      <c r="H1697" s="275"/>
      <c r="I1697" s="275"/>
      <c r="J1697" s="275"/>
      <c r="K1697" s="275"/>
      <c r="L1697" s="275"/>
      <c r="M1697" s="275"/>
      <c r="N1697" s="275"/>
      <c r="O1697" s="276"/>
      <c r="P1697" s="276"/>
      <c r="Q1697" s="247">
        <f t="shared" si="32"/>
        <v>0</v>
      </c>
      <c r="R1697" s="229"/>
      <c r="S1697" s="229"/>
      <c r="T1697" s="229"/>
      <c r="U1697" s="229"/>
      <c r="V1697" s="229"/>
      <c r="W1697" s="229"/>
      <c r="X1697" s="229"/>
    </row>
    <row r="1698" spans="1:24" ht="15.75" hidden="1">
      <c r="A1698" s="343"/>
      <c r="B1698" s="344"/>
      <c r="C1698" s="275"/>
      <c r="D1698" s="275"/>
      <c r="E1698" s="275"/>
      <c r="F1698" s="275"/>
      <c r="G1698" s="275"/>
      <c r="H1698" s="275"/>
      <c r="I1698" s="275"/>
      <c r="J1698" s="275"/>
      <c r="K1698" s="275"/>
      <c r="L1698" s="275"/>
      <c r="M1698" s="275"/>
      <c r="N1698" s="275"/>
      <c r="O1698" s="276"/>
      <c r="P1698" s="276"/>
      <c r="Q1698" s="247">
        <f t="shared" si="32"/>
        <v>0</v>
      </c>
      <c r="R1698" s="229"/>
      <c r="S1698" s="229"/>
      <c r="T1698" s="229"/>
      <c r="U1698" s="229"/>
      <c r="V1698" s="229"/>
      <c r="W1698" s="229"/>
      <c r="X1698" s="229"/>
    </row>
    <row r="1699" spans="1:24" ht="15.75" hidden="1">
      <c r="A1699" s="343"/>
      <c r="B1699" s="344"/>
      <c r="C1699" s="275"/>
      <c r="D1699" s="275"/>
      <c r="E1699" s="275"/>
      <c r="F1699" s="275"/>
      <c r="G1699" s="275"/>
      <c r="H1699" s="275"/>
      <c r="I1699" s="275"/>
      <c r="J1699" s="275"/>
      <c r="K1699" s="275"/>
      <c r="L1699" s="275"/>
      <c r="M1699" s="275"/>
      <c r="N1699" s="275"/>
      <c r="O1699" s="276"/>
      <c r="P1699" s="276"/>
      <c r="Q1699" s="247">
        <f t="shared" si="32"/>
        <v>0</v>
      </c>
      <c r="R1699" s="229"/>
      <c r="S1699" s="229"/>
      <c r="T1699" s="229"/>
      <c r="U1699" s="229"/>
      <c r="V1699" s="229"/>
      <c r="W1699" s="229"/>
      <c r="X1699" s="229"/>
    </row>
    <row r="1700" spans="1:24" ht="15.75" hidden="1">
      <c r="A1700" s="343"/>
      <c r="B1700" s="344"/>
      <c r="C1700" s="275"/>
      <c r="D1700" s="275"/>
      <c r="E1700" s="275"/>
      <c r="F1700" s="275"/>
      <c r="G1700" s="275"/>
      <c r="H1700" s="275"/>
      <c r="I1700" s="275"/>
      <c r="J1700" s="275"/>
      <c r="K1700" s="275"/>
      <c r="L1700" s="275"/>
      <c r="M1700" s="275"/>
      <c r="N1700" s="275"/>
      <c r="O1700" s="276"/>
      <c r="P1700" s="276"/>
      <c r="Q1700" s="247">
        <f t="shared" si="32"/>
        <v>0</v>
      </c>
      <c r="R1700" s="229"/>
      <c r="S1700" s="229"/>
      <c r="T1700" s="229"/>
      <c r="U1700" s="229"/>
      <c r="V1700" s="229"/>
      <c r="W1700" s="229"/>
      <c r="X1700" s="229"/>
    </row>
    <row r="1701" spans="1:24" ht="15.75" hidden="1">
      <c r="A1701" s="343"/>
      <c r="B1701" s="344"/>
      <c r="C1701" s="275"/>
      <c r="D1701" s="275"/>
      <c r="E1701" s="275"/>
      <c r="F1701" s="275"/>
      <c r="G1701" s="275"/>
      <c r="H1701" s="275"/>
      <c r="I1701" s="275"/>
      <c r="J1701" s="275"/>
      <c r="K1701" s="275"/>
      <c r="L1701" s="275"/>
      <c r="M1701" s="275"/>
      <c r="N1701" s="275"/>
      <c r="O1701" s="276"/>
      <c r="P1701" s="276"/>
      <c r="Q1701" s="247">
        <f t="shared" si="32"/>
        <v>0</v>
      </c>
      <c r="R1701" s="229"/>
      <c r="S1701" s="229"/>
      <c r="T1701" s="229"/>
      <c r="U1701" s="229"/>
      <c r="V1701" s="229"/>
      <c r="W1701" s="229"/>
      <c r="X1701" s="229"/>
    </row>
    <row r="1702" spans="1:24" ht="15.75" hidden="1">
      <c r="A1702" s="343"/>
      <c r="B1702" s="344"/>
      <c r="C1702" s="275"/>
      <c r="D1702" s="275"/>
      <c r="E1702" s="275"/>
      <c r="F1702" s="275"/>
      <c r="G1702" s="275"/>
      <c r="H1702" s="275"/>
      <c r="I1702" s="275"/>
      <c r="J1702" s="275"/>
      <c r="K1702" s="275"/>
      <c r="L1702" s="275"/>
      <c r="M1702" s="275"/>
      <c r="N1702" s="275"/>
      <c r="O1702" s="276"/>
      <c r="P1702" s="276"/>
      <c r="Q1702" s="247">
        <f t="shared" si="32"/>
        <v>0</v>
      </c>
      <c r="R1702" s="229"/>
      <c r="S1702" s="229"/>
      <c r="T1702" s="229"/>
      <c r="U1702" s="229"/>
      <c r="V1702" s="229"/>
      <c r="W1702" s="229"/>
      <c r="X1702" s="229"/>
    </row>
    <row r="1703" spans="1:24" ht="15.75" hidden="1">
      <c r="A1703" s="343"/>
      <c r="B1703" s="344"/>
      <c r="C1703" s="275"/>
      <c r="D1703" s="275"/>
      <c r="E1703" s="275"/>
      <c r="F1703" s="275"/>
      <c r="G1703" s="275"/>
      <c r="H1703" s="275"/>
      <c r="I1703" s="275"/>
      <c r="J1703" s="275"/>
      <c r="K1703" s="275"/>
      <c r="L1703" s="275"/>
      <c r="M1703" s="275"/>
      <c r="N1703" s="275"/>
      <c r="O1703" s="276"/>
      <c r="P1703" s="276"/>
      <c r="Q1703" s="247">
        <f t="shared" si="32"/>
        <v>0</v>
      </c>
      <c r="R1703" s="229"/>
      <c r="S1703" s="229"/>
      <c r="T1703" s="229"/>
      <c r="U1703" s="229"/>
      <c r="V1703" s="229"/>
      <c r="W1703" s="229"/>
      <c r="X1703" s="229"/>
    </row>
    <row r="1704" spans="1:24" ht="15.75" hidden="1">
      <c r="A1704" s="343"/>
      <c r="B1704" s="344"/>
      <c r="C1704" s="275"/>
      <c r="D1704" s="275"/>
      <c r="E1704" s="275"/>
      <c r="F1704" s="275"/>
      <c r="G1704" s="275"/>
      <c r="H1704" s="275"/>
      <c r="I1704" s="275"/>
      <c r="J1704" s="275"/>
      <c r="K1704" s="275"/>
      <c r="L1704" s="275"/>
      <c r="M1704" s="275"/>
      <c r="N1704" s="275"/>
      <c r="O1704" s="276"/>
      <c r="P1704" s="276"/>
      <c r="Q1704" s="247">
        <f t="shared" si="32"/>
        <v>0</v>
      </c>
      <c r="R1704" s="229"/>
      <c r="S1704" s="229"/>
      <c r="T1704" s="229"/>
      <c r="U1704" s="229"/>
      <c r="V1704" s="229"/>
      <c r="W1704" s="229"/>
      <c r="X1704" s="229"/>
    </row>
    <row r="1705" spans="1:24" ht="15.75" hidden="1">
      <c r="A1705" s="343"/>
      <c r="B1705" s="344"/>
      <c r="C1705" s="275"/>
      <c r="D1705" s="275"/>
      <c r="E1705" s="275"/>
      <c r="F1705" s="275"/>
      <c r="G1705" s="275"/>
      <c r="H1705" s="275"/>
      <c r="I1705" s="275"/>
      <c r="J1705" s="275"/>
      <c r="K1705" s="275"/>
      <c r="L1705" s="275"/>
      <c r="M1705" s="275"/>
      <c r="N1705" s="275"/>
      <c r="O1705" s="276"/>
      <c r="P1705" s="276"/>
      <c r="Q1705" s="247">
        <f t="shared" si="32"/>
        <v>0</v>
      </c>
      <c r="R1705" s="229"/>
      <c r="S1705" s="229"/>
      <c r="T1705" s="229"/>
      <c r="U1705" s="229"/>
      <c r="V1705" s="229"/>
      <c r="W1705" s="229"/>
      <c r="X1705" s="229"/>
    </row>
    <row r="1706" spans="1:24" ht="15.75" hidden="1">
      <c r="A1706" s="343"/>
      <c r="B1706" s="344"/>
      <c r="C1706" s="275"/>
      <c r="D1706" s="275"/>
      <c r="E1706" s="275"/>
      <c r="F1706" s="275"/>
      <c r="G1706" s="275"/>
      <c r="H1706" s="275"/>
      <c r="I1706" s="275"/>
      <c r="J1706" s="275"/>
      <c r="K1706" s="275"/>
      <c r="L1706" s="275"/>
      <c r="M1706" s="275"/>
      <c r="N1706" s="275"/>
      <c r="O1706" s="276"/>
      <c r="P1706" s="276"/>
      <c r="Q1706" s="247">
        <f t="shared" si="32"/>
        <v>0</v>
      </c>
      <c r="R1706" s="229"/>
      <c r="S1706" s="229"/>
      <c r="T1706" s="229"/>
      <c r="U1706" s="229"/>
      <c r="V1706" s="229"/>
      <c r="W1706" s="229"/>
      <c r="X1706" s="229"/>
    </row>
    <row r="1707" spans="1:24" ht="15.75" hidden="1">
      <c r="A1707" s="343"/>
      <c r="B1707" s="344"/>
      <c r="C1707" s="275"/>
      <c r="D1707" s="275"/>
      <c r="E1707" s="275"/>
      <c r="F1707" s="275"/>
      <c r="G1707" s="275"/>
      <c r="H1707" s="275"/>
      <c r="I1707" s="275"/>
      <c r="J1707" s="275"/>
      <c r="K1707" s="275"/>
      <c r="L1707" s="275"/>
      <c r="M1707" s="275"/>
      <c r="N1707" s="275"/>
      <c r="O1707" s="276"/>
      <c r="P1707" s="276"/>
      <c r="Q1707" s="247">
        <f t="shared" si="32"/>
        <v>0</v>
      </c>
      <c r="R1707" s="229"/>
      <c r="S1707" s="229"/>
      <c r="T1707" s="229"/>
      <c r="U1707" s="229"/>
      <c r="V1707" s="229"/>
      <c r="W1707" s="229"/>
      <c r="X1707" s="229"/>
    </row>
    <row r="1708" spans="1:24" ht="15.75" hidden="1">
      <c r="A1708" s="343"/>
      <c r="B1708" s="344"/>
      <c r="C1708" s="275"/>
      <c r="D1708" s="275"/>
      <c r="E1708" s="275"/>
      <c r="F1708" s="275"/>
      <c r="G1708" s="275"/>
      <c r="H1708" s="275"/>
      <c r="I1708" s="275"/>
      <c r="J1708" s="275"/>
      <c r="K1708" s="275"/>
      <c r="L1708" s="275"/>
      <c r="M1708" s="275"/>
      <c r="N1708" s="275"/>
      <c r="O1708" s="276"/>
      <c r="P1708" s="276"/>
      <c r="Q1708" s="247">
        <f t="shared" si="32"/>
        <v>0</v>
      </c>
      <c r="R1708" s="229"/>
      <c r="S1708" s="229"/>
      <c r="T1708" s="229"/>
      <c r="U1708" s="229"/>
      <c r="V1708" s="229"/>
      <c r="W1708" s="229"/>
      <c r="X1708" s="229"/>
    </row>
    <row r="1709" spans="1:24" ht="15.75" hidden="1">
      <c r="A1709" s="343"/>
      <c r="B1709" s="344"/>
      <c r="C1709" s="275"/>
      <c r="D1709" s="275"/>
      <c r="E1709" s="275"/>
      <c r="F1709" s="275"/>
      <c r="G1709" s="275"/>
      <c r="H1709" s="275"/>
      <c r="I1709" s="275"/>
      <c r="J1709" s="275"/>
      <c r="K1709" s="275"/>
      <c r="L1709" s="275"/>
      <c r="M1709" s="275"/>
      <c r="N1709" s="275"/>
      <c r="O1709" s="276"/>
      <c r="P1709" s="276"/>
      <c r="Q1709" s="247">
        <f t="shared" si="32"/>
        <v>0</v>
      </c>
      <c r="R1709" s="229"/>
      <c r="S1709" s="229"/>
      <c r="T1709" s="229"/>
      <c r="U1709" s="229"/>
      <c r="V1709" s="229"/>
      <c r="W1709" s="229"/>
      <c r="X1709" s="229"/>
    </row>
    <row r="1710" spans="1:24" ht="15.75" hidden="1">
      <c r="A1710" s="343"/>
      <c r="B1710" s="344"/>
      <c r="C1710" s="275"/>
      <c r="D1710" s="275"/>
      <c r="E1710" s="275"/>
      <c r="F1710" s="275"/>
      <c r="G1710" s="275"/>
      <c r="H1710" s="275"/>
      <c r="I1710" s="275"/>
      <c r="J1710" s="275"/>
      <c r="K1710" s="275"/>
      <c r="L1710" s="275"/>
      <c r="M1710" s="275"/>
      <c r="N1710" s="275"/>
      <c r="O1710" s="276"/>
      <c r="P1710" s="276"/>
      <c r="Q1710" s="247">
        <f t="shared" si="32"/>
        <v>0</v>
      </c>
      <c r="R1710" s="229"/>
      <c r="S1710" s="229"/>
      <c r="T1710" s="229"/>
      <c r="U1710" s="229"/>
      <c r="V1710" s="229"/>
      <c r="W1710" s="229"/>
      <c r="X1710" s="229"/>
    </row>
    <row r="1711" spans="1:24" ht="15.75" hidden="1">
      <c r="A1711" s="343"/>
      <c r="B1711" s="344"/>
      <c r="C1711" s="275"/>
      <c r="D1711" s="275"/>
      <c r="E1711" s="275"/>
      <c r="F1711" s="275"/>
      <c r="G1711" s="275"/>
      <c r="H1711" s="275"/>
      <c r="I1711" s="275"/>
      <c r="J1711" s="275"/>
      <c r="K1711" s="275"/>
      <c r="L1711" s="275"/>
      <c r="M1711" s="275"/>
      <c r="N1711" s="275"/>
      <c r="O1711" s="276"/>
      <c r="P1711" s="276"/>
      <c r="Q1711" s="247">
        <f t="shared" si="32"/>
        <v>0</v>
      </c>
      <c r="R1711" s="229"/>
      <c r="S1711" s="229"/>
      <c r="T1711" s="229"/>
      <c r="U1711" s="229"/>
      <c r="V1711" s="229"/>
      <c r="W1711" s="229"/>
      <c r="X1711" s="229"/>
    </row>
    <row r="1712" spans="1:24" ht="15.75" hidden="1">
      <c r="A1712" s="343"/>
      <c r="B1712" s="344"/>
      <c r="C1712" s="275"/>
      <c r="D1712" s="275"/>
      <c r="E1712" s="275"/>
      <c r="F1712" s="275"/>
      <c r="G1712" s="275"/>
      <c r="H1712" s="275"/>
      <c r="I1712" s="275"/>
      <c r="J1712" s="275"/>
      <c r="K1712" s="275"/>
      <c r="L1712" s="275"/>
      <c r="M1712" s="275"/>
      <c r="N1712" s="275"/>
      <c r="O1712" s="276"/>
      <c r="P1712" s="276"/>
      <c r="Q1712" s="247">
        <f t="shared" si="32"/>
        <v>0</v>
      </c>
      <c r="R1712" s="229"/>
      <c r="S1712" s="229"/>
      <c r="T1712" s="229"/>
      <c r="U1712" s="229"/>
      <c r="V1712" s="229"/>
      <c r="W1712" s="229"/>
      <c r="X1712" s="229"/>
    </row>
    <row r="1713" spans="1:24" ht="15.75" hidden="1">
      <c r="A1713" s="343"/>
      <c r="B1713" s="344"/>
      <c r="C1713" s="275"/>
      <c r="D1713" s="275"/>
      <c r="E1713" s="275"/>
      <c r="F1713" s="275"/>
      <c r="G1713" s="275"/>
      <c r="H1713" s="275"/>
      <c r="I1713" s="275"/>
      <c r="J1713" s="275"/>
      <c r="K1713" s="275"/>
      <c r="L1713" s="275"/>
      <c r="M1713" s="275"/>
      <c r="N1713" s="275"/>
      <c r="O1713" s="276"/>
      <c r="P1713" s="276"/>
      <c r="Q1713" s="247">
        <f t="shared" si="32"/>
        <v>0</v>
      </c>
      <c r="R1713" s="229"/>
      <c r="S1713" s="229"/>
      <c r="T1713" s="229"/>
      <c r="U1713" s="229"/>
      <c r="V1713" s="229"/>
      <c r="W1713" s="229"/>
      <c r="X1713" s="229"/>
    </row>
    <row r="1714" spans="1:24" ht="15.75" hidden="1">
      <c r="A1714" s="343"/>
      <c r="B1714" s="344"/>
      <c r="C1714" s="275"/>
      <c r="D1714" s="275"/>
      <c r="E1714" s="275"/>
      <c r="F1714" s="275"/>
      <c r="G1714" s="275"/>
      <c r="H1714" s="275"/>
      <c r="I1714" s="275"/>
      <c r="J1714" s="275"/>
      <c r="K1714" s="275"/>
      <c r="L1714" s="275"/>
      <c r="M1714" s="275"/>
      <c r="N1714" s="275"/>
      <c r="O1714" s="276"/>
      <c r="P1714" s="276"/>
      <c r="Q1714" s="247">
        <f t="shared" si="32"/>
        <v>0</v>
      </c>
      <c r="R1714" s="229"/>
      <c r="S1714" s="229"/>
      <c r="T1714" s="229"/>
      <c r="U1714" s="229"/>
      <c r="V1714" s="229"/>
      <c r="W1714" s="229"/>
      <c r="X1714" s="229"/>
    </row>
    <row r="1715" spans="1:24" ht="15.75" hidden="1">
      <c r="A1715" s="343"/>
      <c r="B1715" s="344"/>
      <c r="C1715" s="275"/>
      <c r="D1715" s="275"/>
      <c r="E1715" s="275"/>
      <c r="F1715" s="275"/>
      <c r="G1715" s="275"/>
      <c r="H1715" s="275"/>
      <c r="I1715" s="275"/>
      <c r="J1715" s="275"/>
      <c r="K1715" s="275"/>
      <c r="L1715" s="275"/>
      <c r="M1715" s="275"/>
      <c r="N1715" s="275"/>
      <c r="O1715" s="276"/>
      <c r="P1715" s="276"/>
      <c r="Q1715" s="247">
        <f t="shared" si="32"/>
        <v>0</v>
      </c>
      <c r="R1715" s="229"/>
      <c r="S1715" s="229"/>
      <c r="T1715" s="229"/>
      <c r="U1715" s="229"/>
      <c r="V1715" s="229"/>
      <c r="W1715" s="229"/>
      <c r="X1715" s="229"/>
    </row>
    <row r="1716" spans="1:24" ht="15.75" hidden="1">
      <c r="A1716" s="343"/>
      <c r="B1716" s="344"/>
      <c r="C1716" s="275"/>
      <c r="D1716" s="275"/>
      <c r="E1716" s="275"/>
      <c r="F1716" s="275"/>
      <c r="G1716" s="275"/>
      <c r="H1716" s="275"/>
      <c r="I1716" s="275"/>
      <c r="J1716" s="275"/>
      <c r="K1716" s="275"/>
      <c r="L1716" s="275"/>
      <c r="M1716" s="275"/>
      <c r="N1716" s="275"/>
      <c r="O1716" s="276"/>
      <c r="P1716" s="276"/>
      <c r="Q1716" s="247">
        <f t="shared" si="32"/>
        <v>0</v>
      </c>
      <c r="R1716" s="229"/>
      <c r="S1716" s="229"/>
      <c r="T1716" s="229"/>
      <c r="U1716" s="229"/>
      <c r="V1716" s="229"/>
      <c r="W1716" s="229"/>
      <c r="X1716" s="229"/>
    </row>
    <row r="1717" spans="1:24" ht="15.75" hidden="1">
      <c r="A1717" s="343"/>
      <c r="B1717" s="344"/>
      <c r="C1717" s="275"/>
      <c r="D1717" s="275"/>
      <c r="E1717" s="275"/>
      <c r="F1717" s="275"/>
      <c r="G1717" s="275"/>
      <c r="H1717" s="275"/>
      <c r="I1717" s="275"/>
      <c r="J1717" s="275"/>
      <c r="K1717" s="275"/>
      <c r="L1717" s="275"/>
      <c r="M1717" s="275"/>
      <c r="N1717" s="275"/>
      <c r="O1717" s="276"/>
      <c r="P1717" s="276"/>
      <c r="Q1717" s="247">
        <f t="shared" si="32"/>
        <v>0</v>
      </c>
      <c r="R1717" s="229"/>
      <c r="S1717" s="229"/>
      <c r="T1717" s="229"/>
      <c r="U1717" s="229"/>
      <c r="V1717" s="229"/>
      <c r="W1717" s="229"/>
      <c r="X1717" s="229"/>
    </row>
    <row r="1718" spans="1:24" ht="15.75" hidden="1">
      <c r="A1718" s="343"/>
      <c r="B1718" s="344"/>
      <c r="C1718" s="275"/>
      <c r="D1718" s="275"/>
      <c r="E1718" s="275"/>
      <c r="F1718" s="275"/>
      <c r="G1718" s="275"/>
      <c r="H1718" s="275"/>
      <c r="I1718" s="275"/>
      <c r="J1718" s="275"/>
      <c r="K1718" s="275"/>
      <c r="L1718" s="275"/>
      <c r="M1718" s="275"/>
      <c r="N1718" s="275"/>
      <c r="O1718" s="276"/>
      <c r="P1718" s="276"/>
      <c r="Q1718" s="247">
        <f t="shared" si="32"/>
        <v>0</v>
      </c>
      <c r="R1718" s="229"/>
      <c r="S1718" s="229"/>
      <c r="T1718" s="229"/>
      <c r="U1718" s="229"/>
      <c r="V1718" s="229"/>
      <c r="W1718" s="229"/>
      <c r="X1718" s="229"/>
    </row>
    <row r="1719" spans="1:24" ht="15.75" hidden="1">
      <c r="A1719" s="343"/>
      <c r="B1719" s="344"/>
      <c r="C1719" s="275"/>
      <c r="D1719" s="275"/>
      <c r="E1719" s="275"/>
      <c r="F1719" s="275"/>
      <c r="G1719" s="275"/>
      <c r="H1719" s="275"/>
      <c r="I1719" s="275"/>
      <c r="J1719" s="275"/>
      <c r="K1719" s="275"/>
      <c r="L1719" s="275"/>
      <c r="M1719" s="275"/>
      <c r="N1719" s="275"/>
      <c r="O1719" s="276"/>
      <c r="P1719" s="276"/>
      <c r="Q1719" s="247">
        <f t="shared" si="32"/>
        <v>0</v>
      </c>
      <c r="R1719" s="229"/>
      <c r="S1719" s="229"/>
      <c r="T1719" s="229"/>
      <c r="U1719" s="229"/>
      <c r="V1719" s="229"/>
      <c r="W1719" s="229"/>
      <c r="X1719" s="229"/>
    </row>
    <row r="1720" spans="1:24" ht="15.75" hidden="1">
      <c r="A1720" s="343"/>
      <c r="B1720" s="344"/>
      <c r="C1720" s="275"/>
      <c r="D1720" s="275"/>
      <c r="E1720" s="275"/>
      <c r="F1720" s="275"/>
      <c r="G1720" s="275"/>
      <c r="H1720" s="275"/>
      <c r="I1720" s="275"/>
      <c r="J1720" s="275"/>
      <c r="K1720" s="275"/>
      <c r="L1720" s="275"/>
      <c r="M1720" s="275"/>
      <c r="N1720" s="275"/>
      <c r="O1720" s="276"/>
      <c r="P1720" s="276"/>
      <c r="Q1720" s="247">
        <f t="shared" si="32"/>
        <v>0</v>
      </c>
      <c r="R1720" s="229"/>
      <c r="S1720" s="229"/>
      <c r="T1720" s="229"/>
      <c r="U1720" s="229"/>
      <c r="V1720" s="229"/>
      <c r="W1720" s="229"/>
      <c r="X1720" s="229"/>
    </row>
    <row r="1721" spans="1:24" ht="15.75" hidden="1">
      <c r="A1721" s="343"/>
      <c r="B1721" s="344"/>
      <c r="C1721" s="275"/>
      <c r="D1721" s="275"/>
      <c r="E1721" s="275"/>
      <c r="F1721" s="275"/>
      <c r="G1721" s="275"/>
      <c r="H1721" s="275"/>
      <c r="I1721" s="275"/>
      <c r="J1721" s="275"/>
      <c r="K1721" s="275"/>
      <c r="L1721" s="275"/>
      <c r="M1721" s="275"/>
      <c r="N1721" s="275"/>
      <c r="O1721" s="276"/>
      <c r="P1721" s="276"/>
      <c r="Q1721" s="247">
        <f t="shared" si="32"/>
        <v>0</v>
      </c>
      <c r="R1721" s="229"/>
      <c r="S1721" s="229"/>
      <c r="T1721" s="229"/>
      <c r="U1721" s="229"/>
      <c r="V1721" s="229"/>
      <c r="W1721" s="229"/>
      <c r="X1721" s="229"/>
    </row>
    <row r="1722" spans="1:24" ht="15.75" hidden="1">
      <c r="A1722" s="343"/>
      <c r="B1722" s="344"/>
      <c r="C1722" s="275"/>
      <c r="D1722" s="275"/>
      <c r="E1722" s="275"/>
      <c r="F1722" s="275"/>
      <c r="G1722" s="275"/>
      <c r="H1722" s="275"/>
      <c r="I1722" s="275"/>
      <c r="J1722" s="275"/>
      <c r="K1722" s="275"/>
      <c r="L1722" s="275"/>
      <c r="M1722" s="275"/>
      <c r="N1722" s="275"/>
      <c r="O1722" s="276"/>
      <c r="P1722" s="276"/>
      <c r="Q1722" s="247">
        <f t="shared" si="32"/>
        <v>0</v>
      </c>
      <c r="R1722" s="229"/>
      <c r="S1722" s="229"/>
      <c r="T1722" s="229"/>
      <c r="U1722" s="229"/>
      <c r="V1722" s="229"/>
      <c r="W1722" s="229"/>
      <c r="X1722" s="229"/>
    </row>
    <row r="1723" spans="1:24" ht="15.75" hidden="1">
      <c r="A1723" s="343"/>
      <c r="B1723" s="344"/>
      <c r="C1723" s="275"/>
      <c r="D1723" s="275"/>
      <c r="E1723" s="275"/>
      <c r="F1723" s="275"/>
      <c r="G1723" s="275"/>
      <c r="H1723" s="275"/>
      <c r="I1723" s="275"/>
      <c r="J1723" s="275"/>
      <c r="K1723" s="275"/>
      <c r="L1723" s="275"/>
      <c r="M1723" s="275"/>
      <c r="N1723" s="275"/>
      <c r="O1723" s="276"/>
      <c r="P1723" s="276"/>
      <c r="Q1723" s="247">
        <f t="shared" si="32"/>
        <v>0</v>
      </c>
      <c r="R1723" s="229"/>
      <c r="S1723" s="229"/>
      <c r="T1723" s="229"/>
      <c r="U1723" s="229"/>
      <c r="V1723" s="229"/>
      <c r="W1723" s="229"/>
      <c r="X1723" s="229"/>
    </row>
    <row r="1724" spans="1:24" ht="15.75" hidden="1">
      <c r="A1724" s="343"/>
      <c r="B1724" s="344"/>
      <c r="C1724" s="275"/>
      <c r="D1724" s="275"/>
      <c r="E1724" s="275"/>
      <c r="F1724" s="275"/>
      <c r="G1724" s="275"/>
      <c r="H1724" s="275"/>
      <c r="I1724" s="275"/>
      <c r="J1724" s="275"/>
      <c r="K1724" s="275"/>
      <c r="L1724" s="275"/>
      <c r="M1724" s="275"/>
      <c r="N1724" s="275"/>
      <c r="O1724" s="276"/>
      <c r="P1724" s="276"/>
      <c r="Q1724" s="247">
        <f t="shared" si="32"/>
        <v>0</v>
      </c>
      <c r="R1724" s="229"/>
      <c r="S1724" s="229"/>
      <c r="T1724" s="229"/>
      <c r="U1724" s="229"/>
      <c r="V1724" s="229"/>
      <c r="W1724" s="229"/>
      <c r="X1724" s="229"/>
    </row>
    <row r="1725" spans="1:24" ht="15.75" hidden="1">
      <c r="A1725" s="343"/>
      <c r="B1725" s="344"/>
      <c r="C1725" s="275"/>
      <c r="D1725" s="275"/>
      <c r="E1725" s="275"/>
      <c r="F1725" s="275"/>
      <c r="G1725" s="275"/>
      <c r="H1725" s="275"/>
      <c r="I1725" s="275"/>
      <c r="J1725" s="275"/>
      <c r="K1725" s="275"/>
      <c r="L1725" s="275"/>
      <c r="M1725" s="275"/>
      <c r="N1725" s="275"/>
      <c r="O1725" s="276"/>
      <c r="P1725" s="276"/>
      <c r="Q1725" s="247">
        <f t="shared" si="32"/>
        <v>0</v>
      </c>
      <c r="R1725" s="229"/>
      <c r="S1725" s="229"/>
      <c r="T1725" s="229"/>
      <c r="U1725" s="229"/>
      <c r="V1725" s="229"/>
      <c r="W1725" s="229"/>
      <c r="X1725" s="229"/>
    </row>
    <row r="1726" spans="1:24" ht="15.75" hidden="1">
      <c r="A1726" s="343"/>
      <c r="B1726" s="344"/>
      <c r="C1726" s="275"/>
      <c r="D1726" s="275"/>
      <c r="E1726" s="275"/>
      <c r="F1726" s="275"/>
      <c r="G1726" s="275"/>
      <c r="H1726" s="275"/>
      <c r="I1726" s="275"/>
      <c r="J1726" s="275"/>
      <c r="K1726" s="275"/>
      <c r="L1726" s="275"/>
      <c r="M1726" s="275"/>
      <c r="N1726" s="275"/>
      <c r="O1726" s="276"/>
      <c r="P1726" s="276"/>
      <c r="Q1726" s="247">
        <f t="shared" si="32"/>
        <v>0</v>
      </c>
      <c r="R1726" s="229"/>
      <c r="S1726" s="229"/>
      <c r="T1726" s="229"/>
      <c r="U1726" s="229"/>
      <c r="V1726" s="229"/>
      <c r="W1726" s="229"/>
      <c r="X1726" s="229"/>
    </row>
    <row r="1727" spans="1:24" ht="15.75" hidden="1">
      <c r="A1727" s="343"/>
      <c r="B1727" s="344"/>
      <c r="C1727" s="275"/>
      <c r="D1727" s="275"/>
      <c r="E1727" s="275"/>
      <c r="F1727" s="275"/>
      <c r="G1727" s="275"/>
      <c r="H1727" s="275"/>
      <c r="I1727" s="275"/>
      <c r="J1727" s="275"/>
      <c r="K1727" s="275"/>
      <c r="L1727" s="275"/>
      <c r="M1727" s="275"/>
      <c r="N1727" s="275"/>
      <c r="O1727" s="276"/>
      <c r="P1727" s="276"/>
      <c r="Q1727" s="247">
        <f t="shared" si="32"/>
        <v>0</v>
      </c>
      <c r="R1727" s="229"/>
      <c r="S1727" s="229"/>
      <c r="T1727" s="229"/>
      <c r="U1727" s="229"/>
      <c r="V1727" s="229"/>
      <c r="W1727" s="229"/>
      <c r="X1727" s="229"/>
    </row>
    <row r="1728" spans="1:24" ht="15.75" hidden="1">
      <c r="A1728" s="343"/>
      <c r="B1728" s="344"/>
      <c r="C1728" s="275"/>
      <c r="D1728" s="275"/>
      <c r="E1728" s="275"/>
      <c r="F1728" s="275"/>
      <c r="G1728" s="275"/>
      <c r="H1728" s="275"/>
      <c r="I1728" s="275"/>
      <c r="J1728" s="275"/>
      <c r="K1728" s="275"/>
      <c r="L1728" s="275"/>
      <c r="M1728" s="275"/>
      <c r="N1728" s="275"/>
      <c r="O1728" s="276"/>
      <c r="P1728" s="276"/>
      <c r="Q1728" s="247">
        <f t="shared" si="32"/>
        <v>0</v>
      </c>
      <c r="R1728" s="229"/>
      <c r="S1728" s="229"/>
      <c r="T1728" s="229"/>
      <c r="U1728" s="229"/>
      <c r="V1728" s="229"/>
      <c r="W1728" s="229"/>
      <c r="X1728" s="229"/>
    </row>
    <row r="1729" spans="1:24" ht="15.75" hidden="1">
      <c r="A1729" s="343"/>
      <c r="B1729" s="344"/>
      <c r="C1729" s="275"/>
      <c r="D1729" s="275"/>
      <c r="E1729" s="275"/>
      <c r="F1729" s="275"/>
      <c r="G1729" s="275"/>
      <c r="H1729" s="275"/>
      <c r="I1729" s="275"/>
      <c r="J1729" s="275"/>
      <c r="K1729" s="275"/>
      <c r="L1729" s="275"/>
      <c r="M1729" s="275"/>
      <c r="N1729" s="275"/>
      <c r="O1729" s="276"/>
      <c r="P1729" s="276"/>
      <c r="Q1729" s="247">
        <f t="shared" si="32"/>
        <v>0</v>
      </c>
      <c r="R1729" s="229"/>
      <c r="S1729" s="229"/>
      <c r="T1729" s="229"/>
      <c r="U1729" s="229"/>
      <c r="V1729" s="229"/>
      <c r="W1729" s="229"/>
      <c r="X1729" s="229"/>
    </row>
    <row r="1730" spans="1:24" ht="15.75" hidden="1">
      <c r="A1730" s="343"/>
      <c r="B1730" s="344"/>
      <c r="C1730" s="275"/>
      <c r="D1730" s="275"/>
      <c r="E1730" s="275"/>
      <c r="F1730" s="275"/>
      <c r="G1730" s="275"/>
      <c r="H1730" s="275"/>
      <c r="I1730" s="275"/>
      <c r="J1730" s="275"/>
      <c r="K1730" s="275"/>
      <c r="L1730" s="275"/>
      <c r="M1730" s="275"/>
      <c r="N1730" s="275"/>
      <c r="O1730" s="276"/>
      <c r="P1730" s="276"/>
      <c r="Q1730" s="247">
        <f t="shared" si="32"/>
        <v>0</v>
      </c>
      <c r="R1730" s="229"/>
      <c r="S1730" s="229"/>
      <c r="T1730" s="229"/>
      <c r="U1730" s="229"/>
      <c r="V1730" s="229"/>
      <c r="W1730" s="229"/>
      <c r="X1730" s="229"/>
    </row>
    <row r="1731" spans="1:24" ht="15.75" hidden="1">
      <c r="A1731" s="343"/>
      <c r="B1731" s="344"/>
      <c r="C1731" s="275"/>
      <c r="D1731" s="275"/>
      <c r="E1731" s="275"/>
      <c r="F1731" s="275"/>
      <c r="G1731" s="275"/>
      <c r="H1731" s="275"/>
      <c r="I1731" s="275"/>
      <c r="J1731" s="275"/>
      <c r="K1731" s="275"/>
      <c r="L1731" s="275"/>
      <c r="M1731" s="275"/>
      <c r="N1731" s="275"/>
      <c r="O1731" s="276"/>
      <c r="P1731" s="276"/>
      <c r="Q1731" s="247">
        <f t="shared" si="32"/>
        <v>0</v>
      </c>
      <c r="R1731" s="229"/>
      <c r="S1731" s="229"/>
      <c r="T1731" s="229"/>
      <c r="U1731" s="229"/>
      <c r="V1731" s="229"/>
      <c r="W1731" s="229"/>
      <c r="X1731" s="229"/>
    </row>
    <row r="1732" spans="1:24" ht="15.75" hidden="1">
      <c r="A1732" s="343"/>
      <c r="B1732" s="344"/>
      <c r="C1732" s="275"/>
      <c r="D1732" s="275"/>
      <c r="E1732" s="275"/>
      <c r="F1732" s="275"/>
      <c r="G1732" s="275"/>
      <c r="H1732" s="275"/>
      <c r="I1732" s="275"/>
      <c r="J1732" s="275"/>
      <c r="K1732" s="275"/>
      <c r="L1732" s="275"/>
      <c r="M1732" s="275"/>
      <c r="N1732" s="275"/>
      <c r="O1732" s="276"/>
      <c r="P1732" s="276"/>
      <c r="Q1732" s="247">
        <f t="shared" si="32"/>
        <v>0</v>
      </c>
      <c r="R1732" s="229"/>
      <c r="S1732" s="229"/>
      <c r="T1732" s="229"/>
      <c r="U1732" s="229"/>
      <c r="V1732" s="229"/>
      <c r="W1732" s="229"/>
      <c r="X1732" s="229"/>
    </row>
    <row r="1733" spans="1:24" ht="15.75" hidden="1">
      <c r="A1733" s="343"/>
      <c r="B1733" s="344"/>
      <c r="C1733" s="275"/>
      <c r="D1733" s="275"/>
      <c r="E1733" s="275"/>
      <c r="F1733" s="275"/>
      <c r="G1733" s="275"/>
      <c r="H1733" s="275"/>
      <c r="I1733" s="275"/>
      <c r="J1733" s="275"/>
      <c r="K1733" s="275"/>
      <c r="L1733" s="275"/>
      <c r="M1733" s="275"/>
      <c r="N1733" s="275"/>
      <c r="O1733" s="276"/>
      <c r="P1733" s="276"/>
      <c r="Q1733" s="247">
        <f t="shared" si="32"/>
        <v>0</v>
      </c>
      <c r="R1733" s="229"/>
      <c r="S1733" s="229"/>
      <c r="T1733" s="229"/>
      <c r="U1733" s="229"/>
      <c r="V1733" s="229"/>
      <c r="W1733" s="229"/>
      <c r="X1733" s="229"/>
    </row>
    <row r="1734" spans="1:24" ht="15.75" hidden="1">
      <c r="A1734" s="343"/>
      <c r="B1734" s="344"/>
      <c r="C1734" s="275"/>
      <c r="D1734" s="275"/>
      <c r="E1734" s="275"/>
      <c r="F1734" s="275"/>
      <c r="G1734" s="275"/>
      <c r="H1734" s="275"/>
      <c r="I1734" s="275"/>
      <c r="J1734" s="275"/>
      <c r="K1734" s="275"/>
      <c r="L1734" s="275"/>
      <c r="M1734" s="275"/>
      <c r="N1734" s="275"/>
      <c r="O1734" s="276"/>
      <c r="P1734" s="276"/>
      <c r="Q1734" s="247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9"/>
      <c r="S1734" s="229"/>
      <c r="T1734" s="229"/>
      <c r="U1734" s="229"/>
      <c r="V1734" s="229"/>
      <c r="W1734" s="229"/>
      <c r="X1734" s="229"/>
    </row>
    <row r="1735" spans="1:24" ht="15.75" hidden="1">
      <c r="A1735" s="343"/>
      <c r="B1735" s="344"/>
      <c r="C1735" s="275"/>
      <c r="D1735" s="275"/>
      <c r="E1735" s="275"/>
      <c r="F1735" s="275"/>
      <c r="G1735" s="275"/>
      <c r="H1735" s="275"/>
      <c r="I1735" s="275"/>
      <c r="J1735" s="275"/>
      <c r="K1735" s="275"/>
      <c r="L1735" s="275"/>
      <c r="M1735" s="275"/>
      <c r="N1735" s="275"/>
      <c r="O1735" s="276"/>
      <c r="P1735" s="276"/>
      <c r="Q1735" s="247">
        <f t="shared" si="33"/>
        <v>0</v>
      </c>
      <c r="R1735" s="229"/>
      <c r="S1735" s="229"/>
      <c r="T1735" s="229"/>
      <c r="U1735" s="229"/>
      <c r="V1735" s="229"/>
      <c r="W1735" s="229"/>
      <c r="X1735" s="229"/>
    </row>
    <row r="1736" spans="1:24" ht="15.75" hidden="1">
      <c r="A1736" s="343"/>
      <c r="B1736" s="344"/>
      <c r="C1736" s="275"/>
      <c r="D1736" s="275"/>
      <c r="E1736" s="275"/>
      <c r="F1736" s="275"/>
      <c r="G1736" s="275"/>
      <c r="H1736" s="275"/>
      <c r="I1736" s="275"/>
      <c r="J1736" s="275"/>
      <c r="K1736" s="275"/>
      <c r="L1736" s="275"/>
      <c r="M1736" s="275"/>
      <c r="N1736" s="275"/>
      <c r="O1736" s="276"/>
      <c r="P1736" s="276"/>
      <c r="Q1736" s="247">
        <f t="shared" si="33"/>
        <v>0</v>
      </c>
      <c r="R1736" s="229"/>
      <c r="S1736" s="229"/>
      <c r="T1736" s="229"/>
      <c r="U1736" s="229"/>
      <c r="V1736" s="229"/>
      <c r="W1736" s="229"/>
      <c r="X1736" s="229"/>
    </row>
    <row r="1737" spans="1:24" ht="15.75" hidden="1">
      <c r="A1737" s="343"/>
      <c r="B1737" s="344"/>
      <c r="C1737" s="275"/>
      <c r="D1737" s="275"/>
      <c r="E1737" s="275"/>
      <c r="F1737" s="275"/>
      <c r="G1737" s="275"/>
      <c r="H1737" s="275"/>
      <c r="I1737" s="275"/>
      <c r="J1737" s="275"/>
      <c r="K1737" s="275"/>
      <c r="L1737" s="275"/>
      <c r="M1737" s="275"/>
      <c r="N1737" s="275"/>
      <c r="O1737" s="276"/>
      <c r="P1737" s="276"/>
      <c r="Q1737" s="247">
        <f t="shared" si="33"/>
        <v>0</v>
      </c>
      <c r="R1737" s="229"/>
      <c r="S1737" s="229"/>
      <c r="T1737" s="229"/>
      <c r="U1737" s="229"/>
      <c r="V1737" s="229"/>
      <c r="W1737" s="229"/>
      <c r="X1737" s="229"/>
    </row>
    <row r="1738" spans="1:24" ht="15.75" hidden="1">
      <c r="A1738" s="343"/>
      <c r="B1738" s="344"/>
      <c r="C1738" s="275"/>
      <c r="D1738" s="275"/>
      <c r="E1738" s="275"/>
      <c r="F1738" s="275"/>
      <c r="G1738" s="275"/>
      <c r="H1738" s="275"/>
      <c r="I1738" s="275"/>
      <c r="J1738" s="275"/>
      <c r="K1738" s="275"/>
      <c r="L1738" s="275"/>
      <c r="M1738" s="275"/>
      <c r="N1738" s="275"/>
      <c r="O1738" s="276"/>
      <c r="P1738" s="276"/>
      <c r="Q1738" s="247">
        <f t="shared" si="33"/>
        <v>0</v>
      </c>
      <c r="R1738" s="229"/>
      <c r="S1738" s="229"/>
      <c r="T1738" s="229"/>
      <c r="U1738" s="229"/>
      <c r="V1738" s="229"/>
      <c r="W1738" s="229"/>
      <c r="X1738" s="229"/>
    </row>
    <row r="1739" spans="1:24" ht="15.75" hidden="1">
      <c r="A1739" s="343"/>
      <c r="B1739" s="344"/>
      <c r="C1739" s="275"/>
      <c r="D1739" s="275"/>
      <c r="E1739" s="275"/>
      <c r="F1739" s="275"/>
      <c r="G1739" s="275"/>
      <c r="H1739" s="275"/>
      <c r="I1739" s="275"/>
      <c r="J1739" s="275"/>
      <c r="K1739" s="275"/>
      <c r="L1739" s="275"/>
      <c r="M1739" s="275"/>
      <c r="N1739" s="275"/>
      <c r="O1739" s="276"/>
      <c r="P1739" s="276"/>
      <c r="Q1739" s="247">
        <f t="shared" si="33"/>
        <v>0</v>
      </c>
      <c r="R1739" s="229"/>
      <c r="S1739" s="229"/>
      <c r="T1739" s="229"/>
      <c r="U1739" s="229"/>
      <c r="V1739" s="229"/>
      <c r="W1739" s="229"/>
      <c r="X1739" s="229"/>
    </row>
    <row r="1740" spans="1:24" ht="15.75" hidden="1">
      <c r="A1740" s="343"/>
      <c r="B1740" s="344"/>
      <c r="C1740" s="275"/>
      <c r="D1740" s="275"/>
      <c r="E1740" s="275"/>
      <c r="F1740" s="275"/>
      <c r="G1740" s="275"/>
      <c r="H1740" s="275"/>
      <c r="I1740" s="275"/>
      <c r="J1740" s="275"/>
      <c r="K1740" s="275"/>
      <c r="L1740" s="275"/>
      <c r="M1740" s="275"/>
      <c r="N1740" s="275"/>
      <c r="O1740" s="276"/>
      <c r="P1740" s="276"/>
      <c r="Q1740" s="247">
        <f t="shared" si="33"/>
        <v>0</v>
      </c>
      <c r="R1740" s="229"/>
      <c r="S1740" s="229"/>
      <c r="T1740" s="229"/>
      <c r="U1740" s="229"/>
      <c r="V1740" s="229"/>
      <c r="W1740" s="229"/>
      <c r="X1740" s="229"/>
    </row>
    <row r="1741" spans="1:24" ht="15.75" hidden="1">
      <c r="A1741" s="343"/>
      <c r="B1741" s="344"/>
      <c r="C1741" s="275"/>
      <c r="D1741" s="275"/>
      <c r="E1741" s="275"/>
      <c r="F1741" s="275"/>
      <c r="G1741" s="275"/>
      <c r="H1741" s="275"/>
      <c r="I1741" s="275"/>
      <c r="J1741" s="275"/>
      <c r="K1741" s="275"/>
      <c r="L1741" s="275"/>
      <c r="M1741" s="275"/>
      <c r="N1741" s="275"/>
      <c r="O1741" s="276"/>
      <c r="P1741" s="276"/>
      <c r="Q1741" s="247">
        <f t="shared" si="33"/>
        <v>0</v>
      </c>
      <c r="R1741" s="229"/>
      <c r="S1741" s="229"/>
      <c r="T1741" s="229"/>
      <c r="U1741" s="229"/>
      <c r="V1741" s="229"/>
      <c r="W1741" s="229"/>
      <c r="X1741" s="229"/>
    </row>
    <row r="1742" spans="1:24" ht="15.75" hidden="1">
      <c r="A1742" s="343"/>
      <c r="B1742" s="344"/>
      <c r="C1742" s="275"/>
      <c r="D1742" s="275"/>
      <c r="E1742" s="275"/>
      <c r="F1742" s="275"/>
      <c r="G1742" s="275"/>
      <c r="H1742" s="275"/>
      <c r="I1742" s="275"/>
      <c r="J1742" s="275"/>
      <c r="K1742" s="275"/>
      <c r="L1742" s="275"/>
      <c r="M1742" s="275"/>
      <c r="N1742" s="275"/>
      <c r="O1742" s="276"/>
      <c r="P1742" s="276"/>
      <c r="Q1742" s="247">
        <f t="shared" si="33"/>
        <v>0</v>
      </c>
      <c r="R1742" s="229"/>
      <c r="S1742" s="229"/>
      <c r="T1742" s="229"/>
      <c r="U1742" s="229"/>
      <c r="V1742" s="229"/>
      <c r="W1742" s="229"/>
      <c r="X1742" s="229"/>
    </row>
    <row r="1743" spans="1:24" ht="15.75" hidden="1">
      <c r="A1743" s="343"/>
      <c r="B1743" s="344"/>
      <c r="C1743" s="275"/>
      <c r="D1743" s="275"/>
      <c r="E1743" s="275"/>
      <c r="F1743" s="275"/>
      <c r="G1743" s="275"/>
      <c r="H1743" s="275"/>
      <c r="I1743" s="275"/>
      <c r="J1743" s="275"/>
      <c r="K1743" s="275"/>
      <c r="L1743" s="275"/>
      <c r="M1743" s="275"/>
      <c r="N1743" s="275"/>
      <c r="O1743" s="276"/>
      <c r="P1743" s="276"/>
      <c r="Q1743" s="247">
        <f t="shared" si="33"/>
        <v>0</v>
      </c>
      <c r="R1743" s="229"/>
      <c r="S1743" s="229"/>
      <c r="T1743" s="229"/>
      <c r="U1743" s="229"/>
      <c r="V1743" s="229"/>
      <c r="W1743" s="229"/>
      <c r="X1743" s="229"/>
    </row>
    <row r="1744" spans="1:24" ht="15.75" hidden="1">
      <c r="A1744" s="343"/>
      <c r="B1744" s="344"/>
      <c r="C1744" s="275"/>
      <c r="D1744" s="275"/>
      <c r="E1744" s="275"/>
      <c r="F1744" s="275"/>
      <c r="G1744" s="275"/>
      <c r="H1744" s="275"/>
      <c r="I1744" s="275"/>
      <c r="J1744" s="275"/>
      <c r="K1744" s="275"/>
      <c r="L1744" s="275"/>
      <c r="M1744" s="275"/>
      <c r="N1744" s="275"/>
      <c r="O1744" s="276"/>
      <c r="P1744" s="276"/>
      <c r="Q1744" s="247">
        <f t="shared" si="33"/>
        <v>0</v>
      </c>
      <c r="R1744" s="229"/>
      <c r="S1744" s="229"/>
      <c r="T1744" s="229"/>
      <c r="U1744" s="229"/>
      <c r="V1744" s="229"/>
      <c r="W1744" s="229"/>
      <c r="X1744" s="229"/>
    </row>
    <row r="1745" spans="1:24" ht="15.75" hidden="1">
      <c r="A1745" s="343"/>
      <c r="B1745" s="344"/>
      <c r="C1745" s="275"/>
      <c r="D1745" s="275"/>
      <c r="E1745" s="275"/>
      <c r="F1745" s="275"/>
      <c r="G1745" s="275"/>
      <c r="H1745" s="275"/>
      <c r="I1745" s="275"/>
      <c r="J1745" s="275"/>
      <c r="K1745" s="275"/>
      <c r="L1745" s="275"/>
      <c r="M1745" s="275"/>
      <c r="N1745" s="275"/>
      <c r="O1745" s="276"/>
      <c r="P1745" s="276"/>
      <c r="Q1745" s="247">
        <f t="shared" si="33"/>
        <v>0</v>
      </c>
      <c r="R1745" s="229"/>
      <c r="S1745" s="229"/>
      <c r="T1745" s="229"/>
      <c r="U1745" s="229"/>
      <c r="V1745" s="229"/>
      <c r="W1745" s="229"/>
      <c r="X1745" s="229"/>
    </row>
    <row r="1746" spans="1:24" ht="15.75" hidden="1">
      <c r="A1746" s="343"/>
      <c r="B1746" s="344"/>
      <c r="C1746" s="275"/>
      <c r="D1746" s="275"/>
      <c r="E1746" s="275"/>
      <c r="F1746" s="275"/>
      <c r="G1746" s="275"/>
      <c r="H1746" s="275"/>
      <c r="I1746" s="275"/>
      <c r="J1746" s="275"/>
      <c r="K1746" s="275"/>
      <c r="L1746" s="275"/>
      <c r="M1746" s="275"/>
      <c r="N1746" s="275"/>
      <c r="O1746" s="276"/>
      <c r="P1746" s="276"/>
      <c r="Q1746" s="247">
        <f t="shared" si="33"/>
        <v>0</v>
      </c>
      <c r="R1746" s="229"/>
      <c r="S1746" s="229"/>
      <c r="T1746" s="229"/>
      <c r="U1746" s="229"/>
      <c r="V1746" s="229"/>
      <c r="W1746" s="229"/>
      <c r="X1746" s="229"/>
    </row>
    <row r="1747" spans="1:24" ht="15.75" hidden="1">
      <c r="A1747" s="343"/>
      <c r="B1747" s="344"/>
      <c r="C1747" s="275"/>
      <c r="D1747" s="275"/>
      <c r="E1747" s="275"/>
      <c r="F1747" s="275"/>
      <c r="G1747" s="275"/>
      <c r="H1747" s="275"/>
      <c r="I1747" s="275"/>
      <c r="J1747" s="275"/>
      <c r="K1747" s="275"/>
      <c r="L1747" s="275"/>
      <c r="M1747" s="275"/>
      <c r="N1747" s="275"/>
      <c r="O1747" s="276"/>
      <c r="P1747" s="276"/>
      <c r="Q1747" s="247">
        <f t="shared" si="33"/>
        <v>0</v>
      </c>
      <c r="R1747" s="229"/>
      <c r="S1747" s="229"/>
      <c r="T1747" s="229"/>
      <c r="U1747" s="229"/>
      <c r="V1747" s="229"/>
      <c r="W1747" s="229"/>
      <c r="X1747" s="229"/>
    </row>
    <row r="1748" spans="1:24" ht="15.75" hidden="1">
      <c r="A1748" s="343"/>
      <c r="B1748" s="344"/>
      <c r="C1748" s="275"/>
      <c r="D1748" s="275"/>
      <c r="E1748" s="275"/>
      <c r="F1748" s="275"/>
      <c r="G1748" s="275"/>
      <c r="H1748" s="275"/>
      <c r="I1748" s="275"/>
      <c r="J1748" s="275"/>
      <c r="K1748" s="275"/>
      <c r="L1748" s="275"/>
      <c r="M1748" s="275"/>
      <c r="N1748" s="275"/>
      <c r="O1748" s="276"/>
      <c r="P1748" s="276"/>
      <c r="Q1748" s="247">
        <f t="shared" si="33"/>
        <v>0</v>
      </c>
      <c r="R1748" s="229"/>
      <c r="S1748" s="229"/>
      <c r="T1748" s="229"/>
      <c r="U1748" s="229"/>
      <c r="V1748" s="229"/>
      <c r="W1748" s="229"/>
      <c r="X1748" s="229"/>
    </row>
    <row r="1749" spans="1:24" ht="15.75" hidden="1">
      <c r="A1749" s="343"/>
      <c r="B1749" s="344"/>
      <c r="C1749" s="275"/>
      <c r="D1749" s="275"/>
      <c r="E1749" s="275"/>
      <c r="F1749" s="275"/>
      <c r="G1749" s="275"/>
      <c r="H1749" s="275"/>
      <c r="I1749" s="275"/>
      <c r="J1749" s="275"/>
      <c r="K1749" s="275"/>
      <c r="L1749" s="275"/>
      <c r="M1749" s="275"/>
      <c r="N1749" s="275"/>
      <c r="O1749" s="276"/>
      <c r="P1749" s="276"/>
      <c r="Q1749" s="247">
        <f t="shared" si="33"/>
        <v>0</v>
      </c>
      <c r="R1749" s="229"/>
      <c r="S1749" s="229"/>
      <c r="T1749" s="229"/>
      <c r="U1749" s="229"/>
      <c r="V1749" s="229"/>
      <c r="W1749" s="229"/>
      <c r="X1749" s="229"/>
    </row>
    <row r="1750" spans="1:24" ht="15.75" hidden="1">
      <c r="A1750" s="343"/>
      <c r="B1750" s="344"/>
      <c r="C1750" s="275"/>
      <c r="D1750" s="275"/>
      <c r="E1750" s="275"/>
      <c r="F1750" s="275"/>
      <c r="G1750" s="275"/>
      <c r="H1750" s="275"/>
      <c r="I1750" s="275"/>
      <c r="J1750" s="275"/>
      <c r="K1750" s="275"/>
      <c r="L1750" s="275"/>
      <c r="M1750" s="275"/>
      <c r="N1750" s="275"/>
      <c r="O1750" s="276"/>
      <c r="P1750" s="276"/>
      <c r="Q1750" s="247">
        <f t="shared" si="33"/>
        <v>0</v>
      </c>
      <c r="R1750" s="229"/>
      <c r="S1750" s="229"/>
      <c r="T1750" s="229"/>
      <c r="U1750" s="229"/>
      <c r="V1750" s="229"/>
      <c r="W1750" s="229"/>
      <c r="X1750" s="229"/>
    </row>
    <row r="1751" spans="1:24" ht="15.75" hidden="1">
      <c r="A1751" s="343"/>
      <c r="B1751" s="344"/>
      <c r="C1751" s="275"/>
      <c r="D1751" s="275"/>
      <c r="E1751" s="275"/>
      <c r="F1751" s="275"/>
      <c r="G1751" s="275"/>
      <c r="H1751" s="275"/>
      <c r="I1751" s="275"/>
      <c r="J1751" s="275"/>
      <c r="K1751" s="275"/>
      <c r="L1751" s="275"/>
      <c r="M1751" s="275"/>
      <c r="N1751" s="275"/>
      <c r="O1751" s="276"/>
      <c r="P1751" s="276"/>
      <c r="Q1751" s="247">
        <f t="shared" si="33"/>
        <v>0</v>
      </c>
      <c r="R1751" s="229"/>
      <c r="S1751" s="229"/>
      <c r="T1751" s="229"/>
      <c r="U1751" s="229"/>
      <c r="V1751" s="229"/>
      <c r="W1751" s="229"/>
      <c r="X1751" s="229"/>
    </row>
    <row r="1752" spans="1:24" ht="15.75" hidden="1">
      <c r="A1752" s="343"/>
      <c r="B1752" s="344"/>
      <c r="C1752" s="275"/>
      <c r="D1752" s="275"/>
      <c r="E1752" s="275"/>
      <c r="F1752" s="275"/>
      <c r="G1752" s="275"/>
      <c r="H1752" s="275"/>
      <c r="I1752" s="275"/>
      <c r="J1752" s="275"/>
      <c r="K1752" s="275"/>
      <c r="L1752" s="275"/>
      <c r="M1752" s="275"/>
      <c r="N1752" s="275"/>
      <c r="O1752" s="276"/>
      <c r="P1752" s="276"/>
      <c r="Q1752" s="247">
        <f t="shared" si="33"/>
        <v>0</v>
      </c>
      <c r="R1752" s="229"/>
      <c r="S1752" s="229"/>
      <c r="T1752" s="229"/>
      <c r="U1752" s="229"/>
      <c r="V1752" s="229"/>
      <c r="W1752" s="229"/>
      <c r="X1752" s="229"/>
    </row>
    <row r="1753" spans="1:24" ht="15.75" hidden="1">
      <c r="A1753" s="343"/>
      <c r="B1753" s="344"/>
      <c r="C1753" s="275"/>
      <c r="D1753" s="275"/>
      <c r="E1753" s="275"/>
      <c r="F1753" s="275"/>
      <c r="G1753" s="275"/>
      <c r="H1753" s="275"/>
      <c r="I1753" s="275"/>
      <c r="J1753" s="275"/>
      <c r="K1753" s="275"/>
      <c r="L1753" s="275"/>
      <c r="M1753" s="275"/>
      <c r="N1753" s="275"/>
      <c r="O1753" s="276"/>
      <c r="P1753" s="276"/>
      <c r="Q1753" s="247">
        <f t="shared" si="33"/>
        <v>0</v>
      </c>
      <c r="R1753" s="229"/>
      <c r="S1753" s="229"/>
      <c r="T1753" s="229"/>
      <c r="U1753" s="229"/>
      <c r="V1753" s="229"/>
      <c r="W1753" s="229"/>
      <c r="X1753" s="229"/>
    </row>
    <row r="1754" spans="1:24" ht="15.75" hidden="1">
      <c r="A1754" s="343"/>
      <c r="B1754" s="344"/>
      <c r="C1754" s="275"/>
      <c r="D1754" s="275"/>
      <c r="E1754" s="275"/>
      <c r="F1754" s="275"/>
      <c r="G1754" s="275"/>
      <c r="H1754" s="275"/>
      <c r="I1754" s="275"/>
      <c r="J1754" s="275"/>
      <c r="K1754" s="275"/>
      <c r="L1754" s="275"/>
      <c r="M1754" s="275"/>
      <c r="N1754" s="275"/>
      <c r="O1754" s="276"/>
      <c r="P1754" s="276"/>
      <c r="Q1754" s="247">
        <f t="shared" si="33"/>
        <v>0</v>
      </c>
      <c r="R1754" s="229"/>
      <c r="S1754" s="229"/>
      <c r="T1754" s="229"/>
      <c r="U1754" s="229"/>
      <c r="V1754" s="229"/>
      <c r="W1754" s="229"/>
      <c r="X1754" s="229"/>
    </row>
    <row r="1755" spans="1:24" ht="15.75" hidden="1">
      <c r="A1755" s="343"/>
      <c r="B1755" s="344"/>
      <c r="C1755" s="275"/>
      <c r="D1755" s="275"/>
      <c r="E1755" s="275"/>
      <c r="F1755" s="275"/>
      <c r="G1755" s="275"/>
      <c r="H1755" s="275"/>
      <c r="I1755" s="275"/>
      <c r="J1755" s="275"/>
      <c r="K1755" s="275"/>
      <c r="L1755" s="275"/>
      <c r="M1755" s="275"/>
      <c r="N1755" s="275"/>
      <c r="O1755" s="276"/>
      <c r="P1755" s="276"/>
      <c r="Q1755" s="247">
        <f t="shared" si="33"/>
        <v>0</v>
      </c>
      <c r="R1755" s="229"/>
      <c r="S1755" s="229"/>
      <c r="T1755" s="229"/>
      <c r="U1755" s="229"/>
      <c r="V1755" s="229"/>
      <c r="W1755" s="229"/>
      <c r="X1755" s="229"/>
    </row>
    <row r="1756" spans="1:24" ht="15.75" hidden="1">
      <c r="A1756" s="343"/>
      <c r="B1756" s="344"/>
      <c r="C1756" s="275"/>
      <c r="D1756" s="275"/>
      <c r="E1756" s="275"/>
      <c r="F1756" s="275"/>
      <c r="G1756" s="275"/>
      <c r="H1756" s="275"/>
      <c r="I1756" s="275"/>
      <c r="J1756" s="275"/>
      <c r="K1756" s="275"/>
      <c r="L1756" s="275"/>
      <c r="M1756" s="275"/>
      <c r="N1756" s="275"/>
      <c r="O1756" s="276"/>
      <c r="P1756" s="276"/>
      <c r="Q1756" s="247">
        <f t="shared" si="33"/>
        <v>0</v>
      </c>
      <c r="R1756" s="229"/>
      <c r="S1756" s="229"/>
      <c r="T1756" s="229"/>
      <c r="U1756" s="229"/>
      <c r="V1756" s="229"/>
      <c r="W1756" s="229"/>
      <c r="X1756" s="229"/>
    </row>
    <row r="1757" spans="1:24" ht="15.75" hidden="1">
      <c r="A1757" s="343"/>
      <c r="B1757" s="344"/>
      <c r="C1757" s="275"/>
      <c r="D1757" s="275"/>
      <c r="E1757" s="275"/>
      <c r="F1757" s="275"/>
      <c r="G1757" s="275"/>
      <c r="H1757" s="275"/>
      <c r="I1757" s="275"/>
      <c r="J1757" s="275"/>
      <c r="K1757" s="275"/>
      <c r="L1757" s="275"/>
      <c r="M1757" s="275"/>
      <c r="N1757" s="275"/>
      <c r="O1757" s="276"/>
      <c r="P1757" s="276"/>
      <c r="Q1757" s="247">
        <f t="shared" si="33"/>
        <v>0</v>
      </c>
      <c r="R1757" s="229"/>
      <c r="S1757" s="229"/>
      <c r="T1757" s="229"/>
      <c r="U1757" s="229"/>
      <c r="V1757" s="229"/>
      <c r="W1757" s="229"/>
      <c r="X1757" s="229"/>
    </row>
    <row r="1758" spans="1:24" ht="15.75" hidden="1">
      <c r="A1758" s="343"/>
      <c r="B1758" s="344"/>
      <c r="C1758" s="275"/>
      <c r="D1758" s="275"/>
      <c r="E1758" s="275"/>
      <c r="F1758" s="275"/>
      <c r="G1758" s="275"/>
      <c r="H1758" s="275"/>
      <c r="I1758" s="275"/>
      <c r="J1758" s="275"/>
      <c r="K1758" s="275"/>
      <c r="L1758" s="275"/>
      <c r="M1758" s="275"/>
      <c r="N1758" s="275"/>
      <c r="O1758" s="276"/>
      <c r="P1758" s="276"/>
      <c r="Q1758" s="247">
        <f t="shared" si="33"/>
        <v>0</v>
      </c>
      <c r="R1758" s="229"/>
      <c r="S1758" s="229"/>
      <c r="T1758" s="229"/>
      <c r="U1758" s="229"/>
      <c r="V1758" s="229"/>
      <c r="W1758" s="229"/>
      <c r="X1758" s="229"/>
    </row>
    <row r="1759" spans="1:24" ht="15.75" hidden="1">
      <c r="A1759" s="343"/>
      <c r="B1759" s="344"/>
      <c r="C1759" s="275"/>
      <c r="D1759" s="275"/>
      <c r="E1759" s="275"/>
      <c r="F1759" s="275"/>
      <c r="G1759" s="275"/>
      <c r="H1759" s="275"/>
      <c r="I1759" s="275"/>
      <c r="J1759" s="275"/>
      <c r="K1759" s="275"/>
      <c r="L1759" s="275"/>
      <c r="M1759" s="275"/>
      <c r="N1759" s="275"/>
      <c r="O1759" s="276"/>
      <c r="P1759" s="276"/>
      <c r="Q1759" s="247">
        <f t="shared" si="33"/>
        <v>0</v>
      </c>
      <c r="R1759" s="229"/>
      <c r="S1759" s="229"/>
      <c r="T1759" s="229"/>
      <c r="U1759" s="229"/>
      <c r="V1759" s="229"/>
      <c r="W1759" s="229"/>
      <c r="X1759" s="229"/>
    </row>
    <row r="1760" spans="1:24" ht="15.75" hidden="1">
      <c r="A1760" s="343"/>
      <c r="B1760" s="344"/>
      <c r="C1760" s="275"/>
      <c r="D1760" s="275"/>
      <c r="E1760" s="275"/>
      <c r="F1760" s="275"/>
      <c r="G1760" s="275"/>
      <c r="H1760" s="275"/>
      <c r="I1760" s="275"/>
      <c r="J1760" s="275"/>
      <c r="K1760" s="275"/>
      <c r="L1760" s="275"/>
      <c r="M1760" s="275"/>
      <c r="N1760" s="275"/>
      <c r="O1760" s="276"/>
      <c r="P1760" s="276"/>
      <c r="Q1760" s="247">
        <f t="shared" si="33"/>
        <v>0</v>
      </c>
      <c r="R1760" s="229"/>
      <c r="S1760" s="229"/>
      <c r="T1760" s="229"/>
      <c r="U1760" s="229"/>
      <c r="V1760" s="229"/>
      <c r="W1760" s="229"/>
      <c r="X1760" s="229"/>
    </row>
    <row r="1761" spans="1:24" ht="15.75" hidden="1">
      <c r="A1761" s="343"/>
      <c r="B1761" s="344"/>
      <c r="C1761" s="275"/>
      <c r="D1761" s="275"/>
      <c r="E1761" s="275"/>
      <c r="F1761" s="275"/>
      <c r="G1761" s="275"/>
      <c r="H1761" s="275"/>
      <c r="I1761" s="275"/>
      <c r="J1761" s="275"/>
      <c r="K1761" s="275"/>
      <c r="L1761" s="275"/>
      <c r="M1761" s="275"/>
      <c r="N1761" s="275"/>
      <c r="O1761" s="276"/>
      <c r="P1761" s="276"/>
      <c r="Q1761" s="247">
        <f t="shared" si="33"/>
        <v>0</v>
      </c>
      <c r="R1761" s="229"/>
      <c r="S1761" s="229"/>
      <c r="T1761" s="229"/>
      <c r="U1761" s="229"/>
      <c r="V1761" s="229"/>
      <c r="W1761" s="229"/>
      <c r="X1761" s="229"/>
    </row>
    <row r="1762" spans="1:24" ht="15.75" hidden="1">
      <c r="A1762" s="343"/>
      <c r="B1762" s="344"/>
      <c r="C1762" s="275"/>
      <c r="D1762" s="275"/>
      <c r="E1762" s="275"/>
      <c r="F1762" s="275"/>
      <c r="G1762" s="275"/>
      <c r="H1762" s="275"/>
      <c r="I1762" s="275"/>
      <c r="J1762" s="275"/>
      <c r="K1762" s="275"/>
      <c r="L1762" s="275"/>
      <c r="M1762" s="275"/>
      <c r="N1762" s="275"/>
      <c r="O1762" s="276"/>
      <c r="P1762" s="276"/>
      <c r="Q1762" s="247">
        <f t="shared" si="33"/>
        <v>0</v>
      </c>
      <c r="R1762" s="229"/>
      <c r="S1762" s="229"/>
      <c r="T1762" s="229"/>
      <c r="U1762" s="229"/>
      <c r="V1762" s="229"/>
      <c r="W1762" s="229"/>
      <c r="X1762" s="229"/>
    </row>
    <row r="1763" spans="1:24" ht="15.75" hidden="1">
      <c r="A1763" s="343"/>
      <c r="B1763" s="344"/>
      <c r="C1763" s="275"/>
      <c r="D1763" s="275"/>
      <c r="E1763" s="275"/>
      <c r="F1763" s="275"/>
      <c r="G1763" s="275"/>
      <c r="H1763" s="275"/>
      <c r="I1763" s="275"/>
      <c r="J1763" s="275"/>
      <c r="K1763" s="275"/>
      <c r="L1763" s="275"/>
      <c r="M1763" s="275"/>
      <c r="N1763" s="275"/>
      <c r="O1763" s="276"/>
      <c r="P1763" s="276"/>
      <c r="Q1763" s="247">
        <f t="shared" si="33"/>
        <v>0</v>
      </c>
      <c r="R1763" s="229"/>
      <c r="S1763" s="229"/>
      <c r="T1763" s="229"/>
      <c r="U1763" s="229"/>
      <c r="V1763" s="229"/>
      <c r="W1763" s="229"/>
      <c r="X1763" s="229"/>
    </row>
    <row r="1764" spans="1:24" ht="15.75" hidden="1">
      <c r="A1764" s="343"/>
      <c r="B1764" s="344"/>
      <c r="C1764" s="275"/>
      <c r="D1764" s="275"/>
      <c r="E1764" s="275"/>
      <c r="F1764" s="275"/>
      <c r="G1764" s="275"/>
      <c r="H1764" s="275"/>
      <c r="I1764" s="275"/>
      <c r="J1764" s="275"/>
      <c r="K1764" s="275"/>
      <c r="L1764" s="275"/>
      <c r="M1764" s="275"/>
      <c r="N1764" s="275"/>
      <c r="O1764" s="276"/>
      <c r="P1764" s="276"/>
      <c r="Q1764" s="247">
        <f t="shared" si="33"/>
        <v>0</v>
      </c>
      <c r="R1764" s="229"/>
      <c r="S1764" s="229"/>
      <c r="T1764" s="229"/>
      <c r="U1764" s="229"/>
      <c r="V1764" s="229"/>
      <c r="W1764" s="229"/>
      <c r="X1764" s="229"/>
    </row>
    <row r="1765" spans="1:24" ht="15.75" hidden="1">
      <c r="A1765" s="343"/>
      <c r="B1765" s="344"/>
      <c r="C1765" s="275"/>
      <c r="D1765" s="275"/>
      <c r="E1765" s="275"/>
      <c r="F1765" s="275"/>
      <c r="G1765" s="275"/>
      <c r="H1765" s="275"/>
      <c r="I1765" s="275"/>
      <c r="J1765" s="275"/>
      <c r="K1765" s="275"/>
      <c r="L1765" s="275"/>
      <c r="M1765" s="275"/>
      <c r="N1765" s="275"/>
      <c r="O1765" s="276"/>
      <c r="P1765" s="276"/>
      <c r="Q1765" s="247">
        <f t="shared" si="33"/>
        <v>0</v>
      </c>
      <c r="R1765" s="229"/>
      <c r="S1765" s="229"/>
      <c r="T1765" s="229"/>
      <c r="U1765" s="229"/>
      <c r="V1765" s="229"/>
      <c r="W1765" s="229"/>
      <c r="X1765" s="229"/>
    </row>
    <row r="1766" spans="1:24" ht="15.75" hidden="1">
      <c r="A1766" s="343"/>
      <c r="B1766" s="344"/>
      <c r="C1766" s="275"/>
      <c r="D1766" s="275"/>
      <c r="E1766" s="275"/>
      <c r="F1766" s="275"/>
      <c r="G1766" s="275"/>
      <c r="H1766" s="275"/>
      <c r="I1766" s="275"/>
      <c r="J1766" s="275"/>
      <c r="K1766" s="275"/>
      <c r="L1766" s="275"/>
      <c r="M1766" s="275"/>
      <c r="N1766" s="275"/>
      <c r="O1766" s="276"/>
      <c r="P1766" s="276"/>
      <c r="Q1766" s="247">
        <f t="shared" si="33"/>
        <v>0</v>
      </c>
      <c r="R1766" s="229"/>
      <c r="S1766" s="229"/>
      <c r="T1766" s="229"/>
      <c r="U1766" s="229"/>
      <c r="V1766" s="229"/>
      <c r="W1766" s="229"/>
      <c r="X1766" s="229"/>
    </row>
    <row r="1767" spans="1:24" ht="15.75" hidden="1">
      <c r="A1767" s="343"/>
      <c r="B1767" s="344"/>
      <c r="C1767" s="275"/>
      <c r="D1767" s="275"/>
      <c r="E1767" s="275"/>
      <c r="F1767" s="275"/>
      <c r="G1767" s="275"/>
      <c r="H1767" s="275"/>
      <c r="I1767" s="275"/>
      <c r="J1767" s="275"/>
      <c r="K1767" s="275"/>
      <c r="L1767" s="275"/>
      <c r="M1767" s="275"/>
      <c r="N1767" s="275"/>
      <c r="O1767" s="276"/>
      <c r="P1767" s="276"/>
      <c r="Q1767" s="247">
        <f t="shared" si="33"/>
        <v>0</v>
      </c>
      <c r="R1767" s="229"/>
      <c r="S1767" s="229"/>
      <c r="T1767" s="229"/>
      <c r="U1767" s="229"/>
      <c r="V1767" s="229"/>
      <c r="W1767" s="229"/>
      <c r="X1767" s="229"/>
    </row>
    <row r="1768" spans="1:24" ht="15.75" hidden="1">
      <c r="A1768" s="343"/>
      <c r="B1768" s="344"/>
      <c r="C1768" s="275"/>
      <c r="D1768" s="275"/>
      <c r="E1768" s="275"/>
      <c r="F1768" s="275"/>
      <c r="G1768" s="275"/>
      <c r="H1768" s="275"/>
      <c r="I1768" s="275"/>
      <c r="J1768" s="275"/>
      <c r="K1768" s="275"/>
      <c r="L1768" s="275"/>
      <c r="M1768" s="275"/>
      <c r="N1768" s="275"/>
      <c r="O1768" s="276"/>
      <c r="P1768" s="276"/>
      <c r="Q1768" s="247">
        <f t="shared" si="33"/>
        <v>0</v>
      </c>
      <c r="R1768" s="229"/>
      <c r="S1768" s="229"/>
      <c r="T1768" s="229"/>
      <c r="U1768" s="229"/>
      <c r="V1768" s="229"/>
      <c r="W1768" s="229"/>
      <c r="X1768" s="229"/>
    </row>
    <row r="1769" spans="1:24" ht="15.75" hidden="1">
      <c r="A1769" s="343"/>
      <c r="B1769" s="344"/>
      <c r="C1769" s="275"/>
      <c r="D1769" s="275"/>
      <c r="E1769" s="275"/>
      <c r="F1769" s="275"/>
      <c r="G1769" s="275"/>
      <c r="H1769" s="275"/>
      <c r="I1769" s="275"/>
      <c r="J1769" s="275"/>
      <c r="K1769" s="275"/>
      <c r="L1769" s="275"/>
      <c r="M1769" s="275"/>
      <c r="N1769" s="275"/>
      <c r="O1769" s="276"/>
      <c r="P1769" s="276"/>
      <c r="Q1769" s="247">
        <f t="shared" si="33"/>
        <v>0</v>
      </c>
      <c r="R1769" s="229"/>
      <c r="S1769" s="229"/>
      <c r="T1769" s="229"/>
      <c r="U1769" s="229"/>
      <c r="V1769" s="229"/>
      <c r="W1769" s="229"/>
      <c r="X1769" s="229"/>
    </row>
    <row r="1770" spans="1:24" ht="15.75" hidden="1">
      <c r="A1770" s="343"/>
      <c r="B1770" s="344"/>
      <c r="C1770" s="275"/>
      <c r="D1770" s="275"/>
      <c r="E1770" s="275"/>
      <c r="F1770" s="275"/>
      <c r="G1770" s="275"/>
      <c r="H1770" s="275"/>
      <c r="I1770" s="275"/>
      <c r="J1770" s="275"/>
      <c r="K1770" s="275"/>
      <c r="L1770" s="275"/>
      <c r="M1770" s="275"/>
      <c r="N1770" s="275"/>
      <c r="O1770" s="276"/>
      <c r="P1770" s="276"/>
      <c r="Q1770" s="247">
        <f t="shared" si="33"/>
        <v>0</v>
      </c>
      <c r="R1770" s="229"/>
      <c r="S1770" s="229"/>
      <c r="T1770" s="229"/>
      <c r="U1770" s="229"/>
      <c r="V1770" s="229"/>
      <c r="W1770" s="229"/>
      <c r="X1770" s="229"/>
    </row>
    <row r="1771" spans="1:24" ht="15.75" hidden="1">
      <c r="A1771" s="343"/>
      <c r="B1771" s="344"/>
      <c r="C1771" s="275"/>
      <c r="D1771" s="275"/>
      <c r="E1771" s="275"/>
      <c r="F1771" s="275"/>
      <c r="G1771" s="275"/>
      <c r="H1771" s="275"/>
      <c r="I1771" s="275"/>
      <c r="J1771" s="275"/>
      <c r="K1771" s="275"/>
      <c r="L1771" s="275"/>
      <c r="M1771" s="275"/>
      <c r="N1771" s="275"/>
      <c r="O1771" s="276"/>
      <c r="P1771" s="276"/>
      <c r="Q1771" s="247">
        <f t="shared" si="33"/>
        <v>0</v>
      </c>
      <c r="R1771" s="229"/>
      <c r="S1771" s="229"/>
      <c r="T1771" s="229"/>
      <c r="U1771" s="229"/>
      <c r="V1771" s="229"/>
      <c r="W1771" s="229"/>
      <c r="X1771" s="229"/>
    </row>
    <row r="1772" spans="1:24" ht="15.75" hidden="1">
      <c r="A1772" s="343"/>
      <c r="B1772" s="344"/>
      <c r="C1772" s="275"/>
      <c r="D1772" s="275"/>
      <c r="E1772" s="275"/>
      <c r="F1772" s="275"/>
      <c r="G1772" s="275"/>
      <c r="H1772" s="275"/>
      <c r="I1772" s="275"/>
      <c r="J1772" s="275"/>
      <c r="K1772" s="275"/>
      <c r="L1772" s="275"/>
      <c r="M1772" s="275"/>
      <c r="N1772" s="275"/>
      <c r="O1772" s="276"/>
      <c r="P1772" s="276"/>
      <c r="Q1772" s="247">
        <f t="shared" si="33"/>
        <v>0</v>
      </c>
      <c r="R1772" s="229"/>
      <c r="S1772" s="229"/>
      <c r="T1772" s="229"/>
      <c r="U1772" s="229"/>
      <c r="V1772" s="229"/>
      <c r="W1772" s="229"/>
      <c r="X1772" s="229"/>
    </row>
    <row r="1773" spans="1:24" ht="15.75" hidden="1">
      <c r="A1773" s="343"/>
      <c r="B1773" s="344"/>
      <c r="C1773" s="275"/>
      <c r="D1773" s="275"/>
      <c r="E1773" s="275"/>
      <c r="F1773" s="275"/>
      <c r="G1773" s="275"/>
      <c r="H1773" s="275"/>
      <c r="I1773" s="275"/>
      <c r="J1773" s="275"/>
      <c r="K1773" s="275"/>
      <c r="L1773" s="275"/>
      <c r="M1773" s="275"/>
      <c r="N1773" s="275"/>
      <c r="O1773" s="276"/>
      <c r="P1773" s="276"/>
      <c r="Q1773" s="247">
        <f t="shared" si="33"/>
        <v>0</v>
      </c>
      <c r="R1773" s="229"/>
      <c r="S1773" s="229"/>
      <c r="T1773" s="229"/>
      <c r="U1773" s="229"/>
      <c r="V1773" s="229"/>
      <c r="W1773" s="229"/>
      <c r="X1773" s="229"/>
    </row>
    <row r="1774" spans="1:24" ht="15.75" hidden="1">
      <c r="A1774" s="343"/>
      <c r="B1774" s="344"/>
      <c r="C1774" s="275"/>
      <c r="D1774" s="275"/>
      <c r="E1774" s="275"/>
      <c r="F1774" s="275"/>
      <c r="G1774" s="275"/>
      <c r="H1774" s="275"/>
      <c r="I1774" s="275"/>
      <c r="J1774" s="275"/>
      <c r="K1774" s="275"/>
      <c r="L1774" s="275"/>
      <c r="M1774" s="275"/>
      <c r="N1774" s="275"/>
      <c r="O1774" s="276"/>
      <c r="P1774" s="276"/>
      <c r="Q1774" s="247">
        <f t="shared" si="33"/>
        <v>0</v>
      </c>
      <c r="R1774" s="229"/>
      <c r="S1774" s="229"/>
      <c r="T1774" s="229"/>
      <c r="U1774" s="229"/>
      <c r="V1774" s="229"/>
      <c r="W1774" s="229"/>
      <c r="X1774" s="229"/>
    </row>
    <row r="1775" spans="1:24" ht="15.75" hidden="1">
      <c r="A1775" s="343"/>
      <c r="B1775" s="344"/>
      <c r="C1775" s="275"/>
      <c r="D1775" s="275"/>
      <c r="E1775" s="275"/>
      <c r="F1775" s="275"/>
      <c r="G1775" s="275"/>
      <c r="H1775" s="275"/>
      <c r="I1775" s="275"/>
      <c r="J1775" s="275"/>
      <c r="K1775" s="275"/>
      <c r="L1775" s="275"/>
      <c r="M1775" s="275"/>
      <c r="N1775" s="275"/>
      <c r="O1775" s="276"/>
      <c r="P1775" s="276"/>
      <c r="Q1775" s="247">
        <f t="shared" si="33"/>
        <v>0</v>
      </c>
      <c r="R1775" s="229"/>
      <c r="S1775" s="229"/>
      <c r="T1775" s="229"/>
      <c r="U1775" s="229"/>
      <c r="V1775" s="229"/>
      <c r="W1775" s="229"/>
      <c r="X1775" s="229"/>
    </row>
    <row r="1776" spans="1:24" ht="15.75" hidden="1">
      <c r="A1776" s="343"/>
      <c r="B1776" s="344"/>
      <c r="C1776" s="275"/>
      <c r="D1776" s="275"/>
      <c r="E1776" s="275"/>
      <c r="F1776" s="275"/>
      <c r="G1776" s="275"/>
      <c r="H1776" s="275"/>
      <c r="I1776" s="275"/>
      <c r="J1776" s="275"/>
      <c r="K1776" s="275"/>
      <c r="L1776" s="275"/>
      <c r="M1776" s="275"/>
      <c r="N1776" s="275"/>
      <c r="O1776" s="276"/>
      <c r="P1776" s="276"/>
      <c r="Q1776" s="247">
        <f t="shared" si="33"/>
        <v>0</v>
      </c>
      <c r="R1776" s="229"/>
      <c r="S1776" s="229"/>
      <c r="T1776" s="229"/>
      <c r="U1776" s="229"/>
      <c r="V1776" s="229"/>
      <c r="W1776" s="229"/>
      <c r="X1776" s="229"/>
    </row>
    <row r="1777" spans="1:24" ht="15.75" hidden="1">
      <c r="A1777" s="343"/>
      <c r="B1777" s="344"/>
      <c r="C1777" s="275"/>
      <c r="D1777" s="275"/>
      <c r="E1777" s="275"/>
      <c r="F1777" s="275"/>
      <c r="G1777" s="275"/>
      <c r="H1777" s="275"/>
      <c r="I1777" s="275"/>
      <c r="J1777" s="275"/>
      <c r="K1777" s="275"/>
      <c r="L1777" s="275"/>
      <c r="M1777" s="275"/>
      <c r="N1777" s="275"/>
      <c r="O1777" s="276"/>
      <c r="P1777" s="276"/>
      <c r="Q1777" s="247">
        <f t="shared" si="33"/>
        <v>0</v>
      </c>
      <c r="R1777" s="229"/>
      <c r="S1777" s="229"/>
      <c r="T1777" s="229"/>
      <c r="U1777" s="229"/>
      <c r="V1777" s="229"/>
      <c r="W1777" s="229"/>
      <c r="X1777" s="229"/>
    </row>
    <row r="1778" spans="1:24" ht="15.75" hidden="1">
      <c r="A1778" s="343"/>
      <c r="B1778" s="344"/>
      <c r="C1778" s="275"/>
      <c r="D1778" s="275"/>
      <c r="E1778" s="275"/>
      <c r="F1778" s="275"/>
      <c r="G1778" s="275"/>
      <c r="H1778" s="275"/>
      <c r="I1778" s="275"/>
      <c r="J1778" s="275"/>
      <c r="K1778" s="275"/>
      <c r="L1778" s="275"/>
      <c r="M1778" s="275"/>
      <c r="N1778" s="275"/>
      <c r="O1778" s="276"/>
      <c r="P1778" s="276"/>
      <c r="Q1778" s="247">
        <f t="shared" si="33"/>
        <v>0</v>
      </c>
      <c r="R1778" s="229"/>
      <c r="S1778" s="229"/>
      <c r="T1778" s="229"/>
      <c r="U1778" s="229"/>
      <c r="V1778" s="229"/>
      <c r="W1778" s="229"/>
      <c r="X1778" s="229"/>
    </row>
    <row r="1779" spans="1:24" ht="15.75" hidden="1">
      <c r="A1779" s="343"/>
      <c r="B1779" s="344"/>
      <c r="C1779" s="275"/>
      <c r="D1779" s="275"/>
      <c r="E1779" s="275"/>
      <c r="F1779" s="275"/>
      <c r="G1779" s="275"/>
      <c r="H1779" s="275"/>
      <c r="I1779" s="275"/>
      <c r="J1779" s="275"/>
      <c r="K1779" s="275"/>
      <c r="L1779" s="275"/>
      <c r="M1779" s="275"/>
      <c r="N1779" s="275"/>
      <c r="O1779" s="276"/>
      <c r="P1779" s="276"/>
      <c r="Q1779" s="247">
        <f t="shared" si="33"/>
        <v>0</v>
      </c>
      <c r="R1779" s="229"/>
      <c r="S1779" s="229"/>
      <c r="T1779" s="229"/>
      <c r="U1779" s="229"/>
      <c r="V1779" s="229"/>
      <c r="W1779" s="229"/>
      <c r="X1779" s="229"/>
    </row>
    <row r="1780" spans="1:24" ht="15.75" hidden="1">
      <c r="A1780" s="343"/>
      <c r="B1780" s="344"/>
      <c r="C1780" s="275"/>
      <c r="D1780" s="275"/>
      <c r="E1780" s="275"/>
      <c r="F1780" s="275"/>
      <c r="G1780" s="275"/>
      <c r="H1780" s="275"/>
      <c r="I1780" s="275"/>
      <c r="J1780" s="275"/>
      <c r="K1780" s="275"/>
      <c r="L1780" s="275"/>
      <c r="M1780" s="275"/>
      <c r="N1780" s="275"/>
      <c r="O1780" s="276"/>
      <c r="P1780" s="276"/>
      <c r="Q1780" s="247">
        <f t="shared" si="33"/>
        <v>0</v>
      </c>
      <c r="R1780" s="229"/>
      <c r="S1780" s="229"/>
      <c r="T1780" s="229"/>
      <c r="U1780" s="229"/>
      <c r="V1780" s="229"/>
      <c r="W1780" s="229"/>
      <c r="X1780" s="229"/>
    </row>
    <row r="1781" spans="1:24" ht="15.75" hidden="1">
      <c r="A1781" s="343"/>
      <c r="B1781" s="344"/>
      <c r="C1781" s="275"/>
      <c r="D1781" s="275"/>
      <c r="E1781" s="275"/>
      <c r="F1781" s="275"/>
      <c r="G1781" s="275"/>
      <c r="H1781" s="275"/>
      <c r="I1781" s="275"/>
      <c r="J1781" s="275"/>
      <c r="K1781" s="275"/>
      <c r="L1781" s="275"/>
      <c r="M1781" s="275"/>
      <c r="N1781" s="275"/>
      <c r="O1781" s="276"/>
      <c r="P1781" s="276"/>
      <c r="Q1781" s="247">
        <f t="shared" si="33"/>
        <v>0</v>
      </c>
      <c r="R1781" s="229"/>
      <c r="S1781" s="229"/>
      <c r="T1781" s="229"/>
      <c r="U1781" s="229"/>
      <c r="V1781" s="229"/>
      <c r="W1781" s="229"/>
      <c r="X1781" s="229"/>
    </row>
    <row r="1782" spans="1:24" ht="15.75" hidden="1">
      <c r="A1782" s="343"/>
      <c r="B1782" s="344"/>
      <c r="C1782" s="275"/>
      <c r="D1782" s="275"/>
      <c r="E1782" s="275"/>
      <c r="F1782" s="275"/>
      <c r="G1782" s="275"/>
      <c r="H1782" s="275"/>
      <c r="I1782" s="275"/>
      <c r="J1782" s="275"/>
      <c r="K1782" s="275"/>
      <c r="L1782" s="275"/>
      <c r="M1782" s="275"/>
      <c r="N1782" s="275"/>
      <c r="O1782" s="276"/>
      <c r="P1782" s="276"/>
      <c r="Q1782" s="247">
        <f t="shared" si="33"/>
        <v>0</v>
      </c>
      <c r="R1782" s="229"/>
      <c r="S1782" s="229"/>
      <c r="T1782" s="229"/>
      <c r="U1782" s="229"/>
      <c r="V1782" s="229"/>
      <c r="W1782" s="229"/>
      <c r="X1782" s="229"/>
    </row>
    <row r="1783" spans="1:24" ht="15.75" hidden="1">
      <c r="A1783" s="343"/>
      <c r="B1783" s="344"/>
      <c r="C1783" s="275"/>
      <c r="D1783" s="275"/>
      <c r="E1783" s="275"/>
      <c r="F1783" s="275"/>
      <c r="G1783" s="275"/>
      <c r="H1783" s="275"/>
      <c r="I1783" s="275"/>
      <c r="J1783" s="275"/>
      <c r="K1783" s="275"/>
      <c r="L1783" s="275"/>
      <c r="M1783" s="275"/>
      <c r="N1783" s="275"/>
      <c r="O1783" s="276"/>
      <c r="P1783" s="276"/>
      <c r="Q1783" s="247">
        <f t="shared" si="33"/>
        <v>0</v>
      </c>
      <c r="R1783" s="229"/>
      <c r="S1783" s="229"/>
      <c r="T1783" s="229"/>
      <c r="U1783" s="229"/>
      <c r="V1783" s="229"/>
      <c r="W1783" s="229"/>
      <c r="X1783" s="229"/>
    </row>
    <row r="1784" spans="1:24" ht="15.75" hidden="1">
      <c r="A1784" s="343"/>
      <c r="B1784" s="344"/>
      <c r="C1784" s="275"/>
      <c r="D1784" s="275"/>
      <c r="E1784" s="275"/>
      <c r="F1784" s="275"/>
      <c r="G1784" s="275"/>
      <c r="H1784" s="275"/>
      <c r="I1784" s="275"/>
      <c r="J1784" s="275"/>
      <c r="K1784" s="275"/>
      <c r="L1784" s="275"/>
      <c r="M1784" s="275"/>
      <c r="N1784" s="275"/>
      <c r="O1784" s="276"/>
      <c r="P1784" s="276"/>
      <c r="Q1784" s="247">
        <f t="shared" si="33"/>
        <v>0</v>
      </c>
      <c r="R1784" s="229"/>
      <c r="S1784" s="229"/>
      <c r="T1784" s="229"/>
      <c r="U1784" s="229"/>
      <c r="V1784" s="229"/>
      <c r="W1784" s="229"/>
      <c r="X1784" s="229"/>
    </row>
    <row r="1785" spans="1:24" ht="15.75" hidden="1">
      <c r="A1785" s="343"/>
      <c r="B1785" s="344"/>
      <c r="C1785" s="275"/>
      <c r="D1785" s="275"/>
      <c r="E1785" s="275"/>
      <c r="F1785" s="275"/>
      <c r="G1785" s="275"/>
      <c r="H1785" s="275"/>
      <c r="I1785" s="275"/>
      <c r="J1785" s="275"/>
      <c r="K1785" s="275"/>
      <c r="L1785" s="275"/>
      <c r="M1785" s="275"/>
      <c r="N1785" s="275"/>
      <c r="O1785" s="276"/>
      <c r="P1785" s="276"/>
      <c r="Q1785" s="247">
        <f t="shared" si="33"/>
        <v>0</v>
      </c>
      <c r="R1785" s="229"/>
      <c r="S1785" s="229"/>
      <c r="T1785" s="229"/>
      <c r="U1785" s="229"/>
      <c r="V1785" s="229"/>
      <c r="W1785" s="229"/>
      <c r="X1785" s="229"/>
    </row>
    <row r="1786" spans="1:24" ht="15.75" hidden="1">
      <c r="A1786" s="343"/>
      <c r="B1786" s="344"/>
      <c r="C1786" s="275"/>
      <c r="D1786" s="275"/>
      <c r="E1786" s="275"/>
      <c r="F1786" s="275"/>
      <c r="G1786" s="275"/>
      <c r="H1786" s="275"/>
      <c r="I1786" s="275"/>
      <c r="J1786" s="275"/>
      <c r="K1786" s="275"/>
      <c r="L1786" s="275"/>
      <c r="M1786" s="275"/>
      <c r="N1786" s="275"/>
      <c r="O1786" s="276"/>
      <c r="P1786" s="276"/>
      <c r="Q1786" s="247">
        <f t="shared" si="33"/>
        <v>0</v>
      </c>
      <c r="R1786" s="229"/>
      <c r="S1786" s="229"/>
      <c r="T1786" s="229"/>
      <c r="U1786" s="229"/>
      <c r="V1786" s="229"/>
      <c r="W1786" s="229"/>
      <c r="X1786" s="229"/>
    </row>
    <row r="1787" spans="1:24" ht="15.75" hidden="1">
      <c r="A1787" s="343"/>
      <c r="B1787" s="344"/>
      <c r="C1787" s="275"/>
      <c r="D1787" s="275"/>
      <c r="E1787" s="275"/>
      <c r="F1787" s="275"/>
      <c r="G1787" s="275"/>
      <c r="H1787" s="275"/>
      <c r="I1787" s="275"/>
      <c r="J1787" s="275"/>
      <c r="K1787" s="275"/>
      <c r="L1787" s="275"/>
      <c r="M1787" s="275"/>
      <c r="N1787" s="275"/>
      <c r="O1787" s="276"/>
      <c r="P1787" s="276"/>
      <c r="Q1787" s="247">
        <f t="shared" si="33"/>
        <v>0</v>
      </c>
      <c r="R1787" s="229"/>
      <c r="S1787" s="229"/>
      <c r="T1787" s="229"/>
      <c r="U1787" s="229"/>
      <c r="V1787" s="229"/>
      <c r="W1787" s="229"/>
      <c r="X1787" s="229"/>
    </row>
    <row r="1788" spans="1:24" ht="15.75" hidden="1">
      <c r="A1788" s="343"/>
      <c r="B1788" s="344"/>
      <c r="C1788" s="275"/>
      <c r="D1788" s="275"/>
      <c r="E1788" s="275"/>
      <c r="F1788" s="275"/>
      <c r="G1788" s="275"/>
      <c r="H1788" s="275"/>
      <c r="I1788" s="275"/>
      <c r="J1788" s="275"/>
      <c r="K1788" s="275"/>
      <c r="L1788" s="275"/>
      <c r="M1788" s="275"/>
      <c r="N1788" s="275"/>
      <c r="O1788" s="276"/>
      <c r="P1788" s="276"/>
      <c r="Q1788" s="247">
        <f t="shared" si="33"/>
        <v>0</v>
      </c>
      <c r="R1788" s="229"/>
      <c r="S1788" s="229"/>
      <c r="T1788" s="229"/>
      <c r="U1788" s="229"/>
      <c r="V1788" s="229"/>
      <c r="W1788" s="229"/>
      <c r="X1788" s="229"/>
    </row>
    <row r="1789" spans="1:24" ht="15.75" hidden="1">
      <c r="A1789" s="343"/>
      <c r="B1789" s="344"/>
      <c r="C1789" s="275"/>
      <c r="D1789" s="275"/>
      <c r="E1789" s="275"/>
      <c r="F1789" s="275"/>
      <c r="G1789" s="275"/>
      <c r="H1789" s="275"/>
      <c r="I1789" s="275"/>
      <c r="J1789" s="275"/>
      <c r="K1789" s="275"/>
      <c r="L1789" s="275"/>
      <c r="M1789" s="275"/>
      <c r="N1789" s="275"/>
      <c r="O1789" s="276"/>
      <c r="P1789" s="276"/>
      <c r="Q1789" s="247">
        <f t="shared" si="33"/>
        <v>0</v>
      </c>
      <c r="R1789" s="229"/>
      <c r="S1789" s="229"/>
      <c r="T1789" s="229"/>
      <c r="U1789" s="229"/>
      <c r="V1789" s="229"/>
      <c r="W1789" s="229"/>
      <c r="X1789" s="229"/>
    </row>
    <row r="1790" spans="1:24" ht="15.75" hidden="1">
      <c r="A1790" s="343"/>
      <c r="B1790" s="344"/>
      <c r="C1790" s="275"/>
      <c r="D1790" s="275"/>
      <c r="E1790" s="275"/>
      <c r="F1790" s="275"/>
      <c r="G1790" s="275"/>
      <c r="H1790" s="275"/>
      <c r="I1790" s="275"/>
      <c r="J1790" s="275"/>
      <c r="K1790" s="275"/>
      <c r="L1790" s="275"/>
      <c r="M1790" s="275"/>
      <c r="N1790" s="275"/>
      <c r="O1790" s="276"/>
      <c r="P1790" s="276"/>
      <c r="Q1790" s="247">
        <f t="shared" si="33"/>
        <v>0</v>
      </c>
      <c r="R1790" s="229"/>
      <c r="S1790" s="229"/>
      <c r="T1790" s="229"/>
      <c r="U1790" s="229"/>
      <c r="V1790" s="229"/>
      <c r="W1790" s="229"/>
      <c r="X1790" s="229"/>
    </row>
    <row r="1791" spans="1:24" ht="15.75" hidden="1">
      <c r="A1791" s="343"/>
      <c r="B1791" s="344"/>
      <c r="C1791" s="275"/>
      <c r="D1791" s="275"/>
      <c r="E1791" s="275"/>
      <c r="F1791" s="275"/>
      <c r="G1791" s="275"/>
      <c r="H1791" s="275"/>
      <c r="I1791" s="275"/>
      <c r="J1791" s="275"/>
      <c r="K1791" s="275"/>
      <c r="L1791" s="275"/>
      <c r="M1791" s="275"/>
      <c r="N1791" s="275"/>
      <c r="O1791" s="276"/>
      <c r="P1791" s="276"/>
      <c r="Q1791" s="247">
        <f t="shared" si="33"/>
        <v>0</v>
      </c>
      <c r="R1791" s="229"/>
      <c r="S1791" s="229"/>
      <c r="T1791" s="229"/>
      <c r="U1791" s="229"/>
      <c r="V1791" s="229"/>
      <c r="W1791" s="229"/>
      <c r="X1791" s="229"/>
    </row>
    <row r="1792" spans="1:24" ht="15.75" hidden="1">
      <c r="A1792" s="343"/>
      <c r="B1792" s="344"/>
      <c r="C1792" s="275"/>
      <c r="D1792" s="275"/>
      <c r="E1792" s="275"/>
      <c r="F1792" s="275"/>
      <c r="G1792" s="275"/>
      <c r="H1792" s="275"/>
      <c r="I1792" s="275"/>
      <c r="J1792" s="275"/>
      <c r="K1792" s="275"/>
      <c r="L1792" s="275"/>
      <c r="M1792" s="275"/>
      <c r="N1792" s="275"/>
      <c r="O1792" s="276"/>
      <c r="P1792" s="276"/>
      <c r="Q1792" s="247">
        <f t="shared" si="33"/>
        <v>0</v>
      </c>
      <c r="R1792" s="229"/>
      <c r="S1792" s="229"/>
      <c r="T1792" s="229"/>
      <c r="U1792" s="229"/>
      <c r="V1792" s="229"/>
      <c r="W1792" s="229"/>
      <c r="X1792" s="229"/>
    </row>
    <row r="1793" spans="1:24" ht="15.75" hidden="1">
      <c r="A1793" s="343"/>
      <c r="B1793" s="344"/>
      <c r="C1793" s="275"/>
      <c r="D1793" s="275"/>
      <c r="E1793" s="275"/>
      <c r="F1793" s="275"/>
      <c r="G1793" s="275"/>
      <c r="H1793" s="275"/>
      <c r="I1793" s="275"/>
      <c r="J1793" s="275"/>
      <c r="K1793" s="275"/>
      <c r="L1793" s="275"/>
      <c r="M1793" s="275"/>
      <c r="N1793" s="275"/>
      <c r="O1793" s="276"/>
      <c r="P1793" s="276"/>
      <c r="Q1793" s="247">
        <f t="shared" si="33"/>
        <v>0</v>
      </c>
      <c r="R1793" s="229"/>
      <c r="S1793" s="229"/>
      <c r="T1793" s="229"/>
      <c r="U1793" s="229"/>
      <c r="V1793" s="229"/>
      <c r="W1793" s="229"/>
      <c r="X1793" s="229"/>
    </row>
    <row r="1794" spans="1:24" ht="15.75" hidden="1">
      <c r="A1794" s="343"/>
      <c r="B1794" s="344"/>
      <c r="C1794" s="275"/>
      <c r="D1794" s="275"/>
      <c r="E1794" s="275"/>
      <c r="F1794" s="275"/>
      <c r="G1794" s="275"/>
      <c r="H1794" s="275"/>
      <c r="I1794" s="275"/>
      <c r="J1794" s="275"/>
      <c r="K1794" s="275"/>
      <c r="L1794" s="275"/>
      <c r="M1794" s="275"/>
      <c r="N1794" s="275"/>
      <c r="O1794" s="276"/>
      <c r="P1794" s="276"/>
      <c r="Q1794" s="247">
        <f t="shared" si="33"/>
        <v>0</v>
      </c>
      <c r="R1794" s="229"/>
      <c r="S1794" s="229"/>
      <c r="T1794" s="229"/>
      <c r="U1794" s="229"/>
      <c r="V1794" s="229"/>
      <c r="W1794" s="229"/>
      <c r="X1794" s="229"/>
    </row>
    <row r="1795" spans="1:24" ht="15.75" hidden="1">
      <c r="A1795" s="343"/>
      <c r="B1795" s="344"/>
      <c r="C1795" s="275"/>
      <c r="D1795" s="275"/>
      <c r="E1795" s="275"/>
      <c r="F1795" s="275"/>
      <c r="G1795" s="275"/>
      <c r="H1795" s="275"/>
      <c r="I1795" s="275"/>
      <c r="J1795" s="275"/>
      <c r="K1795" s="275"/>
      <c r="L1795" s="275"/>
      <c r="M1795" s="275"/>
      <c r="N1795" s="275"/>
      <c r="O1795" s="276"/>
      <c r="P1795" s="276"/>
      <c r="Q1795" s="247">
        <f t="shared" si="33"/>
        <v>0</v>
      </c>
      <c r="R1795" s="229"/>
      <c r="S1795" s="229"/>
      <c r="T1795" s="229"/>
      <c r="U1795" s="229"/>
      <c r="V1795" s="229"/>
      <c r="W1795" s="229"/>
      <c r="X1795" s="229"/>
    </row>
    <row r="1796" spans="1:24" ht="15.75" hidden="1">
      <c r="A1796" s="343"/>
      <c r="B1796" s="344"/>
      <c r="C1796" s="275"/>
      <c r="D1796" s="275"/>
      <c r="E1796" s="275"/>
      <c r="F1796" s="275"/>
      <c r="G1796" s="275"/>
      <c r="H1796" s="275"/>
      <c r="I1796" s="275"/>
      <c r="J1796" s="275"/>
      <c r="K1796" s="275"/>
      <c r="L1796" s="275"/>
      <c r="M1796" s="275"/>
      <c r="N1796" s="275"/>
      <c r="O1796" s="276"/>
      <c r="P1796" s="276"/>
      <c r="Q1796" s="247">
        <f t="shared" si="33"/>
        <v>0</v>
      </c>
      <c r="R1796" s="229"/>
      <c r="S1796" s="229"/>
      <c r="T1796" s="229"/>
      <c r="U1796" s="229"/>
      <c r="V1796" s="229"/>
      <c r="W1796" s="229"/>
      <c r="X1796" s="229"/>
    </row>
    <row r="1797" spans="1:24" ht="15.75" hidden="1">
      <c r="A1797" s="343"/>
      <c r="B1797" s="344"/>
      <c r="C1797" s="275"/>
      <c r="D1797" s="275"/>
      <c r="E1797" s="275"/>
      <c r="F1797" s="275"/>
      <c r="G1797" s="275"/>
      <c r="H1797" s="275"/>
      <c r="I1797" s="275"/>
      <c r="J1797" s="275"/>
      <c r="K1797" s="275"/>
      <c r="L1797" s="275"/>
      <c r="M1797" s="275"/>
      <c r="N1797" s="275"/>
      <c r="O1797" s="276"/>
      <c r="P1797" s="276"/>
      <c r="Q1797" s="247">
        <f t="shared" si="33"/>
        <v>0</v>
      </c>
      <c r="R1797" s="229"/>
      <c r="S1797" s="229"/>
      <c r="T1797" s="229"/>
      <c r="U1797" s="229"/>
      <c r="V1797" s="229"/>
      <c r="W1797" s="229"/>
      <c r="X1797" s="229"/>
    </row>
    <row r="1798" spans="1:24" ht="15.75" hidden="1">
      <c r="A1798" s="343"/>
      <c r="B1798" s="344"/>
      <c r="C1798" s="275"/>
      <c r="D1798" s="275"/>
      <c r="E1798" s="275"/>
      <c r="F1798" s="275"/>
      <c r="G1798" s="275"/>
      <c r="H1798" s="275"/>
      <c r="I1798" s="275"/>
      <c r="J1798" s="275"/>
      <c r="K1798" s="275"/>
      <c r="L1798" s="275"/>
      <c r="M1798" s="275"/>
      <c r="N1798" s="275"/>
      <c r="O1798" s="276"/>
      <c r="P1798" s="276"/>
      <c r="Q1798" s="247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9"/>
      <c r="S1798" s="229"/>
      <c r="T1798" s="229"/>
      <c r="U1798" s="229"/>
      <c r="V1798" s="229"/>
      <c r="W1798" s="229"/>
      <c r="X1798" s="229"/>
    </row>
    <row r="1799" spans="1:24" ht="15.75" hidden="1">
      <c r="A1799" s="343"/>
      <c r="B1799" s="344"/>
      <c r="C1799" s="275"/>
      <c r="D1799" s="275"/>
      <c r="E1799" s="275"/>
      <c r="F1799" s="275"/>
      <c r="G1799" s="275"/>
      <c r="H1799" s="275"/>
      <c r="I1799" s="275"/>
      <c r="J1799" s="275"/>
      <c r="K1799" s="275"/>
      <c r="L1799" s="275"/>
      <c r="M1799" s="275"/>
      <c r="N1799" s="275"/>
      <c r="O1799" s="276"/>
      <c r="P1799" s="276"/>
      <c r="Q1799" s="247">
        <f t="shared" si="34"/>
        <v>0</v>
      </c>
      <c r="R1799" s="229"/>
      <c r="S1799" s="229"/>
      <c r="T1799" s="229"/>
      <c r="U1799" s="229"/>
      <c r="V1799" s="229"/>
      <c r="W1799" s="229"/>
      <c r="X1799" s="229"/>
    </row>
    <row r="1800" spans="1:24" ht="15.75" hidden="1">
      <c r="A1800" s="343"/>
      <c r="B1800" s="344"/>
      <c r="C1800" s="275"/>
      <c r="D1800" s="275"/>
      <c r="E1800" s="275"/>
      <c r="F1800" s="275"/>
      <c r="G1800" s="275"/>
      <c r="H1800" s="275"/>
      <c r="I1800" s="275"/>
      <c r="J1800" s="275"/>
      <c r="K1800" s="275"/>
      <c r="L1800" s="275"/>
      <c r="M1800" s="275"/>
      <c r="N1800" s="275"/>
      <c r="O1800" s="276"/>
      <c r="P1800" s="276"/>
      <c r="Q1800" s="247">
        <f t="shared" si="34"/>
        <v>0</v>
      </c>
      <c r="R1800" s="229"/>
      <c r="S1800" s="229"/>
      <c r="T1800" s="229"/>
      <c r="U1800" s="229"/>
      <c r="V1800" s="229"/>
      <c r="W1800" s="229"/>
      <c r="X1800" s="229"/>
    </row>
    <row r="1801" spans="1:24" ht="15.75" hidden="1">
      <c r="A1801" s="343"/>
      <c r="B1801" s="344"/>
      <c r="C1801" s="275"/>
      <c r="D1801" s="275"/>
      <c r="E1801" s="275"/>
      <c r="F1801" s="275"/>
      <c r="G1801" s="275"/>
      <c r="H1801" s="275"/>
      <c r="I1801" s="275"/>
      <c r="J1801" s="275"/>
      <c r="K1801" s="275"/>
      <c r="L1801" s="275"/>
      <c r="M1801" s="275"/>
      <c r="N1801" s="275"/>
      <c r="O1801" s="276"/>
      <c r="P1801" s="276"/>
      <c r="Q1801" s="247">
        <f t="shared" si="34"/>
        <v>0</v>
      </c>
      <c r="R1801" s="229"/>
      <c r="S1801" s="229"/>
      <c r="T1801" s="229"/>
      <c r="U1801" s="229"/>
      <c r="V1801" s="229"/>
      <c r="W1801" s="229"/>
      <c r="X1801" s="229"/>
    </row>
    <row r="1802" spans="1:24" ht="15.75" hidden="1">
      <c r="A1802" s="343"/>
      <c r="B1802" s="344"/>
      <c r="C1802" s="275"/>
      <c r="D1802" s="275"/>
      <c r="E1802" s="275"/>
      <c r="F1802" s="275"/>
      <c r="G1802" s="275"/>
      <c r="H1802" s="275"/>
      <c r="I1802" s="275"/>
      <c r="J1802" s="275"/>
      <c r="K1802" s="275"/>
      <c r="L1802" s="275"/>
      <c r="M1802" s="275"/>
      <c r="N1802" s="275"/>
      <c r="O1802" s="276"/>
      <c r="P1802" s="276"/>
      <c r="Q1802" s="247">
        <f t="shared" si="34"/>
        <v>0</v>
      </c>
      <c r="R1802" s="229"/>
      <c r="S1802" s="229"/>
      <c r="T1802" s="229"/>
      <c r="U1802" s="229"/>
      <c r="V1802" s="229"/>
      <c r="W1802" s="229"/>
      <c r="X1802" s="229"/>
    </row>
    <row r="1803" spans="1:24" ht="15.75" hidden="1">
      <c r="A1803" s="343"/>
      <c r="B1803" s="344"/>
      <c r="C1803" s="275"/>
      <c r="D1803" s="275"/>
      <c r="E1803" s="275"/>
      <c r="F1803" s="275"/>
      <c r="G1803" s="275"/>
      <c r="H1803" s="275"/>
      <c r="I1803" s="275"/>
      <c r="J1803" s="275"/>
      <c r="K1803" s="275"/>
      <c r="L1803" s="275"/>
      <c r="M1803" s="275"/>
      <c r="N1803" s="275"/>
      <c r="O1803" s="276"/>
      <c r="P1803" s="276"/>
      <c r="Q1803" s="247">
        <f t="shared" si="34"/>
        <v>0</v>
      </c>
      <c r="R1803" s="229"/>
      <c r="S1803" s="229"/>
      <c r="T1803" s="229"/>
      <c r="U1803" s="229"/>
      <c r="V1803" s="229"/>
      <c r="W1803" s="229"/>
      <c r="X1803" s="229"/>
    </row>
    <row r="1804" spans="1:24" ht="15.75" hidden="1">
      <c r="A1804" s="343"/>
      <c r="B1804" s="344"/>
      <c r="C1804" s="275"/>
      <c r="D1804" s="275"/>
      <c r="E1804" s="275"/>
      <c r="F1804" s="275"/>
      <c r="G1804" s="275"/>
      <c r="H1804" s="275"/>
      <c r="I1804" s="275"/>
      <c r="J1804" s="275"/>
      <c r="K1804" s="275"/>
      <c r="L1804" s="275"/>
      <c r="M1804" s="275"/>
      <c r="N1804" s="275"/>
      <c r="O1804" s="276"/>
      <c r="P1804" s="276"/>
      <c r="Q1804" s="247">
        <f t="shared" si="34"/>
        <v>0</v>
      </c>
      <c r="R1804" s="229"/>
      <c r="S1804" s="229"/>
      <c r="T1804" s="229"/>
      <c r="U1804" s="229"/>
      <c r="V1804" s="229"/>
      <c r="W1804" s="229"/>
      <c r="X1804" s="229"/>
    </row>
    <row r="1805" spans="1:24" ht="15.75" hidden="1">
      <c r="A1805" s="343"/>
      <c r="B1805" s="344"/>
      <c r="C1805" s="275"/>
      <c r="D1805" s="275"/>
      <c r="E1805" s="275"/>
      <c r="F1805" s="275"/>
      <c r="G1805" s="275"/>
      <c r="H1805" s="275"/>
      <c r="I1805" s="275"/>
      <c r="J1805" s="275"/>
      <c r="K1805" s="275"/>
      <c r="L1805" s="275"/>
      <c r="M1805" s="275"/>
      <c r="N1805" s="275"/>
      <c r="O1805" s="276"/>
      <c r="P1805" s="276"/>
      <c r="Q1805" s="247">
        <f t="shared" si="34"/>
        <v>0</v>
      </c>
      <c r="R1805" s="229"/>
      <c r="S1805" s="229"/>
      <c r="T1805" s="229"/>
      <c r="U1805" s="229"/>
      <c r="V1805" s="229"/>
      <c r="W1805" s="229"/>
      <c r="X1805" s="229"/>
    </row>
    <row r="1806" spans="1:24" ht="15.75" hidden="1">
      <c r="A1806" s="343"/>
      <c r="B1806" s="344"/>
      <c r="C1806" s="275"/>
      <c r="D1806" s="275"/>
      <c r="E1806" s="275"/>
      <c r="F1806" s="275"/>
      <c r="G1806" s="275"/>
      <c r="H1806" s="275"/>
      <c r="I1806" s="275"/>
      <c r="J1806" s="275"/>
      <c r="K1806" s="275"/>
      <c r="L1806" s="275"/>
      <c r="M1806" s="275"/>
      <c r="N1806" s="275"/>
      <c r="O1806" s="276"/>
      <c r="P1806" s="276"/>
      <c r="Q1806" s="247">
        <f t="shared" si="34"/>
        <v>0</v>
      </c>
      <c r="R1806" s="229"/>
      <c r="S1806" s="229"/>
      <c r="T1806" s="229"/>
      <c r="U1806" s="229"/>
      <c r="V1806" s="229"/>
      <c r="W1806" s="229"/>
      <c r="X1806" s="229"/>
    </row>
    <row r="1807" spans="1:24" ht="15.75" hidden="1">
      <c r="A1807" s="343"/>
      <c r="B1807" s="344"/>
      <c r="C1807" s="275"/>
      <c r="D1807" s="275"/>
      <c r="E1807" s="275"/>
      <c r="F1807" s="275"/>
      <c r="G1807" s="275"/>
      <c r="H1807" s="275"/>
      <c r="I1807" s="275"/>
      <c r="J1807" s="275"/>
      <c r="K1807" s="275"/>
      <c r="L1807" s="275"/>
      <c r="M1807" s="275"/>
      <c r="N1807" s="275"/>
      <c r="O1807" s="276"/>
      <c r="P1807" s="276"/>
      <c r="Q1807" s="247">
        <f t="shared" si="34"/>
        <v>0</v>
      </c>
      <c r="R1807" s="229"/>
      <c r="S1807" s="229"/>
      <c r="T1807" s="229"/>
      <c r="U1807" s="229"/>
      <c r="V1807" s="229"/>
      <c r="W1807" s="229"/>
      <c r="X1807" s="229"/>
    </row>
    <row r="1808" spans="1:24" ht="15.75" hidden="1">
      <c r="A1808" s="343"/>
      <c r="B1808" s="344"/>
      <c r="C1808" s="275"/>
      <c r="D1808" s="275"/>
      <c r="E1808" s="275"/>
      <c r="F1808" s="275"/>
      <c r="G1808" s="275"/>
      <c r="H1808" s="275"/>
      <c r="I1808" s="275"/>
      <c r="J1808" s="275"/>
      <c r="K1808" s="275"/>
      <c r="L1808" s="275"/>
      <c r="M1808" s="275"/>
      <c r="N1808" s="275"/>
      <c r="O1808" s="276"/>
      <c r="P1808" s="276"/>
      <c r="Q1808" s="247">
        <f t="shared" si="34"/>
        <v>0</v>
      </c>
      <c r="R1808" s="229"/>
      <c r="S1808" s="229"/>
      <c r="T1808" s="229"/>
      <c r="U1808" s="229"/>
      <c r="V1808" s="229"/>
      <c r="W1808" s="229"/>
      <c r="X1808" s="229"/>
    </row>
    <row r="1809" spans="1:24" ht="15.75" hidden="1">
      <c r="A1809" s="343"/>
      <c r="B1809" s="344"/>
      <c r="C1809" s="275"/>
      <c r="D1809" s="275"/>
      <c r="E1809" s="275"/>
      <c r="F1809" s="275"/>
      <c r="G1809" s="275"/>
      <c r="H1809" s="275"/>
      <c r="I1809" s="275"/>
      <c r="J1809" s="275"/>
      <c r="K1809" s="275"/>
      <c r="L1809" s="275"/>
      <c r="M1809" s="275"/>
      <c r="N1809" s="275"/>
      <c r="O1809" s="276"/>
      <c r="P1809" s="276"/>
      <c r="Q1809" s="247">
        <f t="shared" si="34"/>
        <v>0</v>
      </c>
      <c r="R1809" s="229"/>
      <c r="S1809" s="229"/>
      <c r="T1809" s="229"/>
      <c r="U1809" s="229"/>
      <c r="V1809" s="229"/>
      <c r="W1809" s="229"/>
      <c r="X1809" s="229"/>
    </row>
    <row r="1810" spans="1:24" ht="15.75" hidden="1">
      <c r="A1810" s="343"/>
      <c r="B1810" s="344"/>
      <c r="C1810" s="275"/>
      <c r="D1810" s="275"/>
      <c r="E1810" s="275"/>
      <c r="F1810" s="275"/>
      <c r="G1810" s="275"/>
      <c r="H1810" s="275"/>
      <c r="I1810" s="275"/>
      <c r="J1810" s="275"/>
      <c r="K1810" s="275"/>
      <c r="L1810" s="275"/>
      <c r="M1810" s="275"/>
      <c r="N1810" s="275"/>
      <c r="O1810" s="276"/>
      <c r="P1810" s="276"/>
      <c r="Q1810" s="247">
        <f t="shared" si="34"/>
        <v>0</v>
      </c>
      <c r="R1810" s="229"/>
      <c r="S1810" s="229"/>
      <c r="T1810" s="229"/>
      <c r="U1810" s="229"/>
      <c r="V1810" s="229"/>
      <c r="W1810" s="229"/>
      <c r="X1810" s="229"/>
    </row>
    <row r="1811" spans="1:24" ht="15.75" hidden="1">
      <c r="A1811" s="343"/>
      <c r="B1811" s="344"/>
      <c r="C1811" s="275"/>
      <c r="D1811" s="275"/>
      <c r="E1811" s="275"/>
      <c r="F1811" s="275"/>
      <c r="G1811" s="275"/>
      <c r="H1811" s="275"/>
      <c r="I1811" s="275"/>
      <c r="J1811" s="275"/>
      <c r="K1811" s="275"/>
      <c r="L1811" s="275"/>
      <c r="M1811" s="275"/>
      <c r="N1811" s="275"/>
      <c r="O1811" s="276"/>
      <c r="P1811" s="276"/>
      <c r="Q1811" s="247">
        <f t="shared" si="34"/>
        <v>0</v>
      </c>
      <c r="R1811" s="229"/>
      <c r="S1811" s="229"/>
      <c r="T1811" s="229"/>
      <c r="U1811" s="229"/>
      <c r="V1811" s="229"/>
      <c r="W1811" s="229"/>
      <c r="X1811" s="229"/>
    </row>
    <row r="1812" spans="1:24" ht="15.75" hidden="1">
      <c r="A1812" s="343"/>
      <c r="B1812" s="344"/>
      <c r="C1812" s="275"/>
      <c r="D1812" s="275"/>
      <c r="E1812" s="275"/>
      <c r="F1812" s="275"/>
      <c r="G1812" s="275"/>
      <c r="H1812" s="275"/>
      <c r="I1812" s="275"/>
      <c r="J1812" s="275"/>
      <c r="K1812" s="275"/>
      <c r="L1812" s="275"/>
      <c r="M1812" s="275"/>
      <c r="N1812" s="275"/>
      <c r="O1812" s="276"/>
      <c r="P1812" s="276"/>
      <c r="Q1812" s="247">
        <f t="shared" si="34"/>
        <v>0</v>
      </c>
      <c r="R1812" s="229"/>
      <c r="S1812" s="229"/>
      <c r="T1812" s="229"/>
      <c r="U1812" s="229"/>
      <c r="V1812" s="229"/>
      <c r="W1812" s="229"/>
      <c r="X1812" s="229"/>
    </row>
    <row r="1813" spans="1:24" ht="15.75" hidden="1">
      <c r="A1813" s="343"/>
      <c r="B1813" s="344"/>
      <c r="C1813" s="275"/>
      <c r="D1813" s="275"/>
      <c r="E1813" s="275"/>
      <c r="F1813" s="275"/>
      <c r="G1813" s="275"/>
      <c r="H1813" s="275"/>
      <c r="I1813" s="275"/>
      <c r="J1813" s="275"/>
      <c r="K1813" s="275"/>
      <c r="L1813" s="275"/>
      <c r="M1813" s="275"/>
      <c r="N1813" s="275"/>
      <c r="O1813" s="276"/>
      <c r="P1813" s="276"/>
      <c r="Q1813" s="247">
        <f t="shared" si="34"/>
        <v>0</v>
      </c>
      <c r="R1813" s="229"/>
      <c r="S1813" s="229"/>
      <c r="T1813" s="229"/>
      <c r="U1813" s="229"/>
      <c r="V1813" s="229"/>
      <c r="W1813" s="229"/>
      <c r="X1813" s="229"/>
    </row>
    <row r="1814" spans="1:24" ht="15.75" hidden="1">
      <c r="A1814" s="343"/>
      <c r="B1814" s="344"/>
      <c r="C1814" s="275"/>
      <c r="D1814" s="275"/>
      <c r="E1814" s="275"/>
      <c r="F1814" s="275"/>
      <c r="G1814" s="275"/>
      <c r="H1814" s="275"/>
      <c r="I1814" s="275"/>
      <c r="J1814" s="275"/>
      <c r="K1814" s="275"/>
      <c r="L1814" s="275"/>
      <c r="M1814" s="275"/>
      <c r="N1814" s="275"/>
      <c r="O1814" s="276"/>
      <c r="P1814" s="276"/>
      <c r="Q1814" s="247">
        <f t="shared" si="34"/>
        <v>0</v>
      </c>
      <c r="R1814" s="229"/>
      <c r="S1814" s="229"/>
      <c r="T1814" s="229"/>
      <c r="U1814" s="229"/>
      <c r="V1814" s="229"/>
      <c r="W1814" s="229"/>
      <c r="X1814" s="229"/>
    </row>
    <row r="1815" spans="1:24" ht="15.75" hidden="1">
      <c r="A1815" s="343"/>
      <c r="B1815" s="344"/>
      <c r="C1815" s="275"/>
      <c r="D1815" s="275"/>
      <c r="E1815" s="275"/>
      <c r="F1815" s="275"/>
      <c r="G1815" s="275"/>
      <c r="H1815" s="275"/>
      <c r="I1815" s="275"/>
      <c r="J1815" s="275"/>
      <c r="K1815" s="275"/>
      <c r="L1815" s="275"/>
      <c r="M1815" s="275"/>
      <c r="N1815" s="275"/>
      <c r="O1815" s="276"/>
      <c r="P1815" s="276"/>
      <c r="Q1815" s="247">
        <f t="shared" si="34"/>
        <v>0</v>
      </c>
      <c r="R1815" s="229"/>
      <c r="S1815" s="229"/>
      <c r="T1815" s="229"/>
      <c r="U1815" s="229"/>
      <c r="V1815" s="229"/>
      <c r="W1815" s="229"/>
      <c r="X1815" s="229"/>
    </row>
    <row r="1816" spans="1:24" ht="15.75" hidden="1">
      <c r="A1816" s="343"/>
      <c r="B1816" s="344"/>
      <c r="C1816" s="275"/>
      <c r="D1816" s="275"/>
      <c r="E1816" s="275"/>
      <c r="F1816" s="275"/>
      <c r="G1816" s="275"/>
      <c r="H1816" s="275"/>
      <c r="I1816" s="275"/>
      <c r="J1816" s="275"/>
      <c r="K1816" s="275"/>
      <c r="L1816" s="275"/>
      <c r="M1816" s="275"/>
      <c r="N1816" s="275"/>
      <c r="O1816" s="276"/>
      <c r="P1816" s="276"/>
      <c r="Q1816" s="247">
        <f t="shared" si="34"/>
        <v>0</v>
      </c>
      <c r="R1816" s="229"/>
      <c r="S1816" s="229"/>
      <c r="T1816" s="229"/>
      <c r="U1816" s="229"/>
      <c r="V1816" s="229"/>
      <c r="W1816" s="229"/>
      <c r="X1816" s="229"/>
    </row>
    <row r="1817" spans="1:24" ht="15.75" hidden="1">
      <c r="A1817" s="343"/>
      <c r="B1817" s="344"/>
      <c r="C1817" s="275"/>
      <c r="D1817" s="275"/>
      <c r="E1817" s="275"/>
      <c r="F1817" s="275"/>
      <c r="G1817" s="275"/>
      <c r="H1817" s="275"/>
      <c r="I1817" s="275"/>
      <c r="J1817" s="275"/>
      <c r="K1817" s="275"/>
      <c r="L1817" s="275"/>
      <c r="M1817" s="275"/>
      <c r="N1817" s="275"/>
      <c r="O1817" s="276"/>
      <c r="P1817" s="276"/>
      <c r="Q1817" s="247">
        <f t="shared" si="34"/>
        <v>0</v>
      </c>
      <c r="R1817" s="229"/>
      <c r="S1817" s="229"/>
      <c r="T1817" s="229"/>
      <c r="U1817" s="229"/>
      <c r="V1817" s="229"/>
      <c r="W1817" s="229"/>
      <c r="X1817" s="229"/>
    </row>
    <row r="1818" spans="1:24" ht="15.75" hidden="1">
      <c r="A1818" s="343"/>
      <c r="B1818" s="344"/>
      <c r="C1818" s="275"/>
      <c r="D1818" s="275"/>
      <c r="E1818" s="275"/>
      <c r="F1818" s="275"/>
      <c r="G1818" s="275"/>
      <c r="H1818" s="275"/>
      <c r="I1818" s="275"/>
      <c r="J1818" s="275"/>
      <c r="K1818" s="275"/>
      <c r="L1818" s="275"/>
      <c r="M1818" s="275"/>
      <c r="N1818" s="275"/>
      <c r="O1818" s="276"/>
      <c r="P1818" s="276"/>
      <c r="Q1818" s="247">
        <f t="shared" si="34"/>
        <v>0</v>
      </c>
      <c r="R1818" s="229"/>
      <c r="S1818" s="229"/>
      <c r="T1818" s="229"/>
      <c r="U1818" s="229"/>
      <c r="V1818" s="229"/>
      <c r="W1818" s="229"/>
      <c r="X1818" s="229"/>
    </row>
    <row r="1819" spans="1:24" ht="15.75" hidden="1">
      <c r="A1819" s="343"/>
      <c r="B1819" s="344"/>
      <c r="C1819" s="275"/>
      <c r="D1819" s="275"/>
      <c r="E1819" s="275"/>
      <c r="F1819" s="275"/>
      <c r="G1819" s="275"/>
      <c r="H1819" s="275"/>
      <c r="I1819" s="275"/>
      <c r="J1819" s="275"/>
      <c r="K1819" s="275"/>
      <c r="L1819" s="275"/>
      <c r="M1819" s="275"/>
      <c r="N1819" s="275"/>
      <c r="O1819" s="276"/>
      <c r="P1819" s="276"/>
      <c r="Q1819" s="247">
        <f t="shared" si="34"/>
        <v>0</v>
      </c>
      <c r="R1819" s="229"/>
      <c r="S1819" s="229"/>
      <c r="T1819" s="229"/>
      <c r="U1819" s="229"/>
      <c r="V1819" s="229"/>
      <c r="W1819" s="229"/>
      <c r="X1819" s="229"/>
    </row>
    <row r="1820" spans="1:24" ht="15.75" hidden="1">
      <c r="A1820" s="343"/>
      <c r="B1820" s="344"/>
      <c r="C1820" s="275"/>
      <c r="D1820" s="275"/>
      <c r="E1820" s="275"/>
      <c r="F1820" s="275"/>
      <c r="G1820" s="275"/>
      <c r="H1820" s="275"/>
      <c r="I1820" s="275"/>
      <c r="J1820" s="275"/>
      <c r="K1820" s="275"/>
      <c r="L1820" s="275"/>
      <c r="M1820" s="275"/>
      <c r="N1820" s="275"/>
      <c r="O1820" s="276"/>
      <c r="P1820" s="276"/>
      <c r="Q1820" s="247">
        <f t="shared" si="34"/>
        <v>0</v>
      </c>
      <c r="R1820" s="229"/>
      <c r="S1820" s="229"/>
      <c r="T1820" s="229"/>
      <c r="U1820" s="229"/>
      <c r="V1820" s="229"/>
      <c r="W1820" s="229"/>
      <c r="X1820" s="229"/>
    </row>
    <row r="1821" spans="1:24" ht="15.75" hidden="1">
      <c r="A1821" s="343"/>
      <c r="B1821" s="344"/>
      <c r="C1821" s="275"/>
      <c r="D1821" s="275"/>
      <c r="E1821" s="275"/>
      <c r="F1821" s="275"/>
      <c r="G1821" s="275"/>
      <c r="H1821" s="275"/>
      <c r="I1821" s="275"/>
      <c r="J1821" s="275"/>
      <c r="K1821" s="275"/>
      <c r="L1821" s="275"/>
      <c r="M1821" s="275"/>
      <c r="N1821" s="275"/>
      <c r="O1821" s="276"/>
      <c r="P1821" s="276"/>
      <c r="Q1821" s="247">
        <f t="shared" si="34"/>
        <v>0</v>
      </c>
      <c r="R1821" s="229"/>
      <c r="S1821" s="229"/>
      <c r="T1821" s="229"/>
      <c r="U1821" s="229"/>
      <c r="V1821" s="229"/>
      <c r="W1821" s="229"/>
      <c r="X1821" s="229"/>
    </row>
    <row r="1822" spans="1:24" ht="15.75" hidden="1">
      <c r="A1822" s="343"/>
      <c r="B1822" s="344"/>
      <c r="C1822" s="275"/>
      <c r="D1822" s="275"/>
      <c r="E1822" s="275"/>
      <c r="F1822" s="275"/>
      <c r="G1822" s="275"/>
      <c r="H1822" s="275"/>
      <c r="I1822" s="275"/>
      <c r="J1822" s="275"/>
      <c r="K1822" s="275"/>
      <c r="L1822" s="275"/>
      <c r="M1822" s="275"/>
      <c r="N1822" s="275"/>
      <c r="O1822" s="276"/>
      <c r="P1822" s="276"/>
      <c r="Q1822" s="247">
        <f t="shared" si="34"/>
        <v>0</v>
      </c>
      <c r="R1822" s="229"/>
      <c r="S1822" s="229"/>
      <c r="T1822" s="229"/>
      <c r="U1822" s="229"/>
      <c r="V1822" s="229"/>
      <c r="W1822" s="229"/>
      <c r="X1822" s="229"/>
    </row>
    <row r="1823" spans="1:24" ht="15.75" hidden="1">
      <c r="A1823" s="343"/>
      <c r="B1823" s="344"/>
      <c r="C1823" s="275"/>
      <c r="D1823" s="275"/>
      <c r="E1823" s="275"/>
      <c r="F1823" s="275"/>
      <c r="G1823" s="275"/>
      <c r="H1823" s="275"/>
      <c r="I1823" s="275"/>
      <c r="J1823" s="275"/>
      <c r="K1823" s="275"/>
      <c r="L1823" s="275"/>
      <c r="M1823" s="275"/>
      <c r="N1823" s="275"/>
      <c r="O1823" s="276"/>
      <c r="P1823" s="276"/>
      <c r="Q1823" s="247">
        <f t="shared" si="34"/>
        <v>0</v>
      </c>
      <c r="R1823" s="229"/>
      <c r="S1823" s="229"/>
      <c r="T1823" s="229"/>
      <c r="U1823" s="229"/>
      <c r="V1823" s="229"/>
      <c r="W1823" s="229"/>
      <c r="X1823" s="229"/>
    </row>
    <row r="1824" spans="1:24" ht="15.75" hidden="1">
      <c r="A1824" s="343"/>
      <c r="B1824" s="344"/>
      <c r="C1824" s="275"/>
      <c r="D1824" s="275"/>
      <c r="E1824" s="275"/>
      <c r="F1824" s="275"/>
      <c r="G1824" s="275"/>
      <c r="H1824" s="275"/>
      <c r="I1824" s="275"/>
      <c r="J1824" s="275"/>
      <c r="K1824" s="275"/>
      <c r="L1824" s="275"/>
      <c r="M1824" s="275"/>
      <c r="N1824" s="275"/>
      <c r="O1824" s="276"/>
      <c r="P1824" s="276"/>
      <c r="Q1824" s="247">
        <f t="shared" si="34"/>
        <v>0</v>
      </c>
      <c r="R1824" s="229"/>
      <c r="S1824" s="229"/>
      <c r="T1824" s="229"/>
      <c r="U1824" s="229"/>
      <c r="V1824" s="229"/>
      <c r="W1824" s="229"/>
      <c r="X1824" s="229"/>
    </row>
    <row r="1825" spans="1:24" ht="15.75" hidden="1">
      <c r="A1825" s="343"/>
      <c r="B1825" s="344"/>
      <c r="C1825" s="275"/>
      <c r="D1825" s="275"/>
      <c r="E1825" s="275"/>
      <c r="F1825" s="275"/>
      <c r="G1825" s="275"/>
      <c r="H1825" s="275"/>
      <c r="I1825" s="275"/>
      <c r="J1825" s="275"/>
      <c r="K1825" s="275"/>
      <c r="L1825" s="275"/>
      <c r="M1825" s="275"/>
      <c r="N1825" s="275"/>
      <c r="O1825" s="276"/>
      <c r="P1825" s="276"/>
      <c r="Q1825" s="247">
        <f t="shared" si="34"/>
        <v>0</v>
      </c>
      <c r="R1825" s="229"/>
      <c r="S1825" s="229"/>
      <c r="T1825" s="229"/>
      <c r="U1825" s="229"/>
      <c r="V1825" s="229"/>
      <c r="W1825" s="229"/>
      <c r="X1825" s="229"/>
    </row>
    <row r="1826" spans="1:24" ht="15.75" hidden="1">
      <c r="A1826" s="343"/>
      <c r="B1826" s="344"/>
      <c r="C1826" s="275"/>
      <c r="D1826" s="275"/>
      <c r="E1826" s="275"/>
      <c r="F1826" s="275"/>
      <c r="G1826" s="275"/>
      <c r="H1826" s="275"/>
      <c r="I1826" s="275"/>
      <c r="J1826" s="275"/>
      <c r="K1826" s="275"/>
      <c r="L1826" s="275"/>
      <c r="M1826" s="275"/>
      <c r="N1826" s="275"/>
      <c r="O1826" s="276"/>
      <c r="P1826" s="276"/>
      <c r="Q1826" s="247">
        <f t="shared" si="34"/>
        <v>0</v>
      </c>
      <c r="R1826" s="229"/>
      <c r="S1826" s="229"/>
      <c r="T1826" s="229"/>
      <c r="U1826" s="229"/>
      <c r="V1826" s="229"/>
      <c r="W1826" s="229"/>
      <c r="X1826" s="229"/>
    </row>
    <row r="1827" spans="1:24" ht="15.75" hidden="1">
      <c r="A1827" s="343"/>
      <c r="B1827" s="344"/>
      <c r="C1827" s="275"/>
      <c r="D1827" s="275"/>
      <c r="E1827" s="275"/>
      <c r="F1827" s="275"/>
      <c r="G1827" s="275"/>
      <c r="H1827" s="275"/>
      <c r="I1827" s="275"/>
      <c r="J1827" s="275"/>
      <c r="K1827" s="275"/>
      <c r="L1827" s="275"/>
      <c r="M1827" s="275"/>
      <c r="N1827" s="275"/>
      <c r="O1827" s="276"/>
      <c r="P1827" s="276"/>
      <c r="Q1827" s="247">
        <f t="shared" si="34"/>
        <v>0</v>
      </c>
      <c r="R1827" s="229"/>
      <c r="S1827" s="229"/>
      <c r="T1827" s="229"/>
      <c r="U1827" s="229"/>
      <c r="V1827" s="229"/>
      <c r="W1827" s="229"/>
      <c r="X1827" s="229"/>
    </row>
    <row r="1828" spans="1:24" ht="15.75" hidden="1">
      <c r="A1828" s="343"/>
      <c r="B1828" s="344"/>
      <c r="C1828" s="275"/>
      <c r="D1828" s="275"/>
      <c r="E1828" s="275"/>
      <c r="F1828" s="275"/>
      <c r="G1828" s="275"/>
      <c r="H1828" s="275"/>
      <c r="I1828" s="275"/>
      <c r="J1828" s="275"/>
      <c r="K1828" s="275"/>
      <c r="L1828" s="275"/>
      <c r="M1828" s="275"/>
      <c r="N1828" s="275"/>
      <c r="O1828" s="276"/>
      <c r="P1828" s="276"/>
      <c r="Q1828" s="247">
        <f t="shared" si="34"/>
        <v>0</v>
      </c>
      <c r="R1828" s="229"/>
      <c r="S1828" s="229"/>
      <c r="T1828" s="229"/>
      <c r="U1828" s="229"/>
      <c r="V1828" s="229"/>
      <c r="W1828" s="229"/>
      <c r="X1828" s="229"/>
    </row>
    <row r="1829" spans="1:24" ht="15.75" hidden="1">
      <c r="A1829" s="343"/>
      <c r="B1829" s="344"/>
      <c r="C1829" s="275"/>
      <c r="D1829" s="275"/>
      <c r="E1829" s="275"/>
      <c r="F1829" s="275"/>
      <c r="G1829" s="275"/>
      <c r="H1829" s="275"/>
      <c r="I1829" s="275"/>
      <c r="J1829" s="275"/>
      <c r="K1829" s="275"/>
      <c r="L1829" s="275"/>
      <c r="M1829" s="275"/>
      <c r="N1829" s="275"/>
      <c r="O1829" s="276"/>
      <c r="P1829" s="276"/>
      <c r="Q1829" s="247">
        <f t="shared" si="34"/>
        <v>0</v>
      </c>
      <c r="R1829" s="229"/>
      <c r="S1829" s="229"/>
      <c r="T1829" s="229"/>
      <c r="U1829" s="229"/>
      <c r="V1829" s="229"/>
      <c r="W1829" s="229"/>
      <c r="X1829" s="229"/>
    </row>
    <row r="1830" spans="1:24" ht="15.75" hidden="1">
      <c r="A1830" s="343"/>
      <c r="B1830" s="344"/>
      <c r="C1830" s="275"/>
      <c r="D1830" s="275"/>
      <c r="E1830" s="275"/>
      <c r="F1830" s="275"/>
      <c r="G1830" s="275"/>
      <c r="H1830" s="275"/>
      <c r="I1830" s="275"/>
      <c r="J1830" s="275"/>
      <c r="K1830" s="275"/>
      <c r="L1830" s="275"/>
      <c r="M1830" s="275"/>
      <c r="N1830" s="275"/>
      <c r="O1830" s="276"/>
      <c r="P1830" s="276"/>
      <c r="Q1830" s="247">
        <f t="shared" si="34"/>
        <v>0</v>
      </c>
      <c r="R1830" s="229"/>
      <c r="S1830" s="229"/>
      <c r="T1830" s="229"/>
      <c r="U1830" s="229"/>
      <c r="V1830" s="229"/>
      <c r="W1830" s="229"/>
      <c r="X1830" s="229"/>
    </row>
    <row r="1831" spans="1:24" ht="15.75" hidden="1">
      <c r="A1831" s="343"/>
      <c r="B1831" s="344"/>
      <c r="C1831" s="275"/>
      <c r="D1831" s="275"/>
      <c r="E1831" s="275"/>
      <c r="F1831" s="275"/>
      <c r="G1831" s="275"/>
      <c r="H1831" s="275"/>
      <c r="I1831" s="275"/>
      <c r="J1831" s="275"/>
      <c r="K1831" s="275"/>
      <c r="L1831" s="275"/>
      <c r="M1831" s="275"/>
      <c r="N1831" s="275"/>
      <c r="O1831" s="276"/>
      <c r="P1831" s="276"/>
      <c r="Q1831" s="247">
        <f t="shared" si="34"/>
        <v>0</v>
      </c>
      <c r="R1831" s="229"/>
      <c r="S1831" s="229"/>
      <c r="T1831" s="229"/>
      <c r="U1831" s="229"/>
      <c r="V1831" s="229"/>
      <c r="W1831" s="229"/>
      <c r="X1831" s="229"/>
    </row>
    <row r="1832" spans="1:24" ht="15.75" hidden="1">
      <c r="A1832" s="343"/>
      <c r="B1832" s="344"/>
      <c r="C1832" s="275"/>
      <c r="D1832" s="275"/>
      <c r="E1832" s="275"/>
      <c r="F1832" s="275"/>
      <c r="G1832" s="275"/>
      <c r="H1832" s="275"/>
      <c r="I1832" s="275"/>
      <c r="J1832" s="275"/>
      <c r="K1832" s="275"/>
      <c r="L1832" s="275"/>
      <c r="M1832" s="275"/>
      <c r="N1832" s="275"/>
      <c r="O1832" s="276"/>
      <c r="P1832" s="276"/>
      <c r="Q1832" s="247">
        <f t="shared" si="34"/>
        <v>0</v>
      </c>
      <c r="R1832" s="229"/>
      <c r="S1832" s="229"/>
      <c r="T1832" s="229"/>
      <c r="U1832" s="229"/>
      <c r="V1832" s="229"/>
      <c r="W1832" s="229"/>
      <c r="X1832" s="229"/>
    </row>
    <row r="1833" spans="1:24" ht="15.75" hidden="1">
      <c r="A1833" s="343"/>
      <c r="B1833" s="344"/>
      <c r="C1833" s="275"/>
      <c r="D1833" s="275"/>
      <c r="E1833" s="275"/>
      <c r="F1833" s="275"/>
      <c r="G1833" s="275"/>
      <c r="H1833" s="275"/>
      <c r="I1833" s="275"/>
      <c r="J1833" s="275"/>
      <c r="K1833" s="275"/>
      <c r="L1833" s="275"/>
      <c r="M1833" s="275"/>
      <c r="N1833" s="275"/>
      <c r="O1833" s="276"/>
      <c r="P1833" s="276"/>
      <c r="Q1833" s="247">
        <f t="shared" si="34"/>
        <v>0</v>
      </c>
      <c r="R1833" s="229"/>
      <c r="S1833" s="229"/>
      <c r="T1833" s="229"/>
      <c r="U1833" s="229"/>
      <c r="V1833" s="229"/>
      <c r="W1833" s="229"/>
      <c r="X1833" s="229"/>
    </row>
    <row r="1834" spans="1:24" ht="15.75" hidden="1">
      <c r="A1834" s="343"/>
      <c r="B1834" s="344"/>
      <c r="C1834" s="275"/>
      <c r="D1834" s="275"/>
      <c r="E1834" s="275"/>
      <c r="F1834" s="275"/>
      <c r="G1834" s="275"/>
      <c r="H1834" s="275"/>
      <c r="I1834" s="275"/>
      <c r="J1834" s="275"/>
      <c r="K1834" s="275"/>
      <c r="L1834" s="275"/>
      <c r="M1834" s="275"/>
      <c r="N1834" s="275"/>
      <c r="O1834" s="276"/>
      <c r="P1834" s="276"/>
      <c r="Q1834" s="247">
        <f t="shared" si="34"/>
        <v>0</v>
      </c>
      <c r="R1834" s="229"/>
      <c r="S1834" s="229"/>
      <c r="T1834" s="229"/>
      <c r="U1834" s="229"/>
      <c r="V1834" s="229"/>
      <c r="W1834" s="229"/>
      <c r="X1834" s="229"/>
    </row>
    <row r="1835" spans="1:24" ht="15.75" hidden="1">
      <c r="A1835" s="343"/>
      <c r="B1835" s="344"/>
      <c r="C1835" s="275"/>
      <c r="D1835" s="275"/>
      <c r="E1835" s="275"/>
      <c r="F1835" s="275"/>
      <c r="G1835" s="275"/>
      <c r="H1835" s="275"/>
      <c r="I1835" s="275"/>
      <c r="J1835" s="275"/>
      <c r="K1835" s="275"/>
      <c r="L1835" s="275"/>
      <c r="M1835" s="275"/>
      <c r="N1835" s="275"/>
      <c r="O1835" s="276"/>
      <c r="P1835" s="276"/>
      <c r="Q1835" s="247">
        <f t="shared" si="34"/>
        <v>0</v>
      </c>
      <c r="R1835" s="229"/>
      <c r="S1835" s="229"/>
      <c r="T1835" s="229"/>
      <c r="U1835" s="229"/>
      <c r="V1835" s="229"/>
      <c r="W1835" s="229"/>
      <c r="X1835" s="229"/>
    </row>
    <row r="1836" spans="1:24" ht="15.75" hidden="1">
      <c r="A1836" s="343"/>
      <c r="B1836" s="344"/>
      <c r="C1836" s="275"/>
      <c r="D1836" s="275"/>
      <c r="E1836" s="275"/>
      <c r="F1836" s="275"/>
      <c r="G1836" s="275"/>
      <c r="H1836" s="275"/>
      <c r="I1836" s="275"/>
      <c r="J1836" s="275"/>
      <c r="K1836" s="275"/>
      <c r="L1836" s="275"/>
      <c r="M1836" s="275"/>
      <c r="N1836" s="275"/>
      <c r="O1836" s="276"/>
      <c r="P1836" s="276"/>
      <c r="Q1836" s="247">
        <f t="shared" si="34"/>
        <v>0</v>
      </c>
      <c r="R1836" s="229"/>
      <c r="S1836" s="229"/>
      <c r="T1836" s="229"/>
      <c r="U1836" s="229"/>
      <c r="V1836" s="229"/>
      <c r="W1836" s="229"/>
      <c r="X1836" s="229"/>
    </row>
    <row r="1837" spans="1:24" ht="15.75" hidden="1">
      <c r="A1837" s="343"/>
      <c r="B1837" s="344"/>
      <c r="C1837" s="275"/>
      <c r="D1837" s="275"/>
      <c r="E1837" s="275"/>
      <c r="F1837" s="275"/>
      <c r="G1837" s="275"/>
      <c r="H1837" s="275"/>
      <c r="I1837" s="275"/>
      <c r="J1837" s="275"/>
      <c r="K1837" s="275"/>
      <c r="L1837" s="275"/>
      <c r="M1837" s="275"/>
      <c r="N1837" s="275"/>
      <c r="O1837" s="276"/>
      <c r="P1837" s="276"/>
      <c r="Q1837" s="247">
        <f t="shared" si="34"/>
        <v>0</v>
      </c>
      <c r="R1837" s="229"/>
      <c r="S1837" s="229"/>
      <c r="T1837" s="229"/>
      <c r="U1837" s="229"/>
      <c r="V1837" s="229"/>
      <c r="W1837" s="229"/>
      <c r="X1837" s="229"/>
    </row>
    <row r="1838" spans="1:24" ht="15.75" hidden="1">
      <c r="A1838" s="343"/>
      <c r="B1838" s="344"/>
      <c r="C1838" s="275"/>
      <c r="D1838" s="275"/>
      <c r="E1838" s="275"/>
      <c r="F1838" s="275"/>
      <c r="G1838" s="275"/>
      <c r="H1838" s="275"/>
      <c r="I1838" s="275"/>
      <c r="J1838" s="275"/>
      <c r="K1838" s="275"/>
      <c r="L1838" s="275"/>
      <c r="M1838" s="275"/>
      <c r="N1838" s="275"/>
      <c r="O1838" s="276"/>
      <c r="P1838" s="276"/>
      <c r="Q1838" s="247">
        <f t="shared" si="34"/>
        <v>0</v>
      </c>
      <c r="R1838" s="229"/>
      <c r="S1838" s="229"/>
      <c r="T1838" s="229"/>
      <c r="U1838" s="229"/>
      <c r="V1838" s="229"/>
      <c r="W1838" s="229"/>
      <c r="X1838" s="229"/>
    </row>
    <row r="1839" spans="1:24" ht="15.75" hidden="1">
      <c r="A1839" s="343"/>
      <c r="B1839" s="344"/>
      <c r="C1839" s="275"/>
      <c r="D1839" s="275"/>
      <c r="E1839" s="275"/>
      <c r="F1839" s="275"/>
      <c r="G1839" s="275"/>
      <c r="H1839" s="275"/>
      <c r="I1839" s="275"/>
      <c r="J1839" s="275"/>
      <c r="K1839" s="275"/>
      <c r="L1839" s="275"/>
      <c r="M1839" s="275"/>
      <c r="N1839" s="275"/>
      <c r="O1839" s="276"/>
      <c r="P1839" s="276"/>
      <c r="Q1839" s="247">
        <f t="shared" si="34"/>
        <v>0</v>
      </c>
      <c r="R1839" s="229"/>
      <c r="S1839" s="229"/>
      <c r="T1839" s="229"/>
      <c r="U1839" s="229"/>
      <c r="V1839" s="229"/>
      <c r="W1839" s="229"/>
      <c r="X1839" s="229"/>
    </row>
    <row r="1840" spans="1:24" ht="15.75" hidden="1">
      <c r="A1840" s="343"/>
      <c r="B1840" s="344"/>
      <c r="C1840" s="275"/>
      <c r="D1840" s="275"/>
      <c r="E1840" s="275"/>
      <c r="F1840" s="275"/>
      <c r="G1840" s="275"/>
      <c r="H1840" s="275"/>
      <c r="I1840" s="275"/>
      <c r="J1840" s="275"/>
      <c r="K1840" s="275"/>
      <c r="L1840" s="275"/>
      <c r="M1840" s="275"/>
      <c r="N1840" s="275"/>
      <c r="O1840" s="276"/>
      <c r="P1840" s="276"/>
      <c r="Q1840" s="247">
        <f t="shared" si="34"/>
        <v>0</v>
      </c>
      <c r="R1840" s="229"/>
      <c r="S1840" s="229"/>
      <c r="T1840" s="229"/>
      <c r="U1840" s="229"/>
      <c r="V1840" s="229"/>
      <c r="W1840" s="229"/>
      <c r="X1840" s="229"/>
    </row>
    <row r="1841" spans="1:24" ht="15.75" hidden="1">
      <c r="A1841" s="343"/>
      <c r="B1841" s="344"/>
      <c r="C1841" s="275"/>
      <c r="D1841" s="275"/>
      <c r="E1841" s="275"/>
      <c r="F1841" s="275"/>
      <c r="G1841" s="275"/>
      <c r="H1841" s="275"/>
      <c r="I1841" s="275"/>
      <c r="J1841" s="275"/>
      <c r="K1841" s="275"/>
      <c r="L1841" s="275"/>
      <c r="M1841" s="275"/>
      <c r="N1841" s="275"/>
      <c r="O1841" s="276"/>
      <c r="P1841" s="276"/>
      <c r="Q1841" s="247">
        <f t="shared" si="34"/>
        <v>0</v>
      </c>
      <c r="R1841" s="229"/>
      <c r="S1841" s="229"/>
      <c r="T1841" s="229"/>
      <c r="U1841" s="229"/>
      <c r="V1841" s="229"/>
      <c r="W1841" s="229"/>
      <c r="X1841" s="229"/>
    </row>
    <row r="1842" spans="1:24" ht="15.75" hidden="1">
      <c r="A1842" s="343"/>
      <c r="B1842" s="344"/>
      <c r="C1842" s="275"/>
      <c r="D1842" s="275"/>
      <c r="E1842" s="275"/>
      <c r="F1842" s="275"/>
      <c r="G1842" s="275"/>
      <c r="H1842" s="275"/>
      <c r="I1842" s="275"/>
      <c r="J1842" s="275"/>
      <c r="K1842" s="275"/>
      <c r="L1842" s="275"/>
      <c r="M1842" s="275"/>
      <c r="N1842" s="275"/>
      <c r="O1842" s="276"/>
      <c r="P1842" s="276"/>
      <c r="Q1842" s="247">
        <f t="shared" si="34"/>
        <v>0</v>
      </c>
      <c r="R1842" s="229"/>
      <c r="S1842" s="229"/>
      <c r="T1842" s="229"/>
      <c r="U1842" s="229"/>
      <c r="V1842" s="229"/>
      <c r="W1842" s="229"/>
      <c r="X1842" s="229"/>
    </row>
    <row r="1843" spans="1:24" ht="15.75" hidden="1">
      <c r="A1843" s="343"/>
      <c r="B1843" s="344"/>
      <c r="C1843" s="275"/>
      <c r="D1843" s="275"/>
      <c r="E1843" s="275"/>
      <c r="F1843" s="275"/>
      <c r="G1843" s="275"/>
      <c r="H1843" s="275"/>
      <c r="I1843" s="275"/>
      <c r="J1843" s="275"/>
      <c r="K1843" s="275"/>
      <c r="L1843" s="275"/>
      <c r="M1843" s="275"/>
      <c r="N1843" s="275"/>
      <c r="O1843" s="276"/>
      <c r="P1843" s="276"/>
      <c r="Q1843" s="247">
        <f t="shared" si="34"/>
        <v>0</v>
      </c>
      <c r="R1843" s="229"/>
      <c r="S1843" s="229"/>
      <c r="T1843" s="229"/>
      <c r="U1843" s="229"/>
      <c r="V1843" s="229"/>
      <c r="W1843" s="229"/>
      <c r="X1843" s="229"/>
    </row>
    <row r="1844" spans="1:24" ht="15.75" hidden="1">
      <c r="A1844" s="343"/>
      <c r="B1844" s="344"/>
      <c r="C1844" s="275"/>
      <c r="D1844" s="275"/>
      <c r="E1844" s="275"/>
      <c r="F1844" s="275"/>
      <c r="G1844" s="275"/>
      <c r="H1844" s="275"/>
      <c r="I1844" s="275"/>
      <c r="J1844" s="275"/>
      <c r="K1844" s="275"/>
      <c r="L1844" s="275"/>
      <c r="M1844" s="275"/>
      <c r="N1844" s="275"/>
      <c r="O1844" s="276"/>
      <c r="P1844" s="276"/>
      <c r="Q1844" s="247">
        <f t="shared" si="34"/>
        <v>0</v>
      </c>
      <c r="R1844" s="229"/>
      <c r="S1844" s="229"/>
      <c r="T1844" s="229"/>
      <c r="U1844" s="229"/>
      <c r="V1844" s="229"/>
      <c r="W1844" s="229"/>
      <c r="X1844" s="229"/>
    </row>
    <row r="1845" spans="1:24" ht="15.75" hidden="1">
      <c r="A1845" s="343"/>
      <c r="B1845" s="344"/>
      <c r="C1845" s="275"/>
      <c r="D1845" s="275"/>
      <c r="E1845" s="275"/>
      <c r="F1845" s="275"/>
      <c r="G1845" s="275"/>
      <c r="H1845" s="275"/>
      <c r="I1845" s="275"/>
      <c r="J1845" s="275"/>
      <c r="K1845" s="275"/>
      <c r="L1845" s="275"/>
      <c r="M1845" s="275"/>
      <c r="N1845" s="275"/>
      <c r="O1845" s="276"/>
      <c r="P1845" s="276"/>
      <c r="Q1845" s="247">
        <f t="shared" si="34"/>
        <v>0</v>
      </c>
      <c r="R1845" s="229"/>
      <c r="S1845" s="229"/>
      <c r="T1845" s="229"/>
      <c r="U1845" s="229"/>
      <c r="V1845" s="229"/>
      <c r="W1845" s="229"/>
      <c r="X1845" s="229"/>
    </row>
    <row r="1846" spans="1:24" ht="15.75" hidden="1">
      <c r="A1846" s="343"/>
      <c r="B1846" s="344"/>
      <c r="C1846" s="275"/>
      <c r="D1846" s="275"/>
      <c r="E1846" s="275"/>
      <c r="F1846" s="275"/>
      <c r="G1846" s="275"/>
      <c r="H1846" s="275"/>
      <c r="I1846" s="275"/>
      <c r="J1846" s="275"/>
      <c r="K1846" s="275"/>
      <c r="L1846" s="275"/>
      <c r="M1846" s="275"/>
      <c r="N1846" s="275"/>
      <c r="O1846" s="276"/>
      <c r="P1846" s="276"/>
      <c r="Q1846" s="247">
        <f t="shared" si="34"/>
        <v>0</v>
      </c>
      <c r="R1846" s="229"/>
      <c r="S1846" s="229"/>
      <c r="T1846" s="229"/>
      <c r="U1846" s="229"/>
      <c r="V1846" s="229"/>
      <c r="W1846" s="229"/>
      <c r="X1846" s="229"/>
    </row>
    <row r="1847" spans="1:24" ht="15.75" hidden="1">
      <c r="A1847" s="343"/>
      <c r="B1847" s="344"/>
      <c r="C1847" s="275"/>
      <c r="D1847" s="275"/>
      <c r="E1847" s="275"/>
      <c r="F1847" s="275"/>
      <c r="G1847" s="275"/>
      <c r="H1847" s="275"/>
      <c r="I1847" s="275"/>
      <c r="J1847" s="275"/>
      <c r="K1847" s="275"/>
      <c r="L1847" s="275"/>
      <c r="M1847" s="275"/>
      <c r="N1847" s="275"/>
      <c r="O1847" s="276"/>
      <c r="P1847" s="276"/>
      <c r="Q1847" s="247">
        <f t="shared" si="34"/>
        <v>0</v>
      </c>
      <c r="R1847" s="229"/>
      <c r="S1847" s="229"/>
      <c r="T1847" s="229"/>
      <c r="U1847" s="229"/>
      <c r="V1847" s="229"/>
      <c r="W1847" s="229"/>
      <c r="X1847" s="229"/>
    </row>
    <row r="1848" spans="1:24" ht="15.75" hidden="1">
      <c r="A1848" s="343"/>
      <c r="B1848" s="344"/>
      <c r="C1848" s="275"/>
      <c r="D1848" s="275"/>
      <c r="E1848" s="275"/>
      <c r="F1848" s="275"/>
      <c r="G1848" s="275"/>
      <c r="H1848" s="275"/>
      <c r="I1848" s="275"/>
      <c r="J1848" s="275"/>
      <c r="K1848" s="275"/>
      <c r="L1848" s="275"/>
      <c r="M1848" s="275"/>
      <c r="N1848" s="275"/>
      <c r="O1848" s="276"/>
      <c r="P1848" s="276"/>
      <c r="Q1848" s="247">
        <f t="shared" si="34"/>
        <v>0</v>
      </c>
      <c r="R1848" s="229"/>
      <c r="S1848" s="229"/>
      <c r="T1848" s="229"/>
      <c r="U1848" s="229"/>
      <c r="V1848" s="229"/>
      <c r="W1848" s="229"/>
      <c r="X1848" s="229"/>
    </row>
    <row r="1849" spans="1:24" ht="15.75" hidden="1">
      <c r="A1849" s="343"/>
      <c r="B1849" s="344"/>
      <c r="C1849" s="275"/>
      <c r="D1849" s="275"/>
      <c r="E1849" s="275"/>
      <c r="F1849" s="275"/>
      <c r="G1849" s="275"/>
      <c r="H1849" s="275"/>
      <c r="I1849" s="275"/>
      <c r="J1849" s="275"/>
      <c r="K1849" s="275"/>
      <c r="L1849" s="275"/>
      <c r="M1849" s="275"/>
      <c r="N1849" s="275"/>
      <c r="O1849" s="276"/>
      <c r="P1849" s="276"/>
      <c r="Q1849" s="247">
        <f t="shared" si="34"/>
        <v>0</v>
      </c>
      <c r="R1849" s="229"/>
      <c r="S1849" s="229"/>
      <c r="T1849" s="229"/>
      <c r="U1849" s="229"/>
      <c r="V1849" s="229"/>
      <c r="W1849" s="229"/>
      <c r="X1849" s="229"/>
    </row>
    <row r="1850" spans="1:24" ht="15.75" hidden="1">
      <c r="A1850" s="343"/>
      <c r="B1850" s="344"/>
      <c r="C1850" s="275"/>
      <c r="D1850" s="275"/>
      <c r="E1850" s="275"/>
      <c r="F1850" s="275"/>
      <c r="G1850" s="275"/>
      <c r="H1850" s="275"/>
      <c r="I1850" s="275"/>
      <c r="J1850" s="275"/>
      <c r="K1850" s="275"/>
      <c r="L1850" s="275"/>
      <c r="M1850" s="275"/>
      <c r="N1850" s="275"/>
      <c r="O1850" s="276"/>
      <c r="P1850" s="276"/>
      <c r="Q1850" s="247">
        <f t="shared" si="34"/>
        <v>0</v>
      </c>
      <c r="R1850" s="229"/>
      <c r="S1850" s="229"/>
      <c r="T1850" s="229"/>
      <c r="U1850" s="229"/>
      <c r="V1850" s="229"/>
      <c r="W1850" s="229"/>
      <c r="X1850" s="229"/>
    </row>
    <row r="1851" spans="1:24" ht="15.75" hidden="1">
      <c r="A1851" s="343"/>
      <c r="B1851" s="344"/>
      <c r="C1851" s="275"/>
      <c r="D1851" s="275"/>
      <c r="E1851" s="275"/>
      <c r="F1851" s="275"/>
      <c r="G1851" s="275"/>
      <c r="H1851" s="275"/>
      <c r="I1851" s="275"/>
      <c r="J1851" s="275"/>
      <c r="K1851" s="275"/>
      <c r="L1851" s="275"/>
      <c r="M1851" s="275"/>
      <c r="N1851" s="275"/>
      <c r="O1851" s="276"/>
      <c r="P1851" s="276"/>
      <c r="Q1851" s="247">
        <f t="shared" si="34"/>
        <v>0</v>
      </c>
      <c r="R1851" s="229"/>
      <c r="S1851" s="229"/>
      <c r="T1851" s="229"/>
      <c r="U1851" s="229"/>
      <c r="V1851" s="229"/>
      <c r="W1851" s="229"/>
      <c r="X1851" s="229"/>
    </row>
    <row r="1852" spans="1:24" ht="15.75" hidden="1">
      <c r="A1852" s="343"/>
      <c r="B1852" s="344"/>
      <c r="C1852" s="275"/>
      <c r="D1852" s="275"/>
      <c r="E1852" s="275"/>
      <c r="F1852" s="275"/>
      <c r="G1852" s="275"/>
      <c r="H1852" s="275"/>
      <c r="I1852" s="275"/>
      <c r="J1852" s="275"/>
      <c r="K1852" s="275"/>
      <c r="L1852" s="275"/>
      <c r="M1852" s="275"/>
      <c r="N1852" s="275"/>
      <c r="O1852" s="276"/>
      <c r="P1852" s="276"/>
      <c r="Q1852" s="247">
        <f t="shared" si="34"/>
        <v>0</v>
      </c>
      <c r="R1852" s="229"/>
      <c r="S1852" s="229"/>
      <c r="T1852" s="229"/>
      <c r="U1852" s="229"/>
      <c r="V1852" s="229"/>
      <c r="W1852" s="229"/>
      <c r="X1852" s="229"/>
    </row>
    <row r="1853" spans="1:24" ht="15.75" hidden="1">
      <c r="A1853" s="343"/>
      <c r="B1853" s="344"/>
      <c r="C1853" s="275"/>
      <c r="D1853" s="275"/>
      <c r="E1853" s="275"/>
      <c r="F1853" s="275"/>
      <c r="G1853" s="275"/>
      <c r="H1853" s="275"/>
      <c r="I1853" s="275"/>
      <c r="J1853" s="275"/>
      <c r="K1853" s="275"/>
      <c r="L1853" s="275"/>
      <c r="M1853" s="275"/>
      <c r="N1853" s="275"/>
      <c r="O1853" s="276"/>
      <c r="P1853" s="276"/>
      <c r="Q1853" s="247">
        <f t="shared" si="34"/>
        <v>0</v>
      </c>
      <c r="R1853" s="229"/>
      <c r="S1853" s="229"/>
      <c r="T1853" s="229"/>
      <c r="U1853" s="229"/>
      <c r="V1853" s="229"/>
      <c r="W1853" s="229"/>
      <c r="X1853" s="229"/>
    </row>
    <row r="1854" spans="1:24" ht="15.75" hidden="1">
      <c r="A1854" s="343"/>
      <c r="B1854" s="344"/>
      <c r="C1854" s="275"/>
      <c r="D1854" s="275"/>
      <c r="E1854" s="275"/>
      <c r="F1854" s="275"/>
      <c r="G1854" s="275"/>
      <c r="H1854" s="275"/>
      <c r="I1854" s="275"/>
      <c r="J1854" s="275"/>
      <c r="K1854" s="275"/>
      <c r="L1854" s="275"/>
      <c r="M1854" s="275"/>
      <c r="N1854" s="275"/>
      <c r="O1854" s="276"/>
      <c r="P1854" s="276"/>
      <c r="Q1854" s="247">
        <f t="shared" si="34"/>
        <v>0</v>
      </c>
      <c r="R1854" s="229"/>
      <c r="S1854" s="229"/>
      <c r="T1854" s="229"/>
      <c r="U1854" s="229"/>
      <c r="V1854" s="229"/>
      <c r="W1854" s="229"/>
      <c r="X1854" s="229"/>
    </row>
    <row r="1855" spans="1:24" ht="15.75" hidden="1">
      <c r="A1855" s="343"/>
      <c r="B1855" s="344"/>
      <c r="C1855" s="275"/>
      <c r="D1855" s="275"/>
      <c r="E1855" s="275"/>
      <c r="F1855" s="275"/>
      <c r="G1855" s="275"/>
      <c r="H1855" s="275"/>
      <c r="I1855" s="275"/>
      <c r="J1855" s="275"/>
      <c r="K1855" s="275"/>
      <c r="L1855" s="275"/>
      <c r="M1855" s="275"/>
      <c r="N1855" s="275"/>
      <c r="O1855" s="276"/>
      <c r="P1855" s="276"/>
      <c r="Q1855" s="247">
        <f t="shared" si="34"/>
        <v>0</v>
      </c>
      <c r="R1855" s="229"/>
      <c r="S1855" s="229"/>
      <c r="T1855" s="229"/>
      <c r="U1855" s="229"/>
      <c r="V1855" s="229"/>
      <c r="W1855" s="229"/>
      <c r="X1855" s="229"/>
    </row>
    <row r="1856" spans="1:24" ht="15.75" hidden="1">
      <c r="A1856" s="343"/>
      <c r="B1856" s="344"/>
      <c r="C1856" s="275"/>
      <c r="D1856" s="275"/>
      <c r="E1856" s="275"/>
      <c r="F1856" s="275"/>
      <c r="G1856" s="275"/>
      <c r="H1856" s="275"/>
      <c r="I1856" s="275"/>
      <c r="J1856" s="275"/>
      <c r="K1856" s="275"/>
      <c r="L1856" s="275"/>
      <c r="M1856" s="275"/>
      <c r="N1856" s="275"/>
      <c r="O1856" s="276"/>
      <c r="P1856" s="276"/>
      <c r="Q1856" s="247">
        <f t="shared" si="34"/>
        <v>0</v>
      </c>
      <c r="R1856" s="229"/>
      <c r="S1856" s="229"/>
      <c r="T1856" s="229"/>
      <c r="U1856" s="229"/>
      <c r="V1856" s="229"/>
      <c r="W1856" s="229"/>
      <c r="X1856" s="229"/>
    </row>
    <row r="1857" spans="1:24" ht="15.75" hidden="1">
      <c r="A1857" s="343"/>
      <c r="B1857" s="344"/>
      <c r="C1857" s="275"/>
      <c r="D1857" s="275"/>
      <c r="E1857" s="275"/>
      <c r="F1857" s="275"/>
      <c r="G1857" s="275"/>
      <c r="H1857" s="275"/>
      <c r="I1857" s="275"/>
      <c r="J1857" s="275"/>
      <c r="K1857" s="275"/>
      <c r="L1857" s="275"/>
      <c r="M1857" s="275"/>
      <c r="N1857" s="275"/>
      <c r="O1857" s="276"/>
      <c r="P1857" s="276"/>
      <c r="Q1857" s="247">
        <f t="shared" si="34"/>
        <v>0</v>
      </c>
      <c r="R1857" s="229"/>
      <c r="S1857" s="229"/>
      <c r="T1857" s="229"/>
      <c r="U1857" s="229"/>
      <c r="V1857" s="229"/>
      <c r="W1857" s="229"/>
      <c r="X1857" s="229"/>
    </row>
    <row r="1858" spans="1:24" ht="15.75" hidden="1">
      <c r="A1858" s="343"/>
      <c r="B1858" s="344"/>
      <c r="C1858" s="275"/>
      <c r="D1858" s="275"/>
      <c r="E1858" s="275"/>
      <c r="F1858" s="275"/>
      <c r="G1858" s="275"/>
      <c r="H1858" s="275"/>
      <c r="I1858" s="275"/>
      <c r="J1858" s="275"/>
      <c r="K1858" s="275"/>
      <c r="L1858" s="275"/>
      <c r="M1858" s="275"/>
      <c r="N1858" s="275"/>
      <c r="O1858" s="276"/>
      <c r="P1858" s="276"/>
      <c r="Q1858" s="247">
        <f t="shared" si="34"/>
        <v>0</v>
      </c>
      <c r="R1858" s="229"/>
      <c r="S1858" s="229"/>
      <c r="T1858" s="229"/>
      <c r="U1858" s="229"/>
      <c r="V1858" s="229"/>
      <c r="W1858" s="229"/>
      <c r="X1858" s="229"/>
    </row>
    <row r="1859" spans="1:24" ht="15.75" hidden="1">
      <c r="A1859" s="343"/>
      <c r="B1859" s="344"/>
      <c r="C1859" s="275"/>
      <c r="D1859" s="275"/>
      <c r="E1859" s="275"/>
      <c r="F1859" s="275"/>
      <c r="G1859" s="275"/>
      <c r="H1859" s="275"/>
      <c r="I1859" s="275"/>
      <c r="J1859" s="275"/>
      <c r="K1859" s="275"/>
      <c r="L1859" s="275"/>
      <c r="M1859" s="275"/>
      <c r="N1859" s="275"/>
      <c r="O1859" s="276"/>
      <c r="P1859" s="276"/>
      <c r="Q1859" s="247">
        <f t="shared" si="34"/>
        <v>0</v>
      </c>
      <c r="R1859" s="229"/>
      <c r="S1859" s="229"/>
      <c r="T1859" s="229"/>
      <c r="U1859" s="229"/>
      <c r="V1859" s="229"/>
      <c r="W1859" s="229"/>
      <c r="X1859" s="229"/>
    </row>
    <row r="1860" spans="1:24" ht="15.75" hidden="1">
      <c r="A1860" s="343"/>
      <c r="B1860" s="344"/>
      <c r="C1860" s="275"/>
      <c r="D1860" s="275"/>
      <c r="E1860" s="275"/>
      <c r="F1860" s="275"/>
      <c r="G1860" s="275"/>
      <c r="H1860" s="275"/>
      <c r="I1860" s="275"/>
      <c r="J1860" s="275"/>
      <c r="K1860" s="275"/>
      <c r="L1860" s="275"/>
      <c r="M1860" s="275"/>
      <c r="N1860" s="275"/>
      <c r="O1860" s="276"/>
      <c r="P1860" s="276"/>
      <c r="Q1860" s="247">
        <f t="shared" si="34"/>
        <v>0</v>
      </c>
      <c r="R1860" s="229"/>
      <c r="S1860" s="229"/>
      <c r="T1860" s="229"/>
      <c r="U1860" s="229"/>
      <c r="V1860" s="229"/>
      <c r="W1860" s="229"/>
      <c r="X1860" s="229"/>
    </row>
    <row r="1861" spans="1:24" ht="15.75" hidden="1">
      <c r="A1861" s="343"/>
      <c r="B1861" s="344"/>
      <c r="C1861" s="275"/>
      <c r="D1861" s="275"/>
      <c r="E1861" s="275"/>
      <c r="F1861" s="275"/>
      <c r="G1861" s="275"/>
      <c r="H1861" s="275"/>
      <c r="I1861" s="275"/>
      <c r="J1861" s="275"/>
      <c r="K1861" s="275"/>
      <c r="L1861" s="275"/>
      <c r="M1861" s="275"/>
      <c r="N1861" s="275"/>
      <c r="O1861" s="276"/>
      <c r="P1861" s="276"/>
      <c r="Q1861" s="247">
        <f t="shared" si="34"/>
        <v>0</v>
      </c>
      <c r="R1861" s="229"/>
      <c r="S1861" s="229"/>
      <c r="T1861" s="229"/>
      <c r="U1861" s="229"/>
      <c r="V1861" s="229"/>
      <c r="W1861" s="229"/>
      <c r="X1861" s="229"/>
    </row>
    <row r="1862" spans="1:24" ht="15.75" hidden="1">
      <c r="A1862" s="343"/>
      <c r="B1862" s="344"/>
      <c r="C1862" s="275"/>
      <c r="D1862" s="275"/>
      <c r="E1862" s="275"/>
      <c r="F1862" s="275"/>
      <c r="G1862" s="275"/>
      <c r="H1862" s="275"/>
      <c r="I1862" s="275"/>
      <c r="J1862" s="275"/>
      <c r="K1862" s="275"/>
      <c r="L1862" s="275"/>
      <c r="M1862" s="275"/>
      <c r="N1862" s="275"/>
      <c r="O1862" s="276"/>
      <c r="P1862" s="276"/>
      <c r="Q1862" s="247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9"/>
      <c r="S1862" s="229"/>
      <c r="T1862" s="229"/>
      <c r="U1862" s="229"/>
      <c r="V1862" s="229"/>
      <c r="W1862" s="229"/>
      <c r="X1862" s="229"/>
    </row>
    <row r="1863" spans="1:24" ht="15.75" hidden="1">
      <c r="A1863" s="343"/>
      <c r="B1863" s="344"/>
      <c r="C1863" s="275"/>
      <c r="D1863" s="275"/>
      <c r="E1863" s="275"/>
      <c r="F1863" s="275"/>
      <c r="G1863" s="275"/>
      <c r="H1863" s="275"/>
      <c r="I1863" s="275"/>
      <c r="J1863" s="275"/>
      <c r="K1863" s="275"/>
      <c r="L1863" s="275"/>
      <c r="M1863" s="275"/>
      <c r="N1863" s="275"/>
      <c r="O1863" s="276"/>
      <c r="P1863" s="276"/>
      <c r="Q1863" s="247">
        <f t="shared" si="35"/>
        <v>0</v>
      </c>
      <c r="R1863" s="229"/>
      <c r="S1863" s="229"/>
      <c r="T1863" s="229"/>
      <c r="U1863" s="229"/>
      <c r="V1863" s="229"/>
      <c r="W1863" s="229"/>
      <c r="X1863" s="229"/>
    </row>
    <row r="1864" spans="1:24" ht="15.75" hidden="1">
      <c r="A1864" s="343"/>
      <c r="B1864" s="344"/>
      <c r="C1864" s="275"/>
      <c r="D1864" s="275"/>
      <c r="E1864" s="275"/>
      <c r="F1864" s="275"/>
      <c r="G1864" s="275"/>
      <c r="H1864" s="275"/>
      <c r="I1864" s="275"/>
      <c r="J1864" s="275"/>
      <c r="K1864" s="275"/>
      <c r="L1864" s="275"/>
      <c r="M1864" s="275"/>
      <c r="N1864" s="275"/>
      <c r="O1864" s="276"/>
      <c r="P1864" s="276"/>
      <c r="Q1864" s="247">
        <f t="shared" si="35"/>
        <v>0</v>
      </c>
      <c r="R1864" s="229"/>
      <c r="S1864" s="229"/>
      <c r="T1864" s="229"/>
      <c r="U1864" s="229"/>
      <c r="V1864" s="229"/>
      <c r="W1864" s="229"/>
      <c r="X1864" s="229"/>
    </row>
    <row r="1865" spans="1:24" ht="15.75" hidden="1">
      <c r="A1865" s="343"/>
      <c r="B1865" s="344"/>
      <c r="C1865" s="275"/>
      <c r="D1865" s="275"/>
      <c r="E1865" s="275"/>
      <c r="F1865" s="275"/>
      <c r="G1865" s="275"/>
      <c r="H1865" s="275"/>
      <c r="I1865" s="275"/>
      <c r="J1865" s="275"/>
      <c r="K1865" s="275"/>
      <c r="L1865" s="275"/>
      <c r="M1865" s="275"/>
      <c r="N1865" s="275"/>
      <c r="O1865" s="276"/>
      <c r="P1865" s="276"/>
      <c r="Q1865" s="247">
        <f t="shared" si="35"/>
        <v>0</v>
      </c>
      <c r="R1865" s="229"/>
      <c r="S1865" s="229"/>
      <c r="T1865" s="229"/>
      <c r="U1865" s="229"/>
      <c r="V1865" s="229"/>
      <c r="W1865" s="229"/>
      <c r="X1865" s="229"/>
    </row>
    <row r="1866" spans="1:24" ht="15.75" hidden="1">
      <c r="A1866" s="343"/>
      <c r="B1866" s="344"/>
      <c r="C1866" s="275"/>
      <c r="D1866" s="275"/>
      <c r="E1866" s="275"/>
      <c r="F1866" s="275"/>
      <c r="G1866" s="275"/>
      <c r="H1866" s="275"/>
      <c r="I1866" s="275"/>
      <c r="J1866" s="275"/>
      <c r="K1866" s="275"/>
      <c r="L1866" s="275"/>
      <c r="M1866" s="275"/>
      <c r="N1866" s="275"/>
      <c r="O1866" s="276"/>
      <c r="P1866" s="276"/>
      <c r="Q1866" s="247">
        <f t="shared" si="35"/>
        <v>0</v>
      </c>
      <c r="R1866" s="229"/>
      <c r="S1866" s="229"/>
      <c r="T1866" s="229"/>
      <c r="U1866" s="229"/>
      <c r="V1866" s="229"/>
      <c r="W1866" s="229"/>
      <c r="X1866" s="229"/>
    </row>
    <row r="1867" spans="1:24" ht="15.75" hidden="1">
      <c r="A1867" s="343"/>
      <c r="B1867" s="344"/>
      <c r="C1867" s="275"/>
      <c r="D1867" s="275"/>
      <c r="E1867" s="275"/>
      <c r="F1867" s="275"/>
      <c r="G1867" s="275"/>
      <c r="H1867" s="275"/>
      <c r="I1867" s="275"/>
      <c r="J1867" s="275"/>
      <c r="K1867" s="275"/>
      <c r="L1867" s="275"/>
      <c r="M1867" s="275"/>
      <c r="N1867" s="275"/>
      <c r="O1867" s="276"/>
      <c r="P1867" s="276"/>
      <c r="Q1867" s="247">
        <f t="shared" si="35"/>
        <v>0</v>
      </c>
      <c r="R1867" s="229"/>
      <c r="S1867" s="229"/>
      <c r="T1867" s="229"/>
      <c r="U1867" s="229"/>
      <c r="V1867" s="229"/>
      <c r="W1867" s="229"/>
      <c r="X1867" s="229"/>
    </row>
    <row r="1868" spans="1:24" ht="15.75" hidden="1">
      <c r="A1868" s="343"/>
      <c r="B1868" s="344"/>
      <c r="C1868" s="275"/>
      <c r="D1868" s="275"/>
      <c r="E1868" s="275"/>
      <c r="F1868" s="275"/>
      <c r="G1868" s="275"/>
      <c r="H1868" s="275"/>
      <c r="I1868" s="275"/>
      <c r="J1868" s="275"/>
      <c r="K1868" s="275"/>
      <c r="L1868" s="275"/>
      <c r="M1868" s="275"/>
      <c r="N1868" s="275"/>
      <c r="O1868" s="276"/>
      <c r="P1868" s="276"/>
      <c r="Q1868" s="247">
        <f t="shared" si="35"/>
        <v>0</v>
      </c>
      <c r="R1868" s="229"/>
      <c r="S1868" s="229"/>
      <c r="T1868" s="229"/>
      <c r="U1868" s="229"/>
      <c r="V1868" s="229"/>
      <c r="W1868" s="229"/>
      <c r="X1868" s="229"/>
    </row>
    <row r="1869" spans="1:24" ht="15.75" hidden="1">
      <c r="A1869" s="343"/>
      <c r="B1869" s="344"/>
      <c r="C1869" s="275"/>
      <c r="D1869" s="275"/>
      <c r="E1869" s="275"/>
      <c r="F1869" s="275"/>
      <c r="G1869" s="275"/>
      <c r="H1869" s="275"/>
      <c r="I1869" s="275"/>
      <c r="J1869" s="275"/>
      <c r="K1869" s="275"/>
      <c r="L1869" s="275"/>
      <c r="M1869" s="275"/>
      <c r="N1869" s="275"/>
      <c r="O1869" s="276"/>
      <c r="P1869" s="276"/>
      <c r="Q1869" s="247">
        <f t="shared" si="35"/>
        <v>0</v>
      </c>
      <c r="R1869" s="229"/>
      <c r="S1869" s="229"/>
      <c r="T1869" s="229"/>
      <c r="U1869" s="229"/>
      <c r="V1869" s="229"/>
      <c r="W1869" s="229"/>
      <c r="X1869" s="229"/>
    </row>
    <row r="1870" spans="1:24" ht="15.75" hidden="1">
      <c r="A1870" s="343"/>
      <c r="B1870" s="344"/>
      <c r="C1870" s="275"/>
      <c r="D1870" s="275"/>
      <c r="E1870" s="275"/>
      <c r="F1870" s="275"/>
      <c r="G1870" s="275"/>
      <c r="H1870" s="275"/>
      <c r="I1870" s="275"/>
      <c r="J1870" s="275"/>
      <c r="K1870" s="275"/>
      <c r="L1870" s="275"/>
      <c r="M1870" s="275"/>
      <c r="N1870" s="275"/>
      <c r="O1870" s="276"/>
      <c r="P1870" s="276"/>
      <c r="Q1870" s="247">
        <f t="shared" si="35"/>
        <v>0</v>
      </c>
      <c r="R1870" s="229"/>
      <c r="S1870" s="229"/>
      <c r="T1870" s="229"/>
      <c r="U1870" s="229"/>
      <c r="V1870" s="229"/>
      <c r="W1870" s="229"/>
      <c r="X1870" s="229"/>
    </row>
    <row r="1871" spans="1:24" ht="15.75" hidden="1">
      <c r="A1871" s="343"/>
      <c r="B1871" s="344"/>
      <c r="C1871" s="275"/>
      <c r="D1871" s="275"/>
      <c r="E1871" s="275"/>
      <c r="F1871" s="275"/>
      <c r="G1871" s="275"/>
      <c r="H1871" s="275"/>
      <c r="I1871" s="275"/>
      <c r="J1871" s="275"/>
      <c r="K1871" s="275"/>
      <c r="L1871" s="275"/>
      <c r="M1871" s="275"/>
      <c r="N1871" s="275"/>
      <c r="O1871" s="276"/>
      <c r="P1871" s="276"/>
      <c r="Q1871" s="247">
        <f t="shared" si="35"/>
        <v>0</v>
      </c>
      <c r="R1871" s="229"/>
      <c r="S1871" s="229"/>
      <c r="T1871" s="229"/>
      <c r="U1871" s="229"/>
      <c r="V1871" s="229"/>
      <c r="W1871" s="229"/>
      <c r="X1871" s="229"/>
    </row>
    <row r="1872" spans="1:24" ht="15.75" hidden="1">
      <c r="A1872" s="343"/>
      <c r="B1872" s="344"/>
      <c r="C1872" s="275"/>
      <c r="D1872" s="275"/>
      <c r="E1872" s="275"/>
      <c r="F1872" s="275"/>
      <c r="G1872" s="275"/>
      <c r="H1872" s="275"/>
      <c r="I1872" s="275"/>
      <c r="J1872" s="275"/>
      <c r="K1872" s="275"/>
      <c r="L1872" s="275"/>
      <c r="M1872" s="275"/>
      <c r="N1872" s="275"/>
      <c r="O1872" s="276"/>
      <c r="P1872" s="276"/>
      <c r="Q1872" s="247">
        <f t="shared" si="35"/>
        <v>0</v>
      </c>
      <c r="R1872" s="229"/>
      <c r="S1872" s="229"/>
      <c r="T1872" s="229"/>
      <c r="U1872" s="229"/>
      <c r="V1872" s="229"/>
      <c r="W1872" s="229"/>
      <c r="X1872" s="229"/>
    </row>
    <row r="1873" spans="1:24" ht="15.75" hidden="1">
      <c r="A1873" s="343"/>
      <c r="B1873" s="344"/>
      <c r="C1873" s="275"/>
      <c r="D1873" s="275"/>
      <c r="E1873" s="275"/>
      <c r="F1873" s="275"/>
      <c r="G1873" s="275"/>
      <c r="H1873" s="275"/>
      <c r="I1873" s="275"/>
      <c r="J1873" s="275"/>
      <c r="K1873" s="275"/>
      <c r="L1873" s="275"/>
      <c r="M1873" s="275"/>
      <c r="N1873" s="275"/>
      <c r="O1873" s="276"/>
      <c r="P1873" s="276"/>
      <c r="Q1873" s="247">
        <f t="shared" si="35"/>
        <v>0</v>
      </c>
      <c r="R1873" s="229"/>
      <c r="S1873" s="229"/>
      <c r="T1873" s="229"/>
      <c r="U1873" s="229"/>
      <c r="V1873" s="229"/>
      <c r="W1873" s="229"/>
      <c r="X1873" s="229"/>
    </row>
    <row r="1874" spans="1:24" ht="15.75" hidden="1">
      <c r="A1874" s="343"/>
      <c r="B1874" s="344"/>
      <c r="C1874" s="275"/>
      <c r="D1874" s="275"/>
      <c r="E1874" s="275"/>
      <c r="F1874" s="275"/>
      <c r="G1874" s="275"/>
      <c r="H1874" s="275"/>
      <c r="I1874" s="275"/>
      <c r="J1874" s="275"/>
      <c r="K1874" s="275"/>
      <c r="L1874" s="275"/>
      <c r="M1874" s="275"/>
      <c r="N1874" s="275"/>
      <c r="O1874" s="276"/>
      <c r="P1874" s="276"/>
      <c r="Q1874" s="247">
        <f t="shared" si="35"/>
        <v>0</v>
      </c>
      <c r="R1874" s="229"/>
      <c r="S1874" s="229"/>
      <c r="T1874" s="229"/>
      <c r="U1874" s="229"/>
      <c r="V1874" s="229"/>
      <c r="W1874" s="229"/>
      <c r="X1874" s="229"/>
    </row>
    <row r="1875" spans="1:24" ht="15.75" hidden="1">
      <c r="A1875" s="343"/>
      <c r="B1875" s="344"/>
      <c r="C1875" s="275"/>
      <c r="D1875" s="275"/>
      <c r="E1875" s="275"/>
      <c r="F1875" s="275"/>
      <c r="G1875" s="275"/>
      <c r="H1875" s="275"/>
      <c r="I1875" s="275"/>
      <c r="J1875" s="275"/>
      <c r="K1875" s="275"/>
      <c r="L1875" s="275"/>
      <c r="M1875" s="275"/>
      <c r="N1875" s="275"/>
      <c r="O1875" s="276"/>
      <c r="P1875" s="276"/>
      <c r="Q1875" s="247">
        <f t="shared" si="35"/>
        <v>0</v>
      </c>
      <c r="R1875" s="229"/>
      <c r="S1875" s="229"/>
      <c r="T1875" s="229"/>
      <c r="U1875" s="229"/>
      <c r="V1875" s="229"/>
      <c r="W1875" s="229"/>
      <c r="X1875" s="229"/>
    </row>
    <row r="1876" spans="1:24" ht="15.75" hidden="1">
      <c r="A1876" s="343"/>
      <c r="B1876" s="344"/>
      <c r="C1876" s="275"/>
      <c r="D1876" s="275"/>
      <c r="E1876" s="275"/>
      <c r="F1876" s="275"/>
      <c r="G1876" s="275"/>
      <c r="H1876" s="275"/>
      <c r="I1876" s="275"/>
      <c r="J1876" s="275"/>
      <c r="K1876" s="275"/>
      <c r="L1876" s="275"/>
      <c r="M1876" s="275"/>
      <c r="N1876" s="275"/>
      <c r="O1876" s="276"/>
      <c r="P1876" s="276"/>
      <c r="Q1876" s="247">
        <f t="shared" si="35"/>
        <v>0</v>
      </c>
      <c r="R1876" s="229"/>
      <c r="S1876" s="229"/>
      <c r="T1876" s="229"/>
      <c r="U1876" s="229"/>
      <c r="V1876" s="229"/>
      <c r="W1876" s="229"/>
      <c r="X1876" s="229"/>
    </row>
    <row r="1877" spans="1:24" ht="15.75" hidden="1">
      <c r="A1877" s="343"/>
      <c r="B1877" s="344"/>
      <c r="C1877" s="275"/>
      <c r="D1877" s="275"/>
      <c r="E1877" s="275"/>
      <c r="F1877" s="275"/>
      <c r="G1877" s="275"/>
      <c r="H1877" s="275"/>
      <c r="I1877" s="275"/>
      <c r="J1877" s="275"/>
      <c r="K1877" s="275"/>
      <c r="L1877" s="275"/>
      <c r="M1877" s="275"/>
      <c r="N1877" s="275"/>
      <c r="O1877" s="276"/>
      <c r="P1877" s="276"/>
      <c r="Q1877" s="247">
        <f t="shared" si="35"/>
        <v>0</v>
      </c>
      <c r="R1877" s="229"/>
      <c r="S1877" s="229"/>
      <c r="T1877" s="229"/>
      <c r="U1877" s="229"/>
      <c r="V1877" s="229"/>
      <c r="W1877" s="229"/>
      <c r="X1877" s="229"/>
    </row>
    <row r="1878" spans="1:24" ht="15.75" hidden="1">
      <c r="A1878" s="343"/>
      <c r="B1878" s="344"/>
      <c r="C1878" s="275"/>
      <c r="D1878" s="275"/>
      <c r="E1878" s="275"/>
      <c r="F1878" s="275"/>
      <c r="G1878" s="275"/>
      <c r="H1878" s="275"/>
      <c r="I1878" s="275"/>
      <c r="J1878" s="275"/>
      <c r="K1878" s="275"/>
      <c r="L1878" s="275"/>
      <c r="M1878" s="275"/>
      <c r="N1878" s="275"/>
      <c r="O1878" s="276"/>
      <c r="P1878" s="276"/>
      <c r="Q1878" s="247">
        <f t="shared" si="35"/>
        <v>0</v>
      </c>
      <c r="R1878" s="229"/>
      <c r="S1878" s="229"/>
      <c r="T1878" s="229"/>
      <c r="U1878" s="229"/>
      <c r="V1878" s="229"/>
      <c r="W1878" s="229"/>
      <c r="X1878" s="229"/>
    </row>
    <row r="1879" spans="1:24" ht="15.75" hidden="1">
      <c r="A1879" s="343"/>
      <c r="B1879" s="344"/>
      <c r="C1879" s="275"/>
      <c r="D1879" s="275"/>
      <c r="E1879" s="275"/>
      <c r="F1879" s="275"/>
      <c r="G1879" s="275"/>
      <c r="H1879" s="275"/>
      <c r="I1879" s="275"/>
      <c r="J1879" s="275"/>
      <c r="K1879" s="275"/>
      <c r="L1879" s="275"/>
      <c r="M1879" s="275"/>
      <c r="N1879" s="275"/>
      <c r="O1879" s="276"/>
      <c r="P1879" s="276"/>
      <c r="Q1879" s="247">
        <f t="shared" si="35"/>
        <v>0</v>
      </c>
      <c r="R1879" s="229"/>
      <c r="S1879" s="229"/>
      <c r="T1879" s="229"/>
      <c r="U1879" s="229"/>
      <c r="V1879" s="229"/>
      <c r="W1879" s="229"/>
      <c r="X1879" s="229"/>
    </row>
    <row r="1880" spans="1:24" ht="15.75" hidden="1">
      <c r="A1880" s="343"/>
      <c r="B1880" s="344"/>
      <c r="C1880" s="275"/>
      <c r="D1880" s="275"/>
      <c r="E1880" s="275"/>
      <c r="F1880" s="275"/>
      <c r="G1880" s="275"/>
      <c r="H1880" s="275"/>
      <c r="I1880" s="275"/>
      <c r="J1880" s="275"/>
      <c r="K1880" s="275"/>
      <c r="L1880" s="275"/>
      <c r="M1880" s="275"/>
      <c r="N1880" s="275"/>
      <c r="O1880" s="276"/>
      <c r="P1880" s="276"/>
      <c r="Q1880" s="247">
        <f t="shared" si="35"/>
        <v>0</v>
      </c>
      <c r="R1880" s="229"/>
      <c r="S1880" s="229"/>
      <c r="T1880" s="229"/>
      <c r="U1880" s="229"/>
      <c r="V1880" s="229"/>
      <c r="W1880" s="229"/>
      <c r="X1880" s="229"/>
    </row>
    <row r="1881" spans="1:24" ht="15.75" hidden="1">
      <c r="A1881" s="343"/>
      <c r="B1881" s="344"/>
      <c r="C1881" s="275"/>
      <c r="D1881" s="275"/>
      <c r="E1881" s="275"/>
      <c r="F1881" s="275"/>
      <c r="G1881" s="275"/>
      <c r="H1881" s="275"/>
      <c r="I1881" s="275"/>
      <c r="J1881" s="275"/>
      <c r="K1881" s="275"/>
      <c r="L1881" s="275"/>
      <c r="M1881" s="275"/>
      <c r="N1881" s="275"/>
      <c r="O1881" s="276"/>
      <c r="P1881" s="276"/>
      <c r="Q1881" s="247">
        <f t="shared" si="35"/>
        <v>0</v>
      </c>
      <c r="R1881" s="229"/>
      <c r="S1881" s="229"/>
      <c r="T1881" s="229"/>
      <c r="U1881" s="229"/>
      <c r="V1881" s="229"/>
      <c r="W1881" s="229"/>
      <c r="X1881" s="229"/>
    </row>
    <row r="1882" spans="1:24" ht="15.75" hidden="1">
      <c r="A1882" s="343"/>
      <c r="B1882" s="344"/>
      <c r="C1882" s="275"/>
      <c r="D1882" s="275"/>
      <c r="E1882" s="275"/>
      <c r="F1882" s="275"/>
      <c r="G1882" s="275"/>
      <c r="H1882" s="275"/>
      <c r="I1882" s="275"/>
      <c r="J1882" s="275"/>
      <c r="K1882" s="275"/>
      <c r="L1882" s="275"/>
      <c r="M1882" s="275"/>
      <c r="N1882" s="275"/>
      <c r="O1882" s="276"/>
      <c r="P1882" s="276"/>
      <c r="Q1882" s="247">
        <f t="shared" si="35"/>
        <v>0</v>
      </c>
      <c r="R1882" s="229"/>
      <c r="S1882" s="229"/>
      <c r="T1882" s="229"/>
      <c r="U1882" s="229"/>
      <c r="V1882" s="229"/>
      <c r="W1882" s="229"/>
      <c r="X1882" s="229"/>
    </row>
    <row r="1883" spans="1:24" ht="15.75" hidden="1">
      <c r="A1883" s="343"/>
      <c r="B1883" s="344"/>
      <c r="C1883" s="275"/>
      <c r="D1883" s="275"/>
      <c r="E1883" s="275"/>
      <c r="F1883" s="275"/>
      <c r="G1883" s="275"/>
      <c r="H1883" s="275"/>
      <c r="I1883" s="275"/>
      <c r="J1883" s="275"/>
      <c r="K1883" s="275"/>
      <c r="L1883" s="275"/>
      <c r="M1883" s="275"/>
      <c r="N1883" s="275"/>
      <c r="O1883" s="276"/>
      <c r="P1883" s="276"/>
      <c r="Q1883" s="247">
        <f t="shared" si="35"/>
        <v>0</v>
      </c>
      <c r="R1883" s="229"/>
      <c r="S1883" s="229"/>
      <c r="T1883" s="229"/>
      <c r="U1883" s="229"/>
      <c r="V1883" s="229"/>
      <c r="W1883" s="229"/>
      <c r="X1883" s="229"/>
    </row>
    <row r="1884" spans="1:24" ht="15.75" hidden="1">
      <c r="A1884" s="343"/>
      <c r="B1884" s="344"/>
      <c r="C1884" s="275"/>
      <c r="D1884" s="275"/>
      <c r="E1884" s="275"/>
      <c r="F1884" s="275"/>
      <c r="G1884" s="275"/>
      <c r="H1884" s="275"/>
      <c r="I1884" s="275"/>
      <c r="J1884" s="275"/>
      <c r="K1884" s="275"/>
      <c r="L1884" s="275"/>
      <c r="M1884" s="275"/>
      <c r="N1884" s="275"/>
      <c r="O1884" s="276"/>
      <c r="P1884" s="276"/>
      <c r="Q1884" s="247">
        <f t="shared" si="35"/>
        <v>0</v>
      </c>
      <c r="R1884" s="229"/>
      <c r="S1884" s="229"/>
      <c r="T1884" s="229"/>
      <c r="U1884" s="229"/>
      <c r="V1884" s="229"/>
      <c r="W1884" s="229"/>
      <c r="X1884" s="229"/>
    </row>
    <row r="1885" spans="1:24" ht="15.75" hidden="1">
      <c r="A1885" s="343"/>
      <c r="B1885" s="344"/>
      <c r="C1885" s="275"/>
      <c r="D1885" s="275"/>
      <c r="E1885" s="275"/>
      <c r="F1885" s="275"/>
      <c r="G1885" s="275"/>
      <c r="H1885" s="275"/>
      <c r="I1885" s="275"/>
      <c r="J1885" s="275"/>
      <c r="K1885" s="275"/>
      <c r="L1885" s="275"/>
      <c r="M1885" s="275"/>
      <c r="N1885" s="275"/>
      <c r="O1885" s="276"/>
      <c r="P1885" s="276"/>
      <c r="Q1885" s="247">
        <f t="shared" si="35"/>
        <v>0</v>
      </c>
      <c r="R1885" s="229"/>
      <c r="S1885" s="229"/>
      <c r="T1885" s="229"/>
      <c r="U1885" s="229"/>
      <c r="V1885" s="229"/>
      <c r="W1885" s="229"/>
      <c r="X1885" s="229"/>
    </row>
    <row r="1886" spans="1:24" ht="15.75" hidden="1">
      <c r="A1886" s="343"/>
      <c r="B1886" s="344"/>
      <c r="C1886" s="275"/>
      <c r="D1886" s="275"/>
      <c r="E1886" s="275"/>
      <c r="F1886" s="275"/>
      <c r="G1886" s="275"/>
      <c r="H1886" s="275"/>
      <c r="I1886" s="275"/>
      <c r="J1886" s="275"/>
      <c r="K1886" s="275"/>
      <c r="L1886" s="275"/>
      <c r="M1886" s="275"/>
      <c r="N1886" s="275"/>
      <c r="O1886" s="276"/>
      <c r="P1886" s="276"/>
      <c r="Q1886" s="247">
        <f t="shared" si="35"/>
        <v>0</v>
      </c>
      <c r="R1886" s="229"/>
      <c r="S1886" s="229"/>
      <c r="T1886" s="229"/>
      <c r="U1886" s="229"/>
      <c r="V1886" s="229"/>
      <c r="W1886" s="229"/>
      <c r="X1886" s="229"/>
    </row>
    <row r="1887" spans="1:24" ht="15.75" hidden="1">
      <c r="A1887" s="343"/>
      <c r="B1887" s="344"/>
      <c r="C1887" s="275"/>
      <c r="D1887" s="275"/>
      <c r="E1887" s="275"/>
      <c r="F1887" s="275"/>
      <c r="G1887" s="275"/>
      <c r="H1887" s="275"/>
      <c r="I1887" s="275"/>
      <c r="J1887" s="275"/>
      <c r="K1887" s="275"/>
      <c r="L1887" s="275"/>
      <c r="M1887" s="275"/>
      <c r="N1887" s="275"/>
      <c r="O1887" s="276"/>
      <c r="P1887" s="276"/>
      <c r="Q1887" s="247">
        <f t="shared" si="35"/>
        <v>0</v>
      </c>
      <c r="R1887" s="229"/>
      <c r="S1887" s="229"/>
      <c r="T1887" s="229"/>
      <c r="U1887" s="229"/>
      <c r="V1887" s="229"/>
      <c r="W1887" s="229"/>
      <c r="X1887" s="229"/>
    </row>
    <row r="1888" spans="1:24" ht="15.75" hidden="1">
      <c r="A1888" s="343"/>
      <c r="B1888" s="344"/>
      <c r="C1888" s="275"/>
      <c r="D1888" s="275"/>
      <c r="E1888" s="275"/>
      <c r="F1888" s="275"/>
      <c r="G1888" s="275"/>
      <c r="H1888" s="275"/>
      <c r="I1888" s="275"/>
      <c r="J1888" s="275"/>
      <c r="K1888" s="275"/>
      <c r="L1888" s="275"/>
      <c r="M1888" s="275"/>
      <c r="N1888" s="275"/>
      <c r="O1888" s="276"/>
      <c r="P1888" s="276"/>
      <c r="Q1888" s="247">
        <f t="shared" si="35"/>
        <v>0</v>
      </c>
      <c r="R1888" s="229"/>
      <c r="S1888" s="229"/>
      <c r="T1888" s="229"/>
      <c r="U1888" s="229"/>
      <c r="V1888" s="229"/>
      <c r="W1888" s="229"/>
      <c r="X1888" s="229"/>
    </row>
    <row r="1889" spans="1:24" ht="15.75" hidden="1">
      <c r="A1889" s="343"/>
      <c r="B1889" s="344"/>
      <c r="C1889" s="275"/>
      <c r="D1889" s="275"/>
      <c r="E1889" s="275"/>
      <c r="F1889" s="275"/>
      <c r="G1889" s="275"/>
      <c r="H1889" s="275"/>
      <c r="I1889" s="275"/>
      <c r="J1889" s="275"/>
      <c r="K1889" s="275"/>
      <c r="L1889" s="275"/>
      <c r="M1889" s="275"/>
      <c r="N1889" s="275"/>
      <c r="O1889" s="276"/>
      <c r="P1889" s="276"/>
      <c r="Q1889" s="247">
        <f t="shared" si="35"/>
        <v>0</v>
      </c>
      <c r="R1889" s="229"/>
      <c r="S1889" s="229"/>
      <c r="T1889" s="229"/>
      <c r="U1889" s="229"/>
      <c r="V1889" s="229"/>
      <c r="W1889" s="229"/>
      <c r="X1889" s="229"/>
    </row>
    <row r="1890" spans="1:24" ht="15.75" hidden="1">
      <c r="A1890" s="343"/>
      <c r="B1890" s="344"/>
      <c r="C1890" s="275"/>
      <c r="D1890" s="275"/>
      <c r="E1890" s="275"/>
      <c r="F1890" s="275"/>
      <c r="G1890" s="275"/>
      <c r="H1890" s="275"/>
      <c r="I1890" s="275"/>
      <c r="J1890" s="275"/>
      <c r="K1890" s="275"/>
      <c r="L1890" s="275"/>
      <c r="M1890" s="275"/>
      <c r="N1890" s="275"/>
      <c r="O1890" s="276"/>
      <c r="P1890" s="276"/>
      <c r="Q1890" s="247">
        <f t="shared" si="35"/>
        <v>0</v>
      </c>
      <c r="R1890" s="229"/>
      <c r="S1890" s="229"/>
      <c r="T1890" s="229"/>
      <c r="U1890" s="229"/>
      <c r="V1890" s="229"/>
      <c r="W1890" s="229"/>
      <c r="X1890" s="229"/>
    </row>
    <row r="1891" spans="1:24" ht="15.75" hidden="1">
      <c r="A1891" s="343"/>
      <c r="B1891" s="344"/>
      <c r="C1891" s="275"/>
      <c r="D1891" s="275"/>
      <c r="E1891" s="275"/>
      <c r="F1891" s="275"/>
      <c r="G1891" s="275"/>
      <c r="H1891" s="275"/>
      <c r="I1891" s="275"/>
      <c r="J1891" s="275"/>
      <c r="K1891" s="275"/>
      <c r="L1891" s="275"/>
      <c r="M1891" s="275"/>
      <c r="N1891" s="275"/>
      <c r="O1891" s="276"/>
      <c r="P1891" s="276"/>
      <c r="Q1891" s="247">
        <f t="shared" si="35"/>
        <v>0</v>
      </c>
      <c r="R1891" s="229"/>
      <c r="S1891" s="229"/>
      <c r="T1891" s="229"/>
      <c r="U1891" s="229"/>
      <c r="V1891" s="229"/>
      <c r="W1891" s="229"/>
      <c r="X1891" s="229"/>
    </row>
    <row r="1892" spans="1:24" ht="15.75" hidden="1">
      <c r="A1892" s="343"/>
      <c r="B1892" s="344"/>
      <c r="C1892" s="275"/>
      <c r="D1892" s="275"/>
      <c r="E1892" s="275"/>
      <c r="F1892" s="275"/>
      <c r="G1892" s="275"/>
      <c r="H1892" s="275"/>
      <c r="I1892" s="275"/>
      <c r="J1892" s="275"/>
      <c r="K1892" s="275"/>
      <c r="L1892" s="275"/>
      <c r="M1892" s="275"/>
      <c r="N1892" s="275"/>
      <c r="O1892" s="276"/>
      <c r="P1892" s="276"/>
      <c r="Q1892" s="247">
        <f t="shared" si="35"/>
        <v>0</v>
      </c>
      <c r="R1892" s="229"/>
      <c r="S1892" s="229"/>
      <c r="T1892" s="229"/>
      <c r="U1892" s="229"/>
      <c r="V1892" s="229"/>
      <c r="W1892" s="229"/>
      <c r="X1892" s="229"/>
    </row>
    <row r="1893" spans="1:24" ht="15.75" hidden="1">
      <c r="A1893" s="343"/>
      <c r="B1893" s="344"/>
      <c r="C1893" s="275"/>
      <c r="D1893" s="275"/>
      <c r="E1893" s="275"/>
      <c r="F1893" s="275"/>
      <c r="G1893" s="275"/>
      <c r="H1893" s="275"/>
      <c r="I1893" s="275"/>
      <c r="J1893" s="275"/>
      <c r="K1893" s="275"/>
      <c r="L1893" s="275"/>
      <c r="M1893" s="275"/>
      <c r="N1893" s="275"/>
      <c r="O1893" s="276"/>
      <c r="P1893" s="276"/>
      <c r="Q1893" s="247">
        <f t="shared" si="35"/>
        <v>0</v>
      </c>
      <c r="R1893" s="229"/>
      <c r="S1893" s="229"/>
      <c r="T1893" s="229"/>
      <c r="U1893" s="229"/>
      <c r="V1893" s="229"/>
      <c r="W1893" s="229"/>
      <c r="X1893" s="229"/>
    </row>
    <row r="1894" spans="1:24" ht="15.75" hidden="1">
      <c r="A1894" s="343"/>
      <c r="B1894" s="344"/>
      <c r="C1894" s="275"/>
      <c r="D1894" s="275"/>
      <c r="E1894" s="275"/>
      <c r="F1894" s="275"/>
      <c r="G1894" s="275"/>
      <c r="H1894" s="275"/>
      <c r="I1894" s="275"/>
      <c r="J1894" s="275"/>
      <c r="K1894" s="275"/>
      <c r="L1894" s="275"/>
      <c r="M1894" s="275"/>
      <c r="N1894" s="275"/>
      <c r="O1894" s="276"/>
      <c r="P1894" s="276"/>
      <c r="Q1894" s="247">
        <f t="shared" si="35"/>
        <v>0</v>
      </c>
      <c r="R1894" s="229"/>
      <c r="S1894" s="229"/>
      <c r="T1894" s="229"/>
      <c r="U1894" s="229"/>
      <c r="V1894" s="229"/>
      <c r="W1894" s="229"/>
      <c r="X1894" s="229"/>
    </row>
    <row r="1895" spans="1:24" ht="15.75" hidden="1">
      <c r="A1895" s="343"/>
      <c r="B1895" s="344"/>
      <c r="C1895" s="275"/>
      <c r="D1895" s="275"/>
      <c r="E1895" s="275"/>
      <c r="F1895" s="275"/>
      <c r="G1895" s="275"/>
      <c r="H1895" s="275"/>
      <c r="I1895" s="275"/>
      <c r="J1895" s="275"/>
      <c r="K1895" s="275"/>
      <c r="L1895" s="275"/>
      <c r="M1895" s="275"/>
      <c r="N1895" s="275"/>
      <c r="O1895" s="276"/>
      <c r="P1895" s="276"/>
      <c r="Q1895" s="247">
        <f t="shared" si="35"/>
        <v>0</v>
      </c>
      <c r="R1895" s="229"/>
      <c r="S1895" s="229"/>
      <c r="T1895" s="229"/>
      <c r="U1895" s="229"/>
      <c r="V1895" s="229"/>
      <c r="W1895" s="229"/>
      <c r="X1895" s="229"/>
    </row>
    <row r="1896" spans="1:24" ht="15.75" hidden="1">
      <c r="A1896" s="343"/>
      <c r="B1896" s="344"/>
      <c r="C1896" s="275"/>
      <c r="D1896" s="275"/>
      <c r="E1896" s="275"/>
      <c r="F1896" s="275"/>
      <c r="G1896" s="275"/>
      <c r="H1896" s="275"/>
      <c r="I1896" s="275"/>
      <c r="J1896" s="275"/>
      <c r="K1896" s="275"/>
      <c r="L1896" s="275"/>
      <c r="M1896" s="275"/>
      <c r="N1896" s="275"/>
      <c r="O1896" s="276"/>
      <c r="P1896" s="276"/>
      <c r="Q1896" s="247">
        <f t="shared" si="35"/>
        <v>0</v>
      </c>
      <c r="R1896" s="229"/>
      <c r="S1896" s="229"/>
      <c r="T1896" s="229"/>
      <c r="U1896" s="229"/>
      <c r="V1896" s="229"/>
      <c r="W1896" s="229"/>
      <c r="X1896" s="229"/>
    </row>
    <row r="1897" spans="1:24" ht="15.75" hidden="1">
      <c r="A1897" s="343"/>
      <c r="B1897" s="344"/>
      <c r="C1897" s="275"/>
      <c r="D1897" s="275"/>
      <c r="E1897" s="275"/>
      <c r="F1897" s="275"/>
      <c r="G1897" s="275"/>
      <c r="H1897" s="275"/>
      <c r="I1897" s="275"/>
      <c r="J1897" s="275"/>
      <c r="K1897" s="275"/>
      <c r="L1897" s="275"/>
      <c r="M1897" s="275"/>
      <c r="N1897" s="275"/>
      <c r="O1897" s="276"/>
      <c r="P1897" s="276"/>
      <c r="Q1897" s="247">
        <f t="shared" si="35"/>
        <v>0</v>
      </c>
      <c r="R1897" s="229"/>
      <c r="S1897" s="229"/>
      <c r="T1897" s="229"/>
      <c r="U1897" s="229"/>
      <c r="V1897" s="229"/>
      <c r="W1897" s="229"/>
      <c r="X1897" s="229"/>
    </row>
    <row r="1898" spans="1:24" ht="15.75" hidden="1">
      <c r="A1898" s="343"/>
      <c r="B1898" s="344"/>
      <c r="C1898" s="275"/>
      <c r="D1898" s="275"/>
      <c r="E1898" s="275"/>
      <c r="F1898" s="275"/>
      <c r="G1898" s="275"/>
      <c r="H1898" s="275"/>
      <c r="I1898" s="275"/>
      <c r="J1898" s="275"/>
      <c r="K1898" s="275"/>
      <c r="L1898" s="275"/>
      <c r="M1898" s="275"/>
      <c r="N1898" s="275"/>
      <c r="O1898" s="276"/>
      <c r="P1898" s="276"/>
      <c r="Q1898" s="247">
        <f t="shared" si="35"/>
        <v>0</v>
      </c>
      <c r="R1898" s="229"/>
      <c r="S1898" s="229"/>
      <c r="T1898" s="229"/>
      <c r="U1898" s="229"/>
      <c r="V1898" s="229"/>
      <c r="W1898" s="229"/>
      <c r="X1898" s="229"/>
    </row>
    <row r="1899" spans="1:24" ht="15.75" hidden="1">
      <c r="A1899" s="343"/>
      <c r="B1899" s="344"/>
      <c r="C1899" s="275"/>
      <c r="D1899" s="275"/>
      <c r="E1899" s="275"/>
      <c r="F1899" s="275"/>
      <c r="G1899" s="275"/>
      <c r="H1899" s="275"/>
      <c r="I1899" s="275"/>
      <c r="J1899" s="275"/>
      <c r="K1899" s="275"/>
      <c r="L1899" s="275"/>
      <c r="M1899" s="275"/>
      <c r="N1899" s="275"/>
      <c r="O1899" s="276"/>
      <c r="P1899" s="276"/>
      <c r="Q1899" s="247">
        <f t="shared" si="35"/>
        <v>0</v>
      </c>
      <c r="R1899" s="229"/>
      <c r="S1899" s="229"/>
      <c r="T1899" s="229"/>
      <c r="U1899" s="229"/>
      <c r="V1899" s="229"/>
      <c r="W1899" s="229"/>
      <c r="X1899" s="229"/>
    </row>
    <row r="1900" spans="1:24" ht="15.75" hidden="1">
      <c r="A1900" s="343"/>
      <c r="B1900" s="344"/>
      <c r="C1900" s="275"/>
      <c r="D1900" s="275"/>
      <c r="E1900" s="275"/>
      <c r="F1900" s="275"/>
      <c r="G1900" s="275"/>
      <c r="H1900" s="275"/>
      <c r="I1900" s="275"/>
      <c r="J1900" s="275"/>
      <c r="K1900" s="275"/>
      <c r="L1900" s="275"/>
      <c r="M1900" s="275"/>
      <c r="N1900" s="275"/>
      <c r="O1900" s="276"/>
      <c r="P1900" s="276"/>
      <c r="Q1900" s="247">
        <f t="shared" si="35"/>
        <v>0</v>
      </c>
      <c r="R1900" s="229"/>
      <c r="S1900" s="229"/>
      <c r="T1900" s="229"/>
      <c r="U1900" s="229"/>
      <c r="V1900" s="229"/>
      <c r="W1900" s="229"/>
      <c r="X1900" s="229"/>
    </row>
    <row r="1901" spans="1:24" ht="15.75" hidden="1">
      <c r="A1901" s="343"/>
      <c r="B1901" s="344"/>
      <c r="C1901" s="275"/>
      <c r="D1901" s="275"/>
      <c r="E1901" s="275"/>
      <c r="F1901" s="275"/>
      <c r="G1901" s="275"/>
      <c r="H1901" s="275"/>
      <c r="I1901" s="275"/>
      <c r="J1901" s="275"/>
      <c r="K1901" s="275"/>
      <c r="L1901" s="275"/>
      <c r="M1901" s="275"/>
      <c r="N1901" s="275"/>
      <c r="O1901" s="276"/>
      <c r="P1901" s="276"/>
      <c r="Q1901" s="247">
        <f t="shared" si="35"/>
        <v>0</v>
      </c>
      <c r="R1901" s="229"/>
      <c r="S1901" s="229"/>
      <c r="T1901" s="229"/>
      <c r="U1901" s="229"/>
      <c r="V1901" s="229"/>
      <c r="W1901" s="229"/>
      <c r="X1901" s="229"/>
    </row>
    <row r="1902" spans="1:24" ht="15.75" hidden="1">
      <c r="A1902" s="343"/>
      <c r="B1902" s="344"/>
      <c r="C1902" s="275"/>
      <c r="D1902" s="275"/>
      <c r="E1902" s="275"/>
      <c r="F1902" s="275"/>
      <c r="G1902" s="275"/>
      <c r="H1902" s="275"/>
      <c r="I1902" s="275"/>
      <c r="J1902" s="275"/>
      <c r="K1902" s="275"/>
      <c r="L1902" s="275"/>
      <c r="M1902" s="275"/>
      <c r="N1902" s="275"/>
      <c r="O1902" s="276"/>
      <c r="P1902" s="276"/>
      <c r="Q1902" s="247">
        <f t="shared" si="35"/>
        <v>0</v>
      </c>
      <c r="R1902" s="229"/>
      <c r="S1902" s="229"/>
      <c r="T1902" s="229"/>
      <c r="U1902" s="229"/>
      <c r="V1902" s="229"/>
      <c r="W1902" s="229"/>
      <c r="X1902" s="229"/>
    </row>
    <row r="1903" spans="1:24" ht="15.75" hidden="1">
      <c r="A1903" s="343"/>
      <c r="B1903" s="344"/>
      <c r="C1903" s="275"/>
      <c r="D1903" s="275"/>
      <c r="E1903" s="275"/>
      <c r="F1903" s="275"/>
      <c r="G1903" s="275"/>
      <c r="H1903" s="275"/>
      <c r="I1903" s="275"/>
      <c r="J1903" s="275"/>
      <c r="K1903" s="275"/>
      <c r="L1903" s="275"/>
      <c r="M1903" s="275"/>
      <c r="N1903" s="275"/>
      <c r="O1903" s="276"/>
      <c r="P1903" s="276"/>
      <c r="Q1903" s="247">
        <f t="shared" si="35"/>
        <v>0</v>
      </c>
      <c r="R1903" s="229"/>
      <c r="S1903" s="229"/>
      <c r="T1903" s="229"/>
      <c r="U1903" s="229"/>
      <c r="V1903" s="229"/>
      <c r="W1903" s="229"/>
      <c r="X1903" s="229"/>
    </row>
    <row r="1904" spans="1:24" ht="15.75" hidden="1">
      <c r="A1904" s="343"/>
      <c r="B1904" s="344"/>
      <c r="C1904" s="275"/>
      <c r="D1904" s="275"/>
      <c r="E1904" s="275"/>
      <c r="F1904" s="275"/>
      <c r="G1904" s="275"/>
      <c r="H1904" s="275"/>
      <c r="I1904" s="275"/>
      <c r="J1904" s="275"/>
      <c r="K1904" s="275"/>
      <c r="L1904" s="275"/>
      <c r="M1904" s="275"/>
      <c r="N1904" s="275"/>
      <c r="O1904" s="276"/>
      <c r="P1904" s="276"/>
      <c r="Q1904" s="247">
        <f t="shared" si="35"/>
        <v>0</v>
      </c>
      <c r="R1904" s="229"/>
      <c r="S1904" s="229"/>
      <c r="T1904" s="229"/>
      <c r="U1904" s="229"/>
      <c r="V1904" s="229"/>
      <c r="W1904" s="229"/>
      <c r="X1904" s="229"/>
    </row>
    <row r="1905" spans="1:24" ht="15.75" hidden="1">
      <c r="A1905" s="343"/>
      <c r="B1905" s="344"/>
      <c r="C1905" s="275"/>
      <c r="D1905" s="275"/>
      <c r="E1905" s="275"/>
      <c r="F1905" s="275"/>
      <c r="G1905" s="275"/>
      <c r="H1905" s="275"/>
      <c r="I1905" s="275"/>
      <c r="J1905" s="275"/>
      <c r="K1905" s="275"/>
      <c r="L1905" s="275"/>
      <c r="M1905" s="275"/>
      <c r="N1905" s="275"/>
      <c r="O1905" s="276"/>
      <c r="P1905" s="276"/>
      <c r="Q1905" s="247">
        <f t="shared" si="35"/>
        <v>0</v>
      </c>
      <c r="R1905" s="229"/>
      <c r="S1905" s="229"/>
      <c r="T1905" s="229"/>
      <c r="U1905" s="229"/>
      <c r="V1905" s="229"/>
      <c r="W1905" s="229"/>
      <c r="X1905" s="229"/>
    </row>
    <row r="1906" spans="1:24" ht="15.75" hidden="1">
      <c r="A1906" s="343"/>
      <c r="B1906" s="344"/>
      <c r="C1906" s="275"/>
      <c r="D1906" s="275"/>
      <c r="E1906" s="275"/>
      <c r="F1906" s="275"/>
      <c r="G1906" s="275"/>
      <c r="H1906" s="275"/>
      <c r="I1906" s="275"/>
      <c r="J1906" s="275"/>
      <c r="K1906" s="275"/>
      <c r="L1906" s="275"/>
      <c r="M1906" s="275"/>
      <c r="N1906" s="275"/>
      <c r="O1906" s="276"/>
      <c r="P1906" s="276"/>
      <c r="Q1906" s="247">
        <f t="shared" si="35"/>
        <v>0</v>
      </c>
      <c r="R1906" s="229"/>
      <c r="S1906" s="229"/>
      <c r="T1906" s="229"/>
      <c r="U1906" s="229"/>
      <c r="V1906" s="229"/>
      <c r="W1906" s="229"/>
      <c r="X1906" s="229"/>
    </row>
    <row r="1907" spans="1:24" ht="15.75" hidden="1">
      <c r="A1907" s="343"/>
      <c r="B1907" s="344"/>
      <c r="C1907" s="275"/>
      <c r="D1907" s="275"/>
      <c r="E1907" s="275"/>
      <c r="F1907" s="275"/>
      <c r="G1907" s="275"/>
      <c r="H1907" s="275"/>
      <c r="I1907" s="275"/>
      <c r="J1907" s="275"/>
      <c r="K1907" s="275"/>
      <c r="L1907" s="275"/>
      <c r="M1907" s="275"/>
      <c r="N1907" s="275"/>
      <c r="O1907" s="276"/>
      <c r="P1907" s="276"/>
      <c r="Q1907" s="247">
        <f t="shared" si="35"/>
        <v>0</v>
      </c>
      <c r="R1907" s="229"/>
      <c r="S1907" s="229"/>
      <c r="T1907" s="229"/>
      <c r="U1907" s="229"/>
      <c r="V1907" s="229"/>
      <c r="W1907" s="229"/>
      <c r="X1907" s="229"/>
    </row>
    <row r="1908" spans="1:24" ht="15.75" hidden="1">
      <c r="A1908" s="343"/>
      <c r="B1908" s="344"/>
      <c r="C1908" s="275"/>
      <c r="D1908" s="275"/>
      <c r="E1908" s="275"/>
      <c r="F1908" s="275"/>
      <c r="G1908" s="275"/>
      <c r="H1908" s="275"/>
      <c r="I1908" s="275"/>
      <c r="J1908" s="275"/>
      <c r="K1908" s="275"/>
      <c r="L1908" s="275"/>
      <c r="M1908" s="275"/>
      <c r="N1908" s="275"/>
      <c r="O1908" s="276"/>
      <c r="P1908" s="276"/>
      <c r="Q1908" s="247">
        <f t="shared" si="35"/>
        <v>0</v>
      </c>
      <c r="R1908" s="229"/>
      <c r="S1908" s="229"/>
      <c r="T1908" s="229"/>
      <c r="U1908" s="229"/>
      <c r="V1908" s="229"/>
      <c r="W1908" s="229"/>
      <c r="X1908" s="229"/>
    </row>
    <row r="1909" spans="1:24" ht="15.75" hidden="1">
      <c r="A1909" s="343"/>
      <c r="B1909" s="344"/>
      <c r="C1909" s="275"/>
      <c r="D1909" s="275"/>
      <c r="E1909" s="275"/>
      <c r="F1909" s="275"/>
      <c r="G1909" s="275"/>
      <c r="H1909" s="275"/>
      <c r="I1909" s="275"/>
      <c r="J1909" s="275"/>
      <c r="K1909" s="275"/>
      <c r="L1909" s="275"/>
      <c r="M1909" s="275"/>
      <c r="N1909" s="275"/>
      <c r="O1909" s="276"/>
      <c r="P1909" s="276"/>
      <c r="Q1909" s="247">
        <f t="shared" si="35"/>
        <v>0</v>
      </c>
      <c r="R1909" s="229"/>
      <c r="S1909" s="229"/>
      <c r="T1909" s="229"/>
      <c r="U1909" s="229"/>
      <c r="V1909" s="229"/>
      <c r="W1909" s="229"/>
      <c r="X1909" s="229"/>
    </row>
    <row r="1910" spans="1:24" ht="15.75" hidden="1">
      <c r="A1910" s="343"/>
      <c r="B1910" s="344"/>
      <c r="C1910" s="275"/>
      <c r="D1910" s="275"/>
      <c r="E1910" s="275"/>
      <c r="F1910" s="275"/>
      <c r="G1910" s="275"/>
      <c r="H1910" s="275"/>
      <c r="I1910" s="275"/>
      <c r="J1910" s="275"/>
      <c r="K1910" s="275"/>
      <c r="L1910" s="275"/>
      <c r="M1910" s="275"/>
      <c r="N1910" s="275"/>
      <c r="O1910" s="276"/>
      <c r="P1910" s="276"/>
      <c r="Q1910" s="247">
        <f t="shared" si="35"/>
        <v>0</v>
      </c>
      <c r="R1910" s="229"/>
      <c r="S1910" s="229"/>
      <c r="T1910" s="229"/>
      <c r="U1910" s="229"/>
      <c r="V1910" s="229"/>
      <c r="W1910" s="229"/>
      <c r="X1910" s="229"/>
    </row>
    <row r="1911" spans="1:24" ht="15.75" hidden="1">
      <c r="A1911" s="343"/>
      <c r="B1911" s="344"/>
      <c r="C1911" s="275"/>
      <c r="D1911" s="275"/>
      <c r="E1911" s="275"/>
      <c r="F1911" s="275"/>
      <c r="G1911" s="275"/>
      <c r="H1911" s="275"/>
      <c r="I1911" s="275"/>
      <c r="J1911" s="275"/>
      <c r="K1911" s="275"/>
      <c r="L1911" s="275"/>
      <c r="M1911" s="275"/>
      <c r="N1911" s="275"/>
      <c r="O1911" s="276"/>
      <c r="P1911" s="276"/>
      <c r="Q1911" s="247">
        <f t="shared" si="35"/>
        <v>0</v>
      </c>
      <c r="R1911" s="229"/>
      <c r="S1911" s="229"/>
      <c r="T1911" s="229"/>
      <c r="U1911" s="229"/>
      <c r="V1911" s="229"/>
      <c r="W1911" s="229"/>
      <c r="X1911" s="229"/>
    </row>
    <row r="1912" spans="1:24" ht="15.75" hidden="1">
      <c r="A1912" s="343"/>
      <c r="B1912" s="344"/>
      <c r="C1912" s="275"/>
      <c r="D1912" s="275"/>
      <c r="E1912" s="275"/>
      <c r="F1912" s="275"/>
      <c r="G1912" s="275"/>
      <c r="H1912" s="275"/>
      <c r="I1912" s="275"/>
      <c r="J1912" s="275"/>
      <c r="K1912" s="275"/>
      <c r="L1912" s="275"/>
      <c r="M1912" s="275"/>
      <c r="N1912" s="275"/>
      <c r="O1912" s="276"/>
      <c r="P1912" s="276"/>
      <c r="Q1912" s="247">
        <f t="shared" si="35"/>
        <v>0</v>
      </c>
      <c r="R1912" s="229"/>
      <c r="S1912" s="229"/>
      <c r="T1912" s="229"/>
      <c r="U1912" s="229"/>
      <c r="V1912" s="229"/>
      <c r="W1912" s="229"/>
      <c r="X1912" s="229"/>
    </row>
    <row r="1913" spans="1:24" ht="15.75" hidden="1">
      <c r="A1913" s="343"/>
      <c r="B1913" s="344"/>
      <c r="C1913" s="275"/>
      <c r="D1913" s="275"/>
      <c r="E1913" s="275"/>
      <c r="F1913" s="275"/>
      <c r="G1913" s="275"/>
      <c r="H1913" s="275"/>
      <c r="I1913" s="275"/>
      <c r="J1913" s="275"/>
      <c r="K1913" s="275"/>
      <c r="L1913" s="275"/>
      <c r="M1913" s="275"/>
      <c r="N1913" s="275"/>
      <c r="O1913" s="276"/>
      <c r="P1913" s="276"/>
      <c r="Q1913" s="247">
        <f t="shared" si="35"/>
        <v>0</v>
      </c>
      <c r="R1913" s="229"/>
      <c r="S1913" s="229"/>
      <c r="T1913" s="229"/>
      <c r="U1913" s="229"/>
      <c r="V1913" s="229"/>
      <c r="W1913" s="229"/>
      <c r="X1913" s="229"/>
    </row>
    <row r="1914" spans="1:24" ht="15.75" hidden="1">
      <c r="A1914" s="343"/>
      <c r="B1914" s="344"/>
      <c r="C1914" s="275"/>
      <c r="D1914" s="275"/>
      <c r="E1914" s="275"/>
      <c r="F1914" s="275"/>
      <c r="G1914" s="275"/>
      <c r="H1914" s="275"/>
      <c r="I1914" s="275"/>
      <c r="J1914" s="275"/>
      <c r="K1914" s="275"/>
      <c r="L1914" s="275"/>
      <c r="M1914" s="275"/>
      <c r="N1914" s="275"/>
      <c r="O1914" s="276"/>
      <c r="P1914" s="276"/>
      <c r="Q1914" s="247">
        <f t="shared" si="35"/>
        <v>0</v>
      </c>
      <c r="R1914" s="229"/>
      <c r="S1914" s="229"/>
      <c r="T1914" s="229"/>
      <c r="U1914" s="229"/>
      <c r="V1914" s="229"/>
      <c r="W1914" s="229"/>
      <c r="X1914" s="229"/>
    </row>
    <row r="1915" spans="1:24" ht="15.75" hidden="1">
      <c r="A1915" s="343"/>
      <c r="B1915" s="344"/>
      <c r="C1915" s="275"/>
      <c r="D1915" s="275"/>
      <c r="E1915" s="275"/>
      <c r="F1915" s="275"/>
      <c r="G1915" s="275"/>
      <c r="H1915" s="275"/>
      <c r="I1915" s="275"/>
      <c r="J1915" s="275"/>
      <c r="K1915" s="275"/>
      <c r="L1915" s="275"/>
      <c r="M1915" s="275"/>
      <c r="N1915" s="275"/>
      <c r="O1915" s="276"/>
      <c r="P1915" s="276"/>
      <c r="Q1915" s="247">
        <f t="shared" si="35"/>
        <v>0</v>
      </c>
      <c r="R1915" s="229"/>
      <c r="S1915" s="229"/>
      <c r="T1915" s="229"/>
      <c r="U1915" s="229"/>
      <c r="V1915" s="229"/>
      <c r="W1915" s="229"/>
      <c r="X1915" s="229"/>
    </row>
    <row r="1916" spans="1:24" ht="15.75" hidden="1">
      <c r="A1916" s="343"/>
      <c r="B1916" s="344"/>
      <c r="C1916" s="275"/>
      <c r="D1916" s="275"/>
      <c r="E1916" s="275"/>
      <c r="F1916" s="275"/>
      <c r="G1916" s="275"/>
      <c r="H1916" s="275"/>
      <c r="I1916" s="275"/>
      <c r="J1916" s="275"/>
      <c r="K1916" s="275"/>
      <c r="L1916" s="275"/>
      <c r="M1916" s="275"/>
      <c r="N1916" s="275"/>
      <c r="O1916" s="276"/>
      <c r="P1916" s="276"/>
      <c r="Q1916" s="247">
        <f t="shared" si="35"/>
        <v>0</v>
      </c>
      <c r="R1916" s="229"/>
      <c r="S1916" s="229"/>
      <c r="T1916" s="229"/>
      <c r="U1916" s="229"/>
      <c r="V1916" s="229"/>
      <c r="W1916" s="229"/>
      <c r="X1916" s="229"/>
    </row>
    <row r="1917" spans="1:24" ht="15.75" hidden="1">
      <c r="A1917" s="343"/>
      <c r="B1917" s="344"/>
      <c r="C1917" s="275"/>
      <c r="D1917" s="275"/>
      <c r="E1917" s="275"/>
      <c r="F1917" s="275"/>
      <c r="G1917" s="275"/>
      <c r="H1917" s="275"/>
      <c r="I1917" s="275"/>
      <c r="J1917" s="275"/>
      <c r="K1917" s="275"/>
      <c r="L1917" s="275"/>
      <c r="M1917" s="275"/>
      <c r="N1917" s="275"/>
      <c r="O1917" s="276"/>
      <c r="P1917" s="276"/>
      <c r="Q1917" s="247">
        <f t="shared" si="35"/>
        <v>0</v>
      </c>
      <c r="R1917" s="229"/>
      <c r="S1917" s="229"/>
      <c r="T1917" s="229"/>
      <c r="U1917" s="229"/>
      <c r="V1917" s="229"/>
      <c r="W1917" s="229"/>
      <c r="X1917" s="229"/>
    </row>
    <row r="1918" spans="1:24" ht="15.75" hidden="1">
      <c r="A1918" s="343"/>
      <c r="B1918" s="344"/>
      <c r="C1918" s="275"/>
      <c r="D1918" s="275"/>
      <c r="E1918" s="275"/>
      <c r="F1918" s="275"/>
      <c r="G1918" s="275"/>
      <c r="H1918" s="275"/>
      <c r="I1918" s="275"/>
      <c r="J1918" s="275"/>
      <c r="K1918" s="275"/>
      <c r="L1918" s="275"/>
      <c r="M1918" s="275"/>
      <c r="N1918" s="275"/>
      <c r="O1918" s="276"/>
      <c r="P1918" s="276"/>
      <c r="Q1918" s="247">
        <f t="shared" si="35"/>
        <v>0</v>
      </c>
      <c r="R1918" s="229"/>
      <c r="S1918" s="229"/>
      <c r="T1918" s="229"/>
      <c r="U1918" s="229"/>
      <c r="V1918" s="229"/>
      <c r="W1918" s="229"/>
      <c r="X1918" s="229"/>
    </row>
    <row r="1919" spans="1:24" ht="15.75" hidden="1">
      <c r="A1919" s="343"/>
      <c r="B1919" s="344"/>
      <c r="C1919" s="275"/>
      <c r="D1919" s="275"/>
      <c r="E1919" s="275"/>
      <c r="F1919" s="275"/>
      <c r="G1919" s="275"/>
      <c r="H1919" s="275"/>
      <c r="I1919" s="275"/>
      <c r="J1919" s="275"/>
      <c r="K1919" s="275"/>
      <c r="L1919" s="275"/>
      <c r="M1919" s="275"/>
      <c r="N1919" s="275"/>
      <c r="O1919" s="276"/>
      <c r="P1919" s="276"/>
      <c r="Q1919" s="247">
        <f t="shared" si="35"/>
        <v>0</v>
      </c>
      <c r="R1919" s="229"/>
      <c r="S1919" s="229"/>
      <c r="T1919" s="229"/>
      <c r="U1919" s="229"/>
      <c r="V1919" s="229"/>
      <c r="W1919" s="229"/>
      <c r="X1919" s="229"/>
    </row>
    <row r="1920" spans="1:24" ht="15.75" hidden="1">
      <c r="A1920" s="343"/>
      <c r="B1920" s="344"/>
      <c r="C1920" s="275"/>
      <c r="D1920" s="275"/>
      <c r="E1920" s="275"/>
      <c r="F1920" s="275"/>
      <c r="G1920" s="275"/>
      <c r="H1920" s="275"/>
      <c r="I1920" s="275"/>
      <c r="J1920" s="275"/>
      <c r="K1920" s="275"/>
      <c r="L1920" s="275"/>
      <c r="M1920" s="275"/>
      <c r="N1920" s="275"/>
      <c r="O1920" s="276"/>
      <c r="P1920" s="276"/>
      <c r="Q1920" s="247">
        <f t="shared" si="35"/>
        <v>0</v>
      </c>
      <c r="R1920" s="229"/>
      <c r="S1920" s="229"/>
      <c r="T1920" s="229"/>
      <c r="U1920" s="229"/>
      <c r="V1920" s="229"/>
      <c r="W1920" s="229"/>
      <c r="X1920" s="229"/>
    </row>
    <row r="1921" spans="1:24" ht="15.75" hidden="1">
      <c r="A1921" s="343"/>
      <c r="B1921" s="344"/>
      <c r="C1921" s="275"/>
      <c r="D1921" s="275"/>
      <c r="E1921" s="275"/>
      <c r="F1921" s="275"/>
      <c r="G1921" s="275"/>
      <c r="H1921" s="275"/>
      <c r="I1921" s="275"/>
      <c r="J1921" s="275"/>
      <c r="K1921" s="275"/>
      <c r="L1921" s="275"/>
      <c r="M1921" s="275"/>
      <c r="N1921" s="275"/>
      <c r="O1921" s="276"/>
      <c r="P1921" s="276"/>
      <c r="Q1921" s="247">
        <f t="shared" si="35"/>
        <v>0</v>
      </c>
      <c r="R1921" s="229"/>
      <c r="S1921" s="229"/>
      <c r="T1921" s="229"/>
      <c r="U1921" s="229"/>
      <c r="V1921" s="229"/>
      <c r="W1921" s="229"/>
      <c r="X1921" s="229"/>
    </row>
    <row r="1922" spans="1:24" ht="15.75" hidden="1">
      <c r="A1922" s="343"/>
      <c r="B1922" s="344"/>
      <c r="C1922" s="275"/>
      <c r="D1922" s="275"/>
      <c r="E1922" s="275"/>
      <c r="F1922" s="275"/>
      <c r="G1922" s="275"/>
      <c r="H1922" s="275"/>
      <c r="I1922" s="275"/>
      <c r="J1922" s="275"/>
      <c r="K1922" s="275"/>
      <c r="L1922" s="275"/>
      <c r="M1922" s="275"/>
      <c r="N1922" s="275"/>
      <c r="O1922" s="276"/>
      <c r="P1922" s="276"/>
      <c r="Q1922" s="247">
        <f t="shared" si="35"/>
        <v>0</v>
      </c>
      <c r="R1922" s="229"/>
      <c r="S1922" s="229"/>
      <c r="T1922" s="229"/>
      <c r="U1922" s="229"/>
      <c r="V1922" s="229"/>
      <c r="W1922" s="229"/>
      <c r="X1922" s="229"/>
    </row>
    <row r="1923" spans="1:24" ht="15.75" hidden="1">
      <c r="A1923" s="343"/>
      <c r="B1923" s="344"/>
      <c r="C1923" s="275"/>
      <c r="D1923" s="275"/>
      <c r="E1923" s="275"/>
      <c r="F1923" s="275"/>
      <c r="G1923" s="275"/>
      <c r="H1923" s="275"/>
      <c r="I1923" s="275"/>
      <c r="J1923" s="275"/>
      <c r="K1923" s="275"/>
      <c r="L1923" s="275"/>
      <c r="M1923" s="275"/>
      <c r="N1923" s="275"/>
      <c r="O1923" s="276"/>
      <c r="P1923" s="276"/>
      <c r="Q1923" s="247">
        <f t="shared" si="35"/>
        <v>0</v>
      </c>
      <c r="R1923" s="229"/>
      <c r="S1923" s="229"/>
      <c r="T1923" s="229"/>
      <c r="U1923" s="229"/>
      <c r="V1923" s="229"/>
      <c r="W1923" s="229"/>
      <c r="X1923" s="229"/>
    </row>
    <row r="1924" spans="1:24" ht="15.75" hidden="1">
      <c r="A1924" s="343"/>
      <c r="B1924" s="344"/>
      <c r="C1924" s="275"/>
      <c r="D1924" s="275"/>
      <c r="E1924" s="275"/>
      <c r="F1924" s="275"/>
      <c r="G1924" s="275"/>
      <c r="H1924" s="275"/>
      <c r="I1924" s="275"/>
      <c r="J1924" s="275"/>
      <c r="K1924" s="275"/>
      <c r="L1924" s="275"/>
      <c r="M1924" s="275"/>
      <c r="N1924" s="275"/>
      <c r="O1924" s="276"/>
      <c r="P1924" s="276"/>
      <c r="Q1924" s="247">
        <f t="shared" si="35"/>
        <v>0</v>
      </c>
      <c r="R1924" s="229"/>
      <c r="S1924" s="229"/>
      <c r="T1924" s="229"/>
      <c r="U1924" s="229"/>
      <c r="V1924" s="229"/>
      <c r="W1924" s="229"/>
      <c r="X1924" s="229"/>
    </row>
    <row r="1925" spans="1:24" ht="15.75" hidden="1">
      <c r="A1925" s="343"/>
      <c r="B1925" s="344"/>
      <c r="C1925" s="275"/>
      <c r="D1925" s="275"/>
      <c r="E1925" s="275"/>
      <c r="F1925" s="275"/>
      <c r="G1925" s="275"/>
      <c r="H1925" s="275"/>
      <c r="I1925" s="275"/>
      <c r="J1925" s="275"/>
      <c r="K1925" s="275"/>
      <c r="L1925" s="275"/>
      <c r="M1925" s="275"/>
      <c r="N1925" s="275"/>
      <c r="O1925" s="276"/>
      <c r="P1925" s="276"/>
      <c r="Q1925" s="247">
        <f t="shared" si="35"/>
        <v>0</v>
      </c>
      <c r="R1925" s="229"/>
      <c r="S1925" s="229"/>
      <c r="T1925" s="229"/>
      <c r="U1925" s="229"/>
      <c r="V1925" s="229"/>
      <c r="W1925" s="229"/>
      <c r="X1925" s="229"/>
    </row>
    <row r="1926" spans="1:24" ht="15.75" hidden="1">
      <c r="A1926" s="343"/>
      <c r="B1926" s="344"/>
      <c r="C1926" s="275"/>
      <c r="D1926" s="275"/>
      <c r="E1926" s="275"/>
      <c r="F1926" s="275"/>
      <c r="G1926" s="275"/>
      <c r="H1926" s="275"/>
      <c r="I1926" s="275"/>
      <c r="J1926" s="275"/>
      <c r="K1926" s="275"/>
      <c r="L1926" s="275"/>
      <c r="M1926" s="275"/>
      <c r="N1926" s="275"/>
      <c r="O1926" s="276"/>
      <c r="P1926" s="276"/>
      <c r="Q1926" s="247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9"/>
      <c r="S1926" s="229"/>
      <c r="T1926" s="229"/>
      <c r="U1926" s="229"/>
      <c r="V1926" s="229"/>
      <c r="W1926" s="229"/>
      <c r="X1926" s="229"/>
    </row>
    <row r="1927" spans="1:24" ht="15.75" hidden="1">
      <c r="A1927" s="343"/>
      <c r="B1927" s="344"/>
      <c r="C1927" s="275"/>
      <c r="D1927" s="275"/>
      <c r="E1927" s="275"/>
      <c r="F1927" s="275"/>
      <c r="G1927" s="275"/>
      <c r="H1927" s="275"/>
      <c r="I1927" s="275"/>
      <c r="J1927" s="275"/>
      <c r="K1927" s="275"/>
      <c r="L1927" s="275"/>
      <c r="M1927" s="275"/>
      <c r="N1927" s="275"/>
      <c r="O1927" s="276"/>
      <c r="P1927" s="276"/>
      <c r="Q1927" s="247">
        <f t="shared" si="36"/>
        <v>0</v>
      </c>
      <c r="R1927" s="229"/>
      <c r="S1927" s="229"/>
      <c r="T1927" s="229"/>
      <c r="U1927" s="229"/>
      <c r="V1927" s="229"/>
      <c r="W1927" s="229"/>
      <c r="X1927" s="229"/>
    </row>
    <row r="1928" spans="1:24" ht="15.75" hidden="1">
      <c r="A1928" s="343"/>
      <c r="B1928" s="344"/>
      <c r="C1928" s="275"/>
      <c r="D1928" s="275"/>
      <c r="E1928" s="275"/>
      <c r="F1928" s="275"/>
      <c r="G1928" s="275"/>
      <c r="H1928" s="275"/>
      <c r="I1928" s="275"/>
      <c r="J1928" s="275"/>
      <c r="K1928" s="275"/>
      <c r="L1928" s="275"/>
      <c r="M1928" s="275"/>
      <c r="N1928" s="275"/>
      <c r="O1928" s="276"/>
      <c r="P1928" s="276"/>
      <c r="Q1928" s="247">
        <f t="shared" si="36"/>
        <v>0</v>
      </c>
      <c r="R1928" s="229"/>
      <c r="S1928" s="229"/>
      <c r="T1928" s="229"/>
      <c r="U1928" s="229"/>
      <c r="V1928" s="229"/>
      <c r="W1928" s="229"/>
      <c r="X1928" s="229"/>
    </row>
    <row r="1929" spans="1:24" ht="15.75" hidden="1">
      <c r="A1929" s="343"/>
      <c r="B1929" s="344"/>
      <c r="C1929" s="275"/>
      <c r="D1929" s="275"/>
      <c r="E1929" s="275"/>
      <c r="F1929" s="275"/>
      <c r="G1929" s="275"/>
      <c r="H1929" s="275"/>
      <c r="I1929" s="275"/>
      <c r="J1929" s="275"/>
      <c r="K1929" s="275"/>
      <c r="L1929" s="275"/>
      <c r="M1929" s="275"/>
      <c r="N1929" s="275"/>
      <c r="O1929" s="276"/>
      <c r="P1929" s="276"/>
      <c r="Q1929" s="247">
        <f t="shared" si="36"/>
        <v>0</v>
      </c>
      <c r="R1929" s="229"/>
      <c r="S1929" s="229"/>
      <c r="T1929" s="229"/>
      <c r="U1929" s="229"/>
      <c r="V1929" s="229"/>
      <c r="W1929" s="229"/>
      <c r="X1929" s="229"/>
    </row>
    <row r="1930" spans="1:24" ht="15.75" hidden="1">
      <c r="A1930" s="343"/>
      <c r="B1930" s="344"/>
      <c r="C1930" s="275"/>
      <c r="D1930" s="275"/>
      <c r="E1930" s="275"/>
      <c r="F1930" s="275"/>
      <c r="G1930" s="275"/>
      <c r="H1930" s="275"/>
      <c r="I1930" s="275"/>
      <c r="J1930" s="275"/>
      <c r="K1930" s="275"/>
      <c r="L1930" s="275"/>
      <c r="M1930" s="275"/>
      <c r="N1930" s="275"/>
      <c r="O1930" s="276"/>
      <c r="P1930" s="276"/>
      <c r="Q1930" s="247">
        <f t="shared" si="36"/>
        <v>0</v>
      </c>
      <c r="R1930" s="229"/>
      <c r="S1930" s="229"/>
      <c r="T1930" s="229"/>
      <c r="U1930" s="229"/>
      <c r="V1930" s="229"/>
      <c r="W1930" s="229"/>
      <c r="X1930" s="229"/>
    </row>
    <row r="1931" spans="1:24" ht="15.75" hidden="1">
      <c r="A1931" s="343"/>
      <c r="B1931" s="344"/>
      <c r="C1931" s="275"/>
      <c r="D1931" s="275"/>
      <c r="E1931" s="275"/>
      <c r="F1931" s="275"/>
      <c r="G1931" s="275"/>
      <c r="H1931" s="275"/>
      <c r="I1931" s="275"/>
      <c r="J1931" s="275"/>
      <c r="K1931" s="275"/>
      <c r="L1931" s="275"/>
      <c r="M1931" s="275"/>
      <c r="N1931" s="275"/>
      <c r="O1931" s="276"/>
      <c r="P1931" s="276"/>
      <c r="Q1931" s="247">
        <f t="shared" si="36"/>
        <v>0</v>
      </c>
      <c r="R1931" s="229"/>
      <c r="S1931" s="229"/>
      <c r="T1931" s="229"/>
      <c r="U1931" s="229"/>
      <c r="V1931" s="229"/>
      <c r="W1931" s="229"/>
      <c r="X1931" s="229"/>
    </row>
    <row r="1932" spans="1:24" ht="15.75" hidden="1">
      <c r="A1932" s="343"/>
      <c r="B1932" s="344"/>
      <c r="C1932" s="275"/>
      <c r="D1932" s="275"/>
      <c r="E1932" s="275"/>
      <c r="F1932" s="275"/>
      <c r="G1932" s="275"/>
      <c r="H1932" s="275"/>
      <c r="I1932" s="275"/>
      <c r="J1932" s="275"/>
      <c r="K1932" s="275"/>
      <c r="L1932" s="275"/>
      <c r="M1932" s="275"/>
      <c r="N1932" s="275"/>
      <c r="O1932" s="276"/>
      <c r="P1932" s="276"/>
      <c r="Q1932" s="247">
        <f t="shared" si="36"/>
        <v>0</v>
      </c>
      <c r="R1932" s="229"/>
      <c r="S1932" s="229"/>
      <c r="T1932" s="229"/>
      <c r="U1932" s="229"/>
      <c r="V1932" s="229"/>
      <c r="W1932" s="229"/>
      <c r="X1932" s="229"/>
    </row>
    <row r="1933" spans="1:24" ht="15.75" hidden="1">
      <c r="A1933" s="343"/>
      <c r="B1933" s="344"/>
      <c r="C1933" s="275"/>
      <c r="D1933" s="275"/>
      <c r="E1933" s="275"/>
      <c r="F1933" s="275"/>
      <c r="G1933" s="275"/>
      <c r="H1933" s="275"/>
      <c r="I1933" s="275"/>
      <c r="J1933" s="275"/>
      <c r="K1933" s="275"/>
      <c r="L1933" s="275"/>
      <c r="M1933" s="275"/>
      <c r="N1933" s="275"/>
      <c r="O1933" s="276"/>
      <c r="P1933" s="276"/>
      <c r="Q1933" s="247">
        <f t="shared" si="36"/>
        <v>0</v>
      </c>
      <c r="R1933" s="229"/>
      <c r="S1933" s="229"/>
      <c r="T1933" s="229"/>
      <c r="U1933" s="229"/>
      <c r="V1933" s="229"/>
      <c r="W1933" s="229"/>
      <c r="X1933" s="229"/>
    </row>
    <row r="1934" spans="1:24" ht="15.75" hidden="1">
      <c r="A1934" s="343"/>
      <c r="B1934" s="344"/>
      <c r="C1934" s="275"/>
      <c r="D1934" s="275"/>
      <c r="E1934" s="275"/>
      <c r="F1934" s="275"/>
      <c r="G1934" s="275"/>
      <c r="H1934" s="275"/>
      <c r="I1934" s="275"/>
      <c r="J1934" s="275"/>
      <c r="K1934" s="275"/>
      <c r="L1934" s="275"/>
      <c r="M1934" s="275"/>
      <c r="N1934" s="275"/>
      <c r="O1934" s="276"/>
      <c r="P1934" s="276"/>
      <c r="Q1934" s="247">
        <f t="shared" si="36"/>
        <v>0</v>
      </c>
      <c r="R1934" s="229"/>
      <c r="S1934" s="229"/>
      <c r="T1934" s="229"/>
      <c r="U1934" s="229"/>
      <c r="V1934" s="229"/>
      <c r="W1934" s="229"/>
      <c r="X1934" s="229"/>
    </row>
    <row r="1935" spans="1:24" ht="15.75" hidden="1">
      <c r="A1935" s="343"/>
      <c r="B1935" s="344"/>
      <c r="C1935" s="275"/>
      <c r="D1935" s="275"/>
      <c r="E1935" s="275"/>
      <c r="F1935" s="275"/>
      <c r="G1935" s="275"/>
      <c r="H1935" s="275"/>
      <c r="I1935" s="275"/>
      <c r="J1935" s="275"/>
      <c r="K1935" s="275"/>
      <c r="L1935" s="275"/>
      <c r="M1935" s="275"/>
      <c r="N1935" s="275"/>
      <c r="O1935" s="276"/>
      <c r="P1935" s="276"/>
      <c r="Q1935" s="247">
        <f t="shared" si="36"/>
        <v>0</v>
      </c>
      <c r="R1935" s="229"/>
      <c r="S1935" s="229"/>
      <c r="T1935" s="229"/>
      <c r="U1935" s="229"/>
      <c r="V1935" s="229"/>
      <c r="W1935" s="229"/>
      <c r="X1935" s="229"/>
    </row>
    <row r="1936" spans="1:24" ht="15.75" hidden="1">
      <c r="A1936" s="343"/>
      <c r="B1936" s="344"/>
      <c r="C1936" s="275"/>
      <c r="D1936" s="275"/>
      <c r="E1936" s="275"/>
      <c r="F1936" s="275"/>
      <c r="G1936" s="275"/>
      <c r="H1936" s="275"/>
      <c r="I1936" s="275"/>
      <c r="J1936" s="275"/>
      <c r="K1936" s="275"/>
      <c r="L1936" s="275"/>
      <c r="M1936" s="275"/>
      <c r="N1936" s="275"/>
      <c r="O1936" s="276"/>
      <c r="P1936" s="276"/>
      <c r="Q1936" s="247">
        <f t="shared" si="36"/>
        <v>0</v>
      </c>
      <c r="R1936" s="229"/>
      <c r="S1936" s="229"/>
      <c r="T1936" s="229"/>
      <c r="U1936" s="229"/>
      <c r="V1936" s="229"/>
      <c r="W1936" s="229"/>
      <c r="X1936" s="229"/>
    </row>
    <row r="1937" spans="1:24" ht="15.75" hidden="1">
      <c r="A1937" s="343"/>
      <c r="B1937" s="344"/>
      <c r="C1937" s="275"/>
      <c r="D1937" s="275"/>
      <c r="E1937" s="275"/>
      <c r="F1937" s="275"/>
      <c r="G1937" s="275"/>
      <c r="H1937" s="275"/>
      <c r="I1937" s="275"/>
      <c r="J1937" s="275"/>
      <c r="K1937" s="275"/>
      <c r="L1937" s="275"/>
      <c r="M1937" s="275"/>
      <c r="N1937" s="275"/>
      <c r="O1937" s="276"/>
      <c r="P1937" s="276"/>
      <c r="Q1937" s="247">
        <f t="shared" si="36"/>
        <v>0</v>
      </c>
      <c r="R1937" s="229"/>
      <c r="S1937" s="229"/>
      <c r="T1937" s="229"/>
      <c r="U1937" s="229"/>
      <c r="V1937" s="229"/>
      <c r="W1937" s="229"/>
      <c r="X1937" s="229"/>
    </row>
    <row r="1938" spans="1:24" ht="15.75" hidden="1">
      <c r="A1938" s="343"/>
      <c r="B1938" s="344"/>
      <c r="C1938" s="275"/>
      <c r="D1938" s="275"/>
      <c r="E1938" s="275"/>
      <c r="F1938" s="275"/>
      <c r="G1938" s="275"/>
      <c r="H1938" s="275"/>
      <c r="I1938" s="275"/>
      <c r="J1938" s="275"/>
      <c r="K1938" s="275"/>
      <c r="L1938" s="275"/>
      <c r="M1938" s="275"/>
      <c r="N1938" s="275"/>
      <c r="O1938" s="276"/>
      <c r="P1938" s="276"/>
      <c r="Q1938" s="247">
        <f t="shared" si="36"/>
        <v>0</v>
      </c>
      <c r="R1938" s="229"/>
      <c r="S1938" s="229"/>
      <c r="T1938" s="229"/>
      <c r="U1938" s="229"/>
      <c r="V1938" s="229"/>
      <c r="W1938" s="229"/>
      <c r="X1938" s="229"/>
    </row>
    <row r="1939" spans="1:24" ht="15.75" hidden="1">
      <c r="A1939" s="343"/>
      <c r="B1939" s="344"/>
      <c r="C1939" s="275"/>
      <c r="D1939" s="275"/>
      <c r="E1939" s="275"/>
      <c r="F1939" s="275"/>
      <c r="G1939" s="275"/>
      <c r="H1939" s="275"/>
      <c r="I1939" s="275"/>
      <c r="J1939" s="275"/>
      <c r="K1939" s="275"/>
      <c r="L1939" s="275"/>
      <c r="M1939" s="275"/>
      <c r="N1939" s="275"/>
      <c r="O1939" s="276"/>
      <c r="P1939" s="276"/>
      <c r="Q1939" s="247">
        <f t="shared" si="36"/>
        <v>0</v>
      </c>
      <c r="R1939" s="229"/>
      <c r="S1939" s="229"/>
      <c r="T1939" s="229"/>
      <c r="U1939" s="229"/>
      <c r="V1939" s="229"/>
      <c r="W1939" s="229"/>
      <c r="X1939" s="229"/>
    </row>
    <row r="1940" spans="1:24" ht="15.75" hidden="1">
      <c r="A1940" s="343"/>
      <c r="B1940" s="344"/>
      <c r="C1940" s="275"/>
      <c r="D1940" s="275"/>
      <c r="E1940" s="275"/>
      <c r="F1940" s="275"/>
      <c r="G1940" s="275"/>
      <c r="H1940" s="275"/>
      <c r="I1940" s="275"/>
      <c r="J1940" s="275"/>
      <c r="K1940" s="275"/>
      <c r="L1940" s="275"/>
      <c r="M1940" s="275"/>
      <c r="N1940" s="275"/>
      <c r="O1940" s="276"/>
      <c r="P1940" s="276"/>
      <c r="Q1940" s="247">
        <f t="shared" si="36"/>
        <v>0</v>
      </c>
      <c r="R1940" s="229"/>
      <c r="S1940" s="229"/>
      <c r="T1940" s="229"/>
      <c r="U1940" s="229"/>
      <c r="V1940" s="229"/>
      <c r="W1940" s="229"/>
      <c r="X1940" s="229"/>
    </row>
    <row r="1941" spans="1:24" ht="15.75" hidden="1">
      <c r="A1941" s="343"/>
      <c r="B1941" s="344"/>
      <c r="C1941" s="275"/>
      <c r="D1941" s="275"/>
      <c r="E1941" s="275"/>
      <c r="F1941" s="275"/>
      <c r="G1941" s="275"/>
      <c r="H1941" s="275"/>
      <c r="I1941" s="275"/>
      <c r="J1941" s="275"/>
      <c r="K1941" s="275"/>
      <c r="L1941" s="275"/>
      <c r="M1941" s="275"/>
      <c r="N1941" s="275"/>
      <c r="O1941" s="276"/>
      <c r="P1941" s="276"/>
      <c r="Q1941" s="247">
        <f t="shared" si="36"/>
        <v>0</v>
      </c>
      <c r="R1941" s="229"/>
      <c r="S1941" s="229"/>
      <c r="T1941" s="229"/>
      <c r="U1941" s="229"/>
      <c r="V1941" s="229"/>
      <c r="W1941" s="229"/>
      <c r="X1941" s="229"/>
    </row>
    <row r="1942" spans="1:24" ht="15.75" hidden="1">
      <c r="A1942" s="343"/>
      <c r="B1942" s="344"/>
      <c r="C1942" s="275"/>
      <c r="D1942" s="275"/>
      <c r="E1942" s="275"/>
      <c r="F1942" s="275"/>
      <c r="G1942" s="275"/>
      <c r="H1942" s="275"/>
      <c r="I1942" s="275"/>
      <c r="J1942" s="275"/>
      <c r="K1942" s="275"/>
      <c r="L1942" s="275"/>
      <c r="M1942" s="275"/>
      <c r="N1942" s="275"/>
      <c r="O1942" s="276"/>
      <c r="P1942" s="276"/>
      <c r="Q1942" s="247">
        <f t="shared" si="36"/>
        <v>0</v>
      </c>
      <c r="R1942" s="229"/>
      <c r="S1942" s="229"/>
      <c r="T1942" s="229"/>
      <c r="U1942" s="229"/>
      <c r="V1942" s="229"/>
      <c r="W1942" s="229"/>
      <c r="X1942" s="229"/>
    </row>
    <row r="1943" spans="1:24" ht="15.75" hidden="1">
      <c r="A1943" s="343"/>
      <c r="B1943" s="344"/>
      <c r="C1943" s="275"/>
      <c r="D1943" s="275"/>
      <c r="E1943" s="275"/>
      <c r="F1943" s="275"/>
      <c r="G1943" s="275"/>
      <c r="H1943" s="275"/>
      <c r="I1943" s="275"/>
      <c r="J1943" s="275"/>
      <c r="K1943" s="275"/>
      <c r="L1943" s="275"/>
      <c r="M1943" s="275"/>
      <c r="N1943" s="275"/>
      <c r="O1943" s="276"/>
      <c r="P1943" s="276"/>
      <c r="Q1943" s="247">
        <f t="shared" si="36"/>
        <v>0</v>
      </c>
      <c r="R1943" s="229"/>
      <c r="S1943" s="229"/>
      <c r="T1943" s="229"/>
      <c r="U1943" s="229"/>
      <c r="V1943" s="229"/>
      <c r="W1943" s="229"/>
      <c r="X1943" s="229"/>
    </row>
    <row r="1944" spans="1:24" ht="15.75" hidden="1">
      <c r="A1944" s="343"/>
      <c r="B1944" s="344"/>
      <c r="C1944" s="275"/>
      <c r="D1944" s="275"/>
      <c r="E1944" s="275"/>
      <c r="F1944" s="275"/>
      <c r="G1944" s="275"/>
      <c r="H1944" s="275"/>
      <c r="I1944" s="275"/>
      <c r="J1944" s="275"/>
      <c r="K1944" s="275"/>
      <c r="L1944" s="275"/>
      <c r="M1944" s="275"/>
      <c r="N1944" s="275"/>
      <c r="O1944" s="276"/>
      <c r="P1944" s="276"/>
      <c r="Q1944" s="247">
        <f t="shared" si="36"/>
        <v>0</v>
      </c>
      <c r="R1944" s="229"/>
      <c r="S1944" s="229"/>
      <c r="T1944" s="229"/>
      <c r="U1944" s="229"/>
      <c r="V1944" s="229"/>
      <c r="W1944" s="229"/>
      <c r="X1944" s="229"/>
    </row>
    <row r="1945" spans="1:24" ht="15.75" hidden="1">
      <c r="A1945" s="343"/>
      <c r="B1945" s="344"/>
      <c r="C1945" s="275"/>
      <c r="D1945" s="275"/>
      <c r="E1945" s="275"/>
      <c r="F1945" s="275"/>
      <c r="G1945" s="275"/>
      <c r="H1945" s="275"/>
      <c r="I1945" s="275"/>
      <c r="J1945" s="275"/>
      <c r="K1945" s="275"/>
      <c r="L1945" s="275"/>
      <c r="M1945" s="275"/>
      <c r="N1945" s="275"/>
      <c r="O1945" s="276"/>
      <c r="P1945" s="276"/>
      <c r="Q1945" s="247">
        <f t="shared" si="36"/>
        <v>0</v>
      </c>
      <c r="R1945" s="229"/>
      <c r="S1945" s="229"/>
      <c r="T1945" s="229"/>
      <c r="U1945" s="229"/>
      <c r="V1945" s="229"/>
      <c r="W1945" s="229"/>
      <c r="X1945" s="229"/>
    </row>
    <row r="1946" spans="1:24" ht="15.75" hidden="1">
      <c r="A1946" s="343"/>
      <c r="B1946" s="344"/>
      <c r="C1946" s="275"/>
      <c r="D1946" s="275"/>
      <c r="E1946" s="275"/>
      <c r="F1946" s="275"/>
      <c r="G1946" s="275"/>
      <c r="H1946" s="275"/>
      <c r="I1946" s="275"/>
      <c r="J1946" s="275"/>
      <c r="K1946" s="275"/>
      <c r="L1946" s="275"/>
      <c r="M1946" s="275"/>
      <c r="N1946" s="275"/>
      <c r="O1946" s="276"/>
      <c r="P1946" s="276"/>
      <c r="Q1946" s="247">
        <f t="shared" si="36"/>
        <v>0</v>
      </c>
      <c r="R1946" s="229"/>
      <c r="S1946" s="229"/>
      <c r="T1946" s="229"/>
      <c r="U1946" s="229"/>
      <c r="V1946" s="229"/>
      <c r="W1946" s="229"/>
      <c r="X1946" s="229"/>
    </row>
    <row r="1947" spans="1:24" ht="15.75" hidden="1">
      <c r="A1947" s="343"/>
      <c r="B1947" s="344"/>
      <c r="C1947" s="275"/>
      <c r="D1947" s="275"/>
      <c r="E1947" s="275"/>
      <c r="F1947" s="275"/>
      <c r="G1947" s="275"/>
      <c r="H1947" s="275"/>
      <c r="I1947" s="275"/>
      <c r="J1947" s="275"/>
      <c r="K1947" s="275"/>
      <c r="L1947" s="275"/>
      <c r="M1947" s="275"/>
      <c r="N1947" s="275"/>
      <c r="O1947" s="276"/>
      <c r="P1947" s="276"/>
      <c r="Q1947" s="247">
        <f t="shared" si="36"/>
        <v>0</v>
      </c>
      <c r="R1947" s="229"/>
      <c r="S1947" s="229"/>
      <c r="T1947" s="229"/>
      <c r="U1947" s="229"/>
      <c r="V1947" s="229"/>
      <c r="W1947" s="229"/>
      <c r="X1947" s="229"/>
    </row>
    <row r="1948" spans="1:24" ht="15.75" hidden="1">
      <c r="A1948" s="343"/>
      <c r="B1948" s="344"/>
      <c r="C1948" s="275"/>
      <c r="D1948" s="275"/>
      <c r="E1948" s="275"/>
      <c r="F1948" s="275"/>
      <c r="G1948" s="275"/>
      <c r="H1948" s="275"/>
      <c r="I1948" s="275"/>
      <c r="J1948" s="275"/>
      <c r="K1948" s="275"/>
      <c r="L1948" s="275"/>
      <c r="M1948" s="275"/>
      <c r="N1948" s="275"/>
      <c r="O1948" s="276"/>
      <c r="P1948" s="276"/>
      <c r="Q1948" s="247">
        <f t="shared" si="36"/>
        <v>0</v>
      </c>
      <c r="R1948" s="229"/>
      <c r="S1948" s="229"/>
      <c r="T1948" s="229"/>
      <c r="U1948" s="229"/>
      <c r="V1948" s="229"/>
      <c r="W1948" s="229"/>
      <c r="X1948" s="229"/>
    </row>
    <row r="1949" spans="1:24" ht="15.75" hidden="1">
      <c r="A1949" s="343"/>
      <c r="B1949" s="344"/>
      <c r="C1949" s="275"/>
      <c r="D1949" s="275"/>
      <c r="E1949" s="275"/>
      <c r="F1949" s="275"/>
      <c r="G1949" s="275"/>
      <c r="H1949" s="275"/>
      <c r="I1949" s="275"/>
      <c r="J1949" s="275"/>
      <c r="K1949" s="275"/>
      <c r="L1949" s="275"/>
      <c r="M1949" s="275"/>
      <c r="N1949" s="275"/>
      <c r="O1949" s="276"/>
      <c r="P1949" s="276"/>
      <c r="Q1949" s="247">
        <f t="shared" si="36"/>
        <v>0</v>
      </c>
      <c r="R1949" s="229"/>
      <c r="S1949" s="229"/>
      <c r="T1949" s="229"/>
      <c r="U1949" s="229"/>
      <c r="V1949" s="229"/>
      <c r="W1949" s="229"/>
      <c r="X1949" s="229"/>
    </row>
    <row r="1950" spans="1:24" ht="15.75" hidden="1">
      <c r="A1950" s="343"/>
      <c r="B1950" s="344"/>
      <c r="C1950" s="275"/>
      <c r="D1950" s="275"/>
      <c r="E1950" s="275"/>
      <c r="F1950" s="275"/>
      <c r="G1950" s="275"/>
      <c r="H1950" s="275"/>
      <c r="I1950" s="275"/>
      <c r="J1950" s="275"/>
      <c r="K1950" s="275"/>
      <c r="L1950" s="275"/>
      <c r="M1950" s="275"/>
      <c r="N1950" s="275"/>
      <c r="O1950" s="276"/>
      <c r="P1950" s="276"/>
      <c r="Q1950" s="247">
        <f t="shared" si="36"/>
        <v>0</v>
      </c>
      <c r="R1950" s="229"/>
      <c r="S1950" s="229"/>
      <c r="T1950" s="229"/>
      <c r="U1950" s="229"/>
      <c r="V1950" s="229"/>
      <c r="W1950" s="229"/>
      <c r="X1950" s="229"/>
    </row>
    <row r="1951" spans="1:24" ht="15.75" hidden="1">
      <c r="A1951" s="343"/>
      <c r="B1951" s="344"/>
      <c r="C1951" s="275"/>
      <c r="D1951" s="275"/>
      <c r="E1951" s="275"/>
      <c r="F1951" s="275"/>
      <c r="G1951" s="275"/>
      <c r="H1951" s="275"/>
      <c r="I1951" s="275"/>
      <c r="J1951" s="275"/>
      <c r="K1951" s="275"/>
      <c r="L1951" s="275"/>
      <c r="M1951" s="275"/>
      <c r="N1951" s="275"/>
      <c r="O1951" s="276"/>
      <c r="P1951" s="276"/>
      <c r="Q1951" s="247">
        <f t="shared" si="36"/>
        <v>0</v>
      </c>
      <c r="R1951" s="229"/>
      <c r="S1951" s="229"/>
      <c r="T1951" s="229"/>
      <c r="U1951" s="229"/>
      <c r="V1951" s="229"/>
      <c r="W1951" s="229"/>
      <c r="X1951" s="229"/>
    </row>
    <row r="1952" spans="1:24" ht="15.75" hidden="1">
      <c r="A1952" s="343"/>
      <c r="B1952" s="344"/>
      <c r="C1952" s="275"/>
      <c r="D1952" s="275"/>
      <c r="E1952" s="275"/>
      <c r="F1952" s="275"/>
      <c r="G1952" s="275"/>
      <c r="H1952" s="275"/>
      <c r="I1952" s="275"/>
      <c r="J1952" s="275"/>
      <c r="K1952" s="275"/>
      <c r="L1952" s="275"/>
      <c r="M1952" s="275"/>
      <c r="N1952" s="275"/>
      <c r="O1952" s="276"/>
      <c r="P1952" s="276"/>
      <c r="Q1952" s="247">
        <f t="shared" si="36"/>
        <v>0</v>
      </c>
      <c r="R1952" s="229"/>
      <c r="S1952" s="229"/>
      <c r="T1952" s="229"/>
      <c r="U1952" s="229"/>
      <c r="V1952" s="229"/>
      <c r="W1952" s="229"/>
      <c r="X1952" s="229"/>
    </row>
    <row r="1953" spans="1:24" ht="15.75" hidden="1">
      <c r="A1953" s="343"/>
      <c r="B1953" s="344"/>
      <c r="C1953" s="275"/>
      <c r="D1953" s="275"/>
      <c r="E1953" s="275"/>
      <c r="F1953" s="275"/>
      <c r="G1953" s="275"/>
      <c r="H1953" s="275"/>
      <c r="I1953" s="275"/>
      <c r="J1953" s="275"/>
      <c r="K1953" s="275"/>
      <c r="L1953" s="275"/>
      <c r="M1953" s="275"/>
      <c r="N1953" s="275"/>
      <c r="O1953" s="276"/>
      <c r="P1953" s="276"/>
      <c r="Q1953" s="247">
        <f t="shared" si="36"/>
        <v>0</v>
      </c>
      <c r="R1953" s="229"/>
      <c r="S1953" s="229"/>
      <c r="T1953" s="229"/>
      <c r="U1953" s="229"/>
      <c r="V1953" s="229"/>
      <c r="W1953" s="229"/>
      <c r="X1953" s="229"/>
    </row>
    <row r="1954" spans="1:24" ht="15.75" hidden="1">
      <c r="A1954" s="343"/>
      <c r="B1954" s="344"/>
      <c r="C1954" s="275"/>
      <c r="D1954" s="275"/>
      <c r="E1954" s="275"/>
      <c r="F1954" s="275"/>
      <c r="G1954" s="275"/>
      <c r="H1954" s="275"/>
      <c r="I1954" s="275"/>
      <c r="J1954" s="275"/>
      <c r="K1954" s="275"/>
      <c r="L1954" s="275"/>
      <c r="M1954" s="275"/>
      <c r="N1954" s="275"/>
      <c r="O1954" s="276"/>
      <c r="P1954" s="276"/>
      <c r="Q1954" s="247">
        <f t="shared" si="36"/>
        <v>0</v>
      </c>
      <c r="R1954" s="229"/>
      <c r="S1954" s="229"/>
      <c r="T1954" s="229"/>
      <c r="U1954" s="229"/>
      <c r="V1954" s="229"/>
      <c r="W1954" s="229"/>
      <c r="X1954" s="229"/>
    </row>
    <row r="1955" spans="1:24" ht="15.75" hidden="1">
      <c r="A1955" s="343"/>
      <c r="B1955" s="344"/>
      <c r="C1955" s="275"/>
      <c r="D1955" s="275"/>
      <c r="E1955" s="275"/>
      <c r="F1955" s="275"/>
      <c r="G1955" s="275"/>
      <c r="H1955" s="275"/>
      <c r="I1955" s="275"/>
      <c r="J1955" s="275"/>
      <c r="K1955" s="275"/>
      <c r="L1955" s="275"/>
      <c r="M1955" s="275"/>
      <c r="N1955" s="275"/>
      <c r="O1955" s="276"/>
      <c r="P1955" s="276"/>
      <c r="Q1955" s="247">
        <f t="shared" si="36"/>
        <v>0</v>
      </c>
      <c r="R1955" s="229"/>
      <c r="S1955" s="229"/>
      <c r="T1955" s="229"/>
      <c r="U1955" s="229"/>
      <c r="V1955" s="229"/>
      <c r="W1955" s="229"/>
      <c r="X1955" s="229"/>
    </row>
    <row r="1956" spans="1:24" ht="15.75" hidden="1">
      <c r="A1956" s="343"/>
      <c r="B1956" s="344"/>
      <c r="C1956" s="275"/>
      <c r="D1956" s="275"/>
      <c r="E1956" s="275"/>
      <c r="F1956" s="275"/>
      <c r="G1956" s="275"/>
      <c r="H1956" s="275"/>
      <c r="I1956" s="275"/>
      <c r="J1956" s="275"/>
      <c r="K1956" s="275"/>
      <c r="L1956" s="275"/>
      <c r="M1956" s="275"/>
      <c r="N1956" s="275"/>
      <c r="O1956" s="276"/>
      <c r="P1956" s="276"/>
      <c r="Q1956" s="247">
        <f t="shared" si="36"/>
        <v>0</v>
      </c>
      <c r="R1956" s="229"/>
      <c r="S1956" s="229"/>
      <c r="T1956" s="229"/>
      <c r="U1956" s="229"/>
      <c r="V1956" s="229"/>
      <c r="W1956" s="229"/>
      <c r="X1956" s="229"/>
    </row>
    <row r="1957" spans="1:24" ht="15.75" hidden="1">
      <c r="A1957" s="343"/>
      <c r="B1957" s="344"/>
      <c r="C1957" s="275"/>
      <c r="D1957" s="275"/>
      <c r="E1957" s="275"/>
      <c r="F1957" s="275"/>
      <c r="G1957" s="275"/>
      <c r="H1957" s="275"/>
      <c r="I1957" s="275"/>
      <c r="J1957" s="275"/>
      <c r="K1957" s="275"/>
      <c r="L1957" s="275"/>
      <c r="M1957" s="275"/>
      <c r="N1957" s="275"/>
      <c r="O1957" s="276"/>
      <c r="P1957" s="276"/>
      <c r="Q1957" s="247">
        <f t="shared" si="36"/>
        <v>0</v>
      </c>
      <c r="R1957" s="229"/>
      <c r="S1957" s="229"/>
      <c r="T1957" s="229"/>
      <c r="U1957" s="229"/>
      <c r="V1957" s="229"/>
      <c r="W1957" s="229"/>
      <c r="X1957" s="229"/>
    </row>
    <row r="1958" spans="1:24" ht="15.75" hidden="1">
      <c r="A1958" s="343"/>
      <c r="B1958" s="344"/>
      <c r="C1958" s="275"/>
      <c r="D1958" s="275"/>
      <c r="E1958" s="275"/>
      <c r="F1958" s="275"/>
      <c r="G1958" s="275"/>
      <c r="H1958" s="275"/>
      <c r="I1958" s="275"/>
      <c r="J1958" s="275"/>
      <c r="K1958" s="275"/>
      <c r="L1958" s="275"/>
      <c r="M1958" s="275"/>
      <c r="N1958" s="275"/>
      <c r="O1958" s="276"/>
      <c r="P1958" s="276"/>
      <c r="Q1958" s="247">
        <f t="shared" si="36"/>
        <v>0</v>
      </c>
      <c r="R1958" s="229"/>
      <c r="S1958" s="229"/>
      <c r="T1958" s="229"/>
      <c r="U1958" s="229"/>
      <c r="V1958" s="229"/>
      <c r="W1958" s="229"/>
      <c r="X1958" s="229"/>
    </row>
    <row r="1959" spans="1:24" ht="15.75" hidden="1">
      <c r="A1959" s="343"/>
      <c r="B1959" s="344"/>
      <c r="C1959" s="275"/>
      <c r="D1959" s="275"/>
      <c r="E1959" s="275"/>
      <c r="F1959" s="275"/>
      <c r="G1959" s="275"/>
      <c r="H1959" s="275"/>
      <c r="I1959" s="275"/>
      <c r="J1959" s="275"/>
      <c r="K1959" s="275"/>
      <c r="L1959" s="275"/>
      <c r="M1959" s="275"/>
      <c r="N1959" s="275"/>
      <c r="O1959" s="276"/>
      <c r="P1959" s="276"/>
      <c r="Q1959" s="247">
        <f t="shared" si="36"/>
        <v>0</v>
      </c>
      <c r="R1959" s="229"/>
      <c r="S1959" s="229"/>
      <c r="T1959" s="229"/>
      <c r="U1959" s="229"/>
      <c r="V1959" s="229"/>
      <c r="W1959" s="229"/>
      <c r="X1959" s="229"/>
    </row>
    <row r="1960" spans="1:24" ht="15.75" hidden="1">
      <c r="A1960" s="343"/>
      <c r="B1960" s="344"/>
      <c r="C1960" s="275"/>
      <c r="D1960" s="275"/>
      <c r="E1960" s="275"/>
      <c r="F1960" s="275"/>
      <c r="G1960" s="275"/>
      <c r="H1960" s="275"/>
      <c r="I1960" s="275"/>
      <c r="J1960" s="275"/>
      <c r="K1960" s="275"/>
      <c r="L1960" s="275"/>
      <c r="M1960" s="275"/>
      <c r="N1960" s="275"/>
      <c r="O1960" s="276"/>
      <c r="P1960" s="276"/>
      <c r="Q1960" s="247">
        <f t="shared" si="36"/>
        <v>0</v>
      </c>
      <c r="R1960" s="229"/>
      <c r="S1960" s="229"/>
      <c r="T1960" s="229"/>
      <c r="U1960" s="229"/>
      <c r="V1960" s="229"/>
      <c r="W1960" s="229"/>
      <c r="X1960" s="229"/>
    </row>
    <row r="1961" spans="1:24" ht="15.75" hidden="1">
      <c r="A1961" s="343"/>
      <c r="B1961" s="344"/>
      <c r="C1961" s="275"/>
      <c r="D1961" s="275"/>
      <c r="E1961" s="275"/>
      <c r="F1961" s="275"/>
      <c r="G1961" s="275"/>
      <c r="H1961" s="275"/>
      <c r="I1961" s="275"/>
      <c r="J1961" s="275"/>
      <c r="K1961" s="275"/>
      <c r="L1961" s="275"/>
      <c r="M1961" s="275"/>
      <c r="N1961" s="275"/>
      <c r="O1961" s="276"/>
      <c r="P1961" s="276"/>
      <c r="Q1961" s="247">
        <f t="shared" si="36"/>
        <v>0</v>
      </c>
      <c r="R1961" s="229"/>
      <c r="S1961" s="229"/>
      <c r="T1961" s="229"/>
      <c r="U1961" s="229"/>
      <c r="V1961" s="229"/>
      <c r="W1961" s="229"/>
      <c r="X1961" s="229"/>
    </row>
    <row r="1962" spans="1:24" ht="15.75" hidden="1">
      <c r="A1962" s="343"/>
      <c r="B1962" s="344"/>
      <c r="C1962" s="275"/>
      <c r="D1962" s="275"/>
      <c r="E1962" s="275"/>
      <c r="F1962" s="275"/>
      <c r="G1962" s="275"/>
      <c r="H1962" s="275"/>
      <c r="I1962" s="275"/>
      <c r="J1962" s="275"/>
      <c r="K1962" s="275"/>
      <c r="L1962" s="275"/>
      <c r="M1962" s="275"/>
      <c r="N1962" s="275"/>
      <c r="O1962" s="276"/>
      <c r="P1962" s="276"/>
      <c r="Q1962" s="247">
        <f t="shared" si="36"/>
        <v>0</v>
      </c>
      <c r="R1962" s="229"/>
      <c r="S1962" s="229"/>
      <c r="T1962" s="229"/>
      <c r="U1962" s="229"/>
      <c r="V1962" s="229"/>
      <c r="W1962" s="229"/>
      <c r="X1962" s="229"/>
    </row>
    <row r="1963" spans="1:24" ht="15.75" hidden="1">
      <c r="A1963" s="343"/>
      <c r="B1963" s="344"/>
      <c r="C1963" s="275"/>
      <c r="D1963" s="275"/>
      <c r="E1963" s="275"/>
      <c r="F1963" s="275"/>
      <c r="G1963" s="275"/>
      <c r="H1963" s="275"/>
      <c r="I1963" s="275"/>
      <c r="J1963" s="275"/>
      <c r="K1963" s="275"/>
      <c r="L1963" s="275"/>
      <c r="M1963" s="275"/>
      <c r="N1963" s="275"/>
      <c r="O1963" s="276"/>
      <c r="P1963" s="276"/>
      <c r="Q1963" s="247">
        <f t="shared" si="36"/>
        <v>0</v>
      </c>
      <c r="R1963" s="229"/>
      <c r="S1963" s="229"/>
      <c r="T1963" s="229"/>
      <c r="U1963" s="229"/>
      <c r="V1963" s="229"/>
      <c r="W1963" s="229"/>
      <c r="X1963" s="229"/>
    </row>
    <row r="1964" spans="1:24" ht="15.75" hidden="1">
      <c r="A1964" s="343"/>
      <c r="B1964" s="344"/>
      <c r="C1964" s="275"/>
      <c r="D1964" s="275"/>
      <c r="E1964" s="275"/>
      <c r="F1964" s="275"/>
      <c r="G1964" s="275"/>
      <c r="H1964" s="275"/>
      <c r="I1964" s="275"/>
      <c r="J1964" s="275"/>
      <c r="K1964" s="275"/>
      <c r="L1964" s="275"/>
      <c r="M1964" s="275"/>
      <c r="N1964" s="275"/>
      <c r="O1964" s="276"/>
      <c r="P1964" s="276"/>
      <c r="Q1964" s="247">
        <f t="shared" si="36"/>
        <v>0</v>
      </c>
      <c r="R1964" s="229"/>
      <c r="S1964" s="229"/>
      <c r="T1964" s="229"/>
      <c r="U1964" s="229"/>
      <c r="V1964" s="229"/>
      <c r="W1964" s="229"/>
      <c r="X1964" s="229"/>
    </row>
    <row r="1965" spans="1:24" ht="15.75" hidden="1">
      <c r="A1965" s="343"/>
      <c r="B1965" s="344"/>
      <c r="C1965" s="275"/>
      <c r="D1965" s="275"/>
      <c r="E1965" s="275"/>
      <c r="F1965" s="275"/>
      <c r="G1965" s="275"/>
      <c r="H1965" s="275"/>
      <c r="I1965" s="275"/>
      <c r="J1965" s="275"/>
      <c r="K1965" s="275"/>
      <c r="L1965" s="275"/>
      <c r="M1965" s="275"/>
      <c r="N1965" s="275"/>
      <c r="O1965" s="276"/>
      <c r="P1965" s="276"/>
      <c r="Q1965" s="247">
        <f t="shared" si="36"/>
        <v>0</v>
      </c>
      <c r="R1965" s="229"/>
      <c r="S1965" s="229"/>
      <c r="T1965" s="229"/>
      <c r="U1965" s="229"/>
      <c r="V1965" s="229"/>
      <c r="W1965" s="229"/>
      <c r="X1965" s="229"/>
    </row>
    <row r="1966" spans="1:24" ht="15.75" hidden="1">
      <c r="A1966" s="343"/>
      <c r="B1966" s="344"/>
      <c r="C1966" s="275"/>
      <c r="D1966" s="275"/>
      <c r="E1966" s="275"/>
      <c r="F1966" s="275"/>
      <c r="G1966" s="275"/>
      <c r="H1966" s="275"/>
      <c r="I1966" s="275"/>
      <c r="J1966" s="275"/>
      <c r="K1966" s="275"/>
      <c r="L1966" s="275"/>
      <c r="M1966" s="275"/>
      <c r="N1966" s="275"/>
      <c r="O1966" s="276"/>
      <c r="P1966" s="276"/>
      <c r="Q1966" s="247">
        <f t="shared" si="36"/>
        <v>0</v>
      </c>
      <c r="R1966" s="229"/>
      <c r="S1966" s="229"/>
      <c r="T1966" s="229"/>
      <c r="U1966" s="229"/>
      <c r="V1966" s="229"/>
      <c r="W1966" s="229"/>
      <c r="X1966" s="229"/>
    </row>
    <row r="1967" spans="1:24" ht="15.75" hidden="1">
      <c r="A1967" s="343"/>
      <c r="B1967" s="344"/>
      <c r="C1967" s="275"/>
      <c r="D1967" s="275"/>
      <c r="E1967" s="275"/>
      <c r="F1967" s="275"/>
      <c r="G1967" s="275"/>
      <c r="H1967" s="275"/>
      <c r="I1967" s="275"/>
      <c r="J1967" s="275"/>
      <c r="K1967" s="275"/>
      <c r="L1967" s="275"/>
      <c r="M1967" s="275"/>
      <c r="N1967" s="275"/>
      <c r="O1967" s="276"/>
      <c r="P1967" s="276"/>
      <c r="Q1967" s="247">
        <f t="shared" si="36"/>
        <v>0</v>
      </c>
      <c r="R1967" s="229"/>
      <c r="S1967" s="229"/>
      <c r="T1967" s="229"/>
      <c r="U1967" s="229"/>
      <c r="V1967" s="229"/>
      <c r="W1967" s="229"/>
      <c r="X1967" s="229"/>
    </row>
    <row r="1968" spans="1:24" ht="15.75" hidden="1">
      <c r="A1968" s="343"/>
      <c r="B1968" s="344"/>
      <c r="C1968" s="275"/>
      <c r="D1968" s="275"/>
      <c r="E1968" s="275"/>
      <c r="F1968" s="275"/>
      <c r="G1968" s="275"/>
      <c r="H1968" s="275"/>
      <c r="I1968" s="275"/>
      <c r="J1968" s="275"/>
      <c r="K1968" s="275"/>
      <c r="L1968" s="275"/>
      <c r="M1968" s="275"/>
      <c r="N1968" s="275"/>
      <c r="O1968" s="276"/>
      <c r="P1968" s="276"/>
      <c r="Q1968" s="247">
        <f t="shared" si="36"/>
        <v>0</v>
      </c>
      <c r="R1968" s="229"/>
      <c r="S1968" s="229"/>
      <c r="T1968" s="229"/>
      <c r="U1968" s="229"/>
      <c r="V1968" s="229"/>
      <c r="W1968" s="229"/>
      <c r="X1968" s="229"/>
    </row>
    <row r="1969" spans="1:24" ht="15.75" hidden="1">
      <c r="A1969" s="343"/>
      <c r="B1969" s="344"/>
      <c r="C1969" s="275"/>
      <c r="D1969" s="275"/>
      <c r="E1969" s="275"/>
      <c r="F1969" s="275"/>
      <c r="G1969" s="275"/>
      <c r="H1969" s="275"/>
      <c r="I1969" s="275"/>
      <c r="J1969" s="275"/>
      <c r="K1969" s="275"/>
      <c r="L1969" s="275"/>
      <c r="M1969" s="275"/>
      <c r="N1969" s="275"/>
      <c r="O1969" s="276"/>
      <c r="P1969" s="276"/>
      <c r="Q1969" s="247">
        <f t="shared" si="36"/>
        <v>0</v>
      </c>
      <c r="R1969" s="229"/>
      <c r="S1969" s="229"/>
      <c r="T1969" s="229"/>
      <c r="U1969" s="229"/>
      <c r="V1969" s="229"/>
      <c r="W1969" s="229"/>
      <c r="X1969" s="229"/>
    </row>
    <row r="1970" spans="1:24" ht="15.75" hidden="1">
      <c r="A1970" s="343"/>
      <c r="B1970" s="344"/>
      <c r="C1970" s="275"/>
      <c r="D1970" s="275"/>
      <c r="E1970" s="275"/>
      <c r="F1970" s="275"/>
      <c r="G1970" s="275"/>
      <c r="H1970" s="275"/>
      <c r="I1970" s="275"/>
      <c r="J1970" s="275"/>
      <c r="K1970" s="275"/>
      <c r="L1970" s="275"/>
      <c r="M1970" s="275"/>
      <c r="N1970" s="275"/>
      <c r="O1970" s="276"/>
      <c r="P1970" s="276"/>
      <c r="Q1970" s="247">
        <f t="shared" si="36"/>
        <v>0</v>
      </c>
      <c r="R1970" s="229"/>
      <c r="S1970" s="229"/>
      <c r="T1970" s="229"/>
      <c r="U1970" s="229"/>
      <c r="V1970" s="229"/>
      <c r="W1970" s="229"/>
      <c r="X1970" s="229"/>
    </row>
    <row r="1971" spans="1:24" ht="15.75" hidden="1">
      <c r="A1971" s="343"/>
      <c r="B1971" s="344"/>
      <c r="C1971" s="275"/>
      <c r="D1971" s="275"/>
      <c r="E1971" s="275"/>
      <c r="F1971" s="275"/>
      <c r="G1971" s="275"/>
      <c r="H1971" s="275"/>
      <c r="I1971" s="275"/>
      <c r="J1971" s="275"/>
      <c r="K1971" s="275"/>
      <c r="L1971" s="275"/>
      <c r="M1971" s="275"/>
      <c r="N1971" s="275"/>
      <c r="O1971" s="276"/>
      <c r="P1971" s="276"/>
      <c r="Q1971" s="247">
        <f t="shared" si="36"/>
        <v>0</v>
      </c>
      <c r="R1971" s="229"/>
      <c r="S1971" s="229"/>
      <c r="T1971" s="229"/>
      <c r="U1971" s="229"/>
      <c r="V1971" s="229"/>
      <c r="W1971" s="229"/>
      <c r="X1971" s="229"/>
    </row>
    <row r="1972" spans="1:24" ht="15.75" hidden="1">
      <c r="A1972" s="343"/>
      <c r="B1972" s="344"/>
      <c r="C1972" s="275"/>
      <c r="D1972" s="275"/>
      <c r="E1972" s="275"/>
      <c r="F1972" s="275"/>
      <c r="G1972" s="275"/>
      <c r="H1972" s="275"/>
      <c r="I1972" s="275"/>
      <c r="J1972" s="275"/>
      <c r="K1972" s="275"/>
      <c r="L1972" s="275"/>
      <c r="M1972" s="275"/>
      <c r="N1972" s="275"/>
      <c r="O1972" s="276"/>
      <c r="P1972" s="276"/>
      <c r="Q1972" s="247">
        <f t="shared" si="36"/>
        <v>0</v>
      </c>
      <c r="R1972" s="229"/>
      <c r="S1972" s="229"/>
      <c r="T1972" s="229"/>
      <c r="U1972" s="229"/>
      <c r="V1972" s="229"/>
      <c r="W1972" s="229"/>
      <c r="X1972" s="229"/>
    </row>
    <row r="1973" spans="1:24" ht="15.75" hidden="1">
      <c r="A1973" s="343"/>
      <c r="B1973" s="344"/>
      <c r="C1973" s="275"/>
      <c r="D1973" s="275"/>
      <c r="E1973" s="275"/>
      <c r="F1973" s="275"/>
      <c r="G1973" s="275"/>
      <c r="H1973" s="275"/>
      <c r="I1973" s="275"/>
      <c r="J1973" s="275"/>
      <c r="K1973" s="275"/>
      <c r="L1973" s="275"/>
      <c r="M1973" s="275"/>
      <c r="N1973" s="275"/>
      <c r="O1973" s="276"/>
      <c r="P1973" s="276"/>
      <c r="Q1973" s="247">
        <f t="shared" si="36"/>
        <v>0</v>
      </c>
      <c r="R1973" s="229"/>
      <c r="S1973" s="229"/>
      <c r="T1973" s="229"/>
      <c r="U1973" s="229"/>
      <c r="V1973" s="229"/>
      <c r="W1973" s="229"/>
      <c r="X1973" s="229"/>
    </row>
    <row r="1974" spans="1:24" ht="15.75" hidden="1">
      <c r="A1974" s="343"/>
      <c r="B1974" s="344"/>
      <c r="C1974" s="275"/>
      <c r="D1974" s="275"/>
      <c r="E1974" s="275"/>
      <c r="F1974" s="275"/>
      <c r="G1974" s="275"/>
      <c r="H1974" s="275"/>
      <c r="I1974" s="275"/>
      <c r="J1974" s="275"/>
      <c r="K1974" s="275"/>
      <c r="L1974" s="275"/>
      <c r="M1974" s="275"/>
      <c r="N1974" s="275"/>
      <c r="O1974" s="276"/>
      <c r="P1974" s="276"/>
      <c r="Q1974" s="247">
        <f t="shared" si="36"/>
        <v>0</v>
      </c>
      <c r="R1974" s="229"/>
      <c r="S1974" s="229"/>
      <c r="T1974" s="229"/>
      <c r="U1974" s="229"/>
      <c r="V1974" s="229"/>
      <c r="W1974" s="229"/>
      <c r="X1974" s="229"/>
    </row>
    <row r="1975" spans="1:24" ht="15.75" hidden="1">
      <c r="A1975" s="343"/>
      <c r="B1975" s="344"/>
      <c r="C1975" s="275"/>
      <c r="D1975" s="275"/>
      <c r="E1975" s="275"/>
      <c r="F1975" s="275"/>
      <c r="G1975" s="275"/>
      <c r="H1975" s="275"/>
      <c r="I1975" s="275"/>
      <c r="J1975" s="275"/>
      <c r="K1975" s="275"/>
      <c r="L1975" s="275"/>
      <c r="M1975" s="275"/>
      <c r="N1975" s="275"/>
      <c r="O1975" s="276"/>
      <c r="P1975" s="276"/>
      <c r="Q1975" s="247">
        <f t="shared" si="36"/>
        <v>0</v>
      </c>
      <c r="R1975" s="229"/>
      <c r="S1975" s="229"/>
      <c r="T1975" s="229"/>
      <c r="U1975" s="229"/>
      <c r="V1975" s="229"/>
      <c r="W1975" s="229"/>
      <c r="X1975" s="229"/>
    </row>
    <row r="1976" spans="1:24" ht="15.75" hidden="1">
      <c r="A1976" s="343"/>
      <c r="B1976" s="344"/>
      <c r="C1976" s="275"/>
      <c r="D1976" s="275"/>
      <c r="E1976" s="275"/>
      <c r="F1976" s="275"/>
      <c r="G1976" s="275"/>
      <c r="H1976" s="275"/>
      <c r="I1976" s="275"/>
      <c r="J1976" s="275"/>
      <c r="K1976" s="275"/>
      <c r="L1976" s="275"/>
      <c r="M1976" s="275"/>
      <c r="N1976" s="275"/>
      <c r="O1976" s="276"/>
      <c r="P1976" s="276"/>
      <c r="Q1976" s="247">
        <f t="shared" si="36"/>
        <v>0</v>
      </c>
      <c r="R1976" s="229"/>
      <c r="S1976" s="229"/>
      <c r="T1976" s="229"/>
      <c r="U1976" s="229"/>
      <c r="V1976" s="229"/>
      <c r="W1976" s="229"/>
      <c r="X1976" s="229"/>
    </row>
    <row r="1977" spans="1:24" ht="15.75" hidden="1">
      <c r="A1977" s="343"/>
      <c r="B1977" s="344"/>
      <c r="C1977" s="275"/>
      <c r="D1977" s="275"/>
      <c r="E1977" s="275"/>
      <c r="F1977" s="275"/>
      <c r="G1977" s="275"/>
      <c r="H1977" s="275"/>
      <c r="I1977" s="275"/>
      <c r="J1977" s="275"/>
      <c r="K1977" s="275"/>
      <c r="L1977" s="275"/>
      <c r="M1977" s="275"/>
      <c r="N1977" s="275"/>
      <c r="O1977" s="276"/>
      <c r="P1977" s="276"/>
      <c r="Q1977" s="247">
        <f t="shared" si="36"/>
        <v>0</v>
      </c>
      <c r="R1977" s="229"/>
      <c r="S1977" s="229"/>
      <c r="T1977" s="229"/>
      <c r="U1977" s="229"/>
      <c r="V1977" s="229"/>
      <c r="W1977" s="229"/>
      <c r="X1977" s="229"/>
    </row>
    <row r="1978" spans="1:24" ht="15.75" hidden="1">
      <c r="A1978" s="343"/>
      <c r="B1978" s="344"/>
      <c r="C1978" s="275"/>
      <c r="D1978" s="275"/>
      <c r="E1978" s="275"/>
      <c r="F1978" s="275"/>
      <c r="G1978" s="275"/>
      <c r="H1978" s="275"/>
      <c r="I1978" s="275"/>
      <c r="J1978" s="275"/>
      <c r="K1978" s="275"/>
      <c r="L1978" s="275"/>
      <c r="M1978" s="275"/>
      <c r="N1978" s="275"/>
      <c r="O1978" s="276"/>
      <c r="P1978" s="276"/>
      <c r="Q1978" s="247">
        <f t="shared" si="36"/>
        <v>0</v>
      </c>
      <c r="R1978" s="229"/>
      <c r="S1978" s="229"/>
      <c r="T1978" s="229"/>
      <c r="U1978" s="229"/>
      <c r="V1978" s="229"/>
      <c r="W1978" s="229"/>
      <c r="X1978" s="229"/>
    </row>
    <row r="1979" spans="1:24" ht="15.75" hidden="1">
      <c r="A1979" s="343"/>
      <c r="B1979" s="344"/>
      <c r="C1979" s="275"/>
      <c r="D1979" s="275"/>
      <c r="E1979" s="275"/>
      <c r="F1979" s="275"/>
      <c r="G1979" s="275"/>
      <c r="H1979" s="275"/>
      <c r="I1979" s="275"/>
      <c r="J1979" s="275"/>
      <c r="K1979" s="275"/>
      <c r="L1979" s="275"/>
      <c r="M1979" s="275"/>
      <c r="N1979" s="275"/>
      <c r="O1979" s="276"/>
      <c r="P1979" s="276"/>
      <c r="Q1979" s="247">
        <f t="shared" si="36"/>
        <v>0</v>
      </c>
      <c r="R1979" s="229"/>
      <c r="S1979" s="229"/>
      <c r="T1979" s="229"/>
      <c r="U1979" s="229"/>
      <c r="V1979" s="229"/>
      <c r="W1979" s="229"/>
      <c r="X1979" s="229"/>
    </row>
    <row r="1980" spans="1:24" ht="15.75" hidden="1">
      <c r="A1980" s="343"/>
      <c r="B1980" s="344"/>
      <c r="C1980" s="275"/>
      <c r="D1980" s="275"/>
      <c r="E1980" s="275"/>
      <c r="F1980" s="275"/>
      <c r="G1980" s="275"/>
      <c r="H1980" s="275"/>
      <c r="I1980" s="275"/>
      <c r="J1980" s="275"/>
      <c r="K1980" s="275"/>
      <c r="L1980" s="275"/>
      <c r="M1980" s="275"/>
      <c r="N1980" s="275"/>
      <c r="O1980" s="276"/>
      <c r="P1980" s="276"/>
      <c r="Q1980" s="247">
        <f t="shared" si="36"/>
        <v>0</v>
      </c>
      <c r="R1980" s="229"/>
      <c r="S1980" s="229"/>
      <c r="T1980" s="229"/>
      <c r="U1980" s="229"/>
      <c r="V1980" s="229"/>
      <c r="W1980" s="229"/>
      <c r="X1980" s="229"/>
    </row>
    <row r="1981" spans="1:24" ht="15.75" hidden="1">
      <c r="A1981" s="343"/>
      <c r="B1981" s="344"/>
      <c r="C1981" s="275"/>
      <c r="D1981" s="275"/>
      <c r="E1981" s="275"/>
      <c r="F1981" s="275"/>
      <c r="G1981" s="275"/>
      <c r="H1981" s="275"/>
      <c r="I1981" s="275"/>
      <c r="J1981" s="275"/>
      <c r="K1981" s="275"/>
      <c r="L1981" s="275"/>
      <c r="M1981" s="275"/>
      <c r="N1981" s="275"/>
      <c r="O1981" s="276"/>
      <c r="P1981" s="276"/>
      <c r="Q1981" s="247">
        <f t="shared" si="36"/>
        <v>0</v>
      </c>
      <c r="R1981" s="229"/>
      <c r="S1981" s="229"/>
      <c r="T1981" s="229"/>
      <c r="U1981" s="229"/>
      <c r="V1981" s="229"/>
      <c r="W1981" s="229"/>
      <c r="X1981" s="229"/>
    </row>
    <row r="1982" spans="1:24" ht="15.75" hidden="1">
      <c r="A1982" s="343"/>
      <c r="B1982" s="344"/>
      <c r="C1982" s="275"/>
      <c r="D1982" s="275"/>
      <c r="E1982" s="275"/>
      <c r="F1982" s="275"/>
      <c r="G1982" s="275"/>
      <c r="H1982" s="275"/>
      <c r="I1982" s="275"/>
      <c r="J1982" s="275"/>
      <c r="K1982" s="275"/>
      <c r="L1982" s="275"/>
      <c r="M1982" s="275"/>
      <c r="N1982" s="275"/>
      <c r="O1982" s="276"/>
      <c r="P1982" s="276"/>
      <c r="Q1982" s="247">
        <f t="shared" si="36"/>
        <v>0</v>
      </c>
      <c r="R1982" s="229"/>
      <c r="S1982" s="229"/>
      <c r="T1982" s="229"/>
      <c r="U1982" s="229"/>
      <c r="V1982" s="229"/>
      <c r="W1982" s="229"/>
      <c r="X1982" s="229"/>
    </row>
    <row r="1983" spans="1:24" ht="15.75" hidden="1">
      <c r="A1983" s="343"/>
      <c r="B1983" s="344"/>
      <c r="C1983" s="275"/>
      <c r="D1983" s="275"/>
      <c r="E1983" s="275"/>
      <c r="F1983" s="275"/>
      <c r="G1983" s="275"/>
      <c r="H1983" s="275"/>
      <c r="I1983" s="275"/>
      <c r="J1983" s="275"/>
      <c r="K1983" s="275"/>
      <c r="L1983" s="275"/>
      <c r="M1983" s="275"/>
      <c r="N1983" s="275"/>
      <c r="O1983" s="276"/>
      <c r="P1983" s="276"/>
      <c r="Q1983" s="247">
        <f t="shared" si="36"/>
        <v>0</v>
      </c>
      <c r="R1983" s="229"/>
      <c r="S1983" s="229"/>
      <c r="T1983" s="229"/>
      <c r="U1983" s="229"/>
      <c r="V1983" s="229"/>
      <c r="W1983" s="229"/>
      <c r="X1983" s="229"/>
    </row>
    <row r="1984" spans="1:24" ht="15.75" hidden="1">
      <c r="A1984" s="343"/>
      <c r="B1984" s="344"/>
      <c r="C1984" s="275"/>
      <c r="D1984" s="275"/>
      <c r="E1984" s="275"/>
      <c r="F1984" s="275"/>
      <c r="G1984" s="275"/>
      <c r="H1984" s="275"/>
      <c r="I1984" s="275"/>
      <c r="J1984" s="275"/>
      <c r="K1984" s="275"/>
      <c r="L1984" s="275"/>
      <c r="M1984" s="275"/>
      <c r="N1984" s="275"/>
      <c r="O1984" s="276"/>
      <c r="P1984" s="276"/>
      <c r="Q1984" s="247">
        <f t="shared" si="36"/>
        <v>0</v>
      </c>
      <c r="R1984" s="229"/>
      <c r="S1984" s="229"/>
      <c r="T1984" s="229"/>
      <c r="U1984" s="229"/>
      <c r="V1984" s="229"/>
      <c r="W1984" s="229"/>
      <c r="X1984" s="229"/>
    </row>
    <row r="1985" spans="1:24" ht="15.75" hidden="1">
      <c r="A1985" s="343"/>
      <c r="B1985" s="344"/>
      <c r="C1985" s="275"/>
      <c r="D1985" s="275"/>
      <c r="E1985" s="275"/>
      <c r="F1985" s="275"/>
      <c r="G1985" s="275"/>
      <c r="H1985" s="275"/>
      <c r="I1985" s="275"/>
      <c r="J1985" s="275"/>
      <c r="K1985" s="275"/>
      <c r="L1985" s="275"/>
      <c r="M1985" s="275"/>
      <c r="N1985" s="275"/>
      <c r="O1985" s="276"/>
      <c r="P1985" s="276"/>
      <c r="Q1985" s="247">
        <f t="shared" si="36"/>
        <v>0</v>
      </c>
      <c r="R1985" s="229"/>
      <c r="S1985" s="229"/>
      <c r="T1985" s="229"/>
      <c r="U1985" s="229"/>
      <c r="V1985" s="229"/>
      <c r="W1985" s="229"/>
      <c r="X1985" s="229"/>
    </row>
    <row r="1986" spans="1:24" ht="15.75" hidden="1">
      <c r="A1986" s="343"/>
      <c r="B1986" s="344"/>
      <c r="C1986" s="275"/>
      <c r="D1986" s="275"/>
      <c r="E1986" s="275"/>
      <c r="F1986" s="275"/>
      <c r="G1986" s="275"/>
      <c r="H1986" s="275"/>
      <c r="I1986" s="275"/>
      <c r="J1986" s="275"/>
      <c r="K1986" s="275"/>
      <c r="L1986" s="275"/>
      <c r="M1986" s="275"/>
      <c r="N1986" s="275"/>
      <c r="O1986" s="276"/>
      <c r="P1986" s="276"/>
      <c r="Q1986" s="247">
        <f t="shared" si="36"/>
        <v>0</v>
      </c>
      <c r="R1986" s="229"/>
      <c r="S1986" s="229"/>
      <c r="T1986" s="229"/>
      <c r="U1986" s="229"/>
      <c r="V1986" s="229"/>
      <c r="W1986" s="229"/>
      <c r="X1986" s="229"/>
    </row>
    <row r="1987" spans="1:24" ht="15.75" hidden="1">
      <c r="A1987" s="343"/>
      <c r="B1987" s="344"/>
      <c r="C1987" s="275"/>
      <c r="D1987" s="275"/>
      <c r="E1987" s="275"/>
      <c r="F1987" s="275"/>
      <c r="G1987" s="275"/>
      <c r="H1987" s="275"/>
      <c r="I1987" s="275"/>
      <c r="J1987" s="275"/>
      <c r="K1987" s="275"/>
      <c r="L1987" s="275"/>
      <c r="M1987" s="275"/>
      <c r="N1987" s="275"/>
      <c r="O1987" s="276"/>
      <c r="P1987" s="276"/>
      <c r="Q1987" s="247">
        <f t="shared" si="36"/>
        <v>0</v>
      </c>
      <c r="R1987" s="229"/>
      <c r="S1987" s="229"/>
      <c r="T1987" s="229"/>
      <c r="U1987" s="229"/>
      <c r="V1987" s="229"/>
      <c r="W1987" s="229"/>
      <c r="X1987" s="229"/>
    </row>
    <row r="1988" spans="1:24" ht="15.75" hidden="1">
      <c r="A1988" s="343"/>
      <c r="B1988" s="344"/>
      <c r="C1988" s="275"/>
      <c r="D1988" s="275"/>
      <c r="E1988" s="275"/>
      <c r="F1988" s="275"/>
      <c r="G1988" s="275"/>
      <c r="H1988" s="275"/>
      <c r="I1988" s="275"/>
      <c r="J1988" s="275"/>
      <c r="K1988" s="275"/>
      <c r="L1988" s="275"/>
      <c r="M1988" s="275"/>
      <c r="N1988" s="275"/>
      <c r="O1988" s="276"/>
      <c r="P1988" s="276"/>
      <c r="Q1988" s="247">
        <f t="shared" si="36"/>
        <v>0</v>
      </c>
      <c r="R1988" s="229"/>
      <c r="S1988" s="229"/>
      <c r="T1988" s="229"/>
      <c r="U1988" s="229"/>
      <c r="V1988" s="229"/>
      <c r="W1988" s="229"/>
      <c r="X1988" s="229"/>
    </row>
    <row r="1989" spans="1:24" ht="15.75" hidden="1">
      <c r="A1989" s="343"/>
      <c r="B1989" s="344"/>
      <c r="C1989" s="275"/>
      <c r="D1989" s="275"/>
      <c r="E1989" s="275"/>
      <c r="F1989" s="275"/>
      <c r="G1989" s="275"/>
      <c r="H1989" s="275"/>
      <c r="I1989" s="275"/>
      <c r="J1989" s="275"/>
      <c r="K1989" s="275"/>
      <c r="L1989" s="275"/>
      <c r="M1989" s="275"/>
      <c r="N1989" s="275"/>
      <c r="O1989" s="276"/>
      <c r="P1989" s="276"/>
      <c r="Q1989" s="247">
        <f t="shared" si="36"/>
        <v>0</v>
      </c>
      <c r="R1989" s="229"/>
      <c r="S1989" s="229"/>
      <c r="T1989" s="229"/>
      <c r="U1989" s="229"/>
      <c r="V1989" s="229"/>
      <c r="W1989" s="229"/>
      <c r="X1989" s="229"/>
    </row>
    <row r="1990" spans="1:24" ht="15.75" hidden="1">
      <c r="A1990" s="343"/>
      <c r="B1990" s="344"/>
      <c r="C1990" s="275"/>
      <c r="D1990" s="275"/>
      <c r="E1990" s="275"/>
      <c r="F1990" s="275"/>
      <c r="G1990" s="275"/>
      <c r="H1990" s="275"/>
      <c r="I1990" s="275"/>
      <c r="J1990" s="275"/>
      <c r="K1990" s="275"/>
      <c r="L1990" s="275"/>
      <c r="M1990" s="275"/>
      <c r="N1990" s="275"/>
      <c r="O1990" s="276"/>
      <c r="P1990" s="276"/>
      <c r="Q1990" s="247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9"/>
      <c r="S1990" s="229"/>
      <c r="T1990" s="229"/>
      <c r="U1990" s="229"/>
      <c r="V1990" s="229"/>
      <c r="W1990" s="229"/>
      <c r="X1990" s="229"/>
    </row>
    <row r="1991" spans="1:24" ht="15.75" hidden="1">
      <c r="A1991" s="343"/>
      <c r="B1991" s="344"/>
      <c r="C1991" s="275"/>
      <c r="D1991" s="275"/>
      <c r="E1991" s="275"/>
      <c r="F1991" s="275"/>
      <c r="G1991" s="275"/>
      <c r="H1991" s="275"/>
      <c r="I1991" s="275"/>
      <c r="J1991" s="275"/>
      <c r="K1991" s="275"/>
      <c r="L1991" s="275"/>
      <c r="M1991" s="275"/>
      <c r="N1991" s="275"/>
      <c r="O1991" s="276"/>
      <c r="P1991" s="276"/>
      <c r="Q1991" s="247">
        <f t="shared" si="37"/>
        <v>0</v>
      </c>
      <c r="R1991" s="229"/>
      <c r="S1991" s="229"/>
      <c r="T1991" s="229"/>
      <c r="U1991" s="229"/>
      <c r="V1991" s="229"/>
      <c r="W1991" s="229"/>
      <c r="X1991" s="229"/>
    </row>
    <row r="1992" spans="1:24" ht="15.75" hidden="1">
      <c r="A1992" s="343"/>
      <c r="B1992" s="344"/>
      <c r="C1992" s="275"/>
      <c r="D1992" s="275"/>
      <c r="E1992" s="275"/>
      <c r="F1992" s="275"/>
      <c r="G1992" s="275"/>
      <c r="H1992" s="275"/>
      <c r="I1992" s="275"/>
      <c r="J1992" s="275"/>
      <c r="K1992" s="275"/>
      <c r="L1992" s="275"/>
      <c r="M1992" s="275"/>
      <c r="N1992" s="275"/>
      <c r="O1992" s="276"/>
      <c r="P1992" s="276"/>
      <c r="Q1992" s="247">
        <f t="shared" si="37"/>
        <v>0</v>
      </c>
      <c r="R1992" s="229"/>
      <c r="S1992" s="229"/>
      <c r="T1992" s="229"/>
      <c r="U1992" s="229"/>
      <c r="V1992" s="229"/>
      <c r="W1992" s="229"/>
      <c r="X1992" s="229"/>
    </row>
    <row r="1993" spans="1:24" ht="15.75" hidden="1">
      <c r="A1993" s="343"/>
      <c r="B1993" s="344"/>
      <c r="C1993" s="275"/>
      <c r="D1993" s="275"/>
      <c r="E1993" s="275"/>
      <c r="F1993" s="275"/>
      <c r="G1993" s="275"/>
      <c r="H1993" s="275"/>
      <c r="I1993" s="275"/>
      <c r="J1993" s="275"/>
      <c r="K1993" s="275"/>
      <c r="L1993" s="275"/>
      <c r="M1993" s="275"/>
      <c r="N1993" s="275"/>
      <c r="O1993" s="276"/>
      <c r="P1993" s="276"/>
      <c r="Q1993" s="247">
        <f t="shared" si="37"/>
        <v>0</v>
      </c>
      <c r="R1993" s="229"/>
      <c r="S1993" s="229"/>
      <c r="T1993" s="229"/>
      <c r="U1993" s="229"/>
      <c r="V1993" s="229"/>
      <c r="W1993" s="229"/>
      <c r="X1993" s="229"/>
    </row>
    <row r="1994" spans="1:24" ht="15.75" hidden="1">
      <c r="A1994" s="343"/>
      <c r="B1994" s="344"/>
      <c r="C1994" s="275"/>
      <c r="D1994" s="275"/>
      <c r="E1994" s="275"/>
      <c r="F1994" s="275"/>
      <c r="G1994" s="275"/>
      <c r="H1994" s="275"/>
      <c r="I1994" s="275"/>
      <c r="J1994" s="275"/>
      <c r="K1994" s="275"/>
      <c r="L1994" s="275"/>
      <c r="M1994" s="275"/>
      <c r="N1994" s="275"/>
      <c r="O1994" s="276"/>
      <c r="P1994" s="276"/>
      <c r="Q1994" s="247">
        <f t="shared" si="37"/>
        <v>0</v>
      </c>
      <c r="R1994" s="229"/>
      <c r="S1994" s="229"/>
      <c r="T1994" s="229"/>
      <c r="U1994" s="229"/>
      <c r="V1994" s="229"/>
      <c r="W1994" s="229"/>
      <c r="X1994" s="229"/>
    </row>
    <row r="1995" spans="1:24" ht="15.75" hidden="1">
      <c r="A1995" s="343"/>
      <c r="B1995" s="344"/>
      <c r="C1995" s="275"/>
      <c r="D1995" s="275"/>
      <c r="E1995" s="275"/>
      <c r="F1995" s="275"/>
      <c r="G1995" s="275"/>
      <c r="H1995" s="275"/>
      <c r="I1995" s="275"/>
      <c r="J1995" s="275"/>
      <c r="K1995" s="275"/>
      <c r="L1995" s="275"/>
      <c r="M1995" s="275"/>
      <c r="N1995" s="275"/>
      <c r="O1995" s="276"/>
      <c r="P1995" s="276"/>
      <c r="Q1995" s="247">
        <f t="shared" si="37"/>
        <v>0</v>
      </c>
      <c r="R1995" s="229"/>
      <c r="S1995" s="229"/>
      <c r="T1995" s="229"/>
      <c r="U1995" s="229"/>
      <c r="V1995" s="229"/>
      <c r="W1995" s="229"/>
      <c r="X1995" s="229"/>
    </row>
    <row r="1996" spans="1:24" ht="15.75" hidden="1">
      <c r="A1996" s="343"/>
      <c r="B1996" s="344"/>
      <c r="C1996" s="275"/>
      <c r="D1996" s="275"/>
      <c r="E1996" s="275"/>
      <c r="F1996" s="275"/>
      <c r="G1996" s="275"/>
      <c r="H1996" s="275"/>
      <c r="I1996" s="275"/>
      <c r="J1996" s="275"/>
      <c r="K1996" s="275"/>
      <c r="L1996" s="275"/>
      <c r="M1996" s="275"/>
      <c r="N1996" s="275"/>
      <c r="O1996" s="276"/>
      <c r="P1996" s="276"/>
      <c r="Q1996" s="247">
        <f t="shared" si="37"/>
        <v>0</v>
      </c>
      <c r="R1996" s="229"/>
      <c r="S1996" s="229"/>
      <c r="T1996" s="229"/>
      <c r="U1996" s="229"/>
      <c r="V1996" s="229"/>
      <c r="W1996" s="229"/>
      <c r="X1996" s="229"/>
    </row>
    <row r="1997" spans="1:24" ht="15.75" hidden="1">
      <c r="A1997" s="343"/>
      <c r="B1997" s="344"/>
      <c r="C1997" s="275"/>
      <c r="D1997" s="275"/>
      <c r="E1997" s="275"/>
      <c r="F1997" s="275"/>
      <c r="G1997" s="275"/>
      <c r="H1997" s="275"/>
      <c r="I1997" s="275"/>
      <c r="J1997" s="275"/>
      <c r="K1997" s="275"/>
      <c r="L1997" s="275"/>
      <c r="M1997" s="275"/>
      <c r="N1997" s="275"/>
      <c r="O1997" s="276"/>
      <c r="P1997" s="276"/>
      <c r="Q1997" s="247">
        <f t="shared" si="37"/>
        <v>0</v>
      </c>
      <c r="R1997" s="229"/>
      <c r="S1997" s="229"/>
      <c r="T1997" s="229"/>
      <c r="U1997" s="229"/>
      <c r="V1997" s="229"/>
      <c r="W1997" s="229"/>
      <c r="X1997" s="229"/>
    </row>
    <row r="1998" spans="1:24" ht="15.75" hidden="1">
      <c r="A1998" s="343"/>
      <c r="B1998" s="344"/>
      <c r="C1998" s="275"/>
      <c r="D1998" s="275"/>
      <c r="E1998" s="275"/>
      <c r="F1998" s="275"/>
      <c r="G1998" s="275"/>
      <c r="H1998" s="275"/>
      <c r="I1998" s="275"/>
      <c r="J1998" s="275"/>
      <c r="K1998" s="275"/>
      <c r="L1998" s="275"/>
      <c r="M1998" s="275"/>
      <c r="N1998" s="275"/>
      <c r="O1998" s="276"/>
      <c r="P1998" s="276"/>
      <c r="Q1998" s="247">
        <f t="shared" si="37"/>
        <v>0</v>
      </c>
      <c r="R1998" s="229"/>
      <c r="S1998" s="229"/>
      <c r="T1998" s="229"/>
      <c r="U1998" s="229"/>
      <c r="V1998" s="229"/>
      <c r="W1998" s="229"/>
      <c r="X1998" s="229"/>
    </row>
    <row r="1999" spans="1:24" ht="15.75" hidden="1">
      <c r="A1999" s="343"/>
      <c r="B1999" s="344"/>
      <c r="C1999" s="275"/>
      <c r="D1999" s="275"/>
      <c r="E1999" s="275"/>
      <c r="F1999" s="275"/>
      <c r="G1999" s="275"/>
      <c r="H1999" s="275"/>
      <c r="I1999" s="275"/>
      <c r="J1999" s="275"/>
      <c r="K1999" s="275"/>
      <c r="L1999" s="275"/>
      <c r="M1999" s="275"/>
      <c r="N1999" s="275"/>
      <c r="O1999" s="276"/>
      <c r="P1999" s="276"/>
      <c r="Q1999" s="247">
        <f t="shared" si="37"/>
        <v>0</v>
      </c>
      <c r="R1999" s="229"/>
      <c r="S1999" s="229"/>
      <c r="T1999" s="229"/>
      <c r="U1999" s="229"/>
      <c r="V1999" s="229"/>
      <c r="W1999" s="229"/>
      <c r="X1999" s="229"/>
    </row>
    <row r="2000" spans="1:24" ht="15.75" hidden="1">
      <c r="A2000" s="343"/>
      <c r="B2000" s="344"/>
      <c r="C2000" s="275"/>
      <c r="D2000" s="275"/>
      <c r="E2000" s="275"/>
      <c r="F2000" s="275"/>
      <c r="G2000" s="275"/>
      <c r="H2000" s="275"/>
      <c r="I2000" s="275"/>
      <c r="J2000" s="275"/>
      <c r="K2000" s="275"/>
      <c r="L2000" s="275"/>
      <c r="M2000" s="275"/>
      <c r="N2000" s="275"/>
      <c r="O2000" s="276"/>
      <c r="P2000" s="276"/>
      <c r="Q2000" s="247">
        <f t="shared" si="37"/>
        <v>0</v>
      </c>
      <c r="R2000" s="229"/>
      <c r="S2000" s="229"/>
      <c r="T2000" s="229"/>
      <c r="U2000" s="229"/>
      <c r="V2000" s="229"/>
      <c r="W2000" s="229"/>
      <c r="X2000" s="229"/>
    </row>
    <row r="2001" spans="1:24" ht="15.75" hidden="1">
      <c r="A2001" s="343"/>
      <c r="B2001" s="344"/>
      <c r="C2001" s="275"/>
      <c r="D2001" s="275"/>
      <c r="E2001" s="275"/>
      <c r="F2001" s="275"/>
      <c r="G2001" s="275"/>
      <c r="H2001" s="275"/>
      <c r="I2001" s="275"/>
      <c r="J2001" s="275"/>
      <c r="K2001" s="275"/>
      <c r="L2001" s="275"/>
      <c r="M2001" s="275"/>
      <c r="N2001" s="275"/>
      <c r="O2001" s="276"/>
      <c r="P2001" s="276"/>
      <c r="Q2001" s="247">
        <f t="shared" si="37"/>
        <v>0</v>
      </c>
      <c r="R2001" s="229"/>
      <c r="S2001" s="229"/>
      <c r="T2001" s="229"/>
      <c r="U2001" s="229"/>
      <c r="V2001" s="229"/>
      <c r="W2001" s="229"/>
      <c r="X2001" s="229"/>
    </row>
    <row r="2002" spans="1:24" ht="15.75" hidden="1">
      <c r="A2002" s="343"/>
      <c r="B2002" s="344"/>
      <c r="C2002" s="275"/>
      <c r="D2002" s="275"/>
      <c r="E2002" s="275"/>
      <c r="F2002" s="275"/>
      <c r="G2002" s="275"/>
      <c r="H2002" s="275"/>
      <c r="I2002" s="275"/>
      <c r="J2002" s="275"/>
      <c r="K2002" s="275"/>
      <c r="L2002" s="275"/>
      <c r="M2002" s="275"/>
      <c r="N2002" s="275"/>
      <c r="O2002" s="276"/>
      <c r="P2002" s="276"/>
      <c r="Q2002" s="247">
        <f t="shared" si="37"/>
        <v>0</v>
      </c>
      <c r="R2002" s="229"/>
      <c r="S2002" s="229"/>
      <c r="T2002" s="229"/>
      <c r="U2002" s="229"/>
      <c r="V2002" s="229"/>
      <c r="W2002" s="229"/>
      <c r="X2002" s="229"/>
    </row>
    <row r="2003" spans="1:24" ht="15.75" hidden="1">
      <c r="A2003" s="343"/>
      <c r="B2003" s="344"/>
      <c r="C2003" s="275"/>
      <c r="D2003" s="275"/>
      <c r="E2003" s="275"/>
      <c r="F2003" s="275"/>
      <c r="G2003" s="275"/>
      <c r="H2003" s="275"/>
      <c r="I2003" s="275"/>
      <c r="J2003" s="275"/>
      <c r="K2003" s="275"/>
      <c r="L2003" s="275"/>
      <c r="M2003" s="275"/>
      <c r="N2003" s="275"/>
      <c r="O2003" s="276"/>
      <c r="P2003" s="276"/>
      <c r="Q2003" s="247">
        <f t="shared" si="37"/>
        <v>0</v>
      </c>
      <c r="R2003" s="229"/>
      <c r="S2003" s="229"/>
      <c r="T2003" s="229"/>
      <c r="U2003" s="229"/>
      <c r="V2003" s="229"/>
      <c r="W2003" s="229"/>
      <c r="X2003" s="229"/>
    </row>
    <row r="2004" spans="1:24" ht="15.75" hidden="1">
      <c r="A2004" s="343"/>
      <c r="B2004" s="344"/>
      <c r="C2004" s="275"/>
      <c r="D2004" s="275"/>
      <c r="E2004" s="275"/>
      <c r="F2004" s="275"/>
      <c r="G2004" s="275"/>
      <c r="H2004" s="275"/>
      <c r="I2004" s="275"/>
      <c r="J2004" s="275"/>
      <c r="K2004" s="275"/>
      <c r="L2004" s="275"/>
      <c r="M2004" s="275"/>
      <c r="N2004" s="275"/>
      <c r="O2004" s="276"/>
      <c r="P2004" s="276"/>
      <c r="Q2004" s="247">
        <f t="shared" si="37"/>
        <v>0</v>
      </c>
      <c r="R2004" s="229"/>
      <c r="S2004" s="229"/>
      <c r="T2004" s="229"/>
      <c r="U2004" s="229"/>
      <c r="V2004" s="229"/>
      <c r="W2004" s="229"/>
      <c r="X2004" s="229"/>
    </row>
    <row r="2005" spans="1:24" ht="15.75" hidden="1">
      <c r="A2005" s="343"/>
      <c r="B2005" s="344"/>
      <c r="C2005" s="275"/>
      <c r="D2005" s="275"/>
      <c r="E2005" s="275"/>
      <c r="F2005" s="275"/>
      <c r="G2005" s="275"/>
      <c r="H2005" s="275"/>
      <c r="I2005" s="275"/>
      <c r="J2005" s="275"/>
      <c r="K2005" s="275"/>
      <c r="L2005" s="275"/>
      <c r="M2005" s="275"/>
      <c r="N2005" s="275"/>
      <c r="O2005" s="276"/>
      <c r="P2005" s="276"/>
      <c r="Q2005" s="247">
        <f t="shared" si="37"/>
        <v>0</v>
      </c>
      <c r="R2005" s="229"/>
      <c r="S2005" s="229"/>
      <c r="T2005" s="229"/>
      <c r="U2005" s="229"/>
      <c r="V2005" s="229"/>
      <c r="W2005" s="229"/>
      <c r="X2005" s="229"/>
    </row>
    <row r="2006" spans="1:24" ht="15.75" hidden="1">
      <c r="A2006" s="343"/>
      <c r="B2006" s="344"/>
      <c r="C2006" s="275"/>
      <c r="D2006" s="275"/>
      <c r="E2006" s="275"/>
      <c r="F2006" s="275"/>
      <c r="G2006" s="275"/>
      <c r="H2006" s="275"/>
      <c r="I2006" s="275"/>
      <c r="J2006" s="275"/>
      <c r="K2006" s="275"/>
      <c r="L2006" s="275"/>
      <c r="M2006" s="275"/>
      <c r="N2006" s="275"/>
      <c r="O2006" s="276"/>
      <c r="P2006" s="276"/>
      <c r="Q2006" s="247">
        <f t="shared" si="37"/>
        <v>0</v>
      </c>
      <c r="R2006" s="229"/>
      <c r="S2006" s="229"/>
      <c r="T2006" s="229"/>
      <c r="U2006" s="229"/>
      <c r="V2006" s="229"/>
      <c r="W2006" s="229"/>
      <c r="X2006" s="229"/>
    </row>
    <row r="2007" spans="1:24" ht="15.75" hidden="1">
      <c r="A2007" s="343"/>
      <c r="B2007" s="344"/>
      <c r="C2007" s="275"/>
      <c r="D2007" s="275"/>
      <c r="E2007" s="275"/>
      <c r="F2007" s="275"/>
      <c r="G2007" s="275"/>
      <c r="H2007" s="275"/>
      <c r="I2007" s="275"/>
      <c r="J2007" s="275"/>
      <c r="K2007" s="275"/>
      <c r="L2007" s="275"/>
      <c r="M2007" s="275"/>
      <c r="N2007" s="275"/>
      <c r="O2007" s="276"/>
      <c r="P2007" s="276"/>
      <c r="Q2007" s="247">
        <f t="shared" si="37"/>
        <v>0</v>
      </c>
      <c r="R2007" s="229"/>
      <c r="S2007" s="229"/>
      <c r="T2007" s="229"/>
      <c r="U2007" s="229"/>
      <c r="V2007" s="229"/>
      <c r="W2007" s="229"/>
      <c r="X2007" s="229"/>
    </row>
    <row r="2008" spans="1:24" ht="15.75" hidden="1">
      <c r="A2008" s="343"/>
      <c r="B2008" s="344"/>
      <c r="C2008" s="275"/>
      <c r="D2008" s="275"/>
      <c r="E2008" s="275"/>
      <c r="F2008" s="275"/>
      <c r="G2008" s="275"/>
      <c r="H2008" s="275"/>
      <c r="I2008" s="275"/>
      <c r="J2008" s="275"/>
      <c r="K2008" s="275"/>
      <c r="L2008" s="275"/>
      <c r="M2008" s="275"/>
      <c r="N2008" s="275"/>
      <c r="O2008" s="276"/>
      <c r="P2008" s="276"/>
      <c r="Q2008" s="247">
        <f t="shared" si="37"/>
        <v>0</v>
      </c>
      <c r="R2008" s="229"/>
      <c r="S2008" s="229"/>
      <c r="T2008" s="229"/>
      <c r="U2008" s="229"/>
      <c r="V2008" s="229"/>
      <c r="W2008" s="229"/>
      <c r="X2008" s="229"/>
    </row>
    <row r="2009" spans="1:24" ht="15.75" hidden="1">
      <c r="A2009" s="343"/>
      <c r="B2009" s="344"/>
      <c r="C2009" s="275"/>
      <c r="D2009" s="275"/>
      <c r="E2009" s="275"/>
      <c r="F2009" s="275"/>
      <c r="G2009" s="275"/>
      <c r="H2009" s="275"/>
      <c r="I2009" s="275"/>
      <c r="J2009" s="275"/>
      <c r="K2009" s="275"/>
      <c r="L2009" s="275"/>
      <c r="M2009" s="275"/>
      <c r="N2009" s="275"/>
      <c r="O2009" s="276"/>
      <c r="P2009" s="276"/>
      <c r="Q2009" s="247">
        <f t="shared" si="37"/>
        <v>0</v>
      </c>
      <c r="R2009" s="229"/>
      <c r="S2009" s="229"/>
      <c r="T2009" s="229"/>
      <c r="U2009" s="229"/>
      <c r="V2009" s="229"/>
      <c r="W2009" s="229"/>
      <c r="X2009" s="229"/>
    </row>
    <row r="2010" spans="1:24" ht="15.75" hidden="1">
      <c r="A2010" s="343"/>
      <c r="B2010" s="344"/>
      <c r="C2010" s="275"/>
      <c r="D2010" s="275"/>
      <c r="E2010" s="275"/>
      <c r="F2010" s="275"/>
      <c r="G2010" s="275"/>
      <c r="H2010" s="275"/>
      <c r="I2010" s="275"/>
      <c r="J2010" s="275"/>
      <c r="K2010" s="275"/>
      <c r="L2010" s="275"/>
      <c r="M2010" s="275"/>
      <c r="N2010" s="275"/>
      <c r="O2010" s="276"/>
      <c r="P2010" s="276"/>
      <c r="Q2010" s="247">
        <f t="shared" si="37"/>
        <v>0</v>
      </c>
      <c r="R2010" s="229"/>
      <c r="S2010" s="229"/>
      <c r="T2010" s="229"/>
      <c r="U2010" s="229"/>
      <c r="V2010" s="229"/>
      <c r="W2010" s="229"/>
      <c r="X2010" s="229"/>
    </row>
    <row r="2011" spans="1:24" ht="15.75" hidden="1">
      <c r="A2011" s="343"/>
      <c r="B2011" s="344"/>
      <c r="C2011" s="275"/>
      <c r="D2011" s="275"/>
      <c r="E2011" s="275"/>
      <c r="F2011" s="275"/>
      <c r="G2011" s="275"/>
      <c r="H2011" s="275"/>
      <c r="I2011" s="275"/>
      <c r="J2011" s="275"/>
      <c r="K2011" s="275"/>
      <c r="L2011" s="275"/>
      <c r="M2011" s="275"/>
      <c r="N2011" s="275"/>
      <c r="O2011" s="276"/>
      <c r="P2011" s="276"/>
      <c r="Q2011" s="247">
        <f t="shared" si="37"/>
        <v>0</v>
      </c>
      <c r="R2011" s="229"/>
      <c r="S2011" s="229"/>
      <c r="T2011" s="229"/>
      <c r="U2011" s="229"/>
      <c r="V2011" s="229"/>
      <c r="W2011" s="229"/>
      <c r="X2011" s="229"/>
    </row>
    <row r="2012" spans="1:24" ht="15.75" hidden="1">
      <c r="A2012" s="343"/>
      <c r="B2012" s="344"/>
      <c r="C2012" s="275"/>
      <c r="D2012" s="275"/>
      <c r="E2012" s="275"/>
      <c r="F2012" s="275"/>
      <c r="G2012" s="275"/>
      <c r="H2012" s="275"/>
      <c r="I2012" s="275"/>
      <c r="J2012" s="275"/>
      <c r="K2012" s="275"/>
      <c r="L2012" s="275"/>
      <c r="M2012" s="275"/>
      <c r="N2012" s="275"/>
      <c r="O2012" s="276"/>
      <c r="P2012" s="276"/>
      <c r="Q2012" s="247">
        <f t="shared" si="37"/>
        <v>0</v>
      </c>
      <c r="R2012" s="229"/>
      <c r="S2012" s="229"/>
      <c r="T2012" s="229"/>
      <c r="U2012" s="229"/>
      <c r="V2012" s="229"/>
      <c r="W2012" s="229"/>
      <c r="X2012" s="229"/>
    </row>
    <row r="2013" spans="1:24" ht="15.75" hidden="1">
      <c r="A2013" s="343"/>
      <c r="B2013" s="344"/>
      <c r="C2013" s="275"/>
      <c r="D2013" s="275"/>
      <c r="E2013" s="275"/>
      <c r="F2013" s="275"/>
      <c r="G2013" s="275"/>
      <c r="H2013" s="275"/>
      <c r="I2013" s="275"/>
      <c r="J2013" s="275"/>
      <c r="K2013" s="275"/>
      <c r="L2013" s="275"/>
      <c r="M2013" s="275"/>
      <c r="N2013" s="275"/>
      <c r="O2013" s="276"/>
      <c r="P2013" s="276"/>
      <c r="Q2013" s="247">
        <f t="shared" si="37"/>
        <v>0</v>
      </c>
      <c r="R2013" s="229"/>
      <c r="S2013" s="229"/>
      <c r="T2013" s="229"/>
      <c r="U2013" s="229"/>
      <c r="V2013" s="229"/>
      <c r="W2013" s="229"/>
      <c r="X2013" s="229"/>
    </row>
    <row r="2014" spans="1:24" ht="15.75" hidden="1">
      <c r="A2014" s="343"/>
      <c r="B2014" s="344"/>
      <c r="C2014" s="275"/>
      <c r="D2014" s="275"/>
      <c r="E2014" s="275"/>
      <c r="F2014" s="275"/>
      <c r="G2014" s="275"/>
      <c r="H2014" s="275"/>
      <c r="I2014" s="275"/>
      <c r="J2014" s="275"/>
      <c r="K2014" s="275"/>
      <c r="L2014" s="275"/>
      <c r="M2014" s="275"/>
      <c r="N2014" s="275"/>
      <c r="O2014" s="276"/>
      <c r="P2014" s="276"/>
      <c r="Q2014" s="247">
        <f t="shared" si="37"/>
        <v>0</v>
      </c>
      <c r="R2014" s="229"/>
      <c r="S2014" s="229"/>
      <c r="T2014" s="229"/>
      <c r="U2014" s="229"/>
      <c r="V2014" s="229"/>
      <c r="W2014" s="229"/>
      <c r="X2014" s="229"/>
    </row>
    <row r="2015" spans="1:24" ht="15.75" hidden="1">
      <c r="A2015" s="343"/>
      <c r="B2015" s="344"/>
      <c r="C2015" s="275"/>
      <c r="D2015" s="275"/>
      <c r="E2015" s="275"/>
      <c r="F2015" s="275"/>
      <c r="G2015" s="275"/>
      <c r="H2015" s="275"/>
      <c r="I2015" s="275"/>
      <c r="J2015" s="275"/>
      <c r="K2015" s="275"/>
      <c r="L2015" s="275"/>
      <c r="M2015" s="275"/>
      <c r="N2015" s="275"/>
      <c r="O2015" s="276"/>
      <c r="P2015" s="276"/>
      <c r="Q2015" s="247">
        <f t="shared" si="37"/>
        <v>0</v>
      </c>
      <c r="R2015" s="229"/>
      <c r="S2015" s="229"/>
      <c r="T2015" s="229"/>
      <c r="U2015" s="229"/>
      <c r="V2015" s="229"/>
      <c r="W2015" s="229"/>
      <c r="X2015" s="229"/>
    </row>
    <row r="2016" spans="1:24" ht="15.75" hidden="1">
      <c r="A2016" s="343"/>
      <c r="B2016" s="344"/>
      <c r="C2016" s="275"/>
      <c r="D2016" s="275"/>
      <c r="E2016" s="275"/>
      <c r="F2016" s="275"/>
      <c r="G2016" s="275"/>
      <c r="H2016" s="275"/>
      <c r="I2016" s="275"/>
      <c r="J2016" s="275"/>
      <c r="K2016" s="275"/>
      <c r="L2016" s="275"/>
      <c r="M2016" s="275"/>
      <c r="N2016" s="275"/>
      <c r="O2016" s="276"/>
      <c r="P2016" s="276"/>
      <c r="Q2016" s="247">
        <f t="shared" si="37"/>
        <v>0</v>
      </c>
      <c r="R2016" s="229"/>
      <c r="S2016" s="229"/>
      <c r="T2016" s="229"/>
      <c r="U2016" s="229"/>
      <c r="V2016" s="229"/>
      <c r="W2016" s="229"/>
      <c r="X2016" s="229"/>
    </row>
    <row r="2017" spans="1:24" ht="15.75" hidden="1">
      <c r="A2017" s="343"/>
      <c r="B2017" s="344"/>
      <c r="C2017" s="275"/>
      <c r="D2017" s="275"/>
      <c r="E2017" s="275"/>
      <c r="F2017" s="275"/>
      <c r="G2017" s="275"/>
      <c r="H2017" s="275"/>
      <c r="I2017" s="275"/>
      <c r="J2017" s="275"/>
      <c r="K2017" s="275"/>
      <c r="L2017" s="275"/>
      <c r="M2017" s="275"/>
      <c r="N2017" s="275"/>
      <c r="O2017" s="276"/>
      <c r="P2017" s="276"/>
      <c r="Q2017" s="247">
        <f t="shared" si="37"/>
        <v>0</v>
      </c>
      <c r="R2017" s="229"/>
      <c r="S2017" s="229"/>
      <c r="T2017" s="229"/>
      <c r="U2017" s="229"/>
      <c r="V2017" s="229"/>
      <c r="W2017" s="229"/>
      <c r="X2017" s="229"/>
    </row>
    <row r="2018" spans="1:24" ht="15.75" hidden="1">
      <c r="A2018" s="343"/>
      <c r="B2018" s="344"/>
      <c r="C2018" s="275"/>
      <c r="D2018" s="275"/>
      <c r="E2018" s="275"/>
      <c r="F2018" s="275"/>
      <c r="G2018" s="275"/>
      <c r="H2018" s="275"/>
      <c r="I2018" s="275"/>
      <c r="J2018" s="275"/>
      <c r="K2018" s="275"/>
      <c r="L2018" s="275"/>
      <c r="M2018" s="275"/>
      <c r="N2018" s="275"/>
      <c r="O2018" s="276"/>
      <c r="P2018" s="276"/>
      <c r="Q2018" s="247">
        <f t="shared" si="37"/>
        <v>0</v>
      </c>
      <c r="R2018" s="229"/>
      <c r="S2018" s="229"/>
      <c r="T2018" s="229"/>
      <c r="U2018" s="229"/>
      <c r="V2018" s="229"/>
      <c r="W2018" s="229"/>
      <c r="X2018" s="229"/>
    </row>
    <row r="2019" spans="1:24" ht="15.75" hidden="1">
      <c r="A2019" s="343"/>
      <c r="B2019" s="344"/>
      <c r="C2019" s="275"/>
      <c r="D2019" s="275"/>
      <c r="E2019" s="275"/>
      <c r="F2019" s="275"/>
      <c r="G2019" s="275"/>
      <c r="H2019" s="275"/>
      <c r="I2019" s="275"/>
      <c r="J2019" s="275"/>
      <c r="K2019" s="275"/>
      <c r="L2019" s="275"/>
      <c r="M2019" s="275"/>
      <c r="N2019" s="275"/>
      <c r="O2019" s="276"/>
      <c r="P2019" s="276"/>
      <c r="Q2019" s="247">
        <f t="shared" si="37"/>
        <v>0</v>
      </c>
      <c r="R2019" s="229"/>
      <c r="S2019" s="229"/>
      <c r="T2019" s="229"/>
      <c r="U2019" s="229"/>
      <c r="V2019" s="229"/>
      <c r="W2019" s="229"/>
      <c r="X2019" s="229"/>
    </row>
    <row r="2020" spans="1:24" ht="15.75" hidden="1">
      <c r="A2020" s="343"/>
      <c r="B2020" s="344"/>
      <c r="C2020" s="275"/>
      <c r="D2020" s="275"/>
      <c r="E2020" s="275"/>
      <c r="F2020" s="275"/>
      <c r="G2020" s="275"/>
      <c r="H2020" s="275"/>
      <c r="I2020" s="275"/>
      <c r="J2020" s="275"/>
      <c r="K2020" s="275"/>
      <c r="L2020" s="275"/>
      <c r="M2020" s="275"/>
      <c r="N2020" s="275"/>
      <c r="O2020" s="276"/>
      <c r="P2020" s="276"/>
      <c r="Q2020" s="247">
        <f t="shared" si="37"/>
        <v>0</v>
      </c>
      <c r="R2020" s="229"/>
      <c r="S2020" s="229"/>
      <c r="T2020" s="229"/>
      <c r="U2020" s="229"/>
      <c r="V2020" s="229"/>
      <c r="W2020" s="229"/>
      <c r="X2020" s="229"/>
    </row>
    <row r="2021" spans="1:24" ht="15.75" hidden="1">
      <c r="A2021" s="343"/>
      <c r="B2021" s="344"/>
      <c r="C2021" s="275"/>
      <c r="D2021" s="275"/>
      <c r="E2021" s="275"/>
      <c r="F2021" s="275"/>
      <c r="G2021" s="275"/>
      <c r="H2021" s="275"/>
      <c r="I2021" s="275"/>
      <c r="J2021" s="275"/>
      <c r="K2021" s="275"/>
      <c r="L2021" s="275"/>
      <c r="M2021" s="275"/>
      <c r="N2021" s="275"/>
      <c r="O2021" s="276"/>
      <c r="P2021" s="276"/>
      <c r="Q2021" s="247">
        <f t="shared" si="37"/>
        <v>0</v>
      </c>
      <c r="R2021" s="229"/>
      <c r="S2021" s="229"/>
      <c r="T2021" s="229"/>
      <c r="U2021" s="229"/>
      <c r="V2021" s="229"/>
      <c r="W2021" s="229"/>
      <c r="X2021" s="229"/>
    </row>
    <row r="2022" spans="1:24" ht="15.75" hidden="1">
      <c r="A2022" s="343"/>
      <c r="B2022" s="344"/>
      <c r="C2022" s="275"/>
      <c r="D2022" s="275"/>
      <c r="E2022" s="275"/>
      <c r="F2022" s="275"/>
      <c r="G2022" s="275"/>
      <c r="H2022" s="275"/>
      <c r="I2022" s="275"/>
      <c r="J2022" s="275"/>
      <c r="K2022" s="275"/>
      <c r="L2022" s="275"/>
      <c r="M2022" s="275"/>
      <c r="N2022" s="275"/>
      <c r="O2022" s="276"/>
      <c r="P2022" s="276"/>
      <c r="Q2022" s="247">
        <f t="shared" si="37"/>
        <v>0</v>
      </c>
      <c r="R2022" s="229"/>
      <c r="S2022" s="229"/>
      <c r="T2022" s="229"/>
      <c r="U2022" s="229"/>
      <c r="V2022" s="229"/>
      <c r="W2022" s="229"/>
      <c r="X2022" s="229"/>
    </row>
    <row r="2023" spans="1:24" ht="15.75" hidden="1">
      <c r="A2023" s="343"/>
      <c r="B2023" s="344"/>
      <c r="C2023" s="275"/>
      <c r="D2023" s="275"/>
      <c r="E2023" s="275"/>
      <c r="F2023" s="275"/>
      <c r="G2023" s="275"/>
      <c r="H2023" s="275"/>
      <c r="I2023" s="275"/>
      <c r="J2023" s="275"/>
      <c r="K2023" s="275"/>
      <c r="L2023" s="275"/>
      <c r="M2023" s="275"/>
      <c r="N2023" s="275"/>
      <c r="O2023" s="276"/>
      <c r="P2023" s="276"/>
      <c r="Q2023" s="247">
        <f t="shared" si="37"/>
        <v>0</v>
      </c>
      <c r="R2023" s="229"/>
      <c r="S2023" s="229"/>
      <c r="T2023" s="229"/>
      <c r="U2023" s="229"/>
      <c r="V2023" s="229"/>
      <c r="W2023" s="229"/>
      <c r="X2023" s="229"/>
    </row>
    <row r="2024" spans="1:24" ht="15.75" hidden="1">
      <c r="A2024" s="343"/>
      <c r="B2024" s="344"/>
      <c r="C2024" s="275"/>
      <c r="D2024" s="275"/>
      <c r="E2024" s="275"/>
      <c r="F2024" s="275"/>
      <c r="G2024" s="275"/>
      <c r="H2024" s="275"/>
      <c r="I2024" s="275"/>
      <c r="J2024" s="275"/>
      <c r="K2024" s="275"/>
      <c r="L2024" s="275"/>
      <c r="M2024" s="275"/>
      <c r="N2024" s="275"/>
      <c r="O2024" s="276"/>
      <c r="P2024" s="276"/>
      <c r="Q2024" s="247">
        <f t="shared" si="37"/>
        <v>0</v>
      </c>
      <c r="R2024" s="229"/>
      <c r="S2024" s="229"/>
      <c r="T2024" s="229"/>
      <c r="U2024" s="229"/>
      <c r="V2024" s="229"/>
      <c r="W2024" s="229"/>
      <c r="X2024" s="229"/>
    </row>
    <row r="2025" spans="1:24" ht="15.75" hidden="1">
      <c r="A2025" s="343"/>
      <c r="B2025" s="344"/>
      <c r="C2025" s="275"/>
      <c r="D2025" s="275"/>
      <c r="E2025" s="275"/>
      <c r="F2025" s="275"/>
      <c r="G2025" s="275"/>
      <c r="H2025" s="275"/>
      <c r="I2025" s="275"/>
      <c r="J2025" s="275"/>
      <c r="K2025" s="275"/>
      <c r="L2025" s="275"/>
      <c r="M2025" s="275"/>
      <c r="N2025" s="275"/>
      <c r="O2025" s="276"/>
      <c r="P2025" s="276"/>
      <c r="Q2025" s="247">
        <f t="shared" si="37"/>
        <v>0</v>
      </c>
      <c r="R2025" s="229"/>
      <c r="S2025" s="229"/>
      <c r="T2025" s="229"/>
      <c r="U2025" s="229"/>
      <c r="V2025" s="229"/>
      <c r="W2025" s="229"/>
      <c r="X2025" s="229"/>
    </row>
    <row r="2026" spans="1:24" ht="15.75" hidden="1">
      <c r="A2026" s="343"/>
      <c r="B2026" s="344"/>
      <c r="C2026" s="275"/>
      <c r="D2026" s="275"/>
      <c r="E2026" s="275"/>
      <c r="F2026" s="275"/>
      <c r="G2026" s="275"/>
      <c r="H2026" s="275"/>
      <c r="I2026" s="275"/>
      <c r="J2026" s="275"/>
      <c r="K2026" s="275"/>
      <c r="L2026" s="275"/>
      <c r="M2026" s="275"/>
      <c r="N2026" s="275"/>
      <c r="O2026" s="276"/>
      <c r="P2026" s="276"/>
      <c r="Q2026" s="247">
        <f t="shared" si="37"/>
        <v>0</v>
      </c>
      <c r="R2026" s="229"/>
      <c r="S2026" s="229"/>
      <c r="T2026" s="229"/>
      <c r="U2026" s="229"/>
      <c r="V2026" s="229"/>
      <c r="W2026" s="229"/>
      <c r="X2026" s="229"/>
    </row>
    <row r="2027" spans="1:24" ht="15.75" hidden="1">
      <c r="A2027" s="343"/>
      <c r="B2027" s="344"/>
      <c r="C2027" s="275"/>
      <c r="D2027" s="275"/>
      <c r="E2027" s="275"/>
      <c r="F2027" s="275"/>
      <c r="G2027" s="275"/>
      <c r="H2027" s="275"/>
      <c r="I2027" s="275"/>
      <c r="J2027" s="275"/>
      <c r="K2027" s="275"/>
      <c r="L2027" s="275"/>
      <c r="M2027" s="275"/>
      <c r="N2027" s="275"/>
      <c r="O2027" s="276"/>
      <c r="P2027" s="276"/>
      <c r="Q2027" s="247">
        <f t="shared" si="37"/>
        <v>0</v>
      </c>
      <c r="R2027" s="229"/>
      <c r="S2027" s="229"/>
      <c r="T2027" s="229"/>
      <c r="U2027" s="229"/>
      <c r="V2027" s="229"/>
      <c r="W2027" s="229"/>
      <c r="X2027" s="229"/>
    </row>
    <row r="2028" spans="1:24" ht="15.75" hidden="1">
      <c r="A2028" s="343"/>
      <c r="B2028" s="344"/>
      <c r="C2028" s="275"/>
      <c r="D2028" s="275"/>
      <c r="E2028" s="275"/>
      <c r="F2028" s="275"/>
      <c r="G2028" s="275"/>
      <c r="H2028" s="275"/>
      <c r="I2028" s="275"/>
      <c r="J2028" s="275"/>
      <c r="K2028" s="275"/>
      <c r="L2028" s="275"/>
      <c r="M2028" s="275"/>
      <c r="N2028" s="275"/>
      <c r="O2028" s="276"/>
      <c r="P2028" s="276"/>
      <c r="Q2028" s="247">
        <f t="shared" si="37"/>
        <v>0</v>
      </c>
      <c r="R2028" s="229"/>
      <c r="S2028" s="229"/>
      <c r="T2028" s="229"/>
      <c r="U2028" s="229"/>
      <c r="V2028" s="229"/>
      <c r="W2028" s="229"/>
      <c r="X2028" s="229"/>
    </row>
    <row r="2029" spans="1:24" ht="15.75" hidden="1">
      <c r="A2029" s="343"/>
      <c r="B2029" s="344"/>
      <c r="C2029" s="275"/>
      <c r="D2029" s="275"/>
      <c r="E2029" s="275"/>
      <c r="F2029" s="275"/>
      <c r="G2029" s="275"/>
      <c r="H2029" s="275"/>
      <c r="I2029" s="275"/>
      <c r="J2029" s="275"/>
      <c r="K2029" s="275"/>
      <c r="L2029" s="275"/>
      <c r="M2029" s="275"/>
      <c r="N2029" s="275"/>
      <c r="O2029" s="276"/>
      <c r="P2029" s="276"/>
      <c r="Q2029" s="247">
        <f t="shared" si="37"/>
        <v>0</v>
      </c>
      <c r="R2029" s="229"/>
      <c r="S2029" s="229"/>
      <c r="T2029" s="229"/>
      <c r="U2029" s="229"/>
      <c r="V2029" s="229"/>
      <c r="W2029" s="229"/>
      <c r="X2029" s="229"/>
    </row>
    <row r="2030" spans="1:24" ht="15.75" hidden="1">
      <c r="A2030" s="343"/>
      <c r="B2030" s="344"/>
      <c r="C2030" s="275"/>
      <c r="D2030" s="275"/>
      <c r="E2030" s="275"/>
      <c r="F2030" s="275"/>
      <c r="G2030" s="275"/>
      <c r="H2030" s="275"/>
      <c r="I2030" s="275"/>
      <c r="J2030" s="275"/>
      <c r="K2030" s="275"/>
      <c r="L2030" s="275"/>
      <c r="M2030" s="275"/>
      <c r="N2030" s="275"/>
      <c r="O2030" s="276"/>
      <c r="P2030" s="276"/>
      <c r="Q2030" s="247">
        <f t="shared" si="37"/>
        <v>0</v>
      </c>
      <c r="R2030" s="229"/>
      <c r="S2030" s="229"/>
      <c r="T2030" s="229"/>
      <c r="U2030" s="229"/>
      <c r="V2030" s="229"/>
      <c r="W2030" s="229"/>
      <c r="X2030" s="229"/>
    </row>
    <row r="2031" spans="1:24" ht="15.75" hidden="1">
      <c r="A2031" s="343"/>
      <c r="B2031" s="344"/>
      <c r="C2031" s="275"/>
      <c r="D2031" s="275"/>
      <c r="E2031" s="275"/>
      <c r="F2031" s="275"/>
      <c r="G2031" s="275"/>
      <c r="H2031" s="275"/>
      <c r="I2031" s="275"/>
      <c r="J2031" s="275"/>
      <c r="K2031" s="275"/>
      <c r="L2031" s="275"/>
      <c r="M2031" s="275"/>
      <c r="N2031" s="275"/>
      <c r="O2031" s="276"/>
      <c r="P2031" s="276"/>
      <c r="Q2031" s="247">
        <f t="shared" si="37"/>
        <v>0</v>
      </c>
      <c r="R2031" s="229"/>
      <c r="S2031" s="229"/>
      <c r="T2031" s="229"/>
      <c r="U2031" s="229"/>
      <c r="V2031" s="229"/>
      <c r="W2031" s="229"/>
      <c r="X2031" s="229"/>
    </row>
    <row r="2032" spans="1:24" ht="15.75" hidden="1">
      <c r="A2032" s="343"/>
      <c r="B2032" s="344"/>
      <c r="C2032" s="275"/>
      <c r="D2032" s="275"/>
      <c r="E2032" s="275"/>
      <c r="F2032" s="275"/>
      <c r="G2032" s="275"/>
      <c r="H2032" s="275"/>
      <c r="I2032" s="275"/>
      <c r="J2032" s="275"/>
      <c r="K2032" s="275"/>
      <c r="L2032" s="275"/>
      <c r="M2032" s="275"/>
      <c r="N2032" s="275"/>
      <c r="O2032" s="276"/>
      <c r="P2032" s="276"/>
      <c r="Q2032" s="247">
        <f t="shared" si="37"/>
        <v>0</v>
      </c>
      <c r="R2032" s="229"/>
      <c r="S2032" s="229"/>
      <c r="T2032" s="229"/>
      <c r="U2032" s="229"/>
      <c r="V2032" s="229"/>
      <c r="W2032" s="229"/>
      <c r="X2032" s="229"/>
    </row>
    <row r="2033" spans="1:24" ht="15.75" hidden="1">
      <c r="A2033" s="343"/>
      <c r="B2033" s="344"/>
      <c r="C2033" s="275"/>
      <c r="D2033" s="275"/>
      <c r="E2033" s="275"/>
      <c r="F2033" s="275"/>
      <c r="G2033" s="275"/>
      <c r="H2033" s="275"/>
      <c r="I2033" s="275"/>
      <c r="J2033" s="275"/>
      <c r="K2033" s="275"/>
      <c r="L2033" s="275"/>
      <c r="M2033" s="275"/>
      <c r="N2033" s="275"/>
      <c r="O2033" s="276"/>
      <c r="P2033" s="276"/>
      <c r="Q2033" s="247">
        <f t="shared" si="37"/>
        <v>0</v>
      </c>
      <c r="R2033" s="229"/>
      <c r="S2033" s="229"/>
      <c r="T2033" s="229"/>
      <c r="U2033" s="229"/>
      <c r="V2033" s="229"/>
      <c r="W2033" s="229"/>
      <c r="X2033" s="229"/>
    </row>
    <row r="2034" spans="1:24" ht="15.75" hidden="1">
      <c r="A2034" s="343"/>
      <c r="B2034" s="344"/>
      <c r="C2034" s="275"/>
      <c r="D2034" s="275"/>
      <c r="E2034" s="275"/>
      <c r="F2034" s="275"/>
      <c r="G2034" s="275"/>
      <c r="H2034" s="275"/>
      <c r="I2034" s="275"/>
      <c r="J2034" s="275"/>
      <c r="K2034" s="275"/>
      <c r="L2034" s="275"/>
      <c r="M2034" s="275"/>
      <c r="N2034" s="275"/>
      <c r="O2034" s="276"/>
      <c r="P2034" s="276"/>
      <c r="Q2034" s="247">
        <f t="shared" si="37"/>
        <v>0</v>
      </c>
      <c r="R2034" s="229"/>
      <c r="S2034" s="229"/>
      <c r="T2034" s="229"/>
      <c r="U2034" s="229"/>
      <c r="V2034" s="229"/>
      <c r="W2034" s="229"/>
      <c r="X2034" s="229"/>
    </row>
    <row r="2035" spans="1:24" ht="15.75" hidden="1">
      <c r="A2035" s="343"/>
      <c r="B2035" s="344"/>
      <c r="C2035" s="275"/>
      <c r="D2035" s="275"/>
      <c r="E2035" s="275"/>
      <c r="F2035" s="275"/>
      <c r="G2035" s="275"/>
      <c r="H2035" s="275"/>
      <c r="I2035" s="275"/>
      <c r="J2035" s="275"/>
      <c r="K2035" s="275"/>
      <c r="L2035" s="275"/>
      <c r="M2035" s="275"/>
      <c r="N2035" s="275"/>
      <c r="O2035" s="276"/>
      <c r="P2035" s="276"/>
      <c r="Q2035" s="247">
        <f t="shared" si="37"/>
        <v>0</v>
      </c>
      <c r="R2035" s="229"/>
      <c r="S2035" s="229"/>
      <c r="T2035" s="229"/>
      <c r="U2035" s="229"/>
      <c r="V2035" s="229"/>
      <c r="W2035" s="229"/>
      <c r="X2035" s="229"/>
    </row>
    <row r="2036" spans="1:24" ht="15.75" hidden="1">
      <c r="A2036" s="343"/>
      <c r="B2036" s="344"/>
      <c r="C2036" s="275"/>
      <c r="D2036" s="275"/>
      <c r="E2036" s="275"/>
      <c r="F2036" s="275"/>
      <c r="G2036" s="275"/>
      <c r="H2036" s="275"/>
      <c r="I2036" s="275"/>
      <c r="J2036" s="275"/>
      <c r="K2036" s="275"/>
      <c r="L2036" s="275"/>
      <c r="M2036" s="275"/>
      <c r="N2036" s="275"/>
      <c r="O2036" s="276"/>
      <c r="P2036" s="276"/>
      <c r="Q2036" s="247">
        <f t="shared" si="37"/>
        <v>0</v>
      </c>
      <c r="R2036" s="229"/>
      <c r="S2036" s="229"/>
      <c r="T2036" s="229"/>
      <c r="U2036" s="229"/>
      <c r="V2036" s="229"/>
      <c r="W2036" s="229"/>
      <c r="X2036" s="229"/>
    </row>
    <row r="2037" spans="1:24" ht="15.75" hidden="1">
      <c r="A2037" s="343"/>
      <c r="B2037" s="344"/>
      <c r="C2037" s="275"/>
      <c r="D2037" s="275"/>
      <c r="E2037" s="275"/>
      <c r="F2037" s="275"/>
      <c r="G2037" s="275"/>
      <c r="H2037" s="275"/>
      <c r="I2037" s="275"/>
      <c r="J2037" s="275"/>
      <c r="K2037" s="275"/>
      <c r="L2037" s="275"/>
      <c r="M2037" s="275"/>
      <c r="N2037" s="275"/>
      <c r="O2037" s="276"/>
      <c r="P2037" s="276"/>
      <c r="Q2037" s="247">
        <f t="shared" si="37"/>
        <v>0</v>
      </c>
      <c r="R2037" s="229"/>
      <c r="S2037" s="229"/>
      <c r="T2037" s="229"/>
      <c r="U2037" s="229"/>
      <c r="V2037" s="229"/>
      <c r="W2037" s="229"/>
      <c r="X2037" s="229"/>
    </row>
    <row r="2038" spans="1:24" ht="15.75" hidden="1">
      <c r="A2038" s="343"/>
      <c r="B2038" s="344"/>
      <c r="C2038" s="275"/>
      <c r="D2038" s="275"/>
      <c r="E2038" s="275"/>
      <c r="F2038" s="275"/>
      <c r="G2038" s="275"/>
      <c r="H2038" s="275"/>
      <c r="I2038" s="275"/>
      <c r="J2038" s="275"/>
      <c r="K2038" s="275"/>
      <c r="L2038" s="275"/>
      <c r="M2038" s="275"/>
      <c r="N2038" s="275"/>
      <c r="O2038" s="276"/>
      <c r="P2038" s="276"/>
      <c r="Q2038" s="247">
        <f t="shared" si="37"/>
        <v>0</v>
      </c>
      <c r="R2038" s="229"/>
      <c r="S2038" s="229"/>
      <c r="T2038" s="229"/>
      <c r="U2038" s="229"/>
      <c r="V2038" s="229"/>
      <c r="W2038" s="229"/>
      <c r="X2038" s="229"/>
    </row>
    <row r="2039" spans="1:24" ht="15.75" hidden="1">
      <c r="A2039" s="343"/>
      <c r="B2039" s="344"/>
      <c r="C2039" s="275"/>
      <c r="D2039" s="275"/>
      <c r="E2039" s="275"/>
      <c r="F2039" s="275"/>
      <c r="G2039" s="275"/>
      <c r="H2039" s="275"/>
      <c r="I2039" s="275"/>
      <c r="J2039" s="275"/>
      <c r="K2039" s="275"/>
      <c r="L2039" s="275"/>
      <c r="M2039" s="275"/>
      <c r="N2039" s="275"/>
      <c r="O2039" s="276"/>
      <c r="P2039" s="276"/>
      <c r="Q2039" s="247">
        <f t="shared" si="37"/>
        <v>0</v>
      </c>
      <c r="R2039" s="229"/>
      <c r="S2039" s="229"/>
      <c r="T2039" s="229"/>
      <c r="U2039" s="229"/>
      <c r="V2039" s="229"/>
      <c r="W2039" s="229"/>
      <c r="X2039" s="229"/>
    </row>
    <row r="2040" spans="1:24" ht="15.75" hidden="1">
      <c r="A2040" s="343"/>
      <c r="B2040" s="344"/>
      <c r="C2040" s="275"/>
      <c r="D2040" s="275"/>
      <c r="E2040" s="275"/>
      <c r="F2040" s="275"/>
      <c r="G2040" s="275"/>
      <c r="H2040" s="275"/>
      <c r="I2040" s="275"/>
      <c r="J2040" s="275"/>
      <c r="K2040" s="275"/>
      <c r="L2040" s="275"/>
      <c r="M2040" s="275"/>
      <c r="N2040" s="275"/>
      <c r="O2040" s="276"/>
      <c r="P2040" s="276"/>
      <c r="Q2040" s="247">
        <f t="shared" si="37"/>
        <v>0</v>
      </c>
      <c r="R2040" s="229"/>
      <c r="S2040" s="229"/>
      <c r="T2040" s="229"/>
      <c r="U2040" s="229"/>
      <c r="V2040" s="229"/>
      <c r="W2040" s="229"/>
      <c r="X2040" s="229"/>
    </row>
    <row r="2041" spans="1:24" ht="15.75" hidden="1">
      <c r="A2041" s="343"/>
      <c r="B2041" s="344"/>
      <c r="C2041" s="275"/>
      <c r="D2041" s="275"/>
      <c r="E2041" s="275"/>
      <c r="F2041" s="275"/>
      <c r="G2041" s="275"/>
      <c r="H2041" s="275"/>
      <c r="I2041" s="275"/>
      <c r="J2041" s="275"/>
      <c r="K2041" s="275"/>
      <c r="L2041" s="275"/>
      <c r="M2041" s="275"/>
      <c r="N2041" s="275"/>
      <c r="O2041" s="276"/>
      <c r="P2041" s="276"/>
      <c r="Q2041" s="247">
        <f t="shared" si="37"/>
        <v>0</v>
      </c>
      <c r="R2041" s="229"/>
      <c r="S2041" s="229"/>
      <c r="T2041" s="229"/>
      <c r="U2041" s="229"/>
      <c r="V2041" s="229"/>
      <c r="W2041" s="229"/>
      <c r="X2041" s="229"/>
    </row>
    <row r="2042" spans="1:24" ht="15.75" hidden="1">
      <c r="A2042" s="343"/>
      <c r="B2042" s="344"/>
      <c r="C2042" s="275"/>
      <c r="D2042" s="275"/>
      <c r="E2042" s="275"/>
      <c r="F2042" s="275"/>
      <c r="G2042" s="275"/>
      <c r="H2042" s="275"/>
      <c r="I2042" s="275"/>
      <c r="J2042" s="275"/>
      <c r="K2042" s="275"/>
      <c r="L2042" s="275"/>
      <c r="M2042" s="275"/>
      <c r="N2042" s="275"/>
      <c r="O2042" s="276"/>
      <c r="P2042" s="276"/>
      <c r="Q2042" s="247">
        <f t="shared" si="37"/>
        <v>0</v>
      </c>
      <c r="R2042" s="229"/>
      <c r="S2042" s="229"/>
      <c r="T2042" s="229"/>
      <c r="U2042" s="229"/>
      <c r="V2042" s="229"/>
      <c r="W2042" s="229"/>
      <c r="X2042" s="229"/>
    </row>
    <row r="2043" spans="1:24" ht="15.75" hidden="1">
      <c r="A2043" s="343"/>
      <c r="B2043" s="344"/>
      <c r="C2043" s="275"/>
      <c r="D2043" s="275"/>
      <c r="E2043" s="275"/>
      <c r="F2043" s="275"/>
      <c r="G2043" s="275"/>
      <c r="H2043" s="275"/>
      <c r="I2043" s="275"/>
      <c r="J2043" s="275"/>
      <c r="K2043" s="275"/>
      <c r="L2043" s="275"/>
      <c r="M2043" s="275"/>
      <c r="N2043" s="275"/>
      <c r="O2043" s="276"/>
      <c r="P2043" s="276"/>
      <c r="Q2043" s="247">
        <f t="shared" si="37"/>
        <v>0</v>
      </c>
      <c r="R2043" s="229"/>
      <c r="S2043" s="229"/>
      <c r="T2043" s="229"/>
      <c r="U2043" s="229"/>
      <c r="V2043" s="229"/>
      <c r="W2043" s="229"/>
      <c r="X2043" s="229"/>
    </row>
    <row r="2044" spans="1:24" ht="15.75" hidden="1">
      <c r="A2044" s="343"/>
      <c r="B2044" s="344"/>
      <c r="C2044" s="275"/>
      <c r="D2044" s="275"/>
      <c r="E2044" s="275"/>
      <c r="F2044" s="275"/>
      <c r="G2044" s="275"/>
      <c r="H2044" s="275"/>
      <c r="I2044" s="275"/>
      <c r="J2044" s="275"/>
      <c r="K2044" s="275"/>
      <c r="L2044" s="275"/>
      <c r="M2044" s="275"/>
      <c r="N2044" s="275"/>
      <c r="O2044" s="276"/>
      <c r="P2044" s="276"/>
      <c r="Q2044" s="247">
        <f t="shared" si="37"/>
        <v>0</v>
      </c>
      <c r="R2044" s="229"/>
      <c r="S2044" s="229"/>
      <c r="T2044" s="229"/>
      <c r="U2044" s="229"/>
      <c r="V2044" s="229"/>
      <c r="W2044" s="229"/>
      <c r="X2044" s="229"/>
    </row>
    <row r="2045" spans="1:24" ht="15.75" hidden="1">
      <c r="A2045" s="343"/>
      <c r="B2045" s="344"/>
      <c r="C2045" s="275"/>
      <c r="D2045" s="275"/>
      <c r="E2045" s="275"/>
      <c r="F2045" s="275"/>
      <c r="G2045" s="275"/>
      <c r="H2045" s="275"/>
      <c r="I2045" s="275"/>
      <c r="J2045" s="275"/>
      <c r="K2045" s="275"/>
      <c r="L2045" s="275"/>
      <c r="M2045" s="275"/>
      <c r="N2045" s="275"/>
      <c r="O2045" s="276"/>
      <c r="P2045" s="276"/>
      <c r="Q2045" s="247">
        <f t="shared" si="37"/>
        <v>0</v>
      </c>
      <c r="R2045" s="229"/>
      <c r="S2045" s="229"/>
      <c r="T2045" s="229"/>
      <c r="U2045" s="229"/>
      <c r="V2045" s="229"/>
      <c r="W2045" s="229"/>
      <c r="X2045" s="229"/>
    </row>
    <row r="2046" spans="1:24" ht="15.75" hidden="1">
      <c r="A2046" s="343"/>
      <c r="B2046" s="344"/>
      <c r="C2046" s="275"/>
      <c r="D2046" s="275"/>
      <c r="E2046" s="275"/>
      <c r="F2046" s="275"/>
      <c r="G2046" s="275"/>
      <c r="H2046" s="275"/>
      <c r="I2046" s="275"/>
      <c r="J2046" s="275"/>
      <c r="K2046" s="275"/>
      <c r="L2046" s="275"/>
      <c r="M2046" s="275"/>
      <c r="N2046" s="275"/>
      <c r="O2046" s="276"/>
      <c r="P2046" s="276"/>
      <c r="Q2046" s="247">
        <f t="shared" si="37"/>
        <v>0</v>
      </c>
      <c r="R2046" s="229"/>
      <c r="S2046" s="229"/>
      <c r="T2046" s="229"/>
      <c r="U2046" s="229"/>
      <c r="V2046" s="229"/>
      <c r="W2046" s="229"/>
      <c r="X2046" s="229"/>
    </row>
    <row r="2047" spans="1:24" ht="15.75" hidden="1">
      <c r="A2047" s="343"/>
      <c r="B2047" s="344"/>
      <c r="C2047" s="275"/>
      <c r="D2047" s="275"/>
      <c r="E2047" s="275"/>
      <c r="F2047" s="275"/>
      <c r="G2047" s="275"/>
      <c r="H2047" s="275"/>
      <c r="I2047" s="275"/>
      <c r="J2047" s="275"/>
      <c r="K2047" s="275"/>
      <c r="L2047" s="275"/>
      <c r="M2047" s="275"/>
      <c r="N2047" s="275"/>
      <c r="O2047" s="276"/>
      <c r="P2047" s="276"/>
      <c r="Q2047" s="247">
        <f t="shared" si="37"/>
        <v>0</v>
      </c>
      <c r="R2047" s="229"/>
      <c r="S2047" s="229"/>
      <c r="T2047" s="229"/>
      <c r="U2047" s="229"/>
      <c r="V2047" s="229"/>
      <c r="W2047" s="229"/>
      <c r="X2047" s="229"/>
    </row>
    <row r="2048" spans="1:24" ht="15.75" hidden="1">
      <c r="A2048" s="343"/>
      <c r="B2048" s="344"/>
      <c r="C2048" s="275"/>
      <c r="D2048" s="275"/>
      <c r="E2048" s="275"/>
      <c r="F2048" s="275"/>
      <c r="G2048" s="275"/>
      <c r="H2048" s="275"/>
      <c r="I2048" s="275"/>
      <c r="J2048" s="275"/>
      <c r="K2048" s="275"/>
      <c r="L2048" s="275"/>
      <c r="M2048" s="275"/>
      <c r="N2048" s="275"/>
      <c r="O2048" s="276"/>
      <c r="P2048" s="276"/>
      <c r="Q2048" s="247">
        <f t="shared" si="37"/>
        <v>0</v>
      </c>
      <c r="R2048" s="229"/>
      <c r="S2048" s="229"/>
      <c r="T2048" s="229"/>
      <c r="U2048" s="229"/>
      <c r="V2048" s="229"/>
      <c r="W2048" s="229"/>
      <c r="X2048" s="229"/>
    </row>
    <row r="2049" spans="1:24" ht="15.75" hidden="1">
      <c r="A2049" s="343"/>
      <c r="B2049" s="344"/>
      <c r="C2049" s="275"/>
      <c r="D2049" s="275"/>
      <c r="E2049" s="275"/>
      <c r="F2049" s="275"/>
      <c r="G2049" s="275"/>
      <c r="H2049" s="275"/>
      <c r="I2049" s="275"/>
      <c r="J2049" s="275"/>
      <c r="K2049" s="275"/>
      <c r="L2049" s="275"/>
      <c r="M2049" s="275"/>
      <c r="N2049" s="275"/>
      <c r="O2049" s="276"/>
      <c r="P2049" s="276"/>
      <c r="Q2049" s="247">
        <f t="shared" si="37"/>
        <v>0</v>
      </c>
      <c r="R2049" s="229"/>
      <c r="S2049" s="229"/>
      <c r="T2049" s="229"/>
      <c r="U2049" s="229"/>
      <c r="V2049" s="229"/>
      <c r="W2049" s="229"/>
      <c r="X2049" s="229"/>
    </row>
    <row r="2050" spans="1:24" ht="15.75" hidden="1">
      <c r="A2050" s="343"/>
      <c r="B2050" s="344"/>
      <c r="C2050" s="275"/>
      <c r="D2050" s="275"/>
      <c r="E2050" s="275"/>
      <c r="F2050" s="275"/>
      <c r="G2050" s="275"/>
      <c r="H2050" s="275"/>
      <c r="I2050" s="275"/>
      <c r="J2050" s="275"/>
      <c r="K2050" s="275"/>
      <c r="L2050" s="275"/>
      <c r="M2050" s="275"/>
      <c r="N2050" s="275"/>
      <c r="O2050" s="276"/>
      <c r="P2050" s="276"/>
      <c r="Q2050" s="247">
        <f t="shared" si="37"/>
        <v>0</v>
      </c>
      <c r="R2050" s="229"/>
      <c r="S2050" s="229"/>
      <c r="T2050" s="229"/>
      <c r="U2050" s="229"/>
      <c r="V2050" s="229"/>
      <c r="W2050" s="229"/>
      <c r="X2050" s="229"/>
    </row>
    <row r="2051" spans="1:24" ht="15.75" hidden="1">
      <c r="A2051" s="343"/>
      <c r="B2051" s="344"/>
      <c r="C2051" s="275"/>
      <c r="D2051" s="275"/>
      <c r="E2051" s="275"/>
      <c r="F2051" s="275"/>
      <c r="G2051" s="275"/>
      <c r="H2051" s="275"/>
      <c r="I2051" s="275"/>
      <c r="J2051" s="275"/>
      <c r="K2051" s="275"/>
      <c r="L2051" s="275"/>
      <c r="M2051" s="275"/>
      <c r="N2051" s="275"/>
      <c r="O2051" s="276"/>
      <c r="P2051" s="276"/>
      <c r="Q2051" s="247">
        <f t="shared" si="37"/>
        <v>0</v>
      </c>
      <c r="R2051" s="229"/>
      <c r="S2051" s="229"/>
      <c r="T2051" s="229"/>
      <c r="U2051" s="229"/>
      <c r="V2051" s="229"/>
      <c r="W2051" s="229"/>
      <c r="X2051" s="229"/>
    </row>
    <row r="2052" spans="1:24" ht="15.75" hidden="1">
      <c r="A2052" s="343"/>
      <c r="B2052" s="344"/>
      <c r="C2052" s="275"/>
      <c r="D2052" s="275"/>
      <c r="E2052" s="275"/>
      <c r="F2052" s="275"/>
      <c r="G2052" s="275"/>
      <c r="H2052" s="275"/>
      <c r="I2052" s="275"/>
      <c r="J2052" s="275"/>
      <c r="K2052" s="275"/>
      <c r="L2052" s="275"/>
      <c r="M2052" s="275"/>
      <c r="N2052" s="275"/>
      <c r="O2052" s="276"/>
      <c r="P2052" s="276"/>
      <c r="Q2052" s="247">
        <f t="shared" si="37"/>
        <v>0</v>
      </c>
      <c r="R2052" s="229"/>
      <c r="S2052" s="229"/>
      <c r="T2052" s="229"/>
      <c r="U2052" s="229"/>
      <c r="V2052" s="229"/>
      <c r="W2052" s="229"/>
      <c r="X2052" s="229"/>
    </row>
    <row r="2053" spans="1:24" ht="15.75" hidden="1">
      <c r="A2053" s="343"/>
      <c r="B2053" s="344"/>
      <c r="C2053" s="275"/>
      <c r="D2053" s="275"/>
      <c r="E2053" s="275"/>
      <c r="F2053" s="275"/>
      <c r="G2053" s="275"/>
      <c r="H2053" s="275"/>
      <c r="I2053" s="275"/>
      <c r="J2053" s="275"/>
      <c r="K2053" s="275"/>
      <c r="L2053" s="275"/>
      <c r="M2053" s="275"/>
      <c r="N2053" s="275"/>
      <c r="O2053" s="276"/>
      <c r="P2053" s="276"/>
      <c r="Q2053" s="247">
        <f t="shared" si="37"/>
        <v>0</v>
      </c>
      <c r="R2053" s="229"/>
      <c r="S2053" s="229"/>
      <c r="T2053" s="229"/>
      <c r="U2053" s="229"/>
      <c r="V2053" s="229"/>
      <c r="W2053" s="229"/>
      <c r="X2053" s="229"/>
    </row>
    <row r="2054" spans="1:24" ht="15.75" hidden="1">
      <c r="A2054" s="343"/>
      <c r="B2054" s="344"/>
      <c r="C2054" s="275"/>
      <c r="D2054" s="275"/>
      <c r="E2054" s="275"/>
      <c r="F2054" s="275"/>
      <c r="G2054" s="275"/>
      <c r="H2054" s="275"/>
      <c r="I2054" s="275"/>
      <c r="J2054" s="275"/>
      <c r="K2054" s="275"/>
      <c r="L2054" s="275"/>
      <c r="M2054" s="275"/>
      <c r="N2054" s="275"/>
      <c r="O2054" s="276"/>
      <c r="P2054" s="276"/>
      <c r="Q2054" s="247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9"/>
      <c r="S2054" s="229"/>
      <c r="T2054" s="229"/>
      <c r="U2054" s="229"/>
      <c r="V2054" s="229"/>
      <c r="W2054" s="229"/>
      <c r="X2054" s="229"/>
    </row>
    <row r="2055" spans="1:24" ht="15.75" hidden="1">
      <c r="A2055" s="343"/>
      <c r="B2055" s="344"/>
      <c r="C2055" s="275"/>
      <c r="D2055" s="275"/>
      <c r="E2055" s="275"/>
      <c r="F2055" s="275"/>
      <c r="G2055" s="275"/>
      <c r="H2055" s="275"/>
      <c r="I2055" s="275"/>
      <c r="J2055" s="275"/>
      <c r="K2055" s="275"/>
      <c r="L2055" s="275"/>
      <c r="M2055" s="275"/>
      <c r="N2055" s="275"/>
      <c r="O2055" s="276"/>
      <c r="P2055" s="276"/>
      <c r="Q2055" s="247">
        <f t="shared" si="38"/>
        <v>0</v>
      </c>
      <c r="R2055" s="229"/>
      <c r="S2055" s="229"/>
      <c r="T2055" s="229"/>
      <c r="U2055" s="229"/>
      <c r="V2055" s="229"/>
      <c r="W2055" s="229"/>
      <c r="X2055" s="229"/>
    </row>
    <row r="2056" spans="1:24" ht="15.75" hidden="1">
      <c r="A2056" s="343"/>
      <c r="B2056" s="344"/>
      <c r="C2056" s="275"/>
      <c r="D2056" s="275"/>
      <c r="E2056" s="275"/>
      <c r="F2056" s="275"/>
      <c r="G2056" s="275"/>
      <c r="H2056" s="275"/>
      <c r="I2056" s="275"/>
      <c r="J2056" s="275"/>
      <c r="K2056" s="275"/>
      <c r="L2056" s="275"/>
      <c r="M2056" s="275"/>
      <c r="N2056" s="275"/>
      <c r="O2056" s="276"/>
      <c r="P2056" s="276"/>
      <c r="Q2056" s="247">
        <f t="shared" si="38"/>
        <v>0</v>
      </c>
      <c r="R2056" s="229"/>
      <c r="S2056" s="229"/>
      <c r="T2056" s="229"/>
      <c r="U2056" s="229"/>
      <c r="V2056" s="229"/>
      <c r="W2056" s="229"/>
      <c r="X2056" s="229"/>
    </row>
    <row r="2057" spans="1:24" ht="15.75" hidden="1">
      <c r="A2057" s="343"/>
      <c r="B2057" s="344"/>
      <c r="C2057" s="275"/>
      <c r="D2057" s="275"/>
      <c r="E2057" s="275"/>
      <c r="F2057" s="275"/>
      <c r="G2057" s="275"/>
      <c r="H2057" s="275"/>
      <c r="I2057" s="275"/>
      <c r="J2057" s="275"/>
      <c r="K2057" s="275"/>
      <c r="L2057" s="275"/>
      <c r="M2057" s="275"/>
      <c r="N2057" s="275"/>
      <c r="O2057" s="276"/>
      <c r="P2057" s="276"/>
      <c r="Q2057" s="247">
        <f t="shared" si="38"/>
        <v>0</v>
      </c>
      <c r="R2057" s="229"/>
      <c r="S2057" s="229"/>
      <c r="T2057" s="229"/>
      <c r="U2057" s="229"/>
      <c r="V2057" s="229"/>
      <c r="W2057" s="229"/>
      <c r="X2057" s="229"/>
    </row>
    <row r="2058" spans="1:24" ht="15.75" hidden="1">
      <c r="A2058" s="343"/>
      <c r="B2058" s="344"/>
      <c r="C2058" s="275"/>
      <c r="D2058" s="275"/>
      <c r="E2058" s="275"/>
      <c r="F2058" s="275"/>
      <c r="G2058" s="275"/>
      <c r="H2058" s="275"/>
      <c r="I2058" s="275"/>
      <c r="J2058" s="275"/>
      <c r="K2058" s="275"/>
      <c r="L2058" s="275"/>
      <c r="M2058" s="275"/>
      <c r="N2058" s="275"/>
      <c r="O2058" s="276"/>
      <c r="P2058" s="276"/>
      <c r="Q2058" s="247">
        <f t="shared" si="38"/>
        <v>0</v>
      </c>
      <c r="R2058" s="229"/>
      <c r="S2058" s="229"/>
      <c r="T2058" s="229"/>
      <c r="U2058" s="229"/>
      <c r="V2058" s="229"/>
      <c r="W2058" s="229"/>
      <c r="X2058" s="229"/>
    </row>
    <row r="2059" spans="1:24" ht="15.75" hidden="1">
      <c r="A2059" s="343"/>
      <c r="B2059" s="344"/>
      <c r="C2059" s="275"/>
      <c r="D2059" s="275"/>
      <c r="E2059" s="275"/>
      <c r="F2059" s="275"/>
      <c r="G2059" s="275"/>
      <c r="H2059" s="275"/>
      <c r="I2059" s="275"/>
      <c r="J2059" s="275"/>
      <c r="K2059" s="275"/>
      <c r="L2059" s="275"/>
      <c r="M2059" s="275"/>
      <c r="N2059" s="275"/>
      <c r="O2059" s="276"/>
      <c r="P2059" s="276"/>
      <c r="Q2059" s="247">
        <f t="shared" si="38"/>
        <v>0</v>
      </c>
      <c r="R2059" s="229"/>
      <c r="S2059" s="229"/>
      <c r="T2059" s="229"/>
      <c r="U2059" s="229"/>
      <c r="V2059" s="229"/>
      <c r="W2059" s="229"/>
      <c r="X2059" s="229"/>
    </row>
    <row r="2060" spans="1:24" ht="15.75" hidden="1">
      <c r="A2060" s="343"/>
      <c r="B2060" s="344"/>
      <c r="C2060" s="275"/>
      <c r="D2060" s="275"/>
      <c r="E2060" s="275"/>
      <c r="F2060" s="275"/>
      <c r="G2060" s="275"/>
      <c r="H2060" s="275"/>
      <c r="I2060" s="275"/>
      <c r="J2060" s="275"/>
      <c r="K2060" s="275"/>
      <c r="L2060" s="275"/>
      <c r="M2060" s="275"/>
      <c r="N2060" s="275"/>
      <c r="O2060" s="276"/>
      <c r="P2060" s="276"/>
      <c r="Q2060" s="247">
        <f t="shared" si="38"/>
        <v>0</v>
      </c>
      <c r="R2060" s="229"/>
      <c r="S2060" s="229"/>
      <c r="T2060" s="229"/>
      <c r="U2060" s="229"/>
      <c r="V2060" s="229"/>
      <c r="W2060" s="229"/>
      <c r="X2060" s="229"/>
    </row>
    <row r="2061" spans="1:24" ht="15.75" hidden="1">
      <c r="A2061" s="343"/>
      <c r="B2061" s="344"/>
      <c r="C2061" s="275"/>
      <c r="D2061" s="275"/>
      <c r="E2061" s="275"/>
      <c r="F2061" s="275"/>
      <c r="G2061" s="275"/>
      <c r="H2061" s="275"/>
      <c r="I2061" s="275"/>
      <c r="J2061" s="275"/>
      <c r="K2061" s="275"/>
      <c r="L2061" s="275"/>
      <c r="M2061" s="275"/>
      <c r="N2061" s="275"/>
      <c r="O2061" s="276"/>
      <c r="P2061" s="276"/>
      <c r="Q2061" s="247">
        <f t="shared" si="38"/>
        <v>0</v>
      </c>
      <c r="R2061" s="229"/>
      <c r="S2061" s="229"/>
      <c r="T2061" s="229"/>
      <c r="U2061" s="229"/>
      <c r="V2061" s="229"/>
      <c r="W2061" s="229"/>
      <c r="X2061" s="229"/>
    </row>
    <row r="2062" spans="1:24" ht="15.75" hidden="1">
      <c r="A2062" s="343"/>
      <c r="B2062" s="344"/>
      <c r="C2062" s="275"/>
      <c r="D2062" s="275"/>
      <c r="E2062" s="275"/>
      <c r="F2062" s="275"/>
      <c r="G2062" s="275"/>
      <c r="H2062" s="275"/>
      <c r="I2062" s="275"/>
      <c r="J2062" s="275"/>
      <c r="K2062" s="275"/>
      <c r="L2062" s="275"/>
      <c r="M2062" s="275"/>
      <c r="N2062" s="275"/>
      <c r="O2062" s="276"/>
      <c r="P2062" s="276"/>
      <c r="Q2062" s="247">
        <f t="shared" si="38"/>
        <v>0</v>
      </c>
      <c r="R2062" s="229"/>
      <c r="S2062" s="229"/>
      <c r="T2062" s="229"/>
      <c r="U2062" s="229"/>
      <c r="V2062" s="229"/>
      <c r="W2062" s="229"/>
      <c r="X2062" s="229"/>
    </row>
    <row r="2063" spans="1:24" ht="15.75" hidden="1">
      <c r="A2063" s="343"/>
      <c r="B2063" s="344"/>
      <c r="C2063" s="275"/>
      <c r="D2063" s="275"/>
      <c r="E2063" s="275"/>
      <c r="F2063" s="275"/>
      <c r="G2063" s="275"/>
      <c r="H2063" s="275"/>
      <c r="I2063" s="275"/>
      <c r="J2063" s="275"/>
      <c r="K2063" s="275"/>
      <c r="L2063" s="275"/>
      <c r="M2063" s="275"/>
      <c r="N2063" s="275"/>
      <c r="O2063" s="276"/>
      <c r="P2063" s="276"/>
      <c r="Q2063" s="247">
        <f t="shared" si="38"/>
        <v>0</v>
      </c>
      <c r="R2063" s="229"/>
      <c r="S2063" s="229"/>
      <c r="T2063" s="229"/>
      <c r="U2063" s="229"/>
      <c r="V2063" s="229"/>
      <c r="W2063" s="229"/>
      <c r="X2063" s="229"/>
    </row>
    <row r="2064" spans="1:24" ht="15.75" hidden="1">
      <c r="A2064" s="343"/>
      <c r="B2064" s="344"/>
      <c r="C2064" s="275"/>
      <c r="D2064" s="275"/>
      <c r="E2064" s="275"/>
      <c r="F2064" s="275"/>
      <c r="G2064" s="275"/>
      <c r="H2064" s="275"/>
      <c r="I2064" s="275"/>
      <c r="J2064" s="275"/>
      <c r="K2064" s="275"/>
      <c r="L2064" s="275"/>
      <c r="M2064" s="275"/>
      <c r="N2064" s="275"/>
      <c r="O2064" s="276"/>
      <c r="P2064" s="276"/>
      <c r="Q2064" s="247">
        <f t="shared" si="38"/>
        <v>0</v>
      </c>
      <c r="R2064" s="229"/>
      <c r="S2064" s="229"/>
      <c r="T2064" s="229"/>
      <c r="U2064" s="229"/>
      <c r="V2064" s="229"/>
      <c r="W2064" s="229"/>
      <c r="X2064" s="229"/>
    </row>
    <row r="2065" spans="1:24" ht="15.75" hidden="1">
      <c r="A2065" s="343"/>
      <c r="B2065" s="344"/>
      <c r="C2065" s="275"/>
      <c r="D2065" s="275"/>
      <c r="E2065" s="275"/>
      <c r="F2065" s="275"/>
      <c r="G2065" s="275"/>
      <c r="H2065" s="275"/>
      <c r="I2065" s="275"/>
      <c r="J2065" s="275"/>
      <c r="K2065" s="275"/>
      <c r="L2065" s="275"/>
      <c r="M2065" s="275"/>
      <c r="N2065" s="275"/>
      <c r="O2065" s="276"/>
      <c r="P2065" s="276"/>
      <c r="Q2065" s="247">
        <f t="shared" si="38"/>
        <v>0</v>
      </c>
      <c r="R2065" s="229"/>
      <c r="S2065" s="229"/>
      <c r="T2065" s="229"/>
      <c r="U2065" s="229"/>
      <c r="V2065" s="229"/>
      <c r="W2065" s="229"/>
      <c r="X2065" s="229"/>
    </row>
    <row r="2066" spans="1:24" ht="15.75" hidden="1">
      <c r="A2066" s="343"/>
      <c r="B2066" s="344"/>
      <c r="C2066" s="275"/>
      <c r="D2066" s="275"/>
      <c r="E2066" s="275"/>
      <c r="F2066" s="275"/>
      <c r="G2066" s="275"/>
      <c r="H2066" s="275"/>
      <c r="I2066" s="275"/>
      <c r="J2066" s="275"/>
      <c r="K2066" s="275"/>
      <c r="L2066" s="275"/>
      <c r="M2066" s="275"/>
      <c r="N2066" s="275"/>
      <c r="O2066" s="276"/>
      <c r="P2066" s="276"/>
      <c r="Q2066" s="247">
        <f t="shared" si="38"/>
        <v>0</v>
      </c>
      <c r="R2066" s="229"/>
      <c r="S2066" s="229"/>
      <c r="T2066" s="229"/>
      <c r="U2066" s="229"/>
      <c r="V2066" s="229"/>
      <c r="W2066" s="229"/>
      <c r="X2066" s="229"/>
    </row>
    <row r="2067" spans="1:24" ht="15.75" hidden="1">
      <c r="A2067" s="343"/>
      <c r="B2067" s="344"/>
      <c r="C2067" s="275"/>
      <c r="D2067" s="275"/>
      <c r="E2067" s="275"/>
      <c r="F2067" s="275"/>
      <c r="G2067" s="275"/>
      <c r="H2067" s="275"/>
      <c r="I2067" s="275"/>
      <c r="J2067" s="275"/>
      <c r="K2067" s="275"/>
      <c r="L2067" s="275"/>
      <c r="M2067" s="275"/>
      <c r="N2067" s="275"/>
      <c r="O2067" s="276"/>
      <c r="P2067" s="276"/>
      <c r="Q2067" s="247">
        <f t="shared" si="38"/>
        <v>0</v>
      </c>
      <c r="R2067" s="229"/>
      <c r="S2067" s="229"/>
      <c r="T2067" s="229"/>
      <c r="U2067" s="229"/>
      <c r="V2067" s="229"/>
      <c r="W2067" s="229"/>
      <c r="X2067" s="229"/>
    </row>
    <row r="2068" spans="1:24" ht="15.75" hidden="1">
      <c r="A2068" s="343"/>
      <c r="B2068" s="344"/>
      <c r="C2068" s="275"/>
      <c r="D2068" s="275"/>
      <c r="E2068" s="275"/>
      <c r="F2068" s="275"/>
      <c r="G2068" s="275"/>
      <c r="H2068" s="275"/>
      <c r="I2068" s="275"/>
      <c r="J2068" s="275"/>
      <c r="K2068" s="275"/>
      <c r="L2068" s="275"/>
      <c r="M2068" s="275"/>
      <c r="N2068" s="275"/>
      <c r="O2068" s="276"/>
      <c r="P2068" s="276"/>
      <c r="Q2068" s="247">
        <f t="shared" si="38"/>
        <v>0</v>
      </c>
      <c r="R2068" s="229"/>
      <c r="S2068" s="229"/>
      <c r="T2068" s="229"/>
      <c r="U2068" s="229"/>
      <c r="V2068" s="229"/>
      <c r="W2068" s="229"/>
      <c r="X2068" s="229"/>
    </row>
    <row r="2069" spans="1:24" ht="15.75" hidden="1">
      <c r="A2069" s="343"/>
      <c r="B2069" s="344"/>
      <c r="C2069" s="275"/>
      <c r="D2069" s="275"/>
      <c r="E2069" s="275"/>
      <c r="F2069" s="275"/>
      <c r="G2069" s="275"/>
      <c r="H2069" s="275"/>
      <c r="I2069" s="275"/>
      <c r="J2069" s="275"/>
      <c r="K2069" s="275"/>
      <c r="L2069" s="275"/>
      <c r="M2069" s="275"/>
      <c r="N2069" s="275"/>
      <c r="O2069" s="276"/>
      <c r="P2069" s="276"/>
      <c r="Q2069" s="247">
        <f t="shared" si="38"/>
        <v>0</v>
      </c>
      <c r="R2069" s="229"/>
      <c r="S2069" s="229"/>
      <c r="T2069" s="229"/>
      <c r="U2069" s="229"/>
      <c r="V2069" s="229"/>
      <c r="W2069" s="229"/>
      <c r="X2069" s="229"/>
    </row>
    <row r="2070" spans="1:24" ht="15.75" hidden="1">
      <c r="A2070" s="343"/>
      <c r="B2070" s="344"/>
      <c r="C2070" s="275"/>
      <c r="D2070" s="275"/>
      <c r="E2070" s="275"/>
      <c r="F2070" s="275"/>
      <c r="G2070" s="275"/>
      <c r="H2070" s="275"/>
      <c r="I2070" s="275"/>
      <c r="J2070" s="275"/>
      <c r="K2070" s="275"/>
      <c r="L2070" s="275"/>
      <c r="M2070" s="275"/>
      <c r="N2070" s="275"/>
      <c r="O2070" s="276"/>
      <c r="P2070" s="276"/>
      <c r="Q2070" s="247">
        <f t="shared" si="38"/>
        <v>0</v>
      </c>
      <c r="R2070" s="229"/>
      <c r="S2070" s="229"/>
      <c r="T2070" s="229"/>
      <c r="U2070" s="229"/>
      <c r="V2070" s="229"/>
      <c r="W2070" s="229"/>
      <c r="X2070" s="229"/>
    </row>
    <row r="2071" spans="1:24" ht="15.75" hidden="1">
      <c r="A2071" s="343"/>
      <c r="B2071" s="344"/>
      <c r="C2071" s="275"/>
      <c r="D2071" s="275"/>
      <c r="E2071" s="275"/>
      <c r="F2071" s="275"/>
      <c r="G2071" s="275"/>
      <c r="H2071" s="275"/>
      <c r="I2071" s="275"/>
      <c r="J2071" s="275"/>
      <c r="K2071" s="275"/>
      <c r="L2071" s="275"/>
      <c r="M2071" s="275"/>
      <c r="N2071" s="275"/>
      <c r="O2071" s="276"/>
      <c r="P2071" s="276"/>
      <c r="Q2071" s="247">
        <f t="shared" si="38"/>
        <v>0</v>
      </c>
      <c r="R2071" s="229"/>
      <c r="S2071" s="229"/>
      <c r="T2071" s="229"/>
      <c r="U2071" s="229"/>
      <c r="V2071" s="229"/>
      <c r="W2071" s="229"/>
      <c r="X2071" s="229"/>
    </row>
    <row r="2072" spans="1:24" ht="15.75" hidden="1">
      <c r="A2072" s="343"/>
      <c r="B2072" s="344"/>
      <c r="C2072" s="275"/>
      <c r="D2072" s="275"/>
      <c r="E2072" s="275"/>
      <c r="F2072" s="275"/>
      <c r="G2072" s="275"/>
      <c r="H2072" s="275"/>
      <c r="I2072" s="275"/>
      <c r="J2072" s="275"/>
      <c r="K2072" s="275"/>
      <c r="L2072" s="275"/>
      <c r="M2072" s="275"/>
      <c r="N2072" s="275"/>
      <c r="O2072" s="276"/>
      <c r="P2072" s="276"/>
      <c r="Q2072" s="247">
        <f t="shared" si="38"/>
        <v>0</v>
      </c>
      <c r="R2072" s="229"/>
      <c r="S2072" s="229"/>
      <c r="T2072" s="229"/>
      <c r="U2072" s="229"/>
      <c r="V2072" s="229"/>
      <c r="W2072" s="229"/>
      <c r="X2072" s="229"/>
    </row>
    <row r="2073" spans="1:24" ht="15.75" hidden="1">
      <c r="A2073" s="343"/>
      <c r="B2073" s="344"/>
      <c r="C2073" s="275"/>
      <c r="D2073" s="275"/>
      <c r="E2073" s="275"/>
      <c r="F2073" s="275"/>
      <c r="G2073" s="275"/>
      <c r="H2073" s="275"/>
      <c r="I2073" s="275"/>
      <c r="J2073" s="275"/>
      <c r="K2073" s="275"/>
      <c r="L2073" s="275"/>
      <c r="M2073" s="275"/>
      <c r="N2073" s="275"/>
      <c r="O2073" s="276"/>
      <c r="P2073" s="276"/>
      <c r="Q2073" s="247">
        <f t="shared" si="38"/>
        <v>0</v>
      </c>
      <c r="R2073" s="229"/>
      <c r="S2073" s="229"/>
      <c r="T2073" s="229"/>
      <c r="U2073" s="229"/>
      <c r="V2073" s="229"/>
      <c r="W2073" s="229"/>
      <c r="X2073" s="229"/>
    </row>
    <row r="2074" spans="1:24" ht="15.75" hidden="1">
      <c r="A2074" s="343"/>
      <c r="B2074" s="344"/>
      <c r="C2074" s="275"/>
      <c r="D2074" s="275"/>
      <c r="E2074" s="275"/>
      <c r="F2074" s="275"/>
      <c r="G2074" s="275"/>
      <c r="H2074" s="275"/>
      <c r="I2074" s="275"/>
      <c r="J2074" s="275"/>
      <c r="K2074" s="275"/>
      <c r="L2074" s="275"/>
      <c r="M2074" s="275"/>
      <c r="N2074" s="275"/>
      <c r="O2074" s="276"/>
      <c r="P2074" s="276"/>
      <c r="Q2074" s="247">
        <f t="shared" si="38"/>
        <v>0</v>
      </c>
      <c r="R2074" s="229"/>
      <c r="S2074" s="229"/>
      <c r="T2074" s="229"/>
      <c r="U2074" s="229"/>
      <c r="V2074" s="229"/>
      <c r="W2074" s="229"/>
      <c r="X2074" s="229"/>
    </row>
    <row r="2075" spans="1:24" ht="15.75" hidden="1">
      <c r="A2075" s="343"/>
      <c r="B2075" s="344"/>
      <c r="C2075" s="275"/>
      <c r="D2075" s="275"/>
      <c r="E2075" s="275"/>
      <c r="F2075" s="275"/>
      <c r="G2075" s="275"/>
      <c r="H2075" s="275"/>
      <c r="I2075" s="275"/>
      <c r="J2075" s="275"/>
      <c r="K2075" s="275"/>
      <c r="L2075" s="275"/>
      <c r="M2075" s="275"/>
      <c r="N2075" s="275"/>
      <c r="O2075" s="276"/>
      <c r="P2075" s="276"/>
      <c r="Q2075" s="247">
        <f t="shared" si="38"/>
        <v>0</v>
      </c>
      <c r="R2075" s="229"/>
      <c r="S2075" s="229"/>
      <c r="T2075" s="229"/>
      <c r="U2075" s="229"/>
      <c r="V2075" s="229"/>
      <c r="W2075" s="229"/>
      <c r="X2075" s="229"/>
    </row>
    <row r="2076" spans="1:24" ht="15.75" hidden="1">
      <c r="A2076" s="343"/>
      <c r="B2076" s="344"/>
      <c r="C2076" s="275"/>
      <c r="D2076" s="275"/>
      <c r="E2076" s="275"/>
      <c r="F2076" s="275"/>
      <c r="G2076" s="275"/>
      <c r="H2076" s="275"/>
      <c r="I2076" s="275"/>
      <c r="J2076" s="275"/>
      <c r="K2076" s="275"/>
      <c r="L2076" s="275"/>
      <c r="M2076" s="275"/>
      <c r="N2076" s="275"/>
      <c r="O2076" s="276"/>
      <c r="P2076" s="276"/>
      <c r="Q2076" s="247">
        <f t="shared" si="38"/>
        <v>0</v>
      </c>
      <c r="R2076" s="229"/>
      <c r="S2076" s="229"/>
      <c r="T2076" s="229"/>
      <c r="U2076" s="229"/>
      <c r="V2076" s="229"/>
      <c r="W2076" s="229"/>
      <c r="X2076" s="229"/>
    </row>
    <row r="2077" spans="1:24" ht="15.75" hidden="1">
      <c r="A2077" s="343"/>
      <c r="B2077" s="344"/>
      <c r="C2077" s="275"/>
      <c r="D2077" s="275"/>
      <c r="E2077" s="275"/>
      <c r="F2077" s="275"/>
      <c r="G2077" s="275"/>
      <c r="H2077" s="275"/>
      <c r="I2077" s="275"/>
      <c r="J2077" s="275"/>
      <c r="K2077" s="275"/>
      <c r="L2077" s="275"/>
      <c r="M2077" s="275"/>
      <c r="N2077" s="275"/>
      <c r="O2077" s="276"/>
      <c r="P2077" s="276"/>
      <c r="Q2077" s="247">
        <f t="shared" si="38"/>
        <v>0</v>
      </c>
      <c r="R2077" s="229"/>
      <c r="S2077" s="229"/>
      <c r="T2077" s="229"/>
      <c r="U2077" s="229"/>
      <c r="V2077" s="229"/>
      <c r="W2077" s="229"/>
      <c r="X2077" s="229"/>
    </row>
    <row r="2078" spans="1:24" ht="15.75" hidden="1">
      <c r="A2078" s="343"/>
      <c r="B2078" s="344"/>
      <c r="C2078" s="275"/>
      <c r="D2078" s="275"/>
      <c r="E2078" s="275"/>
      <c r="F2078" s="275"/>
      <c r="G2078" s="275"/>
      <c r="H2078" s="275"/>
      <c r="I2078" s="275"/>
      <c r="J2078" s="275"/>
      <c r="K2078" s="275"/>
      <c r="L2078" s="275"/>
      <c r="M2078" s="275"/>
      <c r="N2078" s="275"/>
      <c r="O2078" s="276"/>
      <c r="P2078" s="276"/>
      <c r="Q2078" s="247">
        <f t="shared" si="38"/>
        <v>0</v>
      </c>
      <c r="R2078" s="229"/>
      <c r="S2078" s="229"/>
      <c r="T2078" s="229"/>
      <c r="U2078" s="229"/>
      <c r="V2078" s="229"/>
      <c r="W2078" s="229"/>
      <c r="X2078" s="229"/>
    </row>
    <row r="2079" spans="1:24" ht="15.75" hidden="1">
      <c r="A2079" s="343"/>
      <c r="B2079" s="344"/>
      <c r="C2079" s="275"/>
      <c r="D2079" s="275"/>
      <c r="E2079" s="275"/>
      <c r="F2079" s="275"/>
      <c r="G2079" s="275"/>
      <c r="H2079" s="275"/>
      <c r="I2079" s="275"/>
      <c r="J2079" s="275"/>
      <c r="K2079" s="275"/>
      <c r="L2079" s="275"/>
      <c r="M2079" s="275"/>
      <c r="N2079" s="275"/>
      <c r="O2079" s="276"/>
      <c r="P2079" s="276"/>
      <c r="Q2079" s="247">
        <f t="shared" si="38"/>
        <v>0</v>
      </c>
      <c r="R2079" s="229"/>
      <c r="S2079" s="229"/>
      <c r="T2079" s="229"/>
      <c r="U2079" s="229"/>
      <c r="V2079" s="229"/>
      <c r="W2079" s="229"/>
      <c r="X2079" s="229"/>
    </row>
    <row r="2080" spans="1:24" ht="15.75" hidden="1">
      <c r="A2080" s="343"/>
      <c r="B2080" s="344"/>
      <c r="C2080" s="275"/>
      <c r="D2080" s="275"/>
      <c r="E2080" s="275"/>
      <c r="F2080" s="275"/>
      <c r="G2080" s="275"/>
      <c r="H2080" s="275"/>
      <c r="I2080" s="275"/>
      <c r="J2080" s="275"/>
      <c r="K2080" s="275"/>
      <c r="L2080" s="275"/>
      <c r="M2080" s="275"/>
      <c r="N2080" s="275"/>
      <c r="O2080" s="276"/>
      <c r="P2080" s="276"/>
      <c r="Q2080" s="247">
        <f t="shared" si="38"/>
        <v>0</v>
      </c>
      <c r="R2080" s="229"/>
      <c r="S2080" s="229"/>
      <c r="T2080" s="229"/>
      <c r="U2080" s="229"/>
      <c r="V2080" s="229"/>
      <c r="W2080" s="229"/>
      <c r="X2080" s="229"/>
    </row>
    <row r="2081" spans="1:24" ht="15.75" hidden="1">
      <c r="A2081" s="343"/>
      <c r="B2081" s="344"/>
      <c r="C2081" s="275"/>
      <c r="D2081" s="275"/>
      <c r="E2081" s="275"/>
      <c r="F2081" s="275"/>
      <c r="G2081" s="275"/>
      <c r="H2081" s="275"/>
      <c r="I2081" s="275"/>
      <c r="J2081" s="275"/>
      <c r="K2081" s="275"/>
      <c r="L2081" s="275"/>
      <c r="M2081" s="275"/>
      <c r="N2081" s="275"/>
      <c r="O2081" s="276"/>
      <c r="P2081" s="276"/>
      <c r="Q2081" s="247">
        <f t="shared" si="38"/>
        <v>0</v>
      </c>
      <c r="R2081" s="229"/>
      <c r="S2081" s="229"/>
      <c r="T2081" s="229"/>
      <c r="U2081" s="229"/>
      <c r="V2081" s="229"/>
      <c r="W2081" s="229"/>
      <c r="X2081" s="229"/>
    </row>
    <row r="2082" spans="1:24" ht="15.75" hidden="1">
      <c r="A2082" s="343"/>
      <c r="B2082" s="344"/>
      <c r="C2082" s="275"/>
      <c r="D2082" s="275"/>
      <c r="E2082" s="275"/>
      <c r="F2082" s="275"/>
      <c r="G2082" s="275"/>
      <c r="H2082" s="275"/>
      <c r="I2082" s="275"/>
      <c r="J2082" s="275"/>
      <c r="K2082" s="275"/>
      <c r="L2082" s="275"/>
      <c r="M2082" s="275"/>
      <c r="N2082" s="275"/>
      <c r="O2082" s="276"/>
      <c r="P2082" s="276"/>
      <c r="Q2082" s="247">
        <f t="shared" si="38"/>
        <v>0</v>
      </c>
      <c r="R2082" s="229"/>
      <c r="S2082" s="229"/>
      <c r="T2082" s="229"/>
      <c r="U2082" s="229"/>
      <c r="V2082" s="229"/>
      <c r="W2082" s="229"/>
      <c r="X2082" s="229"/>
    </row>
    <row r="2083" spans="1:24" ht="15.75" hidden="1">
      <c r="A2083" s="343"/>
      <c r="B2083" s="344"/>
      <c r="C2083" s="275"/>
      <c r="D2083" s="275"/>
      <c r="E2083" s="275"/>
      <c r="F2083" s="275"/>
      <c r="G2083" s="275"/>
      <c r="H2083" s="275"/>
      <c r="I2083" s="275"/>
      <c r="J2083" s="275"/>
      <c r="K2083" s="275"/>
      <c r="L2083" s="275"/>
      <c r="M2083" s="275"/>
      <c r="N2083" s="275"/>
      <c r="O2083" s="276"/>
      <c r="P2083" s="276"/>
      <c r="Q2083" s="247">
        <f t="shared" si="38"/>
        <v>0</v>
      </c>
      <c r="R2083" s="229"/>
      <c r="S2083" s="229"/>
      <c r="T2083" s="229"/>
      <c r="U2083" s="229"/>
      <c r="V2083" s="229"/>
      <c r="W2083" s="229"/>
      <c r="X2083" s="229"/>
    </row>
    <row r="2084" spans="1:24" ht="15.75" hidden="1">
      <c r="A2084" s="343"/>
      <c r="B2084" s="344"/>
      <c r="C2084" s="275"/>
      <c r="D2084" s="275"/>
      <c r="E2084" s="275"/>
      <c r="F2084" s="275"/>
      <c r="G2084" s="275"/>
      <c r="H2084" s="275"/>
      <c r="I2084" s="275"/>
      <c r="J2084" s="275"/>
      <c r="K2084" s="275"/>
      <c r="L2084" s="275"/>
      <c r="M2084" s="275"/>
      <c r="N2084" s="275"/>
      <c r="O2084" s="276"/>
      <c r="P2084" s="276"/>
      <c r="Q2084" s="247">
        <f t="shared" si="38"/>
        <v>0</v>
      </c>
      <c r="R2084" s="229"/>
      <c r="S2084" s="229"/>
      <c r="T2084" s="229"/>
      <c r="U2084" s="229"/>
      <c r="V2084" s="229"/>
      <c r="W2084" s="229"/>
      <c r="X2084" s="229"/>
    </row>
    <row r="2085" spans="1:24" ht="15.75" hidden="1">
      <c r="A2085" s="343"/>
      <c r="B2085" s="344"/>
      <c r="C2085" s="275"/>
      <c r="D2085" s="275"/>
      <c r="E2085" s="275"/>
      <c r="F2085" s="275"/>
      <c r="G2085" s="275"/>
      <c r="H2085" s="275"/>
      <c r="I2085" s="275"/>
      <c r="J2085" s="275"/>
      <c r="K2085" s="275"/>
      <c r="L2085" s="275"/>
      <c r="M2085" s="275"/>
      <c r="N2085" s="275"/>
      <c r="O2085" s="276"/>
      <c r="P2085" s="276"/>
      <c r="Q2085" s="247">
        <f t="shared" si="38"/>
        <v>0</v>
      </c>
      <c r="R2085" s="229"/>
      <c r="S2085" s="229"/>
      <c r="T2085" s="229"/>
      <c r="U2085" s="229"/>
      <c r="V2085" s="229"/>
      <c r="W2085" s="229"/>
      <c r="X2085" s="229"/>
    </row>
    <row r="2086" spans="1:24" ht="15.75" hidden="1">
      <c r="A2086" s="343"/>
      <c r="B2086" s="344"/>
      <c r="C2086" s="275"/>
      <c r="D2086" s="275"/>
      <c r="E2086" s="275"/>
      <c r="F2086" s="275"/>
      <c r="G2086" s="275"/>
      <c r="H2086" s="275"/>
      <c r="I2086" s="275"/>
      <c r="J2086" s="275"/>
      <c r="K2086" s="275"/>
      <c r="L2086" s="275"/>
      <c r="M2086" s="275"/>
      <c r="N2086" s="275"/>
      <c r="O2086" s="276"/>
      <c r="P2086" s="276"/>
      <c r="Q2086" s="247">
        <f t="shared" si="38"/>
        <v>0</v>
      </c>
      <c r="R2086" s="229"/>
      <c r="S2086" s="229"/>
      <c r="T2086" s="229"/>
      <c r="U2086" s="229"/>
      <c r="V2086" s="229"/>
      <c r="W2086" s="229"/>
      <c r="X2086" s="229"/>
    </row>
    <row r="2087" spans="1:24" ht="15.75" hidden="1">
      <c r="A2087" s="343"/>
      <c r="B2087" s="344"/>
      <c r="C2087" s="275"/>
      <c r="D2087" s="275"/>
      <c r="E2087" s="275"/>
      <c r="F2087" s="275"/>
      <c r="G2087" s="275"/>
      <c r="H2087" s="275"/>
      <c r="I2087" s="275"/>
      <c r="J2087" s="275"/>
      <c r="K2087" s="275"/>
      <c r="L2087" s="275"/>
      <c r="M2087" s="275"/>
      <c r="N2087" s="275"/>
      <c r="O2087" s="276"/>
      <c r="P2087" s="276"/>
      <c r="Q2087" s="247">
        <f t="shared" si="38"/>
        <v>0</v>
      </c>
      <c r="R2087" s="229"/>
      <c r="S2087" s="229"/>
      <c r="T2087" s="229"/>
      <c r="U2087" s="229"/>
      <c r="V2087" s="229"/>
      <c r="W2087" s="229"/>
      <c r="X2087" s="229"/>
    </row>
    <row r="2088" spans="1:24" ht="15.75" hidden="1">
      <c r="A2088" s="343"/>
      <c r="B2088" s="344"/>
      <c r="C2088" s="275"/>
      <c r="D2088" s="275"/>
      <c r="E2088" s="275"/>
      <c r="F2088" s="275"/>
      <c r="G2088" s="275"/>
      <c r="H2088" s="275"/>
      <c r="I2088" s="275"/>
      <c r="J2088" s="275"/>
      <c r="K2088" s="275"/>
      <c r="L2088" s="275"/>
      <c r="M2088" s="275"/>
      <c r="N2088" s="275"/>
      <c r="O2088" s="276"/>
      <c r="P2088" s="276"/>
      <c r="Q2088" s="247">
        <f t="shared" si="38"/>
        <v>0</v>
      </c>
      <c r="R2088" s="229"/>
      <c r="S2088" s="229"/>
      <c r="T2088" s="229"/>
      <c r="U2088" s="229"/>
      <c r="V2088" s="229"/>
      <c r="W2088" s="229"/>
      <c r="X2088" s="229"/>
    </row>
    <row r="2089" spans="1:24" ht="15.75" hidden="1">
      <c r="A2089" s="343"/>
      <c r="B2089" s="344"/>
      <c r="C2089" s="275"/>
      <c r="D2089" s="275"/>
      <c r="E2089" s="275"/>
      <c r="F2089" s="275"/>
      <c r="G2089" s="275"/>
      <c r="H2089" s="275"/>
      <c r="I2089" s="275"/>
      <c r="J2089" s="275"/>
      <c r="K2089" s="275"/>
      <c r="L2089" s="275"/>
      <c r="M2089" s="275"/>
      <c r="N2089" s="275"/>
      <c r="O2089" s="276"/>
      <c r="P2089" s="276"/>
      <c r="Q2089" s="247">
        <f t="shared" si="38"/>
        <v>0</v>
      </c>
      <c r="R2089" s="229"/>
      <c r="S2089" s="229"/>
      <c r="T2089" s="229"/>
      <c r="U2089" s="229"/>
      <c r="V2089" s="229"/>
      <c r="W2089" s="229"/>
      <c r="X2089" s="229"/>
    </row>
    <row r="2090" spans="1:24" ht="15.75" hidden="1">
      <c r="A2090" s="343"/>
      <c r="B2090" s="344"/>
      <c r="C2090" s="275"/>
      <c r="D2090" s="275"/>
      <c r="E2090" s="275"/>
      <c r="F2090" s="275"/>
      <c r="G2090" s="275"/>
      <c r="H2090" s="275"/>
      <c r="I2090" s="275"/>
      <c r="J2090" s="275"/>
      <c r="K2090" s="275"/>
      <c r="L2090" s="275"/>
      <c r="M2090" s="275"/>
      <c r="N2090" s="275"/>
      <c r="O2090" s="276"/>
      <c r="P2090" s="276"/>
      <c r="Q2090" s="247">
        <f t="shared" si="38"/>
        <v>0</v>
      </c>
      <c r="R2090" s="229"/>
      <c r="S2090" s="229"/>
      <c r="T2090" s="229"/>
      <c r="U2090" s="229"/>
      <c r="V2090" s="229"/>
      <c r="W2090" s="229"/>
      <c r="X2090" s="229"/>
    </row>
    <row r="2091" spans="1:24" ht="15.75" hidden="1">
      <c r="A2091" s="343"/>
      <c r="B2091" s="344"/>
      <c r="C2091" s="275"/>
      <c r="D2091" s="275"/>
      <c r="E2091" s="275"/>
      <c r="F2091" s="275"/>
      <c r="G2091" s="275"/>
      <c r="H2091" s="275"/>
      <c r="I2091" s="275"/>
      <c r="J2091" s="275"/>
      <c r="K2091" s="275"/>
      <c r="L2091" s="275"/>
      <c r="M2091" s="275"/>
      <c r="N2091" s="275"/>
      <c r="O2091" s="276"/>
      <c r="P2091" s="276"/>
      <c r="Q2091" s="247">
        <f t="shared" si="38"/>
        <v>0</v>
      </c>
      <c r="R2091" s="229"/>
      <c r="S2091" s="229"/>
      <c r="T2091" s="229"/>
      <c r="U2091" s="229"/>
      <c r="V2091" s="229"/>
      <c r="W2091" s="229"/>
      <c r="X2091" s="229"/>
    </row>
    <row r="2092" spans="1:24" ht="15.75" hidden="1">
      <c r="A2092" s="343"/>
      <c r="B2092" s="344"/>
      <c r="C2092" s="275"/>
      <c r="D2092" s="275"/>
      <c r="E2092" s="275"/>
      <c r="F2092" s="275"/>
      <c r="G2092" s="275"/>
      <c r="H2092" s="275"/>
      <c r="I2092" s="275"/>
      <c r="J2092" s="275"/>
      <c r="K2092" s="275"/>
      <c r="L2092" s="275"/>
      <c r="M2092" s="275"/>
      <c r="N2092" s="275"/>
      <c r="O2092" s="276"/>
      <c r="P2092" s="276"/>
      <c r="Q2092" s="247">
        <f t="shared" si="38"/>
        <v>0</v>
      </c>
      <c r="R2092" s="229"/>
      <c r="S2092" s="229"/>
      <c r="T2092" s="229"/>
      <c r="U2092" s="229"/>
      <c r="V2092" s="229"/>
      <c r="W2092" s="229"/>
      <c r="X2092" s="229"/>
    </row>
    <row r="2093" spans="1:24" ht="15.75" hidden="1">
      <c r="A2093" s="343"/>
      <c r="B2093" s="344"/>
      <c r="C2093" s="275"/>
      <c r="D2093" s="275"/>
      <c r="E2093" s="275"/>
      <c r="F2093" s="275"/>
      <c r="G2093" s="275"/>
      <c r="H2093" s="275"/>
      <c r="I2093" s="275"/>
      <c r="J2093" s="275"/>
      <c r="K2093" s="275"/>
      <c r="L2093" s="275"/>
      <c r="M2093" s="275"/>
      <c r="N2093" s="275"/>
      <c r="O2093" s="276"/>
      <c r="P2093" s="276"/>
      <c r="Q2093" s="247">
        <f t="shared" si="38"/>
        <v>0</v>
      </c>
      <c r="R2093" s="229"/>
      <c r="S2093" s="229"/>
      <c r="T2093" s="229"/>
      <c r="U2093" s="229"/>
      <c r="V2093" s="229"/>
      <c r="W2093" s="229"/>
      <c r="X2093" s="229"/>
    </row>
    <row r="2094" spans="1:24" ht="15.75" hidden="1">
      <c r="A2094" s="343"/>
      <c r="B2094" s="344"/>
      <c r="C2094" s="275"/>
      <c r="D2094" s="275"/>
      <c r="E2094" s="275"/>
      <c r="F2094" s="275"/>
      <c r="G2094" s="275"/>
      <c r="H2094" s="275"/>
      <c r="I2094" s="275"/>
      <c r="J2094" s="275"/>
      <c r="K2094" s="275"/>
      <c r="L2094" s="275"/>
      <c r="M2094" s="275"/>
      <c r="N2094" s="275"/>
      <c r="O2094" s="276"/>
      <c r="P2094" s="276"/>
      <c r="Q2094" s="247">
        <f t="shared" si="38"/>
        <v>0</v>
      </c>
      <c r="R2094" s="229"/>
      <c r="S2094" s="229"/>
      <c r="T2094" s="229"/>
      <c r="U2094" s="229"/>
      <c r="V2094" s="229"/>
      <c r="W2094" s="229"/>
      <c r="X2094" s="229"/>
    </row>
    <row r="2095" spans="1:24" ht="15.75" hidden="1">
      <c r="A2095" s="343"/>
      <c r="B2095" s="344"/>
      <c r="C2095" s="275"/>
      <c r="D2095" s="275"/>
      <c r="E2095" s="275"/>
      <c r="F2095" s="275"/>
      <c r="G2095" s="275"/>
      <c r="H2095" s="275"/>
      <c r="I2095" s="275"/>
      <c r="J2095" s="275"/>
      <c r="K2095" s="275"/>
      <c r="L2095" s="275"/>
      <c r="M2095" s="275"/>
      <c r="N2095" s="275"/>
      <c r="O2095" s="276"/>
      <c r="P2095" s="276"/>
      <c r="Q2095" s="247">
        <f t="shared" si="38"/>
        <v>0</v>
      </c>
      <c r="R2095" s="229"/>
      <c r="S2095" s="229"/>
      <c r="T2095" s="229"/>
      <c r="U2095" s="229"/>
      <c r="V2095" s="229"/>
      <c r="W2095" s="229"/>
      <c r="X2095" s="229"/>
    </row>
    <row r="2096" spans="1:24" ht="15.75" hidden="1">
      <c r="A2096" s="343"/>
      <c r="B2096" s="344"/>
      <c r="C2096" s="275"/>
      <c r="D2096" s="275"/>
      <c r="E2096" s="275"/>
      <c r="F2096" s="275"/>
      <c r="G2096" s="275"/>
      <c r="H2096" s="275"/>
      <c r="I2096" s="275"/>
      <c r="J2096" s="275"/>
      <c r="K2096" s="275"/>
      <c r="L2096" s="275"/>
      <c r="M2096" s="275"/>
      <c r="N2096" s="275"/>
      <c r="O2096" s="276"/>
      <c r="P2096" s="276"/>
      <c r="Q2096" s="247">
        <f t="shared" si="38"/>
        <v>0</v>
      </c>
      <c r="R2096" s="229"/>
      <c r="S2096" s="229"/>
      <c r="T2096" s="229"/>
      <c r="U2096" s="229"/>
      <c r="V2096" s="229"/>
      <c r="W2096" s="229"/>
      <c r="X2096" s="229"/>
    </row>
    <row r="2097" spans="1:24" ht="15.75" hidden="1">
      <c r="A2097" s="343"/>
      <c r="B2097" s="344"/>
      <c r="C2097" s="275"/>
      <c r="D2097" s="275"/>
      <c r="E2097" s="275"/>
      <c r="F2097" s="275"/>
      <c r="G2097" s="275"/>
      <c r="H2097" s="275"/>
      <c r="I2097" s="275"/>
      <c r="J2097" s="275"/>
      <c r="K2097" s="275"/>
      <c r="L2097" s="275"/>
      <c r="M2097" s="275"/>
      <c r="N2097" s="275"/>
      <c r="O2097" s="276"/>
      <c r="P2097" s="276"/>
      <c r="Q2097" s="247">
        <f t="shared" si="38"/>
        <v>0</v>
      </c>
      <c r="R2097" s="229"/>
      <c r="S2097" s="229"/>
      <c r="T2097" s="229"/>
      <c r="U2097" s="229"/>
      <c r="V2097" s="229"/>
      <c r="W2097" s="229"/>
      <c r="X2097" s="229"/>
    </row>
    <row r="2098" spans="1:24" ht="15.75" hidden="1">
      <c r="A2098" s="343"/>
      <c r="B2098" s="344"/>
      <c r="C2098" s="275"/>
      <c r="D2098" s="275"/>
      <c r="E2098" s="275"/>
      <c r="F2098" s="275"/>
      <c r="G2098" s="275"/>
      <c r="H2098" s="275"/>
      <c r="I2098" s="275"/>
      <c r="J2098" s="275"/>
      <c r="K2098" s="275"/>
      <c r="L2098" s="275"/>
      <c r="M2098" s="275"/>
      <c r="N2098" s="275"/>
      <c r="O2098" s="276"/>
      <c r="P2098" s="276"/>
      <c r="Q2098" s="247">
        <f t="shared" si="38"/>
        <v>0</v>
      </c>
      <c r="R2098" s="229"/>
      <c r="S2098" s="229"/>
      <c r="T2098" s="229"/>
      <c r="U2098" s="229"/>
      <c r="V2098" s="229"/>
      <c r="W2098" s="229"/>
      <c r="X2098" s="229"/>
    </row>
    <row r="2099" spans="1:24" ht="15.75" hidden="1">
      <c r="A2099" s="343"/>
      <c r="B2099" s="344"/>
      <c r="C2099" s="275"/>
      <c r="D2099" s="275"/>
      <c r="E2099" s="275"/>
      <c r="F2099" s="275"/>
      <c r="G2099" s="275"/>
      <c r="H2099" s="275"/>
      <c r="I2099" s="275"/>
      <c r="J2099" s="275"/>
      <c r="K2099" s="275"/>
      <c r="L2099" s="275"/>
      <c r="M2099" s="275"/>
      <c r="N2099" s="275"/>
      <c r="O2099" s="276"/>
      <c r="P2099" s="276"/>
      <c r="Q2099" s="247">
        <f t="shared" si="38"/>
        <v>0</v>
      </c>
      <c r="R2099" s="229"/>
      <c r="S2099" s="229"/>
      <c r="T2099" s="229"/>
      <c r="U2099" s="229"/>
      <c r="V2099" s="229"/>
      <c r="W2099" s="229"/>
      <c r="X2099" s="229"/>
    </row>
    <row r="2100" spans="1:24" ht="15.75" hidden="1">
      <c r="A2100" s="343"/>
      <c r="B2100" s="344"/>
      <c r="C2100" s="275"/>
      <c r="D2100" s="275"/>
      <c r="E2100" s="275"/>
      <c r="F2100" s="275"/>
      <c r="G2100" s="275"/>
      <c r="H2100" s="275"/>
      <c r="I2100" s="275"/>
      <c r="J2100" s="275"/>
      <c r="K2100" s="275"/>
      <c r="L2100" s="275"/>
      <c r="M2100" s="275"/>
      <c r="N2100" s="275"/>
      <c r="O2100" s="276"/>
      <c r="P2100" s="276"/>
      <c r="Q2100" s="247">
        <f t="shared" si="38"/>
        <v>0</v>
      </c>
      <c r="R2100" s="229"/>
      <c r="S2100" s="229"/>
      <c r="T2100" s="229"/>
      <c r="U2100" s="229"/>
      <c r="V2100" s="229"/>
      <c r="W2100" s="229"/>
      <c r="X2100" s="229"/>
    </row>
    <row r="2101" spans="1:24" ht="15.75" hidden="1">
      <c r="A2101" s="343"/>
      <c r="B2101" s="344"/>
      <c r="C2101" s="275"/>
      <c r="D2101" s="275"/>
      <c r="E2101" s="275"/>
      <c r="F2101" s="275"/>
      <c r="G2101" s="275"/>
      <c r="H2101" s="275"/>
      <c r="I2101" s="275"/>
      <c r="J2101" s="275"/>
      <c r="K2101" s="275"/>
      <c r="L2101" s="275"/>
      <c r="M2101" s="275"/>
      <c r="N2101" s="275"/>
      <c r="O2101" s="276"/>
      <c r="P2101" s="276"/>
      <c r="Q2101" s="247">
        <f t="shared" si="38"/>
        <v>0</v>
      </c>
      <c r="R2101" s="229"/>
      <c r="S2101" s="229"/>
      <c r="T2101" s="229"/>
      <c r="U2101" s="229"/>
      <c r="V2101" s="229"/>
      <c r="W2101" s="229"/>
      <c r="X2101" s="229"/>
    </row>
    <row r="2102" spans="1:24" ht="15.75" hidden="1">
      <c r="A2102" s="343"/>
      <c r="B2102" s="344"/>
      <c r="C2102" s="275"/>
      <c r="D2102" s="275"/>
      <c r="E2102" s="275"/>
      <c r="F2102" s="275"/>
      <c r="G2102" s="275"/>
      <c r="H2102" s="275"/>
      <c r="I2102" s="275"/>
      <c r="J2102" s="275"/>
      <c r="K2102" s="275"/>
      <c r="L2102" s="275"/>
      <c r="M2102" s="275"/>
      <c r="N2102" s="275"/>
      <c r="O2102" s="276"/>
      <c r="P2102" s="276"/>
      <c r="Q2102" s="247">
        <f t="shared" si="38"/>
        <v>0</v>
      </c>
      <c r="R2102" s="229"/>
      <c r="S2102" s="229"/>
      <c r="T2102" s="229"/>
      <c r="U2102" s="229"/>
      <c r="V2102" s="229"/>
      <c r="W2102" s="229"/>
      <c r="X2102" s="229"/>
    </row>
    <row r="2103" spans="1:24" ht="15.75" hidden="1">
      <c r="A2103" s="343"/>
      <c r="B2103" s="344"/>
      <c r="C2103" s="275"/>
      <c r="D2103" s="275"/>
      <c r="E2103" s="275"/>
      <c r="F2103" s="275"/>
      <c r="G2103" s="275"/>
      <c r="H2103" s="275"/>
      <c r="I2103" s="275"/>
      <c r="J2103" s="275"/>
      <c r="K2103" s="275"/>
      <c r="L2103" s="275"/>
      <c r="M2103" s="275"/>
      <c r="N2103" s="275"/>
      <c r="O2103" s="276"/>
      <c r="P2103" s="276"/>
      <c r="Q2103" s="247">
        <f t="shared" si="38"/>
        <v>0</v>
      </c>
      <c r="R2103" s="229"/>
      <c r="S2103" s="229"/>
      <c r="T2103" s="229"/>
      <c r="U2103" s="229"/>
      <c r="V2103" s="229"/>
      <c r="W2103" s="229"/>
      <c r="X2103" s="229"/>
    </row>
    <row r="2104" spans="1:24" ht="15.75" hidden="1">
      <c r="A2104" s="343"/>
      <c r="B2104" s="344"/>
      <c r="C2104" s="275"/>
      <c r="D2104" s="275"/>
      <c r="E2104" s="275"/>
      <c r="F2104" s="275"/>
      <c r="G2104" s="275"/>
      <c r="H2104" s="275"/>
      <c r="I2104" s="275"/>
      <c r="J2104" s="275"/>
      <c r="K2104" s="275"/>
      <c r="L2104" s="275"/>
      <c r="M2104" s="275"/>
      <c r="N2104" s="275"/>
      <c r="O2104" s="276"/>
      <c r="P2104" s="276"/>
      <c r="Q2104" s="247">
        <f t="shared" si="38"/>
        <v>0</v>
      </c>
      <c r="R2104" s="229"/>
      <c r="S2104" s="229"/>
      <c r="T2104" s="229"/>
      <c r="U2104" s="229"/>
      <c r="V2104" s="229"/>
      <c r="W2104" s="229"/>
      <c r="X2104" s="229"/>
    </row>
    <row r="2105" spans="1:24" ht="15.75" hidden="1">
      <c r="A2105" s="343"/>
      <c r="B2105" s="344"/>
      <c r="C2105" s="275"/>
      <c r="D2105" s="275"/>
      <c r="E2105" s="275"/>
      <c r="F2105" s="275"/>
      <c r="G2105" s="275"/>
      <c r="H2105" s="275"/>
      <c r="I2105" s="275"/>
      <c r="J2105" s="275"/>
      <c r="K2105" s="275"/>
      <c r="L2105" s="275"/>
      <c r="M2105" s="275"/>
      <c r="N2105" s="275"/>
      <c r="O2105" s="276"/>
      <c r="P2105" s="276"/>
      <c r="Q2105" s="247">
        <f t="shared" si="38"/>
        <v>0</v>
      </c>
      <c r="R2105" s="229"/>
      <c r="S2105" s="229"/>
      <c r="T2105" s="229"/>
      <c r="U2105" s="229"/>
      <c r="V2105" s="229"/>
      <c r="W2105" s="229"/>
      <c r="X2105" s="229"/>
    </row>
    <row r="2106" spans="1:24" ht="15.75" hidden="1">
      <c r="A2106" s="343"/>
      <c r="B2106" s="344"/>
      <c r="C2106" s="275"/>
      <c r="D2106" s="275"/>
      <c r="E2106" s="275"/>
      <c r="F2106" s="275"/>
      <c r="G2106" s="275"/>
      <c r="H2106" s="275"/>
      <c r="I2106" s="275"/>
      <c r="J2106" s="275"/>
      <c r="K2106" s="275"/>
      <c r="L2106" s="275"/>
      <c r="M2106" s="275"/>
      <c r="N2106" s="275"/>
      <c r="O2106" s="276"/>
      <c r="P2106" s="276"/>
      <c r="Q2106" s="247">
        <f t="shared" si="38"/>
        <v>0</v>
      </c>
      <c r="R2106" s="229"/>
      <c r="S2106" s="229"/>
      <c r="T2106" s="229"/>
      <c r="U2106" s="229"/>
      <c r="V2106" s="229"/>
      <c r="W2106" s="229"/>
      <c r="X2106" s="229"/>
    </row>
    <row r="2107" spans="1:24" ht="15.75" hidden="1">
      <c r="A2107" s="343"/>
      <c r="B2107" s="344"/>
      <c r="C2107" s="275"/>
      <c r="D2107" s="275"/>
      <c r="E2107" s="275"/>
      <c r="F2107" s="275"/>
      <c r="G2107" s="275"/>
      <c r="H2107" s="275"/>
      <c r="I2107" s="275"/>
      <c r="J2107" s="275"/>
      <c r="K2107" s="275"/>
      <c r="L2107" s="275"/>
      <c r="M2107" s="275"/>
      <c r="N2107" s="275"/>
      <c r="O2107" s="276"/>
      <c r="P2107" s="276"/>
      <c r="Q2107" s="247">
        <f t="shared" si="38"/>
        <v>0</v>
      </c>
      <c r="R2107" s="229"/>
      <c r="S2107" s="229"/>
      <c r="T2107" s="229"/>
      <c r="U2107" s="229"/>
      <c r="V2107" s="229"/>
      <c r="W2107" s="229"/>
      <c r="X2107" s="229"/>
    </row>
    <row r="2108" spans="1:24" ht="15.75" hidden="1">
      <c r="A2108" s="343"/>
      <c r="B2108" s="344"/>
      <c r="C2108" s="275"/>
      <c r="D2108" s="275"/>
      <c r="E2108" s="275"/>
      <c r="F2108" s="275"/>
      <c r="G2108" s="275"/>
      <c r="H2108" s="275"/>
      <c r="I2108" s="275"/>
      <c r="J2108" s="275"/>
      <c r="K2108" s="275"/>
      <c r="L2108" s="275"/>
      <c r="M2108" s="275"/>
      <c r="N2108" s="275"/>
      <c r="O2108" s="276"/>
      <c r="P2108" s="276"/>
      <c r="Q2108" s="247">
        <f t="shared" si="38"/>
        <v>0</v>
      </c>
      <c r="R2108" s="229"/>
      <c r="S2108" s="229"/>
      <c r="T2108" s="229"/>
      <c r="U2108" s="229"/>
      <c r="V2108" s="229"/>
      <c r="W2108" s="229"/>
      <c r="X2108" s="229"/>
    </row>
    <row r="2109" spans="1:24" ht="15.75" hidden="1">
      <c r="A2109" s="343"/>
      <c r="B2109" s="344"/>
      <c r="C2109" s="275"/>
      <c r="D2109" s="275"/>
      <c r="E2109" s="275"/>
      <c r="F2109" s="275"/>
      <c r="G2109" s="275"/>
      <c r="H2109" s="275"/>
      <c r="I2109" s="275"/>
      <c r="J2109" s="275"/>
      <c r="K2109" s="275"/>
      <c r="L2109" s="275"/>
      <c r="M2109" s="275"/>
      <c r="N2109" s="275"/>
      <c r="O2109" s="276"/>
      <c r="P2109" s="276"/>
      <c r="Q2109" s="247">
        <f t="shared" si="38"/>
        <v>0</v>
      </c>
      <c r="R2109" s="229"/>
      <c r="S2109" s="229"/>
      <c r="T2109" s="229"/>
      <c r="U2109" s="229"/>
      <c r="V2109" s="229"/>
      <c r="W2109" s="229"/>
      <c r="X2109" s="229"/>
    </row>
    <row r="2110" spans="1:24" ht="15.75" hidden="1">
      <c r="A2110" s="343"/>
      <c r="B2110" s="344"/>
      <c r="C2110" s="275"/>
      <c r="D2110" s="275"/>
      <c r="E2110" s="275"/>
      <c r="F2110" s="275"/>
      <c r="G2110" s="275"/>
      <c r="H2110" s="275"/>
      <c r="I2110" s="275"/>
      <c r="J2110" s="275"/>
      <c r="K2110" s="275"/>
      <c r="L2110" s="275"/>
      <c r="M2110" s="275"/>
      <c r="N2110" s="275"/>
      <c r="O2110" s="276"/>
      <c r="P2110" s="276"/>
      <c r="Q2110" s="247">
        <f t="shared" si="38"/>
        <v>0</v>
      </c>
      <c r="R2110" s="229"/>
      <c r="S2110" s="229"/>
      <c r="T2110" s="229"/>
      <c r="U2110" s="229"/>
      <c r="V2110" s="229"/>
      <c r="W2110" s="229"/>
      <c r="X2110" s="229"/>
    </row>
    <row r="2111" spans="1:24" ht="15.75" hidden="1">
      <c r="A2111" s="343"/>
      <c r="B2111" s="344"/>
      <c r="C2111" s="275"/>
      <c r="D2111" s="275"/>
      <c r="E2111" s="275"/>
      <c r="F2111" s="275"/>
      <c r="G2111" s="275"/>
      <c r="H2111" s="275"/>
      <c r="I2111" s="275"/>
      <c r="J2111" s="275"/>
      <c r="K2111" s="275"/>
      <c r="L2111" s="275"/>
      <c r="M2111" s="275"/>
      <c r="N2111" s="275"/>
      <c r="O2111" s="276"/>
      <c r="P2111" s="276"/>
      <c r="Q2111" s="247">
        <f t="shared" si="38"/>
        <v>0</v>
      </c>
      <c r="R2111" s="229"/>
      <c r="S2111" s="229"/>
      <c r="T2111" s="229"/>
      <c r="U2111" s="229"/>
      <c r="V2111" s="229"/>
      <c r="W2111" s="229"/>
      <c r="X2111" s="229"/>
    </row>
    <row r="2112" spans="1:24" ht="15.75" hidden="1">
      <c r="A2112" s="343"/>
      <c r="B2112" s="344"/>
      <c r="C2112" s="275"/>
      <c r="D2112" s="275"/>
      <c r="E2112" s="275"/>
      <c r="F2112" s="275"/>
      <c r="G2112" s="275"/>
      <c r="H2112" s="275"/>
      <c r="I2112" s="275"/>
      <c r="J2112" s="275"/>
      <c r="K2112" s="275"/>
      <c r="L2112" s="275"/>
      <c r="M2112" s="275"/>
      <c r="N2112" s="275"/>
      <c r="O2112" s="276"/>
      <c r="P2112" s="276"/>
      <c r="Q2112" s="247">
        <f t="shared" si="38"/>
        <v>0</v>
      </c>
      <c r="R2112" s="229"/>
      <c r="S2112" s="229"/>
      <c r="T2112" s="229"/>
      <c r="U2112" s="229"/>
      <c r="V2112" s="229"/>
      <c r="W2112" s="229"/>
      <c r="X2112" s="229"/>
    </row>
    <row r="2113" spans="1:24" ht="15.75" hidden="1">
      <c r="A2113" s="343"/>
      <c r="B2113" s="344"/>
      <c r="C2113" s="275"/>
      <c r="D2113" s="275"/>
      <c r="E2113" s="275"/>
      <c r="F2113" s="275"/>
      <c r="G2113" s="275"/>
      <c r="H2113" s="275"/>
      <c r="I2113" s="275"/>
      <c r="J2113" s="275"/>
      <c r="K2113" s="275"/>
      <c r="L2113" s="275"/>
      <c r="M2113" s="275"/>
      <c r="N2113" s="275"/>
      <c r="O2113" s="276"/>
      <c r="P2113" s="276"/>
      <c r="Q2113" s="247">
        <f t="shared" si="38"/>
        <v>0</v>
      </c>
      <c r="R2113" s="229"/>
      <c r="S2113" s="229"/>
      <c r="T2113" s="229"/>
      <c r="U2113" s="229"/>
      <c r="V2113" s="229"/>
      <c r="W2113" s="229"/>
      <c r="X2113" s="229"/>
    </row>
    <row r="2114" spans="1:24" ht="15.75" hidden="1">
      <c r="A2114" s="343"/>
      <c r="B2114" s="344"/>
      <c r="C2114" s="275"/>
      <c r="D2114" s="275"/>
      <c r="E2114" s="275"/>
      <c r="F2114" s="275"/>
      <c r="G2114" s="275"/>
      <c r="H2114" s="275"/>
      <c r="I2114" s="275"/>
      <c r="J2114" s="275"/>
      <c r="K2114" s="275"/>
      <c r="L2114" s="275"/>
      <c r="M2114" s="275"/>
      <c r="N2114" s="275"/>
      <c r="O2114" s="276"/>
      <c r="P2114" s="276"/>
      <c r="Q2114" s="247">
        <f t="shared" si="38"/>
        <v>0</v>
      </c>
      <c r="R2114" s="229"/>
      <c r="S2114" s="229"/>
      <c r="T2114" s="229"/>
      <c r="U2114" s="229"/>
      <c r="V2114" s="229"/>
      <c r="W2114" s="229"/>
      <c r="X2114" s="229"/>
    </row>
    <row r="2115" spans="1:24" ht="15.75" hidden="1">
      <c r="A2115" s="343"/>
      <c r="B2115" s="344"/>
      <c r="C2115" s="275"/>
      <c r="D2115" s="275"/>
      <c r="E2115" s="275"/>
      <c r="F2115" s="275"/>
      <c r="G2115" s="275"/>
      <c r="H2115" s="275"/>
      <c r="I2115" s="275"/>
      <c r="J2115" s="275"/>
      <c r="K2115" s="275"/>
      <c r="L2115" s="275"/>
      <c r="M2115" s="275"/>
      <c r="N2115" s="275"/>
      <c r="O2115" s="276"/>
      <c r="P2115" s="276"/>
      <c r="Q2115" s="247">
        <f t="shared" si="38"/>
        <v>0</v>
      </c>
      <c r="R2115" s="229"/>
      <c r="S2115" s="229"/>
      <c r="T2115" s="229"/>
      <c r="U2115" s="229"/>
      <c r="V2115" s="229"/>
      <c r="W2115" s="229"/>
      <c r="X2115" s="229"/>
    </row>
    <row r="2116" spans="1:24" ht="15.75" hidden="1">
      <c r="A2116" s="343"/>
      <c r="B2116" s="344"/>
      <c r="C2116" s="275"/>
      <c r="D2116" s="275"/>
      <c r="E2116" s="275"/>
      <c r="F2116" s="275"/>
      <c r="G2116" s="275"/>
      <c r="H2116" s="275"/>
      <c r="I2116" s="275"/>
      <c r="J2116" s="275"/>
      <c r="K2116" s="275"/>
      <c r="L2116" s="275"/>
      <c r="M2116" s="275"/>
      <c r="N2116" s="275"/>
      <c r="O2116" s="276"/>
      <c r="P2116" s="276"/>
      <c r="Q2116" s="247">
        <f t="shared" si="38"/>
        <v>0</v>
      </c>
      <c r="R2116" s="229"/>
      <c r="S2116" s="229"/>
      <c r="T2116" s="229"/>
      <c r="U2116" s="229"/>
      <c r="V2116" s="229"/>
      <c r="W2116" s="229"/>
      <c r="X2116" s="229"/>
    </row>
    <row r="2117" spans="1:24" ht="15.75" hidden="1">
      <c r="A2117" s="343"/>
      <c r="B2117" s="344"/>
      <c r="C2117" s="275"/>
      <c r="D2117" s="275"/>
      <c r="E2117" s="275"/>
      <c r="F2117" s="275"/>
      <c r="G2117" s="275"/>
      <c r="H2117" s="275"/>
      <c r="I2117" s="275"/>
      <c r="J2117" s="275"/>
      <c r="K2117" s="275"/>
      <c r="L2117" s="275"/>
      <c r="M2117" s="275"/>
      <c r="N2117" s="275"/>
      <c r="O2117" s="276"/>
      <c r="P2117" s="276"/>
      <c r="Q2117" s="247">
        <f t="shared" si="38"/>
        <v>0</v>
      </c>
      <c r="R2117" s="229"/>
      <c r="S2117" s="229"/>
      <c r="T2117" s="229"/>
      <c r="U2117" s="229"/>
      <c r="V2117" s="229"/>
      <c r="W2117" s="229"/>
      <c r="X2117" s="229"/>
    </row>
    <row r="2118" spans="1:24" ht="15.75" hidden="1">
      <c r="A2118" s="343"/>
      <c r="B2118" s="344"/>
      <c r="C2118" s="275"/>
      <c r="D2118" s="275"/>
      <c r="E2118" s="275"/>
      <c r="F2118" s="275"/>
      <c r="G2118" s="275"/>
      <c r="H2118" s="275"/>
      <c r="I2118" s="275"/>
      <c r="J2118" s="275"/>
      <c r="K2118" s="275"/>
      <c r="L2118" s="275"/>
      <c r="M2118" s="275"/>
      <c r="N2118" s="275"/>
      <c r="O2118" s="276"/>
      <c r="P2118" s="276"/>
      <c r="Q2118" s="247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9"/>
      <c r="S2118" s="229"/>
      <c r="T2118" s="229"/>
      <c r="U2118" s="229"/>
      <c r="V2118" s="229"/>
      <c r="W2118" s="229"/>
      <c r="X2118" s="229"/>
    </row>
    <row r="2119" spans="1:24" ht="15.75" hidden="1">
      <c r="A2119" s="343"/>
      <c r="B2119" s="344"/>
      <c r="C2119" s="275"/>
      <c r="D2119" s="275"/>
      <c r="E2119" s="275"/>
      <c r="F2119" s="275"/>
      <c r="G2119" s="275"/>
      <c r="H2119" s="275"/>
      <c r="I2119" s="275"/>
      <c r="J2119" s="275"/>
      <c r="K2119" s="275"/>
      <c r="L2119" s="275"/>
      <c r="M2119" s="275"/>
      <c r="N2119" s="275"/>
      <c r="O2119" s="276"/>
      <c r="P2119" s="276"/>
      <c r="Q2119" s="247">
        <f t="shared" si="39"/>
        <v>0</v>
      </c>
      <c r="R2119" s="229"/>
      <c r="S2119" s="229"/>
      <c r="T2119" s="229"/>
      <c r="U2119" s="229"/>
      <c r="V2119" s="229"/>
      <c r="W2119" s="229"/>
      <c r="X2119" s="229"/>
    </row>
    <row r="2120" spans="1:24" ht="15.75" hidden="1">
      <c r="A2120" s="343"/>
      <c r="B2120" s="344"/>
      <c r="C2120" s="275"/>
      <c r="D2120" s="275"/>
      <c r="E2120" s="275"/>
      <c r="F2120" s="275"/>
      <c r="G2120" s="275"/>
      <c r="H2120" s="275"/>
      <c r="I2120" s="275"/>
      <c r="J2120" s="275"/>
      <c r="K2120" s="275"/>
      <c r="L2120" s="275"/>
      <c r="M2120" s="275"/>
      <c r="N2120" s="275"/>
      <c r="O2120" s="276"/>
      <c r="P2120" s="276"/>
      <c r="Q2120" s="247">
        <f t="shared" si="39"/>
        <v>0</v>
      </c>
      <c r="R2120" s="229"/>
      <c r="S2120" s="229"/>
      <c r="T2120" s="229"/>
      <c r="U2120" s="229"/>
      <c r="V2120" s="229"/>
      <c r="W2120" s="229"/>
      <c r="X2120" s="229"/>
    </row>
    <row r="2121" spans="1:24" ht="15.75" hidden="1">
      <c r="A2121" s="343"/>
      <c r="B2121" s="344"/>
      <c r="C2121" s="275"/>
      <c r="D2121" s="275"/>
      <c r="E2121" s="275"/>
      <c r="F2121" s="275"/>
      <c r="G2121" s="275"/>
      <c r="H2121" s="275"/>
      <c r="I2121" s="275"/>
      <c r="J2121" s="275"/>
      <c r="K2121" s="275"/>
      <c r="L2121" s="275"/>
      <c r="M2121" s="275"/>
      <c r="N2121" s="275"/>
      <c r="O2121" s="276"/>
      <c r="P2121" s="276"/>
      <c r="Q2121" s="247">
        <f t="shared" si="39"/>
        <v>0</v>
      </c>
      <c r="R2121" s="229"/>
      <c r="S2121" s="229"/>
      <c r="T2121" s="229"/>
      <c r="U2121" s="229"/>
      <c r="V2121" s="229"/>
      <c r="W2121" s="229"/>
      <c r="X2121" s="229"/>
    </row>
    <row r="2122" spans="1:24" ht="15.75" hidden="1">
      <c r="A2122" s="343"/>
      <c r="B2122" s="344"/>
      <c r="C2122" s="275"/>
      <c r="D2122" s="275"/>
      <c r="E2122" s="275"/>
      <c r="F2122" s="275"/>
      <c r="G2122" s="275"/>
      <c r="H2122" s="275"/>
      <c r="I2122" s="275"/>
      <c r="J2122" s="275"/>
      <c r="K2122" s="275"/>
      <c r="L2122" s="275"/>
      <c r="M2122" s="275"/>
      <c r="N2122" s="275"/>
      <c r="O2122" s="276"/>
      <c r="P2122" s="276"/>
      <c r="Q2122" s="247">
        <f t="shared" si="39"/>
        <v>0</v>
      </c>
      <c r="R2122" s="229"/>
      <c r="S2122" s="229"/>
      <c r="T2122" s="229"/>
      <c r="U2122" s="229"/>
      <c r="V2122" s="229"/>
      <c r="W2122" s="229"/>
      <c r="X2122" s="229"/>
    </row>
    <row r="2123" spans="1:24" ht="15.75" hidden="1">
      <c r="A2123" s="343"/>
      <c r="B2123" s="344"/>
      <c r="C2123" s="275"/>
      <c r="D2123" s="275"/>
      <c r="E2123" s="275"/>
      <c r="F2123" s="275"/>
      <c r="G2123" s="275"/>
      <c r="H2123" s="275"/>
      <c r="I2123" s="275"/>
      <c r="J2123" s="275"/>
      <c r="K2123" s="275"/>
      <c r="L2123" s="275"/>
      <c r="M2123" s="275"/>
      <c r="N2123" s="275"/>
      <c r="O2123" s="276"/>
      <c r="P2123" s="276"/>
      <c r="Q2123" s="247">
        <f t="shared" si="39"/>
        <v>0</v>
      </c>
      <c r="R2123" s="229"/>
      <c r="S2123" s="229"/>
      <c r="T2123" s="229"/>
      <c r="U2123" s="229"/>
      <c r="V2123" s="229"/>
      <c r="W2123" s="229"/>
      <c r="X2123" s="229"/>
    </row>
    <row r="2124" spans="1:24" ht="15.75" hidden="1">
      <c r="A2124" s="343"/>
      <c r="B2124" s="344"/>
      <c r="C2124" s="275"/>
      <c r="D2124" s="275"/>
      <c r="E2124" s="275"/>
      <c r="F2124" s="275"/>
      <c r="G2124" s="275"/>
      <c r="H2124" s="275"/>
      <c r="I2124" s="275"/>
      <c r="J2124" s="275"/>
      <c r="K2124" s="275"/>
      <c r="L2124" s="275"/>
      <c r="M2124" s="275"/>
      <c r="N2124" s="275"/>
      <c r="O2124" s="276"/>
      <c r="P2124" s="276"/>
      <c r="Q2124" s="247">
        <f t="shared" si="39"/>
        <v>0</v>
      </c>
      <c r="R2124" s="229"/>
      <c r="S2124" s="229"/>
      <c r="T2124" s="229"/>
      <c r="U2124" s="229"/>
      <c r="V2124" s="229"/>
      <c r="W2124" s="229"/>
      <c r="X2124" s="229"/>
    </row>
    <row r="2125" spans="1:24" ht="15.75" hidden="1">
      <c r="A2125" s="343"/>
      <c r="B2125" s="344"/>
      <c r="C2125" s="275"/>
      <c r="D2125" s="275"/>
      <c r="E2125" s="275"/>
      <c r="F2125" s="275"/>
      <c r="G2125" s="275"/>
      <c r="H2125" s="275"/>
      <c r="I2125" s="275"/>
      <c r="J2125" s="275"/>
      <c r="K2125" s="275"/>
      <c r="L2125" s="275"/>
      <c r="M2125" s="275"/>
      <c r="N2125" s="275"/>
      <c r="O2125" s="276"/>
      <c r="P2125" s="276"/>
      <c r="Q2125" s="247">
        <f t="shared" si="39"/>
        <v>0</v>
      </c>
      <c r="R2125" s="229"/>
      <c r="S2125" s="229"/>
      <c r="T2125" s="229"/>
      <c r="U2125" s="229"/>
      <c r="V2125" s="229"/>
      <c r="W2125" s="229"/>
      <c r="X2125" s="229"/>
    </row>
    <row r="2126" spans="1:24" ht="15.75" hidden="1">
      <c r="A2126" s="343"/>
      <c r="B2126" s="344"/>
      <c r="C2126" s="275"/>
      <c r="D2126" s="275"/>
      <c r="E2126" s="275"/>
      <c r="F2126" s="275"/>
      <c r="G2126" s="275"/>
      <c r="H2126" s="275"/>
      <c r="I2126" s="275"/>
      <c r="J2126" s="275"/>
      <c r="K2126" s="275"/>
      <c r="L2126" s="275"/>
      <c r="M2126" s="275"/>
      <c r="N2126" s="275"/>
      <c r="O2126" s="276"/>
      <c r="P2126" s="276"/>
      <c r="Q2126" s="247">
        <f t="shared" si="39"/>
        <v>0</v>
      </c>
      <c r="R2126" s="229"/>
      <c r="S2126" s="229"/>
      <c r="T2126" s="229"/>
      <c r="U2126" s="229"/>
      <c r="V2126" s="229"/>
      <c r="W2126" s="229"/>
      <c r="X2126" s="229"/>
    </row>
    <row r="2127" spans="1:24" ht="15.75" hidden="1">
      <c r="A2127" s="343"/>
      <c r="B2127" s="344"/>
      <c r="C2127" s="275"/>
      <c r="D2127" s="275"/>
      <c r="E2127" s="275"/>
      <c r="F2127" s="275"/>
      <c r="G2127" s="275"/>
      <c r="H2127" s="275"/>
      <c r="I2127" s="275"/>
      <c r="J2127" s="275"/>
      <c r="K2127" s="275"/>
      <c r="L2127" s="275"/>
      <c r="M2127" s="275"/>
      <c r="N2127" s="275"/>
      <c r="O2127" s="276"/>
      <c r="P2127" s="276"/>
      <c r="Q2127" s="247">
        <f t="shared" si="39"/>
        <v>0</v>
      </c>
      <c r="R2127" s="229"/>
      <c r="S2127" s="229"/>
      <c r="T2127" s="229"/>
      <c r="U2127" s="229"/>
      <c r="V2127" s="229"/>
      <c r="W2127" s="229"/>
      <c r="X2127" s="229"/>
    </row>
    <row r="2128" spans="1:24" ht="15.75" hidden="1">
      <c r="A2128" s="343"/>
      <c r="B2128" s="344"/>
      <c r="C2128" s="275"/>
      <c r="D2128" s="275"/>
      <c r="E2128" s="275"/>
      <c r="F2128" s="275"/>
      <c r="G2128" s="275"/>
      <c r="H2128" s="275"/>
      <c r="I2128" s="275"/>
      <c r="J2128" s="275"/>
      <c r="K2128" s="275"/>
      <c r="L2128" s="275"/>
      <c r="M2128" s="275"/>
      <c r="N2128" s="275"/>
      <c r="O2128" s="276"/>
      <c r="P2128" s="276"/>
      <c r="Q2128" s="247">
        <f t="shared" si="39"/>
        <v>0</v>
      </c>
      <c r="R2128" s="229"/>
      <c r="S2128" s="229"/>
      <c r="T2128" s="229"/>
      <c r="U2128" s="229"/>
      <c r="V2128" s="229"/>
      <c r="W2128" s="229"/>
      <c r="X2128" s="229"/>
    </row>
    <row r="2129" spans="1:24" ht="15.75" hidden="1">
      <c r="A2129" s="343"/>
      <c r="B2129" s="344"/>
      <c r="C2129" s="275"/>
      <c r="D2129" s="275"/>
      <c r="E2129" s="275"/>
      <c r="F2129" s="275"/>
      <c r="G2129" s="275"/>
      <c r="H2129" s="275"/>
      <c r="I2129" s="275"/>
      <c r="J2129" s="275"/>
      <c r="K2129" s="275"/>
      <c r="L2129" s="275"/>
      <c r="M2129" s="275"/>
      <c r="N2129" s="275"/>
      <c r="O2129" s="276"/>
      <c r="P2129" s="276"/>
      <c r="Q2129" s="247">
        <f t="shared" si="39"/>
        <v>0</v>
      </c>
      <c r="R2129" s="229"/>
      <c r="S2129" s="229"/>
      <c r="T2129" s="229"/>
      <c r="U2129" s="229"/>
      <c r="V2129" s="229"/>
      <c r="W2129" s="229"/>
      <c r="X2129" s="229"/>
    </row>
    <row r="2130" spans="1:24" ht="15.75" hidden="1">
      <c r="A2130" s="343"/>
      <c r="B2130" s="344"/>
      <c r="C2130" s="275"/>
      <c r="D2130" s="275"/>
      <c r="E2130" s="275"/>
      <c r="F2130" s="275"/>
      <c r="G2130" s="275"/>
      <c r="H2130" s="275"/>
      <c r="I2130" s="275"/>
      <c r="J2130" s="275"/>
      <c r="K2130" s="275"/>
      <c r="L2130" s="275"/>
      <c r="M2130" s="275"/>
      <c r="N2130" s="275"/>
      <c r="O2130" s="276"/>
      <c r="P2130" s="276"/>
      <c r="Q2130" s="247">
        <f t="shared" si="39"/>
        <v>0</v>
      </c>
      <c r="R2130" s="229"/>
      <c r="S2130" s="229"/>
      <c r="T2130" s="229"/>
      <c r="U2130" s="229"/>
      <c r="V2130" s="229"/>
      <c r="W2130" s="229"/>
      <c r="X2130" s="229"/>
    </row>
    <row r="2131" spans="1:24" ht="15.75" hidden="1">
      <c r="A2131" s="343"/>
      <c r="B2131" s="344"/>
      <c r="C2131" s="275"/>
      <c r="D2131" s="275"/>
      <c r="E2131" s="275"/>
      <c r="F2131" s="275"/>
      <c r="G2131" s="275"/>
      <c r="H2131" s="275"/>
      <c r="I2131" s="275"/>
      <c r="J2131" s="275"/>
      <c r="K2131" s="275"/>
      <c r="L2131" s="275"/>
      <c r="M2131" s="275"/>
      <c r="N2131" s="275"/>
      <c r="O2131" s="276"/>
      <c r="P2131" s="276"/>
      <c r="Q2131" s="247">
        <f t="shared" si="39"/>
        <v>0</v>
      </c>
      <c r="R2131" s="229"/>
      <c r="S2131" s="229"/>
      <c r="T2131" s="229"/>
      <c r="U2131" s="229"/>
      <c r="V2131" s="229"/>
      <c r="W2131" s="229"/>
      <c r="X2131" s="229"/>
    </row>
    <row r="2132" spans="1:24" ht="15.75" hidden="1">
      <c r="A2132" s="343"/>
      <c r="B2132" s="344"/>
      <c r="C2132" s="275"/>
      <c r="D2132" s="275"/>
      <c r="E2132" s="275"/>
      <c r="F2132" s="275"/>
      <c r="G2132" s="275"/>
      <c r="H2132" s="275"/>
      <c r="I2132" s="275"/>
      <c r="J2132" s="275"/>
      <c r="K2132" s="275"/>
      <c r="L2132" s="275"/>
      <c r="M2132" s="275"/>
      <c r="N2132" s="275"/>
      <c r="O2132" s="276"/>
      <c r="P2132" s="276"/>
      <c r="Q2132" s="247">
        <f t="shared" si="39"/>
        <v>0</v>
      </c>
      <c r="R2132" s="229"/>
      <c r="S2132" s="229"/>
      <c r="T2132" s="229"/>
      <c r="U2132" s="229"/>
      <c r="V2132" s="229"/>
      <c r="W2132" s="229"/>
      <c r="X2132" s="229"/>
    </row>
    <row r="2133" spans="1:24" ht="15.75" hidden="1">
      <c r="A2133" s="343"/>
      <c r="B2133" s="344"/>
      <c r="C2133" s="275"/>
      <c r="D2133" s="275"/>
      <c r="E2133" s="275"/>
      <c r="F2133" s="275"/>
      <c r="G2133" s="275"/>
      <c r="H2133" s="275"/>
      <c r="I2133" s="275"/>
      <c r="J2133" s="275"/>
      <c r="K2133" s="275"/>
      <c r="L2133" s="275"/>
      <c r="M2133" s="275"/>
      <c r="N2133" s="275"/>
      <c r="O2133" s="276"/>
      <c r="P2133" s="276"/>
      <c r="Q2133" s="247">
        <f t="shared" si="39"/>
        <v>0</v>
      </c>
      <c r="R2133" s="229"/>
      <c r="S2133" s="229"/>
      <c r="T2133" s="229"/>
      <c r="U2133" s="229"/>
      <c r="V2133" s="229"/>
      <c r="W2133" s="229"/>
      <c r="X2133" s="229"/>
    </row>
    <row r="2134" spans="1:24" ht="15.75" hidden="1">
      <c r="A2134" s="343"/>
      <c r="B2134" s="344"/>
      <c r="C2134" s="275"/>
      <c r="D2134" s="275"/>
      <c r="E2134" s="275"/>
      <c r="F2134" s="275"/>
      <c r="G2134" s="275"/>
      <c r="H2134" s="275"/>
      <c r="I2134" s="275"/>
      <c r="J2134" s="275"/>
      <c r="K2134" s="275"/>
      <c r="L2134" s="275"/>
      <c r="M2134" s="275"/>
      <c r="N2134" s="275"/>
      <c r="O2134" s="276"/>
      <c r="P2134" s="276"/>
      <c r="Q2134" s="247">
        <f t="shared" si="39"/>
        <v>0</v>
      </c>
      <c r="R2134" s="229"/>
      <c r="S2134" s="229"/>
      <c r="T2134" s="229"/>
      <c r="U2134" s="229"/>
      <c r="V2134" s="229"/>
      <c r="W2134" s="229"/>
      <c r="X2134" s="229"/>
    </row>
    <row r="2135" spans="1:24" ht="15.75" hidden="1">
      <c r="A2135" s="343"/>
      <c r="B2135" s="344"/>
      <c r="C2135" s="275"/>
      <c r="D2135" s="275"/>
      <c r="E2135" s="275"/>
      <c r="F2135" s="275"/>
      <c r="G2135" s="275"/>
      <c r="H2135" s="275"/>
      <c r="I2135" s="275"/>
      <c r="J2135" s="275"/>
      <c r="K2135" s="275"/>
      <c r="L2135" s="275"/>
      <c r="M2135" s="275"/>
      <c r="N2135" s="275"/>
      <c r="O2135" s="276"/>
      <c r="P2135" s="276"/>
      <c r="Q2135" s="247">
        <f t="shared" si="39"/>
        <v>0</v>
      </c>
      <c r="R2135" s="229"/>
      <c r="S2135" s="229"/>
      <c r="T2135" s="229"/>
      <c r="U2135" s="229"/>
      <c r="V2135" s="229"/>
      <c r="W2135" s="229"/>
      <c r="X2135" s="229"/>
    </row>
    <row r="2136" spans="1:24" ht="15.75" hidden="1">
      <c r="A2136" s="343"/>
      <c r="B2136" s="344"/>
      <c r="C2136" s="275"/>
      <c r="D2136" s="275"/>
      <c r="E2136" s="275"/>
      <c r="F2136" s="275"/>
      <c r="G2136" s="275"/>
      <c r="H2136" s="275"/>
      <c r="I2136" s="275"/>
      <c r="J2136" s="275"/>
      <c r="K2136" s="275"/>
      <c r="L2136" s="275"/>
      <c r="M2136" s="275"/>
      <c r="N2136" s="275"/>
      <c r="O2136" s="276"/>
      <c r="P2136" s="276"/>
      <c r="Q2136" s="247">
        <f t="shared" si="39"/>
        <v>0</v>
      </c>
      <c r="R2136" s="229"/>
      <c r="S2136" s="229"/>
      <c r="T2136" s="229"/>
      <c r="U2136" s="229"/>
      <c r="V2136" s="229"/>
      <c r="W2136" s="229"/>
      <c r="X2136" s="229"/>
    </row>
    <row r="2137" spans="1:24" ht="15.75" hidden="1">
      <c r="A2137" s="343"/>
      <c r="B2137" s="344"/>
      <c r="C2137" s="275"/>
      <c r="D2137" s="275"/>
      <c r="E2137" s="275"/>
      <c r="F2137" s="275"/>
      <c r="G2137" s="275"/>
      <c r="H2137" s="275"/>
      <c r="I2137" s="275"/>
      <c r="J2137" s="275"/>
      <c r="K2137" s="275"/>
      <c r="L2137" s="275"/>
      <c r="M2137" s="275"/>
      <c r="N2137" s="275"/>
      <c r="O2137" s="276"/>
      <c r="P2137" s="276"/>
      <c r="Q2137" s="247">
        <f t="shared" si="39"/>
        <v>0</v>
      </c>
      <c r="R2137" s="229"/>
      <c r="S2137" s="229"/>
      <c r="T2137" s="229"/>
      <c r="U2137" s="229"/>
      <c r="V2137" s="229"/>
      <c r="W2137" s="229"/>
      <c r="X2137" s="229"/>
    </row>
    <row r="2138" spans="1:24" ht="15.75" hidden="1">
      <c r="A2138" s="343"/>
      <c r="B2138" s="344"/>
      <c r="C2138" s="275"/>
      <c r="D2138" s="275"/>
      <c r="E2138" s="275"/>
      <c r="F2138" s="275"/>
      <c r="G2138" s="275"/>
      <c r="H2138" s="275"/>
      <c r="I2138" s="275"/>
      <c r="J2138" s="275"/>
      <c r="K2138" s="275"/>
      <c r="L2138" s="275"/>
      <c r="M2138" s="275"/>
      <c r="N2138" s="275"/>
      <c r="O2138" s="276"/>
      <c r="P2138" s="276"/>
      <c r="Q2138" s="247">
        <f t="shared" si="39"/>
        <v>0</v>
      </c>
      <c r="R2138" s="229"/>
      <c r="S2138" s="229"/>
      <c r="T2138" s="229"/>
      <c r="U2138" s="229"/>
      <c r="V2138" s="229"/>
      <c r="W2138" s="229"/>
      <c r="X2138" s="229"/>
    </row>
    <row r="2139" spans="1:24" ht="15.75" hidden="1">
      <c r="A2139" s="343"/>
      <c r="B2139" s="344"/>
      <c r="C2139" s="275"/>
      <c r="D2139" s="275"/>
      <c r="E2139" s="275"/>
      <c r="F2139" s="275"/>
      <c r="G2139" s="275"/>
      <c r="H2139" s="275"/>
      <c r="I2139" s="275"/>
      <c r="J2139" s="275"/>
      <c r="K2139" s="275"/>
      <c r="L2139" s="275"/>
      <c r="M2139" s="275"/>
      <c r="N2139" s="275"/>
      <c r="O2139" s="276"/>
      <c r="P2139" s="276"/>
      <c r="Q2139" s="247">
        <f t="shared" si="39"/>
        <v>0</v>
      </c>
      <c r="R2139" s="229"/>
      <c r="S2139" s="229"/>
      <c r="T2139" s="229"/>
      <c r="U2139" s="229"/>
      <c r="V2139" s="229"/>
      <c r="W2139" s="229"/>
      <c r="X2139" s="229"/>
    </row>
    <row r="2140" spans="1:24" ht="15.75" hidden="1">
      <c r="A2140" s="343"/>
      <c r="B2140" s="344"/>
      <c r="C2140" s="275"/>
      <c r="D2140" s="275"/>
      <c r="E2140" s="275"/>
      <c r="F2140" s="275"/>
      <c r="G2140" s="275"/>
      <c r="H2140" s="275"/>
      <c r="I2140" s="275"/>
      <c r="J2140" s="275"/>
      <c r="K2140" s="275"/>
      <c r="L2140" s="275"/>
      <c r="M2140" s="275"/>
      <c r="N2140" s="275"/>
      <c r="O2140" s="276"/>
      <c r="P2140" s="276"/>
      <c r="Q2140" s="247">
        <f t="shared" si="39"/>
        <v>0</v>
      </c>
      <c r="R2140" s="229"/>
      <c r="S2140" s="229"/>
      <c r="T2140" s="229"/>
      <c r="U2140" s="229"/>
      <c r="V2140" s="229"/>
      <c r="W2140" s="229"/>
      <c r="X2140" s="229"/>
    </row>
    <row r="2141" spans="1:24" ht="15.75" hidden="1">
      <c r="A2141" s="343"/>
      <c r="B2141" s="344"/>
      <c r="C2141" s="275"/>
      <c r="D2141" s="275"/>
      <c r="E2141" s="275"/>
      <c r="F2141" s="275"/>
      <c r="G2141" s="275"/>
      <c r="H2141" s="275"/>
      <c r="I2141" s="275"/>
      <c r="J2141" s="275"/>
      <c r="K2141" s="275"/>
      <c r="L2141" s="275"/>
      <c r="M2141" s="275"/>
      <c r="N2141" s="275"/>
      <c r="O2141" s="276"/>
      <c r="P2141" s="276"/>
      <c r="Q2141" s="247">
        <f t="shared" si="39"/>
        <v>0</v>
      </c>
      <c r="R2141" s="229"/>
      <c r="S2141" s="229"/>
      <c r="T2141" s="229"/>
      <c r="U2141" s="229"/>
      <c r="V2141" s="229"/>
      <c r="W2141" s="229"/>
      <c r="X2141" s="229"/>
    </row>
    <row r="2142" spans="1:24" ht="15.75" hidden="1">
      <c r="A2142" s="343"/>
      <c r="B2142" s="344"/>
      <c r="C2142" s="275"/>
      <c r="D2142" s="275"/>
      <c r="E2142" s="275"/>
      <c r="F2142" s="275"/>
      <c r="G2142" s="275"/>
      <c r="H2142" s="275"/>
      <c r="I2142" s="275"/>
      <c r="J2142" s="275"/>
      <c r="K2142" s="275"/>
      <c r="L2142" s="275"/>
      <c r="M2142" s="275"/>
      <c r="N2142" s="275"/>
      <c r="O2142" s="276"/>
      <c r="P2142" s="276"/>
      <c r="Q2142" s="247">
        <f t="shared" si="39"/>
        <v>0</v>
      </c>
      <c r="R2142" s="229"/>
      <c r="S2142" s="229"/>
      <c r="T2142" s="229"/>
      <c r="U2142" s="229"/>
      <c r="V2142" s="229"/>
      <c r="W2142" s="229"/>
      <c r="X2142" s="229"/>
    </row>
    <row r="2143" spans="1:24" ht="15.75" hidden="1">
      <c r="A2143" s="343"/>
      <c r="B2143" s="344"/>
      <c r="C2143" s="275"/>
      <c r="D2143" s="275"/>
      <c r="E2143" s="275"/>
      <c r="F2143" s="275"/>
      <c r="G2143" s="275"/>
      <c r="H2143" s="275"/>
      <c r="I2143" s="275"/>
      <c r="J2143" s="275"/>
      <c r="K2143" s="275"/>
      <c r="L2143" s="275"/>
      <c r="M2143" s="275"/>
      <c r="N2143" s="275"/>
      <c r="O2143" s="276"/>
      <c r="P2143" s="276"/>
      <c r="Q2143" s="247">
        <f t="shared" si="39"/>
        <v>0</v>
      </c>
      <c r="R2143" s="229"/>
      <c r="S2143" s="229"/>
      <c r="T2143" s="229"/>
      <c r="U2143" s="229"/>
      <c r="V2143" s="229"/>
      <c r="W2143" s="229"/>
      <c r="X2143" s="229"/>
    </row>
    <row r="2144" spans="1:24" ht="15.75" hidden="1">
      <c r="A2144" s="343"/>
      <c r="B2144" s="344"/>
      <c r="C2144" s="275"/>
      <c r="D2144" s="275"/>
      <c r="E2144" s="275"/>
      <c r="F2144" s="275"/>
      <c r="G2144" s="275"/>
      <c r="H2144" s="275"/>
      <c r="I2144" s="275"/>
      <c r="J2144" s="275"/>
      <c r="K2144" s="275"/>
      <c r="L2144" s="275"/>
      <c r="M2144" s="275"/>
      <c r="N2144" s="275"/>
      <c r="O2144" s="276"/>
      <c r="P2144" s="276"/>
      <c r="Q2144" s="247">
        <f t="shared" si="39"/>
        <v>0</v>
      </c>
      <c r="R2144" s="229"/>
      <c r="S2144" s="229"/>
      <c r="T2144" s="229"/>
      <c r="U2144" s="229"/>
      <c r="V2144" s="229"/>
      <c r="W2144" s="229"/>
      <c r="X2144" s="229"/>
    </row>
    <row r="2145" spans="1:24" ht="15.75" hidden="1">
      <c r="A2145" s="343"/>
      <c r="B2145" s="344"/>
      <c r="C2145" s="275"/>
      <c r="D2145" s="275"/>
      <c r="E2145" s="275"/>
      <c r="F2145" s="275"/>
      <c r="G2145" s="275"/>
      <c r="H2145" s="275"/>
      <c r="I2145" s="275"/>
      <c r="J2145" s="275"/>
      <c r="K2145" s="275"/>
      <c r="L2145" s="275"/>
      <c r="M2145" s="275"/>
      <c r="N2145" s="275"/>
      <c r="O2145" s="276"/>
      <c r="P2145" s="276"/>
      <c r="Q2145" s="247">
        <f t="shared" si="39"/>
        <v>0</v>
      </c>
      <c r="R2145" s="229"/>
      <c r="S2145" s="229"/>
      <c r="T2145" s="229"/>
      <c r="U2145" s="229"/>
      <c r="V2145" s="229"/>
      <c r="W2145" s="229"/>
      <c r="X2145" s="229"/>
    </row>
    <row r="2146" spans="1:24" ht="15.75" hidden="1">
      <c r="A2146" s="343"/>
      <c r="B2146" s="344"/>
      <c r="C2146" s="275"/>
      <c r="D2146" s="275"/>
      <c r="E2146" s="275"/>
      <c r="F2146" s="275"/>
      <c r="G2146" s="275"/>
      <c r="H2146" s="275"/>
      <c r="I2146" s="275"/>
      <c r="J2146" s="275"/>
      <c r="K2146" s="275"/>
      <c r="L2146" s="275"/>
      <c r="M2146" s="275"/>
      <c r="N2146" s="275"/>
      <c r="O2146" s="276"/>
      <c r="P2146" s="276"/>
      <c r="Q2146" s="247">
        <f t="shared" si="39"/>
        <v>0</v>
      </c>
      <c r="R2146" s="229"/>
      <c r="S2146" s="229"/>
      <c r="T2146" s="229"/>
      <c r="U2146" s="229"/>
      <c r="V2146" s="229"/>
      <c r="W2146" s="229"/>
      <c r="X2146" s="229"/>
    </row>
    <row r="2147" spans="1:24" ht="15.75" hidden="1">
      <c r="A2147" s="343"/>
      <c r="B2147" s="344"/>
      <c r="C2147" s="275"/>
      <c r="D2147" s="275"/>
      <c r="E2147" s="275"/>
      <c r="F2147" s="275"/>
      <c r="G2147" s="275"/>
      <c r="H2147" s="275"/>
      <c r="I2147" s="275"/>
      <c r="J2147" s="275"/>
      <c r="K2147" s="275"/>
      <c r="L2147" s="275"/>
      <c r="M2147" s="275"/>
      <c r="N2147" s="275"/>
      <c r="O2147" s="276"/>
      <c r="P2147" s="276"/>
      <c r="Q2147" s="247">
        <f t="shared" si="39"/>
        <v>0</v>
      </c>
      <c r="R2147" s="229"/>
      <c r="S2147" s="229"/>
      <c r="T2147" s="229"/>
      <c r="U2147" s="229"/>
      <c r="V2147" s="229"/>
      <c r="W2147" s="229"/>
      <c r="X2147" s="229"/>
    </row>
    <row r="2148" spans="1:24" ht="15.75" hidden="1">
      <c r="A2148" s="343"/>
      <c r="B2148" s="344"/>
      <c r="C2148" s="275"/>
      <c r="D2148" s="275"/>
      <c r="E2148" s="275"/>
      <c r="F2148" s="275"/>
      <c r="G2148" s="275"/>
      <c r="H2148" s="275"/>
      <c r="I2148" s="275"/>
      <c r="J2148" s="275"/>
      <c r="K2148" s="275"/>
      <c r="L2148" s="275"/>
      <c r="M2148" s="275"/>
      <c r="N2148" s="275"/>
      <c r="O2148" s="276"/>
      <c r="P2148" s="276"/>
      <c r="Q2148" s="247">
        <f t="shared" si="39"/>
        <v>0</v>
      </c>
      <c r="R2148" s="229"/>
      <c r="S2148" s="229"/>
      <c r="T2148" s="229"/>
      <c r="U2148" s="229"/>
      <c r="V2148" s="229"/>
      <c r="W2148" s="229"/>
      <c r="X2148" s="229"/>
    </row>
    <row r="2149" spans="1:24" ht="15.75" hidden="1">
      <c r="A2149" s="343"/>
      <c r="B2149" s="344"/>
      <c r="C2149" s="275"/>
      <c r="D2149" s="275"/>
      <c r="E2149" s="275"/>
      <c r="F2149" s="275"/>
      <c r="G2149" s="275"/>
      <c r="H2149" s="275"/>
      <c r="I2149" s="275"/>
      <c r="J2149" s="275"/>
      <c r="K2149" s="275"/>
      <c r="L2149" s="275"/>
      <c r="M2149" s="275"/>
      <c r="N2149" s="275"/>
      <c r="O2149" s="276"/>
      <c r="P2149" s="276"/>
      <c r="Q2149" s="247">
        <f t="shared" si="39"/>
        <v>0</v>
      </c>
      <c r="R2149" s="229"/>
      <c r="S2149" s="229"/>
      <c r="T2149" s="229"/>
      <c r="U2149" s="229"/>
      <c r="V2149" s="229"/>
      <c r="W2149" s="229"/>
      <c r="X2149" s="229"/>
    </row>
    <row r="2150" spans="1:24" ht="15.75" hidden="1">
      <c r="A2150" s="343"/>
      <c r="B2150" s="344"/>
      <c r="C2150" s="275"/>
      <c r="D2150" s="275"/>
      <c r="E2150" s="275"/>
      <c r="F2150" s="275"/>
      <c r="G2150" s="275"/>
      <c r="H2150" s="275"/>
      <c r="I2150" s="275"/>
      <c r="J2150" s="275"/>
      <c r="K2150" s="275"/>
      <c r="L2150" s="275"/>
      <c r="M2150" s="275"/>
      <c r="N2150" s="275"/>
      <c r="O2150" s="276"/>
      <c r="P2150" s="276"/>
      <c r="Q2150" s="247">
        <f t="shared" si="39"/>
        <v>0</v>
      </c>
      <c r="R2150" s="229"/>
      <c r="S2150" s="229"/>
      <c r="T2150" s="229"/>
      <c r="U2150" s="229"/>
      <c r="V2150" s="229"/>
      <c r="W2150" s="229"/>
      <c r="X2150" s="229"/>
    </row>
    <row r="2151" spans="1:24" ht="15.75" hidden="1">
      <c r="A2151" s="343"/>
      <c r="B2151" s="344"/>
      <c r="C2151" s="275"/>
      <c r="D2151" s="275"/>
      <c r="E2151" s="275"/>
      <c r="F2151" s="275"/>
      <c r="G2151" s="275"/>
      <c r="H2151" s="275"/>
      <c r="I2151" s="275"/>
      <c r="J2151" s="275"/>
      <c r="K2151" s="275"/>
      <c r="L2151" s="275"/>
      <c r="M2151" s="275"/>
      <c r="N2151" s="275"/>
      <c r="O2151" s="276"/>
      <c r="P2151" s="276"/>
      <c r="Q2151" s="247">
        <f t="shared" si="39"/>
        <v>0</v>
      </c>
      <c r="R2151" s="229"/>
      <c r="S2151" s="229"/>
      <c r="T2151" s="229"/>
      <c r="U2151" s="229"/>
      <c r="V2151" s="229"/>
      <c r="W2151" s="229"/>
      <c r="X2151" s="229"/>
    </row>
    <row r="2152" spans="1:24" ht="15.75" hidden="1">
      <c r="A2152" s="343"/>
      <c r="B2152" s="344"/>
      <c r="C2152" s="275"/>
      <c r="D2152" s="275"/>
      <c r="E2152" s="275"/>
      <c r="F2152" s="275"/>
      <c r="G2152" s="275"/>
      <c r="H2152" s="275"/>
      <c r="I2152" s="275"/>
      <c r="J2152" s="275"/>
      <c r="K2152" s="275"/>
      <c r="L2152" s="275"/>
      <c r="M2152" s="275"/>
      <c r="N2152" s="275"/>
      <c r="O2152" s="276"/>
      <c r="P2152" s="276"/>
      <c r="Q2152" s="247">
        <f t="shared" si="39"/>
        <v>0</v>
      </c>
      <c r="R2152" s="229"/>
      <c r="S2152" s="229"/>
      <c r="T2152" s="229"/>
      <c r="U2152" s="229"/>
      <c r="V2152" s="229"/>
      <c r="W2152" s="229"/>
      <c r="X2152" s="229"/>
    </row>
    <row r="2153" spans="1:24" ht="15.75" hidden="1">
      <c r="A2153" s="343"/>
      <c r="B2153" s="344"/>
      <c r="C2153" s="275"/>
      <c r="D2153" s="275"/>
      <c r="E2153" s="275"/>
      <c r="F2153" s="275"/>
      <c r="G2153" s="275"/>
      <c r="H2153" s="275"/>
      <c r="I2153" s="275"/>
      <c r="J2153" s="275"/>
      <c r="K2153" s="275"/>
      <c r="L2153" s="275"/>
      <c r="M2153" s="275"/>
      <c r="N2153" s="275"/>
      <c r="O2153" s="276"/>
      <c r="P2153" s="276"/>
      <c r="Q2153" s="247">
        <f t="shared" si="39"/>
        <v>0</v>
      </c>
      <c r="R2153" s="229"/>
      <c r="S2153" s="229"/>
      <c r="T2153" s="229"/>
      <c r="U2153" s="229"/>
      <c r="V2153" s="229"/>
      <c r="W2153" s="229"/>
      <c r="X2153" s="229"/>
    </row>
    <row r="2154" spans="1:24" ht="15.75" hidden="1">
      <c r="A2154" s="343"/>
      <c r="B2154" s="344"/>
      <c r="C2154" s="275"/>
      <c r="D2154" s="275"/>
      <c r="E2154" s="275"/>
      <c r="F2154" s="275"/>
      <c r="G2154" s="275"/>
      <c r="H2154" s="275"/>
      <c r="I2154" s="275"/>
      <c r="J2154" s="275"/>
      <c r="K2154" s="275"/>
      <c r="L2154" s="275"/>
      <c r="M2154" s="275"/>
      <c r="N2154" s="275"/>
      <c r="O2154" s="276"/>
      <c r="P2154" s="276"/>
      <c r="Q2154" s="247">
        <f t="shared" si="39"/>
        <v>0</v>
      </c>
      <c r="R2154" s="229"/>
      <c r="S2154" s="229"/>
      <c r="T2154" s="229"/>
      <c r="U2154" s="229"/>
      <c r="V2154" s="229"/>
      <c r="W2154" s="229"/>
      <c r="X2154" s="229"/>
    </row>
    <row r="2155" spans="1:24" ht="15.75" hidden="1">
      <c r="A2155" s="343"/>
      <c r="B2155" s="344"/>
      <c r="C2155" s="275"/>
      <c r="D2155" s="275"/>
      <c r="E2155" s="275"/>
      <c r="F2155" s="275"/>
      <c r="G2155" s="275"/>
      <c r="H2155" s="275"/>
      <c r="I2155" s="275"/>
      <c r="J2155" s="275"/>
      <c r="K2155" s="275"/>
      <c r="L2155" s="275"/>
      <c r="M2155" s="275"/>
      <c r="N2155" s="275"/>
      <c r="O2155" s="276"/>
      <c r="P2155" s="276"/>
      <c r="Q2155" s="247">
        <f t="shared" si="39"/>
        <v>0</v>
      </c>
      <c r="R2155" s="229"/>
      <c r="S2155" s="229"/>
      <c r="T2155" s="229"/>
      <c r="U2155" s="229"/>
      <c r="V2155" s="229"/>
      <c r="W2155" s="229"/>
      <c r="X2155" s="229"/>
    </row>
    <row r="2156" spans="1:24" ht="15.75" hidden="1">
      <c r="A2156" s="343"/>
      <c r="B2156" s="344"/>
      <c r="C2156" s="275"/>
      <c r="D2156" s="275"/>
      <c r="E2156" s="275"/>
      <c r="F2156" s="275"/>
      <c r="G2156" s="275"/>
      <c r="H2156" s="275"/>
      <c r="I2156" s="275"/>
      <c r="J2156" s="275"/>
      <c r="K2156" s="275"/>
      <c r="L2156" s="275"/>
      <c r="M2156" s="275"/>
      <c r="N2156" s="275"/>
      <c r="O2156" s="276"/>
      <c r="P2156" s="276"/>
      <c r="Q2156" s="247">
        <f t="shared" si="39"/>
        <v>0</v>
      </c>
      <c r="R2156" s="229"/>
      <c r="S2156" s="229"/>
      <c r="T2156" s="229"/>
      <c r="U2156" s="229"/>
      <c r="V2156" s="229"/>
      <c r="W2156" s="229"/>
      <c r="X2156" s="229"/>
    </row>
    <row r="2157" spans="1:24" ht="15.75" hidden="1">
      <c r="A2157" s="343"/>
      <c r="B2157" s="344"/>
      <c r="C2157" s="275"/>
      <c r="D2157" s="275"/>
      <c r="E2157" s="275"/>
      <c r="F2157" s="275"/>
      <c r="G2157" s="275"/>
      <c r="H2157" s="275"/>
      <c r="I2157" s="275"/>
      <c r="J2157" s="275"/>
      <c r="K2157" s="275"/>
      <c r="L2157" s="275"/>
      <c r="M2157" s="275"/>
      <c r="N2157" s="275"/>
      <c r="O2157" s="276"/>
      <c r="P2157" s="276"/>
      <c r="Q2157" s="247">
        <f t="shared" si="39"/>
        <v>0</v>
      </c>
      <c r="R2157" s="229"/>
      <c r="S2157" s="229"/>
      <c r="T2157" s="229"/>
      <c r="U2157" s="229"/>
      <c r="V2157" s="229"/>
      <c r="W2157" s="229"/>
      <c r="X2157" s="229"/>
    </row>
    <row r="2158" spans="1:24" ht="15.75" hidden="1">
      <c r="A2158" s="343"/>
      <c r="B2158" s="344"/>
      <c r="C2158" s="275"/>
      <c r="D2158" s="275"/>
      <c r="E2158" s="275"/>
      <c r="F2158" s="275"/>
      <c r="G2158" s="275"/>
      <c r="H2158" s="275"/>
      <c r="I2158" s="275"/>
      <c r="J2158" s="275"/>
      <c r="K2158" s="275"/>
      <c r="L2158" s="275"/>
      <c r="M2158" s="275"/>
      <c r="N2158" s="275"/>
      <c r="O2158" s="276"/>
      <c r="P2158" s="276"/>
      <c r="Q2158" s="247">
        <f t="shared" si="39"/>
        <v>0</v>
      </c>
      <c r="R2158" s="229"/>
      <c r="S2158" s="229"/>
      <c r="T2158" s="229"/>
      <c r="U2158" s="229"/>
      <c r="V2158" s="229"/>
      <c r="W2158" s="229"/>
      <c r="X2158" s="229"/>
    </row>
    <row r="2159" spans="1:24" ht="15.75" hidden="1">
      <c r="A2159" s="343"/>
      <c r="B2159" s="344"/>
      <c r="C2159" s="275"/>
      <c r="D2159" s="275"/>
      <c r="E2159" s="275"/>
      <c r="F2159" s="275"/>
      <c r="G2159" s="275"/>
      <c r="H2159" s="275"/>
      <c r="I2159" s="275"/>
      <c r="J2159" s="275"/>
      <c r="K2159" s="275"/>
      <c r="L2159" s="275"/>
      <c r="M2159" s="275"/>
      <c r="N2159" s="275"/>
      <c r="O2159" s="276"/>
      <c r="P2159" s="276"/>
      <c r="Q2159" s="247">
        <f t="shared" si="39"/>
        <v>0</v>
      </c>
      <c r="R2159" s="229"/>
      <c r="S2159" s="229"/>
      <c r="T2159" s="229"/>
      <c r="U2159" s="229"/>
      <c r="V2159" s="229"/>
      <c r="W2159" s="229"/>
      <c r="X2159" s="229"/>
    </row>
    <row r="2160" spans="1:24" ht="15.75" hidden="1">
      <c r="A2160" s="343"/>
      <c r="B2160" s="344"/>
      <c r="C2160" s="275"/>
      <c r="D2160" s="275"/>
      <c r="E2160" s="275"/>
      <c r="F2160" s="275"/>
      <c r="G2160" s="275"/>
      <c r="H2160" s="275"/>
      <c r="I2160" s="275"/>
      <c r="J2160" s="275"/>
      <c r="K2160" s="275"/>
      <c r="L2160" s="275"/>
      <c r="M2160" s="275"/>
      <c r="N2160" s="275"/>
      <c r="O2160" s="276"/>
      <c r="P2160" s="276"/>
      <c r="Q2160" s="247">
        <f t="shared" si="39"/>
        <v>0</v>
      </c>
      <c r="R2160" s="229"/>
      <c r="S2160" s="229"/>
      <c r="T2160" s="229"/>
      <c r="U2160" s="229"/>
      <c r="V2160" s="229"/>
      <c r="W2160" s="229"/>
      <c r="X2160" s="229"/>
    </row>
    <row r="2161" spans="1:24" ht="15.75" hidden="1">
      <c r="A2161" s="343"/>
      <c r="B2161" s="344"/>
      <c r="C2161" s="275"/>
      <c r="D2161" s="275"/>
      <c r="E2161" s="275"/>
      <c r="F2161" s="275"/>
      <c r="G2161" s="275"/>
      <c r="H2161" s="275"/>
      <c r="I2161" s="275"/>
      <c r="J2161" s="275"/>
      <c r="K2161" s="275"/>
      <c r="L2161" s="275"/>
      <c r="M2161" s="275"/>
      <c r="N2161" s="275"/>
      <c r="O2161" s="276"/>
      <c r="P2161" s="276"/>
      <c r="Q2161" s="247">
        <f t="shared" si="39"/>
        <v>0</v>
      </c>
      <c r="R2161" s="229"/>
      <c r="S2161" s="229"/>
      <c r="T2161" s="229"/>
      <c r="U2161" s="229"/>
      <c r="V2161" s="229"/>
      <c r="W2161" s="229"/>
      <c r="X2161" s="229"/>
    </row>
    <row r="2162" spans="1:24" ht="15.75" hidden="1">
      <c r="A2162" s="343"/>
      <c r="B2162" s="344"/>
      <c r="C2162" s="275"/>
      <c r="D2162" s="275"/>
      <c r="E2162" s="275"/>
      <c r="F2162" s="275"/>
      <c r="G2162" s="275"/>
      <c r="H2162" s="275"/>
      <c r="I2162" s="275"/>
      <c r="J2162" s="275"/>
      <c r="K2162" s="275"/>
      <c r="L2162" s="275"/>
      <c r="M2162" s="275"/>
      <c r="N2162" s="275"/>
      <c r="O2162" s="276"/>
      <c r="P2162" s="276"/>
      <c r="Q2162" s="247">
        <f t="shared" si="39"/>
        <v>0</v>
      </c>
      <c r="R2162" s="229"/>
      <c r="S2162" s="229"/>
      <c r="T2162" s="229"/>
      <c r="U2162" s="229"/>
      <c r="V2162" s="229"/>
      <c r="W2162" s="229"/>
      <c r="X2162" s="229"/>
    </row>
    <row r="2163" spans="1:24" ht="15.75" hidden="1">
      <c r="A2163" s="343"/>
      <c r="B2163" s="344"/>
      <c r="C2163" s="275"/>
      <c r="D2163" s="275"/>
      <c r="E2163" s="275"/>
      <c r="F2163" s="275"/>
      <c r="G2163" s="275"/>
      <c r="H2163" s="275"/>
      <c r="I2163" s="275"/>
      <c r="J2163" s="275"/>
      <c r="K2163" s="275"/>
      <c r="L2163" s="275"/>
      <c r="M2163" s="275"/>
      <c r="N2163" s="275"/>
      <c r="O2163" s="276"/>
      <c r="P2163" s="276"/>
      <c r="Q2163" s="247">
        <f t="shared" si="39"/>
        <v>0</v>
      </c>
      <c r="R2163" s="229"/>
      <c r="S2163" s="229"/>
      <c r="T2163" s="229"/>
      <c r="U2163" s="229"/>
      <c r="V2163" s="229"/>
      <c r="W2163" s="229"/>
      <c r="X2163" s="229"/>
    </row>
    <row r="2164" spans="1:24" ht="15.75" hidden="1">
      <c r="A2164" s="343"/>
      <c r="B2164" s="344"/>
      <c r="C2164" s="275"/>
      <c r="D2164" s="275"/>
      <c r="E2164" s="275"/>
      <c r="F2164" s="275"/>
      <c r="G2164" s="275"/>
      <c r="H2164" s="275"/>
      <c r="I2164" s="275"/>
      <c r="J2164" s="275"/>
      <c r="K2164" s="275"/>
      <c r="L2164" s="275"/>
      <c r="M2164" s="275"/>
      <c r="N2164" s="275"/>
      <c r="O2164" s="276"/>
      <c r="P2164" s="276"/>
      <c r="Q2164" s="247">
        <f t="shared" si="39"/>
        <v>0</v>
      </c>
      <c r="R2164" s="229"/>
      <c r="S2164" s="229"/>
      <c r="T2164" s="229"/>
      <c r="U2164" s="229"/>
      <c r="V2164" s="229"/>
      <c r="W2164" s="229"/>
      <c r="X2164" s="229"/>
    </row>
    <row r="2165" spans="1:24" ht="15.75" hidden="1">
      <c r="A2165" s="343"/>
      <c r="B2165" s="344"/>
      <c r="C2165" s="275"/>
      <c r="D2165" s="275"/>
      <c r="E2165" s="275"/>
      <c r="F2165" s="275"/>
      <c r="G2165" s="275"/>
      <c r="H2165" s="275"/>
      <c r="I2165" s="275"/>
      <c r="J2165" s="275"/>
      <c r="K2165" s="275"/>
      <c r="L2165" s="275"/>
      <c r="M2165" s="275"/>
      <c r="N2165" s="275"/>
      <c r="O2165" s="276"/>
      <c r="P2165" s="276"/>
      <c r="Q2165" s="247">
        <f t="shared" si="39"/>
        <v>0</v>
      </c>
      <c r="R2165" s="229"/>
      <c r="S2165" s="229"/>
      <c r="T2165" s="229"/>
      <c r="U2165" s="229"/>
      <c r="V2165" s="229"/>
      <c r="W2165" s="229"/>
      <c r="X2165" s="229"/>
    </row>
    <row r="2166" spans="1:24" ht="15.75" hidden="1">
      <c r="A2166" s="343"/>
      <c r="B2166" s="344"/>
      <c r="C2166" s="275"/>
      <c r="D2166" s="275"/>
      <c r="E2166" s="275"/>
      <c r="F2166" s="275"/>
      <c r="G2166" s="275"/>
      <c r="H2166" s="275"/>
      <c r="I2166" s="275"/>
      <c r="J2166" s="275"/>
      <c r="K2166" s="275"/>
      <c r="L2166" s="275"/>
      <c r="M2166" s="275"/>
      <c r="N2166" s="275"/>
      <c r="O2166" s="276"/>
      <c r="P2166" s="276"/>
      <c r="Q2166" s="247">
        <f t="shared" si="39"/>
        <v>0</v>
      </c>
      <c r="R2166" s="229"/>
      <c r="S2166" s="229"/>
      <c r="T2166" s="229"/>
      <c r="U2166" s="229"/>
      <c r="V2166" s="229"/>
      <c r="W2166" s="229"/>
      <c r="X2166" s="229"/>
    </row>
    <row r="2167" spans="1:24" ht="15.75" hidden="1">
      <c r="A2167" s="343"/>
      <c r="B2167" s="344"/>
      <c r="C2167" s="275"/>
      <c r="D2167" s="275"/>
      <c r="E2167" s="275"/>
      <c r="F2167" s="275"/>
      <c r="G2167" s="275"/>
      <c r="H2167" s="275"/>
      <c r="I2167" s="275"/>
      <c r="J2167" s="275"/>
      <c r="K2167" s="275"/>
      <c r="L2167" s="275"/>
      <c r="M2167" s="275"/>
      <c r="N2167" s="275"/>
      <c r="O2167" s="276"/>
      <c r="P2167" s="276"/>
      <c r="Q2167" s="247">
        <f t="shared" si="39"/>
        <v>0</v>
      </c>
      <c r="R2167" s="229"/>
      <c r="S2167" s="229"/>
      <c r="T2167" s="229"/>
      <c r="U2167" s="229"/>
      <c r="V2167" s="229"/>
      <c r="W2167" s="229"/>
      <c r="X2167" s="229"/>
    </row>
    <row r="2168" spans="1:24" ht="15.75" hidden="1">
      <c r="A2168" s="343"/>
      <c r="B2168" s="344"/>
      <c r="C2168" s="275"/>
      <c r="D2168" s="275"/>
      <c r="E2168" s="275"/>
      <c r="F2168" s="275"/>
      <c r="G2168" s="275"/>
      <c r="H2168" s="275"/>
      <c r="I2168" s="275"/>
      <c r="J2168" s="275"/>
      <c r="K2168" s="275"/>
      <c r="L2168" s="275"/>
      <c r="M2168" s="275"/>
      <c r="N2168" s="275"/>
      <c r="O2168" s="276"/>
      <c r="P2168" s="276"/>
      <c r="Q2168" s="247">
        <f t="shared" si="39"/>
        <v>0</v>
      </c>
      <c r="R2168" s="229"/>
      <c r="S2168" s="229"/>
      <c r="T2168" s="229"/>
      <c r="U2168" s="229"/>
      <c r="V2168" s="229"/>
      <c r="W2168" s="229"/>
      <c r="X2168" s="229"/>
    </row>
    <row r="2169" spans="1:24" ht="15.75" hidden="1">
      <c r="A2169" s="343"/>
      <c r="B2169" s="344"/>
      <c r="C2169" s="275"/>
      <c r="D2169" s="275"/>
      <c r="E2169" s="275"/>
      <c r="F2169" s="275"/>
      <c r="G2169" s="275"/>
      <c r="H2169" s="275"/>
      <c r="I2169" s="275"/>
      <c r="J2169" s="275"/>
      <c r="K2169" s="275"/>
      <c r="L2169" s="275"/>
      <c r="M2169" s="275"/>
      <c r="N2169" s="275"/>
      <c r="O2169" s="276"/>
      <c r="P2169" s="276"/>
      <c r="Q2169" s="247">
        <f t="shared" si="39"/>
        <v>0</v>
      </c>
      <c r="R2169" s="229"/>
      <c r="S2169" s="229"/>
      <c r="T2169" s="229"/>
      <c r="U2169" s="229"/>
      <c r="V2169" s="229"/>
      <c r="W2169" s="229"/>
      <c r="X2169" s="229"/>
    </row>
    <row r="2170" spans="1:24" ht="15.75" hidden="1">
      <c r="A2170" s="343"/>
      <c r="B2170" s="344"/>
      <c r="C2170" s="275"/>
      <c r="D2170" s="275"/>
      <c r="E2170" s="275"/>
      <c r="F2170" s="275"/>
      <c r="G2170" s="275"/>
      <c r="H2170" s="275"/>
      <c r="I2170" s="275"/>
      <c r="J2170" s="275"/>
      <c r="K2170" s="275"/>
      <c r="L2170" s="275"/>
      <c r="M2170" s="275"/>
      <c r="N2170" s="275"/>
      <c r="O2170" s="276"/>
      <c r="P2170" s="276"/>
      <c r="Q2170" s="247">
        <f t="shared" si="39"/>
        <v>0</v>
      </c>
      <c r="R2170" s="229"/>
      <c r="S2170" s="229"/>
      <c r="T2170" s="229"/>
      <c r="U2170" s="229"/>
      <c r="V2170" s="229"/>
      <c r="W2170" s="229"/>
      <c r="X2170" s="229"/>
    </row>
    <row r="2171" spans="1:24" ht="15.75" hidden="1">
      <c r="A2171" s="343"/>
      <c r="B2171" s="344"/>
      <c r="C2171" s="275"/>
      <c r="D2171" s="275"/>
      <c r="E2171" s="275"/>
      <c r="F2171" s="275"/>
      <c r="G2171" s="275"/>
      <c r="H2171" s="275"/>
      <c r="I2171" s="275"/>
      <c r="J2171" s="275"/>
      <c r="K2171" s="275"/>
      <c r="L2171" s="275"/>
      <c r="M2171" s="275"/>
      <c r="N2171" s="275"/>
      <c r="O2171" s="276"/>
      <c r="P2171" s="276"/>
      <c r="Q2171" s="247">
        <f t="shared" si="39"/>
        <v>0</v>
      </c>
      <c r="R2171" s="229"/>
      <c r="S2171" s="229"/>
      <c r="T2171" s="229"/>
      <c r="U2171" s="229"/>
      <c r="V2171" s="229"/>
      <c r="W2171" s="229"/>
      <c r="X2171" s="229"/>
    </row>
    <row r="2172" spans="1:24" ht="15.75" hidden="1">
      <c r="A2172" s="343"/>
      <c r="B2172" s="344"/>
      <c r="C2172" s="275"/>
      <c r="D2172" s="275"/>
      <c r="E2172" s="275"/>
      <c r="F2172" s="275"/>
      <c r="G2172" s="275"/>
      <c r="H2172" s="275"/>
      <c r="I2172" s="275"/>
      <c r="J2172" s="275"/>
      <c r="K2172" s="275"/>
      <c r="L2172" s="275"/>
      <c r="M2172" s="275"/>
      <c r="N2172" s="275"/>
      <c r="O2172" s="276"/>
      <c r="P2172" s="276"/>
      <c r="Q2172" s="247">
        <f t="shared" si="39"/>
        <v>0</v>
      </c>
      <c r="R2172" s="229"/>
      <c r="S2172" s="229"/>
      <c r="T2172" s="229"/>
      <c r="U2172" s="229"/>
      <c r="V2172" s="229"/>
      <c r="W2172" s="229"/>
      <c r="X2172" s="229"/>
    </row>
    <row r="2173" spans="1:24" ht="15.75" hidden="1">
      <c r="A2173" s="343"/>
      <c r="B2173" s="344"/>
      <c r="C2173" s="275"/>
      <c r="D2173" s="275"/>
      <c r="E2173" s="275"/>
      <c r="F2173" s="275"/>
      <c r="G2173" s="275"/>
      <c r="H2173" s="275"/>
      <c r="I2173" s="275"/>
      <c r="J2173" s="275"/>
      <c r="K2173" s="275"/>
      <c r="L2173" s="275"/>
      <c r="M2173" s="275"/>
      <c r="N2173" s="275"/>
      <c r="O2173" s="276"/>
      <c r="P2173" s="276"/>
      <c r="Q2173" s="247">
        <f t="shared" si="39"/>
        <v>0</v>
      </c>
      <c r="R2173" s="229"/>
      <c r="S2173" s="229"/>
      <c r="T2173" s="229"/>
      <c r="U2173" s="229"/>
      <c r="V2173" s="229"/>
      <c r="W2173" s="229"/>
      <c r="X2173" s="229"/>
    </row>
    <row r="2174" spans="1:24" ht="15.75" hidden="1">
      <c r="A2174" s="343"/>
      <c r="B2174" s="344"/>
      <c r="C2174" s="275"/>
      <c r="D2174" s="275"/>
      <c r="E2174" s="275"/>
      <c r="F2174" s="275"/>
      <c r="G2174" s="275"/>
      <c r="H2174" s="275"/>
      <c r="I2174" s="275"/>
      <c r="J2174" s="275"/>
      <c r="K2174" s="275"/>
      <c r="L2174" s="275"/>
      <c r="M2174" s="275"/>
      <c r="N2174" s="275"/>
      <c r="O2174" s="276"/>
      <c r="P2174" s="276"/>
      <c r="Q2174" s="247">
        <f t="shared" si="39"/>
        <v>0</v>
      </c>
      <c r="R2174" s="229"/>
      <c r="S2174" s="229"/>
      <c r="T2174" s="229"/>
      <c r="U2174" s="229"/>
      <c r="V2174" s="229"/>
      <c r="W2174" s="229"/>
      <c r="X2174" s="229"/>
    </row>
    <row r="2175" spans="1:24" ht="15.75" hidden="1">
      <c r="A2175" s="343"/>
      <c r="B2175" s="344"/>
      <c r="C2175" s="275"/>
      <c r="D2175" s="275"/>
      <c r="E2175" s="275"/>
      <c r="F2175" s="275"/>
      <c r="G2175" s="275"/>
      <c r="H2175" s="275"/>
      <c r="I2175" s="275"/>
      <c r="J2175" s="275"/>
      <c r="K2175" s="275"/>
      <c r="L2175" s="275"/>
      <c r="M2175" s="275"/>
      <c r="N2175" s="275"/>
      <c r="O2175" s="276"/>
      <c r="P2175" s="276"/>
      <c r="Q2175" s="247">
        <f t="shared" si="39"/>
        <v>0</v>
      </c>
      <c r="R2175" s="229"/>
      <c r="S2175" s="229"/>
      <c r="T2175" s="229"/>
      <c r="U2175" s="229"/>
      <c r="V2175" s="229"/>
      <c r="W2175" s="229"/>
      <c r="X2175" s="229"/>
    </row>
    <row r="2176" spans="1:24" ht="15.75" hidden="1">
      <c r="A2176" s="343"/>
      <c r="B2176" s="344"/>
      <c r="C2176" s="275"/>
      <c r="D2176" s="275"/>
      <c r="E2176" s="275"/>
      <c r="F2176" s="275"/>
      <c r="G2176" s="275"/>
      <c r="H2176" s="275"/>
      <c r="I2176" s="275"/>
      <c r="J2176" s="275"/>
      <c r="K2176" s="275"/>
      <c r="L2176" s="275"/>
      <c r="M2176" s="275"/>
      <c r="N2176" s="275"/>
      <c r="O2176" s="276"/>
      <c r="P2176" s="276"/>
      <c r="Q2176" s="247">
        <f t="shared" si="39"/>
        <v>0</v>
      </c>
      <c r="R2176" s="229"/>
      <c r="S2176" s="229"/>
      <c r="T2176" s="229"/>
      <c r="U2176" s="229"/>
      <c r="V2176" s="229"/>
      <c r="W2176" s="229"/>
      <c r="X2176" s="229"/>
    </row>
    <row r="2177" spans="1:24" ht="15.75" hidden="1">
      <c r="A2177" s="343"/>
      <c r="B2177" s="344"/>
      <c r="C2177" s="275"/>
      <c r="D2177" s="275"/>
      <c r="E2177" s="275"/>
      <c r="F2177" s="275"/>
      <c r="G2177" s="275"/>
      <c r="H2177" s="275"/>
      <c r="I2177" s="275"/>
      <c r="J2177" s="275"/>
      <c r="K2177" s="275"/>
      <c r="L2177" s="275"/>
      <c r="M2177" s="275"/>
      <c r="N2177" s="275"/>
      <c r="O2177" s="276"/>
      <c r="P2177" s="276"/>
      <c r="Q2177" s="247">
        <f t="shared" si="39"/>
        <v>0</v>
      </c>
      <c r="R2177" s="229"/>
      <c r="S2177" s="229"/>
      <c r="T2177" s="229"/>
      <c r="U2177" s="229"/>
      <c r="V2177" s="229"/>
      <c r="W2177" s="229"/>
      <c r="X2177" s="229"/>
    </row>
    <row r="2178" spans="1:24" ht="15.75" hidden="1">
      <c r="A2178" s="343"/>
      <c r="B2178" s="344"/>
      <c r="C2178" s="275"/>
      <c r="D2178" s="275"/>
      <c r="E2178" s="275"/>
      <c r="F2178" s="275"/>
      <c r="G2178" s="275"/>
      <c r="H2178" s="275"/>
      <c r="I2178" s="275"/>
      <c r="J2178" s="275"/>
      <c r="K2178" s="275"/>
      <c r="L2178" s="275"/>
      <c r="M2178" s="275"/>
      <c r="N2178" s="275"/>
      <c r="O2178" s="276"/>
      <c r="P2178" s="276"/>
      <c r="Q2178" s="247">
        <f t="shared" si="39"/>
        <v>0</v>
      </c>
      <c r="R2178" s="229"/>
      <c r="S2178" s="229"/>
      <c r="T2178" s="229"/>
      <c r="U2178" s="229"/>
      <c r="V2178" s="229"/>
      <c r="W2178" s="229"/>
      <c r="X2178" s="229"/>
    </row>
    <row r="2179" spans="1:24" ht="15.75" hidden="1">
      <c r="A2179" s="343"/>
      <c r="B2179" s="344"/>
      <c r="C2179" s="275"/>
      <c r="D2179" s="275"/>
      <c r="E2179" s="275"/>
      <c r="F2179" s="275"/>
      <c r="G2179" s="275"/>
      <c r="H2179" s="275"/>
      <c r="I2179" s="275"/>
      <c r="J2179" s="275"/>
      <c r="K2179" s="275"/>
      <c r="L2179" s="275"/>
      <c r="M2179" s="275"/>
      <c r="N2179" s="275"/>
      <c r="O2179" s="276"/>
      <c r="P2179" s="276"/>
      <c r="Q2179" s="247">
        <f t="shared" si="39"/>
        <v>0</v>
      </c>
      <c r="R2179" s="229"/>
      <c r="S2179" s="229"/>
      <c r="T2179" s="229"/>
      <c r="U2179" s="229"/>
      <c r="V2179" s="229"/>
      <c r="W2179" s="229"/>
      <c r="X2179" s="229"/>
    </row>
    <row r="2180" spans="1:24" ht="15.75" hidden="1">
      <c r="A2180" s="343"/>
      <c r="B2180" s="344"/>
      <c r="C2180" s="275"/>
      <c r="D2180" s="275"/>
      <c r="E2180" s="275"/>
      <c r="F2180" s="275"/>
      <c r="G2180" s="275"/>
      <c r="H2180" s="275"/>
      <c r="I2180" s="275"/>
      <c r="J2180" s="275"/>
      <c r="K2180" s="275"/>
      <c r="L2180" s="275"/>
      <c r="M2180" s="275"/>
      <c r="N2180" s="275"/>
      <c r="O2180" s="276"/>
      <c r="P2180" s="276"/>
      <c r="Q2180" s="247">
        <f t="shared" si="39"/>
        <v>0</v>
      </c>
      <c r="R2180" s="229"/>
      <c r="S2180" s="229"/>
      <c r="T2180" s="229"/>
      <c r="U2180" s="229"/>
      <c r="V2180" s="229"/>
      <c r="W2180" s="229"/>
      <c r="X2180" s="229"/>
    </row>
    <row r="2181" spans="1:24" ht="15.75" hidden="1">
      <c r="A2181" s="343"/>
      <c r="B2181" s="344"/>
      <c r="C2181" s="275"/>
      <c r="D2181" s="275"/>
      <c r="E2181" s="275"/>
      <c r="F2181" s="275"/>
      <c r="G2181" s="275"/>
      <c r="H2181" s="275"/>
      <c r="I2181" s="275"/>
      <c r="J2181" s="275"/>
      <c r="K2181" s="275"/>
      <c r="L2181" s="275"/>
      <c r="M2181" s="275"/>
      <c r="N2181" s="275"/>
      <c r="O2181" s="276"/>
      <c r="P2181" s="276"/>
      <c r="Q2181" s="247">
        <f t="shared" si="39"/>
        <v>0</v>
      </c>
      <c r="R2181" s="229"/>
      <c r="S2181" s="229"/>
      <c r="T2181" s="229"/>
      <c r="U2181" s="229"/>
      <c r="V2181" s="229"/>
      <c r="W2181" s="229"/>
      <c r="X2181" s="229"/>
    </row>
    <row r="2182" spans="1:24" ht="15.75" hidden="1">
      <c r="A2182" s="343"/>
      <c r="B2182" s="344"/>
      <c r="C2182" s="275"/>
      <c r="D2182" s="275"/>
      <c r="E2182" s="275"/>
      <c r="F2182" s="275"/>
      <c r="G2182" s="275"/>
      <c r="H2182" s="275"/>
      <c r="I2182" s="275"/>
      <c r="J2182" s="275"/>
      <c r="K2182" s="275"/>
      <c r="L2182" s="275"/>
      <c r="M2182" s="275"/>
      <c r="N2182" s="275"/>
      <c r="O2182" s="276"/>
      <c r="P2182" s="276"/>
      <c r="Q2182" s="247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9"/>
      <c r="S2182" s="229"/>
      <c r="T2182" s="229"/>
      <c r="U2182" s="229"/>
      <c r="V2182" s="229"/>
      <c r="W2182" s="229"/>
      <c r="X2182" s="229"/>
    </row>
    <row r="2183" spans="1:24" ht="15.75" hidden="1">
      <c r="A2183" s="343"/>
      <c r="B2183" s="344"/>
      <c r="C2183" s="275"/>
      <c r="D2183" s="275"/>
      <c r="E2183" s="275"/>
      <c r="F2183" s="275"/>
      <c r="G2183" s="275"/>
      <c r="H2183" s="275"/>
      <c r="I2183" s="275"/>
      <c r="J2183" s="275"/>
      <c r="K2183" s="275"/>
      <c r="L2183" s="275"/>
      <c r="M2183" s="275"/>
      <c r="N2183" s="275"/>
      <c r="O2183" s="276"/>
      <c r="P2183" s="276"/>
      <c r="Q2183" s="247">
        <f t="shared" si="40"/>
        <v>0</v>
      </c>
      <c r="R2183" s="229"/>
      <c r="S2183" s="229"/>
      <c r="T2183" s="229"/>
      <c r="U2183" s="229"/>
      <c r="V2183" s="229"/>
      <c r="W2183" s="229"/>
      <c r="X2183" s="229"/>
    </row>
    <row r="2184" spans="1:24" ht="15.75" hidden="1">
      <c r="A2184" s="343"/>
      <c r="B2184" s="344"/>
      <c r="C2184" s="275"/>
      <c r="D2184" s="275"/>
      <c r="E2184" s="275"/>
      <c r="F2184" s="275"/>
      <c r="G2184" s="275"/>
      <c r="H2184" s="275"/>
      <c r="I2184" s="275"/>
      <c r="J2184" s="275"/>
      <c r="K2184" s="275"/>
      <c r="L2184" s="275"/>
      <c r="M2184" s="275"/>
      <c r="N2184" s="275"/>
      <c r="O2184" s="276"/>
      <c r="P2184" s="276"/>
      <c r="Q2184" s="247">
        <f t="shared" si="40"/>
        <v>0</v>
      </c>
      <c r="R2184" s="229"/>
      <c r="S2184" s="229"/>
      <c r="T2184" s="229"/>
      <c r="U2184" s="229"/>
      <c r="V2184" s="229"/>
      <c r="W2184" s="229"/>
      <c r="X2184" s="229"/>
    </row>
    <row r="2185" spans="1:24" ht="15.75" hidden="1">
      <c r="A2185" s="343"/>
      <c r="B2185" s="344"/>
      <c r="C2185" s="275"/>
      <c r="D2185" s="275"/>
      <c r="E2185" s="275"/>
      <c r="F2185" s="275"/>
      <c r="G2185" s="275"/>
      <c r="H2185" s="275"/>
      <c r="I2185" s="275"/>
      <c r="J2185" s="275"/>
      <c r="K2185" s="275"/>
      <c r="L2185" s="275"/>
      <c r="M2185" s="275"/>
      <c r="N2185" s="275"/>
      <c r="O2185" s="276"/>
      <c r="P2185" s="276"/>
      <c r="Q2185" s="247">
        <f t="shared" si="40"/>
        <v>0</v>
      </c>
      <c r="R2185" s="229"/>
      <c r="S2185" s="229"/>
      <c r="T2185" s="229"/>
      <c r="U2185" s="229"/>
      <c r="V2185" s="229"/>
      <c r="W2185" s="229"/>
      <c r="X2185" s="229"/>
    </row>
    <row r="2186" spans="1:24" ht="15.75" hidden="1">
      <c r="A2186" s="343"/>
      <c r="B2186" s="344"/>
      <c r="C2186" s="275"/>
      <c r="D2186" s="275"/>
      <c r="E2186" s="275"/>
      <c r="F2186" s="275"/>
      <c r="G2186" s="275"/>
      <c r="H2186" s="275"/>
      <c r="I2186" s="275"/>
      <c r="J2186" s="275"/>
      <c r="K2186" s="275"/>
      <c r="L2186" s="275"/>
      <c r="M2186" s="275"/>
      <c r="N2186" s="275"/>
      <c r="O2186" s="276"/>
      <c r="P2186" s="276"/>
      <c r="Q2186" s="247">
        <f t="shared" si="40"/>
        <v>0</v>
      </c>
      <c r="R2186" s="229"/>
      <c r="S2186" s="229"/>
      <c r="T2186" s="229"/>
      <c r="U2186" s="229"/>
      <c r="V2186" s="229"/>
      <c r="W2186" s="229"/>
      <c r="X2186" s="229"/>
    </row>
    <row r="2187" spans="1:24" ht="15.75" hidden="1">
      <c r="A2187" s="343"/>
      <c r="B2187" s="344"/>
      <c r="C2187" s="275"/>
      <c r="D2187" s="275"/>
      <c r="E2187" s="275"/>
      <c r="F2187" s="275"/>
      <c r="G2187" s="275"/>
      <c r="H2187" s="275"/>
      <c r="I2187" s="275"/>
      <c r="J2187" s="275"/>
      <c r="K2187" s="275"/>
      <c r="L2187" s="275"/>
      <c r="M2187" s="275"/>
      <c r="N2187" s="275"/>
      <c r="O2187" s="276"/>
      <c r="P2187" s="276"/>
      <c r="Q2187" s="247">
        <f t="shared" si="40"/>
        <v>0</v>
      </c>
      <c r="R2187" s="229"/>
      <c r="S2187" s="229"/>
      <c r="T2187" s="229"/>
      <c r="U2187" s="229"/>
      <c r="V2187" s="229"/>
      <c r="W2187" s="229"/>
      <c r="X2187" s="229"/>
    </row>
    <row r="2188" spans="1:24" ht="15.75" hidden="1">
      <c r="A2188" s="343"/>
      <c r="B2188" s="344"/>
      <c r="C2188" s="275"/>
      <c r="D2188" s="275"/>
      <c r="E2188" s="275"/>
      <c r="F2188" s="275"/>
      <c r="G2188" s="275"/>
      <c r="H2188" s="275"/>
      <c r="I2188" s="275"/>
      <c r="J2188" s="275"/>
      <c r="K2188" s="275"/>
      <c r="L2188" s="275"/>
      <c r="M2188" s="275"/>
      <c r="N2188" s="275"/>
      <c r="O2188" s="276"/>
      <c r="P2188" s="276"/>
      <c r="Q2188" s="247">
        <f t="shared" si="40"/>
        <v>0</v>
      </c>
      <c r="R2188" s="229"/>
      <c r="S2188" s="229"/>
      <c r="T2188" s="229"/>
      <c r="U2188" s="229"/>
      <c r="V2188" s="229"/>
      <c r="W2188" s="229"/>
      <c r="X2188" s="229"/>
    </row>
    <row r="2189" spans="1:24" ht="15.75" hidden="1">
      <c r="A2189" s="343"/>
      <c r="B2189" s="344"/>
      <c r="C2189" s="275"/>
      <c r="D2189" s="275"/>
      <c r="E2189" s="275"/>
      <c r="F2189" s="275"/>
      <c r="G2189" s="275"/>
      <c r="H2189" s="275"/>
      <c r="I2189" s="275"/>
      <c r="J2189" s="275"/>
      <c r="K2189" s="275"/>
      <c r="L2189" s="275"/>
      <c r="M2189" s="275"/>
      <c r="N2189" s="275"/>
      <c r="O2189" s="276"/>
      <c r="P2189" s="276"/>
      <c r="Q2189" s="247">
        <f t="shared" si="40"/>
        <v>0</v>
      </c>
      <c r="R2189" s="229"/>
      <c r="S2189" s="229"/>
      <c r="T2189" s="229"/>
      <c r="U2189" s="229"/>
      <c r="V2189" s="229"/>
      <c r="W2189" s="229"/>
      <c r="X2189" s="229"/>
    </row>
    <row r="2190" spans="1:24" ht="15.75" hidden="1">
      <c r="A2190" s="343"/>
      <c r="B2190" s="344"/>
      <c r="C2190" s="275"/>
      <c r="D2190" s="275"/>
      <c r="E2190" s="275"/>
      <c r="F2190" s="275"/>
      <c r="G2190" s="275"/>
      <c r="H2190" s="275"/>
      <c r="I2190" s="275"/>
      <c r="J2190" s="275"/>
      <c r="K2190" s="275"/>
      <c r="L2190" s="275"/>
      <c r="M2190" s="275"/>
      <c r="N2190" s="275"/>
      <c r="O2190" s="276"/>
      <c r="P2190" s="276"/>
      <c r="Q2190" s="247">
        <f t="shared" si="40"/>
        <v>0</v>
      </c>
      <c r="R2190" s="229"/>
      <c r="S2190" s="229"/>
      <c r="T2190" s="229"/>
      <c r="U2190" s="229"/>
      <c r="V2190" s="229"/>
      <c r="W2190" s="229"/>
      <c r="X2190" s="229"/>
    </row>
    <row r="2191" spans="1:24" ht="15.75" hidden="1">
      <c r="A2191" s="343"/>
      <c r="B2191" s="344"/>
      <c r="C2191" s="275"/>
      <c r="D2191" s="275"/>
      <c r="E2191" s="275"/>
      <c r="F2191" s="275"/>
      <c r="G2191" s="275"/>
      <c r="H2191" s="275"/>
      <c r="I2191" s="275"/>
      <c r="J2191" s="275"/>
      <c r="K2191" s="275"/>
      <c r="L2191" s="275"/>
      <c r="M2191" s="275"/>
      <c r="N2191" s="275"/>
      <c r="O2191" s="276"/>
      <c r="P2191" s="276"/>
      <c r="Q2191" s="247">
        <f t="shared" si="40"/>
        <v>0</v>
      </c>
      <c r="R2191" s="229"/>
      <c r="S2191" s="229"/>
      <c r="T2191" s="229"/>
      <c r="U2191" s="229"/>
      <c r="V2191" s="229"/>
      <c r="W2191" s="229"/>
      <c r="X2191" s="229"/>
    </row>
    <row r="2192" spans="1:24" ht="15.75" hidden="1">
      <c r="A2192" s="343"/>
      <c r="B2192" s="344"/>
      <c r="C2192" s="275"/>
      <c r="D2192" s="275"/>
      <c r="E2192" s="275"/>
      <c r="F2192" s="275"/>
      <c r="G2192" s="275"/>
      <c r="H2192" s="275"/>
      <c r="I2192" s="275"/>
      <c r="J2192" s="275"/>
      <c r="K2192" s="275"/>
      <c r="L2192" s="275"/>
      <c r="M2192" s="275"/>
      <c r="N2192" s="275"/>
      <c r="O2192" s="276"/>
      <c r="P2192" s="276"/>
      <c r="Q2192" s="247">
        <f t="shared" si="40"/>
        <v>0</v>
      </c>
      <c r="R2192" s="229"/>
      <c r="S2192" s="229"/>
      <c r="T2192" s="229"/>
      <c r="U2192" s="229"/>
      <c r="V2192" s="229"/>
      <c r="W2192" s="229"/>
      <c r="X2192" s="229"/>
    </row>
    <row r="2193" spans="1:24" ht="15.75" hidden="1">
      <c r="A2193" s="343"/>
      <c r="B2193" s="344"/>
      <c r="C2193" s="275"/>
      <c r="D2193" s="275"/>
      <c r="E2193" s="275"/>
      <c r="F2193" s="275"/>
      <c r="G2193" s="275"/>
      <c r="H2193" s="275"/>
      <c r="I2193" s="275"/>
      <c r="J2193" s="275"/>
      <c r="K2193" s="275"/>
      <c r="L2193" s="275"/>
      <c r="M2193" s="275"/>
      <c r="N2193" s="275"/>
      <c r="O2193" s="276"/>
      <c r="P2193" s="276"/>
      <c r="Q2193" s="247">
        <f t="shared" si="40"/>
        <v>0</v>
      </c>
      <c r="R2193" s="229"/>
      <c r="S2193" s="229"/>
      <c r="T2193" s="229"/>
      <c r="U2193" s="229"/>
      <c r="V2193" s="229"/>
      <c r="W2193" s="229"/>
      <c r="X2193" s="229"/>
    </row>
    <row r="2194" spans="1:24" ht="15.75" hidden="1">
      <c r="A2194" s="343"/>
      <c r="B2194" s="344"/>
      <c r="C2194" s="275"/>
      <c r="D2194" s="275"/>
      <c r="E2194" s="275"/>
      <c r="F2194" s="275"/>
      <c r="G2194" s="275"/>
      <c r="H2194" s="275"/>
      <c r="I2194" s="275"/>
      <c r="J2194" s="275"/>
      <c r="K2194" s="275"/>
      <c r="L2194" s="275"/>
      <c r="M2194" s="275"/>
      <c r="N2194" s="275"/>
      <c r="O2194" s="276"/>
      <c r="P2194" s="276"/>
      <c r="Q2194" s="247">
        <f t="shared" si="40"/>
        <v>0</v>
      </c>
      <c r="R2194" s="229"/>
      <c r="S2194" s="229"/>
      <c r="T2194" s="229"/>
      <c r="U2194" s="229"/>
      <c r="V2194" s="229"/>
      <c r="W2194" s="229"/>
      <c r="X2194" s="229"/>
    </row>
    <row r="2195" spans="1:24" ht="15.75" hidden="1">
      <c r="A2195" s="343"/>
      <c r="B2195" s="344"/>
      <c r="C2195" s="275"/>
      <c r="D2195" s="275"/>
      <c r="E2195" s="275"/>
      <c r="F2195" s="275"/>
      <c r="G2195" s="275"/>
      <c r="H2195" s="275"/>
      <c r="I2195" s="275"/>
      <c r="J2195" s="275"/>
      <c r="K2195" s="275"/>
      <c r="L2195" s="275"/>
      <c r="M2195" s="275"/>
      <c r="N2195" s="275"/>
      <c r="O2195" s="276"/>
      <c r="P2195" s="276"/>
      <c r="Q2195" s="247">
        <f t="shared" si="40"/>
        <v>0</v>
      </c>
      <c r="R2195" s="229"/>
      <c r="S2195" s="229"/>
      <c r="T2195" s="229"/>
      <c r="U2195" s="229"/>
      <c r="V2195" s="229"/>
      <c r="W2195" s="229"/>
      <c r="X2195" s="229"/>
    </row>
    <row r="2196" spans="1:24" ht="15.75" hidden="1">
      <c r="A2196" s="343"/>
      <c r="B2196" s="344"/>
      <c r="C2196" s="275"/>
      <c r="D2196" s="275"/>
      <c r="E2196" s="275"/>
      <c r="F2196" s="275"/>
      <c r="G2196" s="275"/>
      <c r="H2196" s="275"/>
      <c r="I2196" s="275"/>
      <c r="J2196" s="275"/>
      <c r="K2196" s="275"/>
      <c r="L2196" s="275"/>
      <c r="M2196" s="275"/>
      <c r="N2196" s="275"/>
      <c r="O2196" s="276"/>
      <c r="P2196" s="276"/>
      <c r="Q2196" s="247">
        <f t="shared" si="40"/>
        <v>0</v>
      </c>
      <c r="R2196" s="229"/>
      <c r="S2196" s="229"/>
      <c r="T2196" s="229"/>
      <c r="U2196" s="229"/>
      <c r="V2196" s="229"/>
      <c r="W2196" s="229"/>
      <c r="X2196" s="229"/>
    </row>
    <row r="2197" spans="1:24" ht="15.75" hidden="1">
      <c r="A2197" s="343"/>
      <c r="B2197" s="344"/>
      <c r="C2197" s="275"/>
      <c r="D2197" s="275"/>
      <c r="E2197" s="275"/>
      <c r="F2197" s="275"/>
      <c r="G2197" s="275"/>
      <c r="H2197" s="275"/>
      <c r="I2197" s="275"/>
      <c r="J2197" s="275"/>
      <c r="K2197" s="275"/>
      <c r="L2197" s="275"/>
      <c r="M2197" s="275"/>
      <c r="N2197" s="275"/>
      <c r="O2197" s="276"/>
      <c r="P2197" s="276"/>
      <c r="Q2197" s="247">
        <f t="shared" si="40"/>
        <v>0</v>
      </c>
      <c r="R2197" s="229"/>
      <c r="S2197" s="229"/>
      <c r="T2197" s="229"/>
      <c r="U2197" s="229"/>
      <c r="V2197" s="229"/>
      <c r="W2197" s="229"/>
      <c r="X2197" s="229"/>
    </row>
    <row r="2198" spans="1:24" ht="15.75" hidden="1">
      <c r="A2198" s="343"/>
      <c r="B2198" s="344"/>
      <c r="C2198" s="275"/>
      <c r="D2198" s="275"/>
      <c r="E2198" s="275"/>
      <c r="F2198" s="275"/>
      <c r="G2198" s="275"/>
      <c r="H2198" s="275"/>
      <c r="I2198" s="275"/>
      <c r="J2198" s="275"/>
      <c r="K2198" s="275"/>
      <c r="L2198" s="275"/>
      <c r="M2198" s="275"/>
      <c r="N2198" s="275"/>
      <c r="O2198" s="276"/>
      <c r="P2198" s="276"/>
      <c r="Q2198" s="247">
        <f t="shared" si="40"/>
        <v>0</v>
      </c>
      <c r="R2198" s="229"/>
      <c r="S2198" s="229"/>
      <c r="T2198" s="229"/>
      <c r="U2198" s="229"/>
      <c r="V2198" s="229"/>
      <c r="W2198" s="229"/>
      <c r="X2198" s="229"/>
    </row>
    <row r="2199" spans="1:24" ht="15.75" hidden="1">
      <c r="A2199" s="343"/>
      <c r="B2199" s="344"/>
      <c r="C2199" s="275"/>
      <c r="D2199" s="275"/>
      <c r="E2199" s="275"/>
      <c r="F2199" s="275"/>
      <c r="G2199" s="275"/>
      <c r="H2199" s="275"/>
      <c r="I2199" s="275"/>
      <c r="J2199" s="275"/>
      <c r="K2199" s="275"/>
      <c r="L2199" s="275"/>
      <c r="M2199" s="275"/>
      <c r="N2199" s="275"/>
      <c r="O2199" s="276"/>
      <c r="P2199" s="276"/>
      <c r="Q2199" s="247">
        <f t="shared" si="40"/>
        <v>0</v>
      </c>
      <c r="R2199" s="229"/>
      <c r="S2199" s="229"/>
      <c r="T2199" s="229"/>
      <c r="U2199" s="229"/>
      <c r="V2199" s="229"/>
      <c r="W2199" s="229"/>
      <c r="X2199" s="229"/>
    </row>
    <row r="2200" spans="1:24" ht="15.75" hidden="1">
      <c r="A2200" s="343"/>
      <c r="B2200" s="344"/>
      <c r="C2200" s="275"/>
      <c r="D2200" s="275"/>
      <c r="E2200" s="275"/>
      <c r="F2200" s="275"/>
      <c r="G2200" s="275"/>
      <c r="H2200" s="275"/>
      <c r="I2200" s="275"/>
      <c r="J2200" s="275"/>
      <c r="K2200" s="275"/>
      <c r="L2200" s="275"/>
      <c r="M2200" s="275"/>
      <c r="N2200" s="275"/>
      <c r="O2200" s="276"/>
      <c r="P2200" s="276"/>
      <c r="Q2200" s="247">
        <f t="shared" si="40"/>
        <v>0</v>
      </c>
      <c r="R2200" s="229"/>
      <c r="S2200" s="229"/>
      <c r="T2200" s="229"/>
      <c r="U2200" s="229"/>
      <c r="V2200" s="229"/>
      <c r="W2200" s="229"/>
      <c r="X2200" s="229"/>
    </row>
    <row r="2201" spans="1:24" ht="15.75" hidden="1">
      <c r="A2201" s="343"/>
      <c r="B2201" s="344"/>
      <c r="C2201" s="275"/>
      <c r="D2201" s="275"/>
      <c r="E2201" s="275"/>
      <c r="F2201" s="275"/>
      <c r="G2201" s="275"/>
      <c r="H2201" s="275"/>
      <c r="I2201" s="275"/>
      <c r="J2201" s="275"/>
      <c r="K2201" s="275"/>
      <c r="L2201" s="275"/>
      <c r="M2201" s="275"/>
      <c r="N2201" s="275"/>
      <c r="O2201" s="276"/>
      <c r="P2201" s="276"/>
      <c r="Q2201" s="247">
        <f t="shared" si="40"/>
        <v>0</v>
      </c>
      <c r="R2201" s="229"/>
      <c r="S2201" s="229"/>
      <c r="T2201" s="229"/>
      <c r="U2201" s="229"/>
      <c r="V2201" s="229"/>
      <c r="W2201" s="229"/>
      <c r="X2201" s="229"/>
    </row>
    <row r="2202" spans="1:24" ht="15.75" hidden="1">
      <c r="A2202" s="343"/>
      <c r="B2202" s="344"/>
      <c r="C2202" s="275"/>
      <c r="D2202" s="275"/>
      <c r="E2202" s="275"/>
      <c r="F2202" s="275"/>
      <c r="G2202" s="275"/>
      <c r="H2202" s="275"/>
      <c r="I2202" s="275"/>
      <c r="J2202" s="275"/>
      <c r="K2202" s="275"/>
      <c r="L2202" s="275"/>
      <c r="M2202" s="275"/>
      <c r="N2202" s="275"/>
      <c r="O2202" s="276"/>
      <c r="P2202" s="276"/>
      <c r="Q2202" s="247">
        <f t="shared" si="40"/>
        <v>0</v>
      </c>
      <c r="R2202" s="229"/>
      <c r="S2202" s="229"/>
      <c r="T2202" s="229"/>
      <c r="U2202" s="229"/>
      <c r="V2202" s="229"/>
      <c r="W2202" s="229"/>
      <c r="X2202" s="229"/>
    </row>
    <row r="2203" spans="1:24" ht="15.75" hidden="1">
      <c r="A2203" s="343"/>
      <c r="B2203" s="344"/>
      <c r="C2203" s="275"/>
      <c r="D2203" s="275"/>
      <c r="E2203" s="275"/>
      <c r="F2203" s="275"/>
      <c r="G2203" s="275"/>
      <c r="H2203" s="275"/>
      <c r="I2203" s="275"/>
      <c r="J2203" s="275"/>
      <c r="K2203" s="275"/>
      <c r="L2203" s="275"/>
      <c r="M2203" s="275"/>
      <c r="N2203" s="275"/>
      <c r="O2203" s="276"/>
      <c r="P2203" s="276"/>
      <c r="Q2203" s="247">
        <f t="shared" si="40"/>
        <v>0</v>
      </c>
      <c r="R2203" s="229"/>
      <c r="S2203" s="229"/>
      <c r="T2203" s="229"/>
      <c r="U2203" s="229"/>
      <c r="V2203" s="229"/>
      <c r="W2203" s="229"/>
      <c r="X2203" s="229"/>
    </row>
    <row r="2204" spans="1:24" ht="15.75" hidden="1">
      <c r="A2204" s="343"/>
      <c r="B2204" s="344"/>
      <c r="C2204" s="275"/>
      <c r="D2204" s="275"/>
      <c r="E2204" s="275"/>
      <c r="F2204" s="275"/>
      <c r="G2204" s="275"/>
      <c r="H2204" s="275"/>
      <c r="I2204" s="275"/>
      <c r="J2204" s="275"/>
      <c r="K2204" s="275"/>
      <c r="L2204" s="275"/>
      <c r="M2204" s="275"/>
      <c r="N2204" s="275"/>
      <c r="O2204" s="276"/>
      <c r="P2204" s="276"/>
      <c r="Q2204" s="247">
        <f t="shared" si="40"/>
        <v>0</v>
      </c>
      <c r="R2204" s="229"/>
      <c r="S2204" s="229"/>
      <c r="T2204" s="229"/>
      <c r="U2204" s="229"/>
      <c r="V2204" s="229"/>
      <c r="W2204" s="229"/>
      <c r="X2204" s="229"/>
    </row>
    <row r="2205" spans="1:24" ht="15.75" hidden="1">
      <c r="A2205" s="343"/>
      <c r="B2205" s="344"/>
      <c r="C2205" s="275"/>
      <c r="D2205" s="275"/>
      <c r="E2205" s="275"/>
      <c r="F2205" s="275"/>
      <c r="G2205" s="275"/>
      <c r="H2205" s="275"/>
      <c r="I2205" s="275"/>
      <c r="J2205" s="275"/>
      <c r="K2205" s="275"/>
      <c r="L2205" s="275"/>
      <c r="M2205" s="275"/>
      <c r="N2205" s="275"/>
      <c r="O2205" s="276"/>
      <c r="P2205" s="276"/>
      <c r="Q2205" s="247">
        <f t="shared" si="40"/>
        <v>0</v>
      </c>
      <c r="R2205" s="229"/>
      <c r="S2205" s="229"/>
      <c r="T2205" s="229"/>
      <c r="U2205" s="229"/>
      <c r="V2205" s="229"/>
      <c r="W2205" s="229"/>
      <c r="X2205" s="229"/>
    </row>
    <row r="2206" spans="1:24" ht="15.75" hidden="1">
      <c r="A2206" s="343"/>
      <c r="B2206" s="344"/>
      <c r="C2206" s="275"/>
      <c r="D2206" s="275"/>
      <c r="E2206" s="275"/>
      <c r="F2206" s="275"/>
      <c r="G2206" s="275"/>
      <c r="H2206" s="275"/>
      <c r="I2206" s="275"/>
      <c r="J2206" s="275"/>
      <c r="K2206" s="275"/>
      <c r="L2206" s="275"/>
      <c r="M2206" s="275"/>
      <c r="N2206" s="275"/>
      <c r="O2206" s="276"/>
      <c r="P2206" s="276"/>
      <c r="Q2206" s="247">
        <f t="shared" si="40"/>
        <v>0</v>
      </c>
      <c r="R2206" s="229"/>
      <c r="S2206" s="229"/>
      <c r="T2206" s="229"/>
      <c r="U2206" s="229"/>
      <c r="V2206" s="229"/>
      <c r="W2206" s="229"/>
      <c r="X2206" s="229"/>
    </row>
    <row r="2207" spans="1:24" ht="15.75" hidden="1">
      <c r="A2207" s="343"/>
      <c r="B2207" s="344"/>
      <c r="C2207" s="275"/>
      <c r="D2207" s="275"/>
      <c r="E2207" s="275"/>
      <c r="F2207" s="275"/>
      <c r="G2207" s="275"/>
      <c r="H2207" s="275"/>
      <c r="I2207" s="275"/>
      <c r="J2207" s="275"/>
      <c r="K2207" s="275"/>
      <c r="L2207" s="275"/>
      <c r="M2207" s="275"/>
      <c r="N2207" s="275"/>
      <c r="O2207" s="276"/>
      <c r="P2207" s="276"/>
      <c r="Q2207" s="247">
        <f t="shared" si="40"/>
        <v>0</v>
      </c>
      <c r="R2207" s="229"/>
      <c r="S2207" s="229"/>
      <c r="T2207" s="229"/>
      <c r="U2207" s="229"/>
      <c r="V2207" s="229"/>
      <c r="W2207" s="229"/>
      <c r="X2207" s="229"/>
    </row>
    <row r="2208" spans="1:24" ht="15.75" hidden="1">
      <c r="A2208" s="343"/>
      <c r="B2208" s="344"/>
      <c r="C2208" s="275"/>
      <c r="D2208" s="275"/>
      <c r="E2208" s="275"/>
      <c r="F2208" s="275"/>
      <c r="G2208" s="275"/>
      <c r="H2208" s="275"/>
      <c r="I2208" s="275"/>
      <c r="J2208" s="275"/>
      <c r="K2208" s="275"/>
      <c r="L2208" s="275"/>
      <c r="M2208" s="275"/>
      <c r="N2208" s="275"/>
      <c r="O2208" s="276"/>
      <c r="P2208" s="276"/>
      <c r="Q2208" s="247">
        <f t="shared" si="40"/>
        <v>0</v>
      </c>
      <c r="R2208" s="229"/>
      <c r="S2208" s="229"/>
      <c r="T2208" s="229"/>
      <c r="U2208" s="229"/>
      <c r="V2208" s="229"/>
      <c r="W2208" s="229"/>
      <c r="X2208" s="229"/>
    </row>
    <row r="2209" spans="1:24" ht="15.75" hidden="1">
      <c r="A2209" s="343"/>
      <c r="B2209" s="344"/>
      <c r="C2209" s="275"/>
      <c r="D2209" s="275"/>
      <c r="E2209" s="275"/>
      <c r="F2209" s="275"/>
      <c r="G2209" s="275"/>
      <c r="H2209" s="275"/>
      <c r="I2209" s="275"/>
      <c r="J2209" s="275"/>
      <c r="K2209" s="275"/>
      <c r="L2209" s="275"/>
      <c r="M2209" s="275"/>
      <c r="N2209" s="275"/>
      <c r="O2209" s="276"/>
      <c r="P2209" s="276"/>
      <c r="Q2209" s="247">
        <f t="shared" si="40"/>
        <v>0</v>
      </c>
      <c r="R2209" s="229"/>
      <c r="S2209" s="229"/>
      <c r="T2209" s="229"/>
      <c r="U2209" s="229"/>
      <c r="V2209" s="229"/>
      <c r="W2209" s="229"/>
      <c r="X2209" s="229"/>
    </row>
    <row r="2210" spans="1:24" ht="15.75" hidden="1">
      <c r="A2210" s="343"/>
      <c r="B2210" s="344"/>
      <c r="C2210" s="275"/>
      <c r="D2210" s="275"/>
      <c r="E2210" s="275"/>
      <c r="F2210" s="275"/>
      <c r="G2210" s="275"/>
      <c r="H2210" s="275"/>
      <c r="I2210" s="275"/>
      <c r="J2210" s="275"/>
      <c r="K2210" s="275"/>
      <c r="L2210" s="275"/>
      <c r="M2210" s="275"/>
      <c r="N2210" s="275"/>
      <c r="O2210" s="276"/>
      <c r="P2210" s="276"/>
      <c r="Q2210" s="247">
        <f t="shared" si="40"/>
        <v>0</v>
      </c>
      <c r="R2210" s="229"/>
      <c r="S2210" s="229"/>
      <c r="T2210" s="229"/>
      <c r="U2210" s="229"/>
      <c r="V2210" s="229"/>
      <c r="W2210" s="229"/>
      <c r="X2210" s="229"/>
    </row>
    <row r="2211" spans="1:24" ht="15.75" hidden="1">
      <c r="A2211" s="343"/>
      <c r="B2211" s="344"/>
      <c r="C2211" s="275"/>
      <c r="D2211" s="275"/>
      <c r="E2211" s="275"/>
      <c r="F2211" s="275"/>
      <c r="G2211" s="275"/>
      <c r="H2211" s="275"/>
      <c r="I2211" s="275"/>
      <c r="J2211" s="275"/>
      <c r="K2211" s="275"/>
      <c r="L2211" s="275"/>
      <c r="M2211" s="275"/>
      <c r="N2211" s="275"/>
      <c r="O2211" s="276"/>
      <c r="P2211" s="276"/>
      <c r="Q2211" s="247">
        <f t="shared" si="40"/>
        <v>0</v>
      </c>
      <c r="R2211" s="229"/>
      <c r="S2211" s="229"/>
      <c r="T2211" s="229"/>
      <c r="U2211" s="229"/>
      <c r="V2211" s="229"/>
      <c r="W2211" s="229"/>
      <c r="X2211" s="229"/>
    </row>
    <row r="2212" spans="1:24" ht="15.75" hidden="1">
      <c r="A2212" s="343"/>
      <c r="B2212" s="344"/>
      <c r="C2212" s="275"/>
      <c r="D2212" s="275"/>
      <c r="E2212" s="275"/>
      <c r="F2212" s="275"/>
      <c r="G2212" s="275"/>
      <c r="H2212" s="275"/>
      <c r="I2212" s="275"/>
      <c r="J2212" s="275"/>
      <c r="K2212" s="275"/>
      <c r="L2212" s="275"/>
      <c r="M2212" s="275"/>
      <c r="N2212" s="275"/>
      <c r="O2212" s="276"/>
      <c r="P2212" s="276"/>
      <c r="Q2212" s="247">
        <f t="shared" si="40"/>
        <v>0</v>
      </c>
      <c r="R2212" s="229"/>
      <c r="S2212" s="229"/>
      <c r="T2212" s="229"/>
      <c r="U2212" s="229"/>
      <c r="V2212" s="229"/>
      <c r="W2212" s="229"/>
      <c r="X2212" s="229"/>
    </row>
    <row r="2213" spans="1:24" ht="15.75" hidden="1">
      <c r="A2213" s="343"/>
      <c r="B2213" s="344"/>
      <c r="C2213" s="275"/>
      <c r="D2213" s="275"/>
      <c r="E2213" s="275"/>
      <c r="F2213" s="275"/>
      <c r="G2213" s="275"/>
      <c r="H2213" s="275"/>
      <c r="I2213" s="275"/>
      <c r="J2213" s="275"/>
      <c r="K2213" s="275"/>
      <c r="L2213" s="275"/>
      <c r="M2213" s="275"/>
      <c r="N2213" s="275"/>
      <c r="O2213" s="276"/>
      <c r="P2213" s="276"/>
      <c r="Q2213" s="247">
        <f t="shared" si="40"/>
        <v>0</v>
      </c>
      <c r="R2213" s="229"/>
      <c r="S2213" s="229"/>
      <c r="T2213" s="229"/>
      <c r="U2213" s="229"/>
      <c r="V2213" s="229"/>
      <c r="W2213" s="229"/>
      <c r="X2213" s="229"/>
    </row>
    <row r="2214" spans="1:24" ht="15.75" hidden="1">
      <c r="A2214" s="343"/>
      <c r="B2214" s="344"/>
      <c r="C2214" s="275"/>
      <c r="D2214" s="275"/>
      <c r="E2214" s="275"/>
      <c r="F2214" s="275"/>
      <c r="G2214" s="275"/>
      <c r="H2214" s="275"/>
      <c r="I2214" s="275"/>
      <c r="J2214" s="275"/>
      <c r="K2214" s="275"/>
      <c r="L2214" s="275"/>
      <c r="M2214" s="275"/>
      <c r="N2214" s="275"/>
      <c r="O2214" s="276"/>
      <c r="P2214" s="276"/>
      <c r="Q2214" s="247">
        <f t="shared" si="40"/>
        <v>0</v>
      </c>
      <c r="R2214" s="229"/>
      <c r="S2214" s="229"/>
      <c r="T2214" s="229"/>
      <c r="U2214" s="229"/>
      <c r="V2214" s="229"/>
      <c r="W2214" s="229"/>
      <c r="X2214" s="229"/>
    </row>
    <row r="2215" spans="1:24" ht="15.75" hidden="1">
      <c r="A2215" s="343"/>
      <c r="B2215" s="344"/>
      <c r="C2215" s="275"/>
      <c r="D2215" s="275"/>
      <c r="E2215" s="275"/>
      <c r="F2215" s="275"/>
      <c r="G2215" s="275"/>
      <c r="H2215" s="275"/>
      <c r="I2215" s="275"/>
      <c r="J2215" s="275"/>
      <c r="K2215" s="275"/>
      <c r="L2215" s="275"/>
      <c r="M2215" s="275"/>
      <c r="N2215" s="275"/>
      <c r="O2215" s="276"/>
      <c r="P2215" s="276"/>
      <c r="Q2215" s="247">
        <f t="shared" si="40"/>
        <v>0</v>
      </c>
      <c r="R2215" s="229"/>
      <c r="S2215" s="229"/>
      <c r="T2215" s="229"/>
      <c r="U2215" s="229"/>
      <c r="V2215" s="229"/>
      <c r="W2215" s="229"/>
      <c r="X2215" s="229"/>
    </row>
    <row r="2216" spans="1:24" ht="15.75" hidden="1">
      <c r="A2216" s="343"/>
      <c r="B2216" s="344"/>
      <c r="C2216" s="275"/>
      <c r="D2216" s="275"/>
      <c r="E2216" s="275"/>
      <c r="F2216" s="275"/>
      <c r="G2216" s="275"/>
      <c r="H2216" s="275"/>
      <c r="I2216" s="275"/>
      <c r="J2216" s="275"/>
      <c r="K2216" s="275"/>
      <c r="L2216" s="275"/>
      <c r="M2216" s="275"/>
      <c r="N2216" s="275"/>
      <c r="O2216" s="276"/>
      <c r="P2216" s="276"/>
      <c r="Q2216" s="247">
        <f t="shared" si="40"/>
        <v>0</v>
      </c>
      <c r="R2216" s="229"/>
      <c r="S2216" s="229"/>
      <c r="T2216" s="229"/>
      <c r="U2216" s="229"/>
      <c r="V2216" s="229"/>
      <c r="W2216" s="229"/>
      <c r="X2216" s="229"/>
    </row>
    <row r="2217" spans="1:24" ht="15.75" hidden="1">
      <c r="A2217" s="343"/>
      <c r="B2217" s="344"/>
      <c r="C2217" s="275"/>
      <c r="D2217" s="275"/>
      <c r="E2217" s="275"/>
      <c r="F2217" s="275"/>
      <c r="G2217" s="275"/>
      <c r="H2217" s="275"/>
      <c r="I2217" s="275"/>
      <c r="J2217" s="275"/>
      <c r="K2217" s="275"/>
      <c r="L2217" s="275"/>
      <c r="M2217" s="275"/>
      <c r="N2217" s="275"/>
      <c r="O2217" s="276"/>
      <c r="P2217" s="276"/>
      <c r="Q2217" s="247">
        <f t="shared" si="40"/>
        <v>0</v>
      </c>
      <c r="R2217" s="229"/>
      <c r="S2217" s="229"/>
      <c r="T2217" s="229"/>
      <c r="U2217" s="229"/>
      <c r="V2217" s="229"/>
      <c r="W2217" s="229"/>
      <c r="X2217" s="229"/>
    </row>
    <row r="2218" spans="1:24" ht="15.75" hidden="1">
      <c r="A2218" s="343"/>
      <c r="B2218" s="344"/>
      <c r="C2218" s="275"/>
      <c r="D2218" s="275"/>
      <c r="E2218" s="275"/>
      <c r="F2218" s="275"/>
      <c r="G2218" s="275"/>
      <c r="H2218" s="275"/>
      <c r="I2218" s="275"/>
      <c r="J2218" s="275"/>
      <c r="K2218" s="275"/>
      <c r="L2218" s="275"/>
      <c r="M2218" s="275"/>
      <c r="N2218" s="275"/>
      <c r="O2218" s="276"/>
      <c r="P2218" s="276"/>
      <c r="Q2218" s="247">
        <f t="shared" si="40"/>
        <v>0</v>
      </c>
      <c r="R2218" s="229"/>
      <c r="S2218" s="229"/>
      <c r="T2218" s="229"/>
      <c r="U2218" s="229"/>
      <c r="V2218" s="229"/>
      <c r="W2218" s="229"/>
      <c r="X2218" s="229"/>
    </row>
    <row r="2219" spans="1:24" ht="15.75" hidden="1">
      <c r="A2219" s="343"/>
      <c r="B2219" s="344"/>
      <c r="C2219" s="275"/>
      <c r="D2219" s="275"/>
      <c r="E2219" s="275"/>
      <c r="F2219" s="275"/>
      <c r="G2219" s="275"/>
      <c r="H2219" s="275"/>
      <c r="I2219" s="275"/>
      <c r="J2219" s="275"/>
      <c r="K2219" s="275"/>
      <c r="L2219" s="275"/>
      <c r="M2219" s="275"/>
      <c r="N2219" s="275"/>
      <c r="O2219" s="276"/>
      <c r="P2219" s="276"/>
      <c r="Q2219" s="247">
        <f t="shared" si="40"/>
        <v>0</v>
      </c>
      <c r="R2219" s="229"/>
      <c r="S2219" s="229"/>
      <c r="T2219" s="229"/>
      <c r="U2219" s="229"/>
      <c r="V2219" s="229"/>
      <c r="W2219" s="229"/>
      <c r="X2219" s="229"/>
    </row>
    <row r="2220" spans="1:24" ht="15.75" hidden="1">
      <c r="A2220" s="343"/>
      <c r="B2220" s="344"/>
      <c r="C2220" s="275"/>
      <c r="D2220" s="275"/>
      <c r="E2220" s="275"/>
      <c r="F2220" s="275"/>
      <c r="G2220" s="275"/>
      <c r="H2220" s="275"/>
      <c r="I2220" s="275"/>
      <c r="J2220" s="275"/>
      <c r="K2220" s="275"/>
      <c r="L2220" s="275"/>
      <c r="M2220" s="275"/>
      <c r="N2220" s="275"/>
      <c r="O2220" s="276"/>
      <c r="P2220" s="276"/>
      <c r="Q2220" s="247">
        <f t="shared" si="40"/>
        <v>0</v>
      </c>
      <c r="R2220" s="229"/>
      <c r="S2220" s="229"/>
      <c r="T2220" s="229"/>
      <c r="U2220" s="229"/>
      <c r="V2220" s="229"/>
      <c r="W2220" s="229"/>
      <c r="X2220" s="229"/>
    </row>
    <row r="2221" spans="1:24" ht="15.75" hidden="1">
      <c r="A2221" s="343"/>
      <c r="B2221" s="344"/>
      <c r="C2221" s="275"/>
      <c r="D2221" s="275"/>
      <c r="E2221" s="275"/>
      <c r="F2221" s="275"/>
      <c r="G2221" s="275"/>
      <c r="H2221" s="275"/>
      <c r="I2221" s="275"/>
      <c r="J2221" s="275"/>
      <c r="K2221" s="275"/>
      <c r="L2221" s="275"/>
      <c r="M2221" s="275"/>
      <c r="N2221" s="275"/>
      <c r="O2221" s="276"/>
      <c r="P2221" s="276"/>
      <c r="Q2221" s="247">
        <f t="shared" si="40"/>
        <v>0</v>
      </c>
      <c r="R2221" s="229"/>
      <c r="S2221" s="229"/>
      <c r="T2221" s="229"/>
      <c r="U2221" s="229"/>
      <c r="V2221" s="229"/>
      <c r="W2221" s="229"/>
      <c r="X2221" s="229"/>
    </row>
    <row r="2222" spans="1:24" ht="15.75" hidden="1">
      <c r="A2222" s="343"/>
      <c r="B2222" s="344"/>
      <c r="C2222" s="275"/>
      <c r="D2222" s="275"/>
      <c r="E2222" s="275"/>
      <c r="F2222" s="275"/>
      <c r="G2222" s="275"/>
      <c r="H2222" s="275"/>
      <c r="I2222" s="275"/>
      <c r="J2222" s="275"/>
      <c r="K2222" s="275"/>
      <c r="L2222" s="275"/>
      <c r="M2222" s="275"/>
      <c r="N2222" s="275"/>
      <c r="O2222" s="276"/>
      <c r="P2222" s="276"/>
      <c r="Q2222" s="247">
        <f t="shared" si="40"/>
        <v>0</v>
      </c>
      <c r="R2222" s="229"/>
      <c r="S2222" s="229"/>
      <c r="T2222" s="229"/>
      <c r="U2222" s="229"/>
      <c r="V2222" s="229"/>
      <c r="W2222" s="229"/>
      <c r="X2222" s="229"/>
    </row>
    <row r="2223" spans="1:24" ht="15.75" hidden="1">
      <c r="A2223" s="343"/>
      <c r="B2223" s="344"/>
      <c r="C2223" s="275"/>
      <c r="D2223" s="275"/>
      <c r="E2223" s="275"/>
      <c r="F2223" s="275"/>
      <c r="G2223" s="275"/>
      <c r="H2223" s="275"/>
      <c r="I2223" s="275"/>
      <c r="J2223" s="275"/>
      <c r="K2223" s="275"/>
      <c r="L2223" s="275"/>
      <c r="M2223" s="275"/>
      <c r="N2223" s="275"/>
      <c r="O2223" s="276"/>
      <c r="P2223" s="276"/>
      <c r="Q2223" s="247">
        <f t="shared" si="40"/>
        <v>0</v>
      </c>
      <c r="R2223" s="229"/>
      <c r="S2223" s="229"/>
      <c r="T2223" s="229"/>
      <c r="U2223" s="229"/>
      <c r="V2223" s="229"/>
      <c r="W2223" s="229"/>
      <c r="X2223" s="229"/>
    </row>
    <row r="2224" spans="1:24" ht="15.75" hidden="1">
      <c r="A2224" s="343"/>
      <c r="B2224" s="344"/>
      <c r="C2224" s="275"/>
      <c r="D2224" s="275"/>
      <c r="E2224" s="275"/>
      <c r="F2224" s="275"/>
      <c r="G2224" s="275"/>
      <c r="H2224" s="275"/>
      <c r="I2224" s="275"/>
      <c r="J2224" s="275"/>
      <c r="K2224" s="275"/>
      <c r="L2224" s="275"/>
      <c r="M2224" s="275"/>
      <c r="N2224" s="275"/>
      <c r="O2224" s="276"/>
      <c r="P2224" s="276"/>
      <c r="Q2224" s="247">
        <f t="shared" si="40"/>
        <v>0</v>
      </c>
      <c r="R2224" s="229"/>
      <c r="S2224" s="229"/>
      <c r="T2224" s="229"/>
      <c r="U2224" s="229"/>
      <c r="V2224" s="229"/>
      <c r="W2224" s="229"/>
      <c r="X2224" s="229"/>
    </row>
    <row r="2225" spans="1:24" ht="15.75" hidden="1">
      <c r="A2225" s="343"/>
      <c r="B2225" s="344"/>
      <c r="C2225" s="275"/>
      <c r="D2225" s="275"/>
      <c r="E2225" s="275"/>
      <c r="F2225" s="275"/>
      <c r="G2225" s="275"/>
      <c r="H2225" s="275"/>
      <c r="I2225" s="275"/>
      <c r="J2225" s="275"/>
      <c r="K2225" s="275"/>
      <c r="L2225" s="275"/>
      <c r="M2225" s="275"/>
      <c r="N2225" s="275"/>
      <c r="O2225" s="276"/>
      <c r="P2225" s="276"/>
      <c r="Q2225" s="247">
        <f t="shared" si="40"/>
        <v>0</v>
      </c>
      <c r="R2225" s="229"/>
      <c r="S2225" s="229"/>
      <c r="T2225" s="229"/>
      <c r="U2225" s="229"/>
      <c r="V2225" s="229"/>
      <c r="W2225" s="229"/>
      <c r="X2225" s="229"/>
    </row>
    <row r="2226" spans="1:24" ht="15.75" hidden="1">
      <c r="A2226" s="343"/>
      <c r="B2226" s="344"/>
      <c r="C2226" s="275"/>
      <c r="D2226" s="275"/>
      <c r="E2226" s="275"/>
      <c r="F2226" s="275"/>
      <c r="G2226" s="275"/>
      <c r="H2226" s="275"/>
      <c r="I2226" s="275"/>
      <c r="J2226" s="275"/>
      <c r="K2226" s="275"/>
      <c r="L2226" s="275"/>
      <c r="M2226" s="275"/>
      <c r="N2226" s="275"/>
      <c r="O2226" s="276"/>
      <c r="P2226" s="276"/>
      <c r="Q2226" s="247">
        <f t="shared" si="40"/>
        <v>0</v>
      </c>
      <c r="R2226" s="229"/>
      <c r="S2226" s="229"/>
      <c r="T2226" s="229"/>
      <c r="U2226" s="229"/>
      <c r="V2226" s="229"/>
      <c r="W2226" s="229"/>
      <c r="X2226" s="229"/>
    </row>
    <row r="2227" spans="1:24" ht="15.75" hidden="1">
      <c r="A2227" s="343"/>
      <c r="B2227" s="344"/>
      <c r="C2227" s="275"/>
      <c r="D2227" s="275"/>
      <c r="E2227" s="275"/>
      <c r="F2227" s="275"/>
      <c r="G2227" s="275"/>
      <c r="H2227" s="275"/>
      <c r="I2227" s="275"/>
      <c r="J2227" s="275"/>
      <c r="K2227" s="275"/>
      <c r="L2227" s="275"/>
      <c r="M2227" s="275"/>
      <c r="N2227" s="275"/>
      <c r="O2227" s="276"/>
      <c r="P2227" s="276"/>
      <c r="Q2227" s="247">
        <f t="shared" si="40"/>
        <v>0</v>
      </c>
      <c r="R2227" s="229"/>
      <c r="S2227" s="229"/>
      <c r="T2227" s="229"/>
      <c r="U2227" s="229"/>
      <c r="V2227" s="229"/>
      <c r="W2227" s="229"/>
      <c r="X2227" s="229"/>
    </row>
    <row r="2228" spans="1:24" ht="15.75" hidden="1">
      <c r="A2228" s="343"/>
      <c r="B2228" s="344"/>
      <c r="C2228" s="275"/>
      <c r="D2228" s="275"/>
      <c r="E2228" s="275"/>
      <c r="F2228" s="275"/>
      <c r="G2228" s="275"/>
      <c r="H2228" s="275"/>
      <c r="I2228" s="275"/>
      <c r="J2228" s="275"/>
      <c r="K2228" s="275"/>
      <c r="L2228" s="275"/>
      <c r="M2228" s="275"/>
      <c r="N2228" s="275"/>
      <c r="O2228" s="276"/>
      <c r="P2228" s="276"/>
      <c r="Q2228" s="247">
        <f t="shared" si="40"/>
        <v>0</v>
      </c>
      <c r="R2228" s="229"/>
      <c r="S2228" s="229"/>
      <c r="T2228" s="229"/>
      <c r="U2228" s="229"/>
      <c r="V2228" s="229"/>
      <c r="W2228" s="229"/>
      <c r="X2228" s="229"/>
    </row>
    <row r="2229" spans="1:24" ht="15.75" hidden="1">
      <c r="A2229" s="343"/>
      <c r="B2229" s="344"/>
      <c r="C2229" s="275"/>
      <c r="D2229" s="275"/>
      <c r="E2229" s="275"/>
      <c r="F2229" s="275"/>
      <c r="G2229" s="275"/>
      <c r="H2229" s="275"/>
      <c r="I2229" s="275"/>
      <c r="J2229" s="275"/>
      <c r="K2229" s="275"/>
      <c r="L2229" s="275"/>
      <c r="M2229" s="275"/>
      <c r="N2229" s="275"/>
      <c r="O2229" s="276"/>
      <c r="P2229" s="276"/>
      <c r="Q2229" s="247">
        <f t="shared" si="40"/>
        <v>0</v>
      </c>
      <c r="R2229" s="229"/>
      <c r="S2229" s="229"/>
      <c r="T2229" s="229"/>
      <c r="U2229" s="229"/>
      <c r="V2229" s="229"/>
      <c r="W2229" s="229"/>
      <c r="X2229" s="229"/>
    </row>
    <row r="2230" spans="1:24" ht="15.75" hidden="1">
      <c r="A2230" s="343"/>
      <c r="B2230" s="344"/>
      <c r="C2230" s="275"/>
      <c r="D2230" s="275"/>
      <c r="E2230" s="275"/>
      <c r="F2230" s="275"/>
      <c r="G2230" s="275"/>
      <c r="H2230" s="275"/>
      <c r="I2230" s="275"/>
      <c r="J2230" s="275"/>
      <c r="K2230" s="275"/>
      <c r="L2230" s="275"/>
      <c r="M2230" s="275"/>
      <c r="N2230" s="275"/>
      <c r="O2230" s="276"/>
      <c r="P2230" s="276"/>
      <c r="Q2230" s="247">
        <f t="shared" si="40"/>
        <v>0</v>
      </c>
      <c r="R2230" s="229"/>
      <c r="S2230" s="229"/>
      <c r="T2230" s="229"/>
      <c r="U2230" s="229"/>
      <c r="V2230" s="229"/>
      <c r="W2230" s="229"/>
      <c r="X2230" s="229"/>
    </row>
    <row r="2231" spans="1:24" ht="15.75" hidden="1">
      <c r="A2231" s="343"/>
      <c r="B2231" s="344"/>
      <c r="C2231" s="275"/>
      <c r="D2231" s="275"/>
      <c r="E2231" s="275"/>
      <c r="F2231" s="275"/>
      <c r="G2231" s="275"/>
      <c r="H2231" s="275"/>
      <c r="I2231" s="275"/>
      <c r="J2231" s="275"/>
      <c r="K2231" s="275"/>
      <c r="L2231" s="275"/>
      <c r="M2231" s="275"/>
      <c r="N2231" s="275"/>
      <c r="O2231" s="276"/>
      <c r="P2231" s="276"/>
      <c r="Q2231" s="247">
        <f t="shared" si="40"/>
        <v>0</v>
      </c>
      <c r="R2231" s="229"/>
      <c r="S2231" s="229"/>
      <c r="T2231" s="229"/>
      <c r="U2231" s="229"/>
      <c r="V2231" s="229"/>
      <c r="W2231" s="229"/>
      <c r="X2231" s="229"/>
    </row>
    <row r="2232" spans="1:24" ht="15.75" hidden="1">
      <c r="A2232" s="343"/>
      <c r="B2232" s="344"/>
      <c r="C2232" s="275"/>
      <c r="D2232" s="275"/>
      <c r="E2232" s="275"/>
      <c r="F2232" s="275"/>
      <c r="G2232" s="275"/>
      <c r="H2232" s="275"/>
      <c r="I2232" s="275"/>
      <c r="J2232" s="275"/>
      <c r="K2232" s="275"/>
      <c r="L2232" s="275"/>
      <c r="M2232" s="275"/>
      <c r="N2232" s="275"/>
      <c r="O2232" s="276"/>
      <c r="P2232" s="276"/>
      <c r="Q2232" s="247">
        <f t="shared" si="40"/>
        <v>0</v>
      </c>
      <c r="R2232" s="229"/>
      <c r="S2232" s="229"/>
      <c r="T2232" s="229"/>
      <c r="U2232" s="229"/>
      <c r="V2232" s="229"/>
      <c r="W2232" s="229"/>
      <c r="X2232" s="229"/>
    </row>
    <row r="2233" spans="1:24" ht="15.75" hidden="1">
      <c r="A2233" s="343"/>
      <c r="B2233" s="344"/>
      <c r="C2233" s="275"/>
      <c r="D2233" s="275"/>
      <c r="E2233" s="275"/>
      <c r="F2233" s="275"/>
      <c r="G2233" s="275"/>
      <c r="H2233" s="275"/>
      <c r="I2233" s="275"/>
      <c r="J2233" s="275"/>
      <c r="K2233" s="275"/>
      <c r="L2233" s="275"/>
      <c r="M2233" s="275"/>
      <c r="N2233" s="275"/>
      <c r="O2233" s="276"/>
      <c r="P2233" s="276"/>
      <c r="Q2233" s="247">
        <f t="shared" si="40"/>
        <v>0</v>
      </c>
      <c r="R2233" s="229"/>
      <c r="S2233" s="229"/>
      <c r="T2233" s="229"/>
      <c r="U2233" s="229"/>
      <c r="V2233" s="229"/>
      <c r="W2233" s="229"/>
      <c r="X2233" s="229"/>
    </row>
    <row r="2234" spans="1:24" ht="15.75" hidden="1">
      <c r="A2234" s="343"/>
      <c r="B2234" s="344"/>
      <c r="C2234" s="275"/>
      <c r="D2234" s="275"/>
      <c r="E2234" s="275"/>
      <c r="F2234" s="275"/>
      <c r="G2234" s="275"/>
      <c r="H2234" s="275"/>
      <c r="I2234" s="275"/>
      <c r="J2234" s="275"/>
      <c r="K2234" s="275"/>
      <c r="L2234" s="275"/>
      <c r="M2234" s="275"/>
      <c r="N2234" s="275"/>
      <c r="O2234" s="276"/>
      <c r="P2234" s="276"/>
      <c r="Q2234" s="247">
        <f t="shared" si="40"/>
        <v>0</v>
      </c>
      <c r="R2234" s="229"/>
      <c r="S2234" s="229"/>
      <c r="T2234" s="229"/>
      <c r="U2234" s="229"/>
      <c r="V2234" s="229"/>
      <c r="W2234" s="229"/>
      <c r="X2234" s="229"/>
    </row>
    <row r="2235" spans="1:24" ht="15.75" hidden="1">
      <c r="A2235" s="343"/>
      <c r="B2235" s="344"/>
      <c r="C2235" s="275"/>
      <c r="D2235" s="275"/>
      <c r="E2235" s="275"/>
      <c r="F2235" s="275"/>
      <c r="G2235" s="275"/>
      <c r="H2235" s="275"/>
      <c r="I2235" s="275"/>
      <c r="J2235" s="275"/>
      <c r="K2235" s="275"/>
      <c r="L2235" s="275"/>
      <c r="M2235" s="275"/>
      <c r="N2235" s="275"/>
      <c r="O2235" s="276"/>
      <c r="P2235" s="276"/>
      <c r="Q2235" s="247">
        <f t="shared" si="40"/>
        <v>0</v>
      </c>
      <c r="R2235" s="229"/>
      <c r="S2235" s="229"/>
      <c r="T2235" s="229"/>
      <c r="U2235" s="229"/>
      <c r="V2235" s="229"/>
      <c r="W2235" s="229"/>
      <c r="X2235" s="229"/>
    </row>
    <row r="2236" spans="1:24" ht="15.75" hidden="1">
      <c r="A2236" s="343"/>
      <c r="B2236" s="344"/>
      <c r="C2236" s="275"/>
      <c r="D2236" s="275"/>
      <c r="E2236" s="275"/>
      <c r="F2236" s="275"/>
      <c r="G2236" s="275"/>
      <c r="H2236" s="275"/>
      <c r="I2236" s="275"/>
      <c r="J2236" s="275"/>
      <c r="K2236" s="275"/>
      <c r="L2236" s="275"/>
      <c r="M2236" s="275"/>
      <c r="N2236" s="275"/>
      <c r="O2236" s="276"/>
      <c r="P2236" s="276"/>
      <c r="Q2236" s="247">
        <f t="shared" si="40"/>
        <v>0</v>
      </c>
      <c r="R2236" s="229"/>
      <c r="S2236" s="229"/>
      <c r="T2236" s="229"/>
      <c r="U2236" s="229"/>
      <c r="V2236" s="229"/>
      <c r="W2236" s="229"/>
      <c r="X2236" s="229"/>
    </row>
    <row r="2237" spans="1:24" ht="15.75" hidden="1">
      <c r="A2237" s="343"/>
      <c r="B2237" s="344"/>
      <c r="C2237" s="275"/>
      <c r="D2237" s="275"/>
      <c r="E2237" s="275"/>
      <c r="F2237" s="275"/>
      <c r="G2237" s="275"/>
      <c r="H2237" s="275"/>
      <c r="I2237" s="275"/>
      <c r="J2237" s="275"/>
      <c r="K2237" s="275"/>
      <c r="L2237" s="275"/>
      <c r="M2237" s="275"/>
      <c r="N2237" s="275"/>
      <c r="O2237" s="276"/>
      <c r="P2237" s="276"/>
      <c r="Q2237" s="247">
        <f t="shared" si="40"/>
        <v>0</v>
      </c>
      <c r="R2237" s="229"/>
      <c r="S2237" s="229"/>
      <c r="T2237" s="229"/>
      <c r="U2237" s="229"/>
      <c r="V2237" s="229"/>
      <c r="W2237" s="229"/>
      <c r="X2237" s="229"/>
    </row>
    <row r="2238" spans="1:24" ht="15.75" hidden="1">
      <c r="A2238" s="343"/>
      <c r="B2238" s="344"/>
      <c r="C2238" s="275"/>
      <c r="D2238" s="275"/>
      <c r="E2238" s="275"/>
      <c r="F2238" s="275"/>
      <c r="G2238" s="275"/>
      <c r="H2238" s="275"/>
      <c r="I2238" s="275"/>
      <c r="J2238" s="275"/>
      <c r="K2238" s="275"/>
      <c r="L2238" s="275"/>
      <c r="M2238" s="275"/>
      <c r="N2238" s="275"/>
      <c r="O2238" s="276"/>
      <c r="P2238" s="276"/>
      <c r="Q2238" s="247">
        <f t="shared" si="40"/>
        <v>0</v>
      </c>
      <c r="R2238" s="229"/>
      <c r="S2238" s="229"/>
      <c r="T2238" s="229"/>
      <c r="U2238" s="229"/>
      <c r="V2238" s="229"/>
      <c r="W2238" s="229"/>
      <c r="X2238" s="229"/>
    </row>
    <row r="2239" spans="1:24" ht="15.75" hidden="1">
      <c r="A2239" s="343"/>
      <c r="B2239" s="344"/>
      <c r="C2239" s="275"/>
      <c r="D2239" s="275"/>
      <c r="E2239" s="275"/>
      <c r="F2239" s="275"/>
      <c r="G2239" s="275"/>
      <c r="H2239" s="275"/>
      <c r="I2239" s="275"/>
      <c r="J2239" s="275"/>
      <c r="K2239" s="275"/>
      <c r="L2239" s="275"/>
      <c r="M2239" s="275"/>
      <c r="N2239" s="275"/>
      <c r="O2239" s="276"/>
      <c r="P2239" s="276"/>
      <c r="Q2239" s="247">
        <f t="shared" si="40"/>
        <v>0</v>
      </c>
      <c r="R2239" s="229"/>
      <c r="S2239" s="229"/>
      <c r="T2239" s="229"/>
      <c r="U2239" s="229"/>
      <c r="V2239" s="229"/>
      <c r="W2239" s="229"/>
      <c r="X2239" s="229"/>
    </row>
    <row r="2240" spans="1:24" ht="15.75" hidden="1">
      <c r="A2240" s="343"/>
      <c r="B2240" s="344"/>
      <c r="C2240" s="275"/>
      <c r="D2240" s="275"/>
      <c r="E2240" s="275"/>
      <c r="F2240" s="275"/>
      <c r="G2240" s="275"/>
      <c r="H2240" s="275"/>
      <c r="I2240" s="275"/>
      <c r="J2240" s="275"/>
      <c r="K2240" s="275"/>
      <c r="L2240" s="275"/>
      <c r="M2240" s="275"/>
      <c r="N2240" s="275"/>
      <c r="O2240" s="276"/>
      <c r="P2240" s="276"/>
      <c r="Q2240" s="247">
        <f t="shared" si="40"/>
        <v>0</v>
      </c>
      <c r="R2240" s="229"/>
      <c r="S2240" s="229"/>
      <c r="T2240" s="229"/>
      <c r="U2240" s="229"/>
      <c r="V2240" s="229"/>
      <c r="W2240" s="229"/>
      <c r="X2240" s="229"/>
    </row>
    <row r="2241" spans="1:24" ht="15.75" hidden="1">
      <c r="A2241" s="343"/>
      <c r="B2241" s="344"/>
      <c r="C2241" s="275"/>
      <c r="D2241" s="275"/>
      <c r="E2241" s="275"/>
      <c r="F2241" s="275"/>
      <c r="G2241" s="275"/>
      <c r="H2241" s="275"/>
      <c r="I2241" s="275"/>
      <c r="J2241" s="275"/>
      <c r="K2241" s="275"/>
      <c r="L2241" s="275"/>
      <c r="M2241" s="275"/>
      <c r="N2241" s="275"/>
      <c r="O2241" s="276"/>
      <c r="P2241" s="276"/>
      <c r="Q2241" s="247">
        <f t="shared" si="40"/>
        <v>0</v>
      </c>
      <c r="R2241" s="229"/>
      <c r="S2241" s="229"/>
      <c r="T2241" s="229"/>
      <c r="U2241" s="229"/>
      <c r="V2241" s="229"/>
      <c r="W2241" s="229"/>
      <c r="X2241" s="229"/>
    </row>
    <row r="2242" spans="1:24" ht="15.75" hidden="1">
      <c r="A2242" s="343"/>
      <c r="B2242" s="344"/>
      <c r="C2242" s="275"/>
      <c r="D2242" s="275"/>
      <c r="E2242" s="275"/>
      <c r="F2242" s="275"/>
      <c r="G2242" s="275"/>
      <c r="H2242" s="275"/>
      <c r="I2242" s="275"/>
      <c r="J2242" s="275"/>
      <c r="K2242" s="275"/>
      <c r="L2242" s="275"/>
      <c r="M2242" s="275"/>
      <c r="N2242" s="275"/>
      <c r="O2242" s="276"/>
      <c r="P2242" s="276"/>
      <c r="Q2242" s="247">
        <f t="shared" si="40"/>
        <v>0</v>
      </c>
      <c r="R2242" s="229"/>
      <c r="S2242" s="229"/>
      <c r="T2242" s="229"/>
      <c r="U2242" s="229"/>
      <c r="V2242" s="229"/>
      <c r="W2242" s="229"/>
      <c r="X2242" s="229"/>
    </row>
    <row r="2243" spans="1:24" ht="15.75" hidden="1">
      <c r="A2243" s="343"/>
      <c r="B2243" s="344"/>
      <c r="C2243" s="275"/>
      <c r="D2243" s="275"/>
      <c r="E2243" s="275"/>
      <c r="F2243" s="275"/>
      <c r="G2243" s="275"/>
      <c r="H2243" s="275"/>
      <c r="I2243" s="275"/>
      <c r="J2243" s="275"/>
      <c r="K2243" s="275"/>
      <c r="L2243" s="275"/>
      <c r="M2243" s="275"/>
      <c r="N2243" s="275"/>
      <c r="O2243" s="276"/>
      <c r="P2243" s="276"/>
      <c r="Q2243" s="247">
        <f t="shared" si="40"/>
        <v>0</v>
      </c>
      <c r="R2243" s="229"/>
      <c r="S2243" s="229"/>
      <c r="T2243" s="229"/>
      <c r="U2243" s="229"/>
      <c r="V2243" s="229"/>
      <c r="W2243" s="229"/>
      <c r="X2243" s="229"/>
    </row>
    <row r="2244" spans="1:24" ht="15.75" hidden="1">
      <c r="A2244" s="343"/>
      <c r="B2244" s="344"/>
      <c r="C2244" s="275"/>
      <c r="D2244" s="275"/>
      <c r="E2244" s="275"/>
      <c r="F2244" s="275"/>
      <c r="G2244" s="275"/>
      <c r="H2244" s="275"/>
      <c r="I2244" s="275"/>
      <c r="J2244" s="275"/>
      <c r="K2244" s="275"/>
      <c r="L2244" s="275"/>
      <c r="M2244" s="275"/>
      <c r="N2244" s="275"/>
      <c r="O2244" s="276"/>
      <c r="P2244" s="276"/>
      <c r="Q2244" s="247">
        <f t="shared" si="40"/>
        <v>0</v>
      </c>
      <c r="R2244" s="229"/>
      <c r="S2244" s="229"/>
      <c r="T2244" s="229"/>
      <c r="U2244" s="229"/>
      <c r="V2244" s="229"/>
      <c r="W2244" s="229"/>
      <c r="X2244" s="229"/>
    </row>
    <row r="2245" spans="1:24" ht="15.75" hidden="1">
      <c r="A2245" s="343"/>
      <c r="B2245" s="344"/>
      <c r="C2245" s="275"/>
      <c r="D2245" s="275"/>
      <c r="E2245" s="275"/>
      <c r="F2245" s="275"/>
      <c r="G2245" s="275"/>
      <c r="H2245" s="275"/>
      <c r="I2245" s="275"/>
      <c r="J2245" s="275"/>
      <c r="K2245" s="275"/>
      <c r="L2245" s="275"/>
      <c r="M2245" s="275"/>
      <c r="N2245" s="275"/>
      <c r="O2245" s="276"/>
      <c r="P2245" s="276"/>
      <c r="Q2245" s="247">
        <f t="shared" si="40"/>
        <v>0</v>
      </c>
      <c r="R2245" s="229"/>
      <c r="S2245" s="229"/>
      <c r="T2245" s="229"/>
      <c r="U2245" s="229"/>
      <c r="V2245" s="229"/>
      <c r="W2245" s="229"/>
      <c r="X2245" s="229"/>
    </row>
    <row r="2246" spans="1:24" ht="15.75" hidden="1">
      <c r="A2246" s="343"/>
      <c r="B2246" s="344"/>
      <c r="C2246" s="275"/>
      <c r="D2246" s="275"/>
      <c r="E2246" s="275"/>
      <c r="F2246" s="275"/>
      <c r="G2246" s="275"/>
      <c r="H2246" s="275"/>
      <c r="I2246" s="275"/>
      <c r="J2246" s="275"/>
      <c r="K2246" s="275"/>
      <c r="L2246" s="275"/>
      <c r="M2246" s="275"/>
      <c r="N2246" s="275"/>
      <c r="O2246" s="276"/>
      <c r="P2246" s="276"/>
      <c r="Q2246" s="247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9"/>
      <c r="S2246" s="229"/>
      <c r="T2246" s="229"/>
      <c r="U2246" s="229"/>
      <c r="V2246" s="229"/>
      <c r="W2246" s="229"/>
      <c r="X2246" s="229"/>
    </row>
    <row r="2247" spans="1:24" ht="15.75" hidden="1">
      <c r="A2247" s="343"/>
      <c r="B2247" s="344"/>
      <c r="C2247" s="275"/>
      <c r="D2247" s="275"/>
      <c r="E2247" s="275"/>
      <c r="F2247" s="275"/>
      <c r="G2247" s="275"/>
      <c r="H2247" s="275"/>
      <c r="I2247" s="275"/>
      <c r="J2247" s="275"/>
      <c r="K2247" s="275"/>
      <c r="L2247" s="275"/>
      <c r="M2247" s="275"/>
      <c r="N2247" s="275"/>
      <c r="O2247" s="276"/>
      <c r="P2247" s="276"/>
      <c r="Q2247" s="247">
        <f t="shared" si="41"/>
        <v>0</v>
      </c>
      <c r="R2247" s="229"/>
      <c r="S2247" s="229"/>
      <c r="T2247" s="229"/>
      <c r="U2247" s="229"/>
      <c r="V2247" s="229"/>
      <c r="W2247" s="229"/>
      <c r="X2247" s="229"/>
    </row>
    <row r="2248" spans="1:24" ht="15.75" hidden="1">
      <c r="A2248" s="343"/>
      <c r="B2248" s="344"/>
      <c r="C2248" s="275"/>
      <c r="D2248" s="275"/>
      <c r="E2248" s="275"/>
      <c r="F2248" s="275"/>
      <c r="G2248" s="275"/>
      <c r="H2248" s="275"/>
      <c r="I2248" s="275"/>
      <c r="J2248" s="275"/>
      <c r="K2248" s="275"/>
      <c r="L2248" s="275"/>
      <c r="M2248" s="275"/>
      <c r="N2248" s="275"/>
      <c r="O2248" s="276"/>
      <c r="P2248" s="276"/>
      <c r="Q2248" s="247">
        <f t="shared" si="41"/>
        <v>0</v>
      </c>
      <c r="R2248" s="229"/>
      <c r="S2248" s="229"/>
      <c r="T2248" s="229"/>
      <c r="U2248" s="229"/>
      <c r="V2248" s="229"/>
      <c r="W2248" s="229"/>
      <c r="X2248" s="229"/>
    </row>
    <row r="2249" spans="1:24" ht="15.75" hidden="1">
      <c r="A2249" s="343"/>
      <c r="B2249" s="344"/>
      <c r="C2249" s="275"/>
      <c r="D2249" s="275"/>
      <c r="E2249" s="275"/>
      <c r="F2249" s="275"/>
      <c r="G2249" s="275"/>
      <c r="H2249" s="275"/>
      <c r="I2249" s="275"/>
      <c r="J2249" s="275"/>
      <c r="K2249" s="275"/>
      <c r="L2249" s="275"/>
      <c r="M2249" s="275"/>
      <c r="N2249" s="275"/>
      <c r="O2249" s="276"/>
      <c r="P2249" s="276"/>
      <c r="Q2249" s="247">
        <f t="shared" si="41"/>
        <v>0</v>
      </c>
      <c r="R2249" s="229"/>
      <c r="S2249" s="229"/>
      <c r="T2249" s="229"/>
      <c r="U2249" s="229"/>
      <c r="V2249" s="229"/>
      <c r="W2249" s="229"/>
      <c r="X2249" s="229"/>
    </row>
    <row r="2250" spans="1:24" ht="15.75" hidden="1">
      <c r="A2250" s="343"/>
      <c r="B2250" s="344"/>
      <c r="C2250" s="275"/>
      <c r="D2250" s="275"/>
      <c r="E2250" s="275"/>
      <c r="F2250" s="275"/>
      <c r="G2250" s="275"/>
      <c r="H2250" s="275"/>
      <c r="I2250" s="275"/>
      <c r="J2250" s="275"/>
      <c r="K2250" s="275"/>
      <c r="L2250" s="275"/>
      <c r="M2250" s="275"/>
      <c r="N2250" s="275"/>
      <c r="O2250" s="276"/>
      <c r="P2250" s="276"/>
      <c r="Q2250" s="247">
        <f t="shared" si="41"/>
        <v>0</v>
      </c>
      <c r="R2250" s="229"/>
      <c r="S2250" s="229"/>
      <c r="T2250" s="229"/>
      <c r="U2250" s="229"/>
      <c r="V2250" s="229"/>
      <c r="W2250" s="229"/>
      <c r="X2250" s="229"/>
    </row>
    <row r="2251" spans="1:24" ht="15.75" hidden="1">
      <c r="A2251" s="343"/>
      <c r="B2251" s="344"/>
      <c r="C2251" s="275"/>
      <c r="D2251" s="275"/>
      <c r="E2251" s="275"/>
      <c r="F2251" s="275"/>
      <c r="G2251" s="275"/>
      <c r="H2251" s="275"/>
      <c r="I2251" s="275"/>
      <c r="J2251" s="275"/>
      <c r="K2251" s="275"/>
      <c r="L2251" s="275"/>
      <c r="M2251" s="275"/>
      <c r="N2251" s="275"/>
      <c r="O2251" s="276"/>
      <c r="P2251" s="276"/>
      <c r="Q2251" s="247">
        <f t="shared" si="41"/>
        <v>0</v>
      </c>
      <c r="R2251" s="229"/>
      <c r="S2251" s="229"/>
      <c r="T2251" s="229"/>
      <c r="U2251" s="229"/>
      <c r="V2251" s="229"/>
      <c r="W2251" s="229"/>
      <c r="X2251" s="229"/>
    </row>
    <row r="2252" spans="1:24" ht="15.75" hidden="1">
      <c r="A2252" s="343"/>
      <c r="B2252" s="344"/>
      <c r="C2252" s="275"/>
      <c r="D2252" s="275"/>
      <c r="E2252" s="275"/>
      <c r="F2252" s="275"/>
      <c r="G2252" s="275"/>
      <c r="H2252" s="275"/>
      <c r="I2252" s="275"/>
      <c r="J2252" s="275"/>
      <c r="K2252" s="275"/>
      <c r="L2252" s="275"/>
      <c r="M2252" s="275"/>
      <c r="N2252" s="275"/>
      <c r="O2252" s="276"/>
      <c r="P2252" s="276"/>
      <c r="Q2252" s="247">
        <f t="shared" si="41"/>
        <v>0</v>
      </c>
      <c r="R2252" s="229"/>
      <c r="S2252" s="229"/>
      <c r="T2252" s="229"/>
      <c r="U2252" s="229"/>
      <c r="V2252" s="229"/>
      <c r="W2252" s="229"/>
      <c r="X2252" s="229"/>
    </row>
    <row r="2253" spans="1:24" ht="15.75" hidden="1">
      <c r="A2253" s="343"/>
      <c r="B2253" s="344"/>
      <c r="C2253" s="275"/>
      <c r="D2253" s="275"/>
      <c r="E2253" s="275"/>
      <c r="F2253" s="275"/>
      <c r="G2253" s="275"/>
      <c r="H2253" s="275"/>
      <c r="I2253" s="275"/>
      <c r="J2253" s="275"/>
      <c r="K2253" s="275"/>
      <c r="L2253" s="275"/>
      <c r="M2253" s="275"/>
      <c r="N2253" s="275"/>
      <c r="O2253" s="276"/>
      <c r="P2253" s="276"/>
      <c r="Q2253" s="247">
        <f t="shared" si="41"/>
        <v>0</v>
      </c>
      <c r="R2253" s="229"/>
      <c r="S2253" s="229"/>
      <c r="T2253" s="229"/>
      <c r="U2253" s="229"/>
      <c r="V2253" s="229"/>
      <c r="W2253" s="229"/>
      <c r="X2253" s="229"/>
    </row>
    <row r="2254" spans="1:24" ht="15.75" hidden="1">
      <c r="A2254" s="343"/>
      <c r="B2254" s="344"/>
      <c r="C2254" s="275"/>
      <c r="D2254" s="275"/>
      <c r="E2254" s="275"/>
      <c r="F2254" s="275"/>
      <c r="G2254" s="275"/>
      <c r="H2254" s="275"/>
      <c r="I2254" s="275"/>
      <c r="J2254" s="275"/>
      <c r="K2254" s="275"/>
      <c r="L2254" s="275"/>
      <c r="M2254" s="275"/>
      <c r="N2254" s="275"/>
      <c r="O2254" s="276"/>
      <c r="P2254" s="276"/>
      <c r="Q2254" s="247">
        <f t="shared" si="41"/>
        <v>0</v>
      </c>
      <c r="R2254" s="229"/>
      <c r="S2254" s="229"/>
      <c r="T2254" s="229"/>
      <c r="U2254" s="229"/>
      <c r="V2254" s="229"/>
      <c r="W2254" s="229"/>
      <c r="X2254" s="229"/>
    </row>
    <row r="2255" spans="1:24" ht="15.75" hidden="1">
      <c r="A2255" s="343"/>
      <c r="B2255" s="344"/>
      <c r="C2255" s="275"/>
      <c r="D2255" s="275"/>
      <c r="E2255" s="275"/>
      <c r="F2255" s="275"/>
      <c r="G2255" s="275"/>
      <c r="H2255" s="275"/>
      <c r="I2255" s="275"/>
      <c r="J2255" s="275"/>
      <c r="K2255" s="275"/>
      <c r="L2255" s="275"/>
      <c r="M2255" s="275"/>
      <c r="N2255" s="275"/>
      <c r="O2255" s="276"/>
      <c r="P2255" s="276"/>
      <c r="Q2255" s="247">
        <f t="shared" si="41"/>
        <v>0</v>
      </c>
      <c r="R2255" s="229"/>
      <c r="S2255" s="229"/>
      <c r="T2255" s="229"/>
      <c r="U2255" s="229"/>
      <c r="V2255" s="229"/>
      <c r="W2255" s="229"/>
      <c r="X2255" s="229"/>
    </row>
    <row r="2256" spans="1:24" ht="15.75" hidden="1">
      <c r="A2256" s="343"/>
      <c r="B2256" s="344"/>
      <c r="C2256" s="275"/>
      <c r="D2256" s="275"/>
      <c r="E2256" s="275"/>
      <c r="F2256" s="275"/>
      <c r="G2256" s="275"/>
      <c r="H2256" s="275"/>
      <c r="I2256" s="275"/>
      <c r="J2256" s="275"/>
      <c r="K2256" s="275"/>
      <c r="L2256" s="275"/>
      <c r="M2256" s="275"/>
      <c r="N2256" s="275"/>
      <c r="O2256" s="276"/>
      <c r="P2256" s="276"/>
      <c r="Q2256" s="247">
        <f t="shared" si="41"/>
        <v>0</v>
      </c>
      <c r="R2256" s="229"/>
      <c r="S2256" s="229"/>
      <c r="T2256" s="229"/>
      <c r="U2256" s="229"/>
      <c r="V2256" s="229"/>
      <c r="W2256" s="229"/>
      <c r="X2256" s="229"/>
    </row>
    <row r="2257" spans="1:24" ht="15.75" hidden="1">
      <c r="A2257" s="343"/>
      <c r="B2257" s="344"/>
      <c r="C2257" s="275"/>
      <c r="D2257" s="275"/>
      <c r="E2257" s="275"/>
      <c r="F2257" s="275"/>
      <c r="G2257" s="275"/>
      <c r="H2257" s="275"/>
      <c r="I2257" s="275"/>
      <c r="J2257" s="275"/>
      <c r="K2257" s="275"/>
      <c r="L2257" s="275"/>
      <c r="M2257" s="275"/>
      <c r="N2257" s="275"/>
      <c r="O2257" s="276"/>
      <c r="P2257" s="276"/>
      <c r="Q2257" s="247">
        <f t="shared" si="41"/>
        <v>0</v>
      </c>
      <c r="R2257" s="229"/>
      <c r="S2257" s="229"/>
      <c r="T2257" s="229"/>
      <c r="U2257" s="229"/>
      <c r="V2257" s="229"/>
      <c r="W2257" s="229"/>
      <c r="X2257" s="229"/>
    </row>
    <row r="2258" spans="1:24" ht="15.75" hidden="1">
      <c r="A2258" s="343"/>
      <c r="B2258" s="344"/>
      <c r="C2258" s="275"/>
      <c r="D2258" s="275"/>
      <c r="E2258" s="275"/>
      <c r="F2258" s="275"/>
      <c r="G2258" s="275"/>
      <c r="H2258" s="275"/>
      <c r="I2258" s="275"/>
      <c r="J2258" s="275"/>
      <c r="K2258" s="275"/>
      <c r="L2258" s="275"/>
      <c r="M2258" s="275"/>
      <c r="N2258" s="275"/>
      <c r="O2258" s="276"/>
      <c r="P2258" s="276"/>
      <c r="Q2258" s="247">
        <f t="shared" si="41"/>
        <v>0</v>
      </c>
      <c r="R2258" s="229"/>
      <c r="S2258" s="229"/>
      <c r="T2258" s="229"/>
      <c r="U2258" s="229"/>
      <c r="V2258" s="229"/>
      <c r="W2258" s="229"/>
      <c r="X2258" s="229"/>
    </row>
    <row r="2259" spans="1:24" ht="15.75" hidden="1">
      <c r="A2259" s="343"/>
      <c r="B2259" s="344"/>
      <c r="C2259" s="275"/>
      <c r="D2259" s="275"/>
      <c r="E2259" s="275"/>
      <c r="F2259" s="275"/>
      <c r="G2259" s="275"/>
      <c r="H2259" s="275"/>
      <c r="I2259" s="275"/>
      <c r="J2259" s="275"/>
      <c r="K2259" s="275"/>
      <c r="L2259" s="275"/>
      <c r="M2259" s="275"/>
      <c r="N2259" s="275"/>
      <c r="O2259" s="276"/>
      <c r="P2259" s="276"/>
      <c r="Q2259" s="247">
        <f t="shared" si="41"/>
        <v>0</v>
      </c>
      <c r="R2259" s="229"/>
      <c r="S2259" s="229"/>
      <c r="T2259" s="229"/>
      <c r="U2259" s="229"/>
      <c r="V2259" s="229"/>
      <c r="W2259" s="229"/>
      <c r="X2259" s="229"/>
    </row>
    <row r="2260" spans="1:24" ht="15.75" hidden="1">
      <c r="A2260" s="343"/>
      <c r="B2260" s="344"/>
      <c r="C2260" s="275"/>
      <c r="D2260" s="275"/>
      <c r="E2260" s="275"/>
      <c r="F2260" s="275"/>
      <c r="G2260" s="275"/>
      <c r="H2260" s="275"/>
      <c r="I2260" s="275"/>
      <c r="J2260" s="275"/>
      <c r="K2260" s="275"/>
      <c r="L2260" s="275"/>
      <c r="M2260" s="275"/>
      <c r="N2260" s="275"/>
      <c r="O2260" s="276"/>
      <c r="P2260" s="276"/>
      <c r="Q2260" s="247">
        <f t="shared" si="41"/>
        <v>0</v>
      </c>
      <c r="R2260" s="229"/>
      <c r="S2260" s="229"/>
      <c r="T2260" s="229"/>
      <c r="U2260" s="229"/>
      <c r="V2260" s="229"/>
      <c r="W2260" s="229"/>
      <c r="X2260" s="229"/>
    </row>
    <row r="2261" spans="1:24" ht="15.75" hidden="1">
      <c r="A2261" s="343"/>
      <c r="B2261" s="344"/>
      <c r="C2261" s="275"/>
      <c r="D2261" s="275"/>
      <c r="E2261" s="275"/>
      <c r="F2261" s="275"/>
      <c r="G2261" s="275"/>
      <c r="H2261" s="275"/>
      <c r="I2261" s="275"/>
      <c r="J2261" s="275"/>
      <c r="K2261" s="275"/>
      <c r="L2261" s="275"/>
      <c r="M2261" s="275"/>
      <c r="N2261" s="275"/>
      <c r="O2261" s="276"/>
      <c r="P2261" s="276"/>
      <c r="Q2261" s="247">
        <f t="shared" si="41"/>
        <v>0</v>
      </c>
      <c r="R2261" s="229"/>
      <c r="S2261" s="229"/>
      <c r="T2261" s="229"/>
      <c r="U2261" s="229"/>
      <c r="V2261" s="229"/>
      <c r="W2261" s="229"/>
      <c r="X2261" s="229"/>
    </row>
    <row r="2262" spans="1:24" ht="15.75" hidden="1">
      <c r="A2262" s="343"/>
      <c r="B2262" s="344"/>
      <c r="C2262" s="275"/>
      <c r="D2262" s="275"/>
      <c r="E2262" s="275"/>
      <c r="F2262" s="275"/>
      <c r="G2262" s="275"/>
      <c r="H2262" s="275"/>
      <c r="I2262" s="275"/>
      <c r="J2262" s="275"/>
      <c r="K2262" s="275"/>
      <c r="L2262" s="275"/>
      <c r="M2262" s="275"/>
      <c r="N2262" s="275"/>
      <c r="O2262" s="276"/>
      <c r="P2262" s="276"/>
      <c r="Q2262" s="247">
        <f t="shared" si="41"/>
        <v>0</v>
      </c>
      <c r="R2262" s="229"/>
      <c r="S2262" s="229"/>
      <c r="T2262" s="229"/>
      <c r="U2262" s="229"/>
      <c r="V2262" s="229"/>
      <c r="W2262" s="229"/>
      <c r="X2262" s="229"/>
    </row>
    <row r="2263" spans="1:24" ht="15.75" hidden="1">
      <c r="A2263" s="343"/>
      <c r="B2263" s="344"/>
      <c r="C2263" s="275"/>
      <c r="D2263" s="275"/>
      <c r="E2263" s="275"/>
      <c r="F2263" s="275"/>
      <c r="G2263" s="275"/>
      <c r="H2263" s="275"/>
      <c r="I2263" s="275"/>
      <c r="J2263" s="275"/>
      <c r="K2263" s="275"/>
      <c r="L2263" s="275"/>
      <c r="M2263" s="275"/>
      <c r="N2263" s="275"/>
      <c r="O2263" s="276"/>
      <c r="P2263" s="276"/>
      <c r="Q2263" s="247">
        <f t="shared" si="41"/>
        <v>0</v>
      </c>
      <c r="R2263" s="229"/>
      <c r="S2263" s="229"/>
      <c r="T2263" s="229"/>
      <c r="U2263" s="229"/>
      <c r="V2263" s="229"/>
      <c r="W2263" s="229"/>
      <c r="X2263" s="229"/>
    </row>
    <row r="2264" spans="1:24" ht="15.75" hidden="1">
      <c r="A2264" s="343"/>
      <c r="B2264" s="344"/>
      <c r="C2264" s="275"/>
      <c r="D2264" s="275"/>
      <c r="E2264" s="275"/>
      <c r="F2264" s="275"/>
      <c r="G2264" s="275"/>
      <c r="H2264" s="275"/>
      <c r="I2264" s="275"/>
      <c r="J2264" s="275"/>
      <c r="K2264" s="275"/>
      <c r="L2264" s="275"/>
      <c r="M2264" s="275"/>
      <c r="N2264" s="275"/>
      <c r="O2264" s="276"/>
      <c r="P2264" s="276"/>
      <c r="Q2264" s="247">
        <f t="shared" si="41"/>
        <v>0</v>
      </c>
      <c r="R2264" s="229"/>
      <c r="S2264" s="229"/>
      <c r="T2264" s="229"/>
      <c r="U2264" s="229"/>
      <c r="V2264" s="229"/>
      <c r="W2264" s="229"/>
      <c r="X2264" s="229"/>
    </row>
    <row r="2265" spans="1:24" ht="15.75" hidden="1">
      <c r="A2265" s="343"/>
      <c r="B2265" s="344"/>
      <c r="C2265" s="275"/>
      <c r="D2265" s="275"/>
      <c r="E2265" s="275"/>
      <c r="F2265" s="275"/>
      <c r="G2265" s="275"/>
      <c r="H2265" s="275"/>
      <c r="I2265" s="275"/>
      <c r="J2265" s="275"/>
      <c r="K2265" s="275"/>
      <c r="L2265" s="275"/>
      <c r="M2265" s="275"/>
      <c r="N2265" s="275"/>
      <c r="O2265" s="276"/>
      <c r="P2265" s="276"/>
      <c r="Q2265" s="247">
        <f t="shared" si="41"/>
        <v>0</v>
      </c>
      <c r="R2265" s="229"/>
      <c r="S2265" s="229"/>
      <c r="T2265" s="229"/>
      <c r="U2265" s="229"/>
      <c r="V2265" s="229"/>
      <c r="W2265" s="229"/>
      <c r="X2265" s="229"/>
    </row>
    <row r="2266" spans="1:24" ht="15.75" hidden="1">
      <c r="A2266" s="343"/>
      <c r="B2266" s="344"/>
      <c r="C2266" s="275"/>
      <c r="D2266" s="275"/>
      <c r="E2266" s="275"/>
      <c r="F2266" s="275"/>
      <c r="G2266" s="275"/>
      <c r="H2266" s="275"/>
      <c r="I2266" s="275"/>
      <c r="J2266" s="275"/>
      <c r="K2266" s="275"/>
      <c r="L2266" s="275"/>
      <c r="M2266" s="275"/>
      <c r="N2266" s="275"/>
      <c r="O2266" s="276"/>
      <c r="P2266" s="276"/>
      <c r="Q2266" s="247">
        <f t="shared" si="41"/>
        <v>0</v>
      </c>
      <c r="R2266" s="229"/>
      <c r="S2266" s="229"/>
      <c r="T2266" s="229"/>
      <c r="U2266" s="229"/>
      <c r="V2266" s="229"/>
      <c r="W2266" s="229"/>
      <c r="X2266" s="229"/>
    </row>
    <row r="2267" spans="1:24" ht="15.75" hidden="1">
      <c r="A2267" s="343"/>
      <c r="B2267" s="344"/>
      <c r="C2267" s="275"/>
      <c r="D2267" s="275"/>
      <c r="E2267" s="275"/>
      <c r="F2267" s="275"/>
      <c r="G2267" s="275"/>
      <c r="H2267" s="275"/>
      <c r="I2267" s="275"/>
      <c r="J2267" s="275"/>
      <c r="K2267" s="275"/>
      <c r="L2267" s="275"/>
      <c r="M2267" s="275"/>
      <c r="N2267" s="275"/>
      <c r="O2267" s="276"/>
      <c r="P2267" s="276"/>
      <c r="Q2267" s="247">
        <f t="shared" si="41"/>
        <v>0</v>
      </c>
      <c r="R2267" s="229"/>
      <c r="S2267" s="229"/>
      <c r="T2267" s="229"/>
      <c r="U2267" s="229"/>
      <c r="V2267" s="229"/>
      <c r="W2267" s="229"/>
      <c r="X2267" s="229"/>
    </row>
    <row r="2268" spans="1:24" ht="15.75" hidden="1">
      <c r="A2268" s="343"/>
      <c r="B2268" s="344"/>
      <c r="C2268" s="275"/>
      <c r="D2268" s="275"/>
      <c r="E2268" s="275"/>
      <c r="F2268" s="275"/>
      <c r="G2268" s="275"/>
      <c r="H2268" s="275"/>
      <c r="I2268" s="275"/>
      <c r="J2268" s="275"/>
      <c r="K2268" s="275"/>
      <c r="L2268" s="275"/>
      <c r="M2268" s="275"/>
      <c r="N2268" s="275"/>
      <c r="O2268" s="276"/>
      <c r="P2268" s="276"/>
      <c r="Q2268" s="247">
        <f t="shared" si="41"/>
        <v>0</v>
      </c>
      <c r="R2268" s="229"/>
      <c r="S2268" s="229"/>
      <c r="T2268" s="229"/>
      <c r="U2268" s="229"/>
      <c r="V2268" s="229"/>
      <c r="W2268" s="229"/>
      <c r="X2268" s="229"/>
    </row>
    <row r="2269" spans="1:24" ht="15.75" hidden="1">
      <c r="A2269" s="343"/>
      <c r="B2269" s="344"/>
      <c r="C2269" s="275"/>
      <c r="D2269" s="275"/>
      <c r="E2269" s="275"/>
      <c r="F2269" s="275"/>
      <c r="G2269" s="275"/>
      <c r="H2269" s="275"/>
      <c r="I2269" s="275"/>
      <c r="J2269" s="275"/>
      <c r="K2269" s="275"/>
      <c r="L2269" s="275"/>
      <c r="M2269" s="275"/>
      <c r="N2269" s="275"/>
      <c r="O2269" s="276"/>
      <c r="P2269" s="276"/>
      <c r="Q2269" s="247">
        <f t="shared" si="41"/>
        <v>0</v>
      </c>
      <c r="R2269" s="229"/>
      <c r="S2269" s="229"/>
      <c r="T2269" s="229"/>
      <c r="U2269" s="229"/>
      <c r="V2269" s="229"/>
      <c r="W2269" s="229"/>
      <c r="X2269" s="229"/>
    </row>
    <row r="2270" spans="1:24" ht="15.75" hidden="1">
      <c r="A2270" s="343"/>
      <c r="B2270" s="344"/>
      <c r="C2270" s="275"/>
      <c r="D2270" s="275"/>
      <c r="E2270" s="275"/>
      <c r="F2270" s="275"/>
      <c r="G2270" s="275"/>
      <c r="H2270" s="275"/>
      <c r="I2270" s="275"/>
      <c r="J2270" s="275"/>
      <c r="K2270" s="275"/>
      <c r="L2270" s="275"/>
      <c r="M2270" s="275"/>
      <c r="N2270" s="275"/>
      <c r="O2270" s="276"/>
      <c r="P2270" s="276"/>
      <c r="Q2270" s="247">
        <f t="shared" si="41"/>
        <v>0</v>
      </c>
      <c r="R2270" s="229"/>
      <c r="S2270" s="229"/>
      <c r="T2270" s="229"/>
      <c r="U2270" s="229"/>
      <c r="V2270" s="229"/>
      <c r="W2270" s="229"/>
      <c r="X2270" s="229"/>
    </row>
    <row r="2271" spans="1:24" ht="15.75" hidden="1">
      <c r="A2271" s="343"/>
      <c r="B2271" s="344"/>
      <c r="C2271" s="275"/>
      <c r="D2271" s="275"/>
      <c r="E2271" s="275"/>
      <c r="F2271" s="275"/>
      <c r="G2271" s="275"/>
      <c r="H2271" s="275"/>
      <c r="I2271" s="275"/>
      <c r="J2271" s="275"/>
      <c r="K2271" s="275"/>
      <c r="L2271" s="275"/>
      <c r="M2271" s="275"/>
      <c r="N2271" s="275"/>
      <c r="O2271" s="276"/>
      <c r="P2271" s="276"/>
      <c r="Q2271" s="247">
        <f t="shared" si="41"/>
        <v>0</v>
      </c>
      <c r="R2271" s="229"/>
      <c r="S2271" s="229"/>
      <c r="T2271" s="229"/>
      <c r="U2271" s="229"/>
      <c r="V2271" s="229"/>
      <c r="W2271" s="229"/>
      <c r="X2271" s="229"/>
    </row>
    <row r="2272" spans="1:24" ht="15.75" hidden="1">
      <c r="A2272" s="343"/>
      <c r="B2272" s="344"/>
      <c r="C2272" s="275"/>
      <c r="D2272" s="275"/>
      <c r="E2272" s="275"/>
      <c r="F2272" s="275"/>
      <c r="G2272" s="275"/>
      <c r="H2272" s="275"/>
      <c r="I2272" s="275"/>
      <c r="J2272" s="275"/>
      <c r="K2272" s="275"/>
      <c r="L2272" s="275"/>
      <c r="M2272" s="275"/>
      <c r="N2272" s="275"/>
      <c r="O2272" s="276"/>
      <c r="P2272" s="276"/>
      <c r="Q2272" s="247">
        <f t="shared" si="41"/>
        <v>0</v>
      </c>
      <c r="R2272" s="229"/>
      <c r="S2272" s="229"/>
      <c r="T2272" s="229"/>
      <c r="U2272" s="229"/>
      <c r="V2272" s="229"/>
      <c r="W2272" s="229"/>
      <c r="X2272" s="229"/>
    </row>
    <row r="2273" spans="1:24" ht="15.75" hidden="1">
      <c r="A2273" s="343"/>
      <c r="B2273" s="344"/>
      <c r="C2273" s="275"/>
      <c r="D2273" s="275"/>
      <c r="E2273" s="275"/>
      <c r="F2273" s="275"/>
      <c r="G2273" s="275"/>
      <c r="H2273" s="275"/>
      <c r="I2273" s="275"/>
      <c r="J2273" s="275"/>
      <c r="K2273" s="275"/>
      <c r="L2273" s="275"/>
      <c r="M2273" s="275"/>
      <c r="N2273" s="275"/>
      <c r="O2273" s="276"/>
      <c r="P2273" s="276"/>
      <c r="Q2273" s="247">
        <f t="shared" si="41"/>
        <v>0</v>
      </c>
      <c r="R2273" s="229"/>
      <c r="S2273" s="229"/>
      <c r="T2273" s="229"/>
      <c r="U2273" s="229"/>
      <c r="V2273" s="229"/>
      <c r="W2273" s="229"/>
      <c r="X2273" s="229"/>
    </row>
    <row r="2274" spans="1:24" ht="15.75" hidden="1">
      <c r="A2274" s="343"/>
      <c r="B2274" s="344"/>
      <c r="C2274" s="275"/>
      <c r="D2274" s="275"/>
      <c r="E2274" s="275"/>
      <c r="F2274" s="275"/>
      <c r="G2274" s="275"/>
      <c r="H2274" s="275"/>
      <c r="I2274" s="275"/>
      <c r="J2274" s="275"/>
      <c r="K2274" s="275"/>
      <c r="L2274" s="275"/>
      <c r="M2274" s="275"/>
      <c r="N2274" s="275"/>
      <c r="O2274" s="276"/>
      <c r="P2274" s="276"/>
      <c r="Q2274" s="247">
        <f t="shared" si="41"/>
        <v>0</v>
      </c>
      <c r="R2274" s="229"/>
      <c r="S2274" s="229"/>
      <c r="T2274" s="229"/>
      <c r="U2274" s="229"/>
      <c r="V2274" s="229"/>
      <c r="W2274" s="229"/>
      <c r="X2274" s="229"/>
    </row>
    <row r="2275" spans="1:24" ht="15.75" hidden="1">
      <c r="A2275" s="343"/>
      <c r="B2275" s="344"/>
      <c r="C2275" s="275"/>
      <c r="D2275" s="275"/>
      <c r="E2275" s="275"/>
      <c r="F2275" s="275"/>
      <c r="G2275" s="275"/>
      <c r="H2275" s="275"/>
      <c r="I2275" s="275"/>
      <c r="J2275" s="275"/>
      <c r="K2275" s="275"/>
      <c r="L2275" s="275"/>
      <c r="M2275" s="275"/>
      <c r="N2275" s="275"/>
      <c r="O2275" s="276"/>
      <c r="P2275" s="276"/>
      <c r="Q2275" s="247">
        <f t="shared" si="41"/>
        <v>0</v>
      </c>
      <c r="R2275" s="229"/>
      <c r="S2275" s="229"/>
      <c r="T2275" s="229"/>
      <c r="U2275" s="229"/>
      <c r="V2275" s="229"/>
      <c r="W2275" s="229"/>
      <c r="X2275" s="229"/>
    </row>
    <row r="2276" spans="1:24" ht="15.75" hidden="1">
      <c r="A2276" s="343"/>
      <c r="B2276" s="344"/>
      <c r="C2276" s="275"/>
      <c r="D2276" s="275"/>
      <c r="E2276" s="275"/>
      <c r="F2276" s="275"/>
      <c r="G2276" s="275"/>
      <c r="H2276" s="275"/>
      <c r="I2276" s="275"/>
      <c r="J2276" s="275"/>
      <c r="K2276" s="275"/>
      <c r="L2276" s="275"/>
      <c r="M2276" s="275"/>
      <c r="N2276" s="275"/>
      <c r="O2276" s="276"/>
      <c r="P2276" s="276"/>
      <c r="Q2276" s="247">
        <f t="shared" si="41"/>
        <v>0</v>
      </c>
      <c r="R2276" s="229"/>
      <c r="S2276" s="229"/>
      <c r="T2276" s="229"/>
      <c r="U2276" s="229"/>
      <c r="V2276" s="229"/>
      <c r="W2276" s="229"/>
      <c r="X2276" s="229"/>
    </row>
    <row r="2277" spans="1:24" ht="15.75" hidden="1">
      <c r="A2277" s="343"/>
      <c r="B2277" s="344"/>
      <c r="C2277" s="275"/>
      <c r="D2277" s="275"/>
      <c r="E2277" s="275"/>
      <c r="F2277" s="275"/>
      <c r="G2277" s="275"/>
      <c r="H2277" s="275"/>
      <c r="I2277" s="275"/>
      <c r="J2277" s="275"/>
      <c r="K2277" s="275"/>
      <c r="L2277" s="275"/>
      <c r="M2277" s="275"/>
      <c r="N2277" s="275"/>
      <c r="O2277" s="276"/>
      <c r="P2277" s="276"/>
      <c r="Q2277" s="247">
        <f t="shared" si="41"/>
        <v>0</v>
      </c>
      <c r="R2277" s="229"/>
      <c r="S2277" s="229"/>
      <c r="T2277" s="229"/>
      <c r="U2277" s="229"/>
      <c r="V2277" s="229"/>
      <c r="W2277" s="229"/>
      <c r="X2277" s="229"/>
    </row>
    <row r="2278" spans="1:24" ht="15.75" hidden="1">
      <c r="A2278" s="343"/>
      <c r="B2278" s="344"/>
      <c r="C2278" s="275"/>
      <c r="D2278" s="275"/>
      <c r="E2278" s="275"/>
      <c r="F2278" s="275"/>
      <c r="G2278" s="275"/>
      <c r="H2278" s="275"/>
      <c r="I2278" s="275"/>
      <c r="J2278" s="275"/>
      <c r="K2278" s="275"/>
      <c r="L2278" s="275"/>
      <c r="M2278" s="275"/>
      <c r="N2278" s="275"/>
      <c r="O2278" s="276"/>
      <c r="P2278" s="276"/>
      <c r="Q2278" s="247">
        <f t="shared" si="41"/>
        <v>0</v>
      </c>
      <c r="R2278" s="229"/>
      <c r="S2278" s="229"/>
      <c r="T2278" s="229"/>
      <c r="U2278" s="229"/>
      <c r="V2278" s="229"/>
      <c r="W2278" s="229"/>
      <c r="X2278" s="229"/>
    </row>
    <row r="2279" spans="1:24" ht="15.75" hidden="1">
      <c r="A2279" s="343"/>
      <c r="B2279" s="344"/>
      <c r="C2279" s="275"/>
      <c r="D2279" s="275"/>
      <c r="E2279" s="275"/>
      <c r="F2279" s="275"/>
      <c r="G2279" s="275"/>
      <c r="H2279" s="275"/>
      <c r="I2279" s="275"/>
      <c r="J2279" s="275"/>
      <c r="K2279" s="275"/>
      <c r="L2279" s="275"/>
      <c r="M2279" s="275"/>
      <c r="N2279" s="275"/>
      <c r="O2279" s="276"/>
      <c r="P2279" s="276"/>
      <c r="Q2279" s="247">
        <f t="shared" si="41"/>
        <v>0</v>
      </c>
      <c r="R2279" s="229"/>
      <c r="S2279" s="229"/>
      <c r="T2279" s="229"/>
      <c r="U2279" s="229"/>
      <c r="V2279" s="229"/>
      <c r="W2279" s="229"/>
      <c r="X2279" s="229"/>
    </row>
    <row r="2280" spans="1:24" ht="15.75" hidden="1">
      <c r="A2280" s="343"/>
      <c r="B2280" s="344"/>
      <c r="C2280" s="275"/>
      <c r="D2280" s="275"/>
      <c r="E2280" s="275"/>
      <c r="F2280" s="275"/>
      <c r="G2280" s="275"/>
      <c r="H2280" s="275"/>
      <c r="I2280" s="275"/>
      <c r="J2280" s="275"/>
      <c r="K2280" s="275"/>
      <c r="L2280" s="275"/>
      <c r="M2280" s="275"/>
      <c r="N2280" s="275"/>
      <c r="O2280" s="276"/>
      <c r="P2280" s="276"/>
      <c r="Q2280" s="247">
        <f t="shared" si="41"/>
        <v>0</v>
      </c>
      <c r="R2280" s="229"/>
      <c r="S2280" s="229"/>
      <c r="T2280" s="229"/>
      <c r="U2280" s="229"/>
      <c r="V2280" s="229"/>
      <c r="W2280" s="229"/>
      <c r="X2280" s="229"/>
    </row>
    <row r="2281" spans="1:24" ht="15.75" hidden="1">
      <c r="A2281" s="343"/>
      <c r="B2281" s="344"/>
      <c r="C2281" s="275"/>
      <c r="D2281" s="275"/>
      <c r="E2281" s="275"/>
      <c r="F2281" s="275"/>
      <c r="G2281" s="275"/>
      <c r="H2281" s="275"/>
      <c r="I2281" s="275"/>
      <c r="J2281" s="275"/>
      <c r="K2281" s="275"/>
      <c r="L2281" s="275"/>
      <c r="M2281" s="275"/>
      <c r="N2281" s="275"/>
      <c r="O2281" s="276"/>
      <c r="P2281" s="276"/>
      <c r="Q2281" s="247">
        <f t="shared" si="41"/>
        <v>0</v>
      </c>
      <c r="R2281" s="229"/>
      <c r="S2281" s="229"/>
      <c r="T2281" s="229"/>
      <c r="U2281" s="229"/>
      <c r="V2281" s="229"/>
      <c r="W2281" s="229"/>
      <c r="X2281" s="229"/>
    </row>
    <row r="2282" spans="1:24" ht="15.75" hidden="1">
      <c r="A2282" s="343"/>
      <c r="B2282" s="344"/>
      <c r="C2282" s="275"/>
      <c r="D2282" s="275"/>
      <c r="E2282" s="275"/>
      <c r="F2282" s="275"/>
      <c r="G2282" s="275"/>
      <c r="H2282" s="275"/>
      <c r="I2282" s="275"/>
      <c r="J2282" s="275"/>
      <c r="K2282" s="275"/>
      <c r="L2282" s="275"/>
      <c r="M2282" s="275"/>
      <c r="N2282" s="275"/>
      <c r="O2282" s="276"/>
      <c r="P2282" s="276"/>
      <c r="Q2282" s="247">
        <f t="shared" si="41"/>
        <v>0</v>
      </c>
      <c r="R2282" s="229"/>
      <c r="S2282" s="229"/>
      <c r="T2282" s="229"/>
      <c r="U2282" s="229"/>
      <c r="V2282" s="229"/>
      <c r="W2282" s="229"/>
      <c r="X2282" s="229"/>
    </row>
    <row r="2283" spans="1:24" ht="15.75" hidden="1">
      <c r="A2283" s="343"/>
      <c r="B2283" s="344"/>
      <c r="C2283" s="275"/>
      <c r="D2283" s="275"/>
      <c r="E2283" s="275"/>
      <c r="F2283" s="275"/>
      <c r="G2283" s="275"/>
      <c r="H2283" s="275"/>
      <c r="I2283" s="275"/>
      <c r="J2283" s="275"/>
      <c r="K2283" s="275"/>
      <c r="L2283" s="275"/>
      <c r="M2283" s="275"/>
      <c r="N2283" s="275"/>
      <c r="O2283" s="276"/>
      <c r="P2283" s="276"/>
      <c r="Q2283" s="247">
        <f t="shared" si="41"/>
        <v>0</v>
      </c>
      <c r="R2283" s="229"/>
      <c r="S2283" s="229"/>
      <c r="T2283" s="229"/>
      <c r="U2283" s="229"/>
      <c r="V2283" s="229"/>
      <c r="W2283" s="229"/>
      <c r="X2283" s="229"/>
    </row>
    <row r="2284" spans="1:24" ht="15.75" hidden="1">
      <c r="A2284" s="343"/>
      <c r="B2284" s="344"/>
      <c r="C2284" s="275"/>
      <c r="D2284" s="275"/>
      <c r="E2284" s="275"/>
      <c r="F2284" s="275"/>
      <c r="G2284" s="275"/>
      <c r="H2284" s="275"/>
      <c r="I2284" s="275"/>
      <c r="J2284" s="275"/>
      <c r="K2284" s="275"/>
      <c r="L2284" s="275"/>
      <c r="M2284" s="275"/>
      <c r="N2284" s="275"/>
      <c r="O2284" s="276"/>
      <c r="P2284" s="276"/>
      <c r="Q2284" s="247">
        <f t="shared" si="41"/>
        <v>0</v>
      </c>
      <c r="R2284" s="229"/>
      <c r="S2284" s="229"/>
      <c r="T2284" s="229"/>
      <c r="U2284" s="229"/>
      <c r="V2284" s="229"/>
      <c r="W2284" s="229"/>
      <c r="X2284" s="229"/>
    </row>
    <row r="2285" spans="1:24" ht="15.75" hidden="1">
      <c r="A2285" s="343"/>
      <c r="B2285" s="344"/>
      <c r="C2285" s="275"/>
      <c r="D2285" s="275"/>
      <c r="E2285" s="275"/>
      <c r="F2285" s="275"/>
      <c r="G2285" s="275"/>
      <c r="H2285" s="275"/>
      <c r="I2285" s="275"/>
      <c r="J2285" s="275"/>
      <c r="K2285" s="275"/>
      <c r="L2285" s="275"/>
      <c r="M2285" s="275"/>
      <c r="N2285" s="275"/>
      <c r="O2285" s="276"/>
      <c r="P2285" s="276"/>
      <c r="Q2285" s="247">
        <f t="shared" si="41"/>
        <v>0</v>
      </c>
      <c r="R2285" s="229"/>
      <c r="S2285" s="229"/>
      <c r="T2285" s="229"/>
      <c r="U2285" s="229"/>
      <c r="V2285" s="229"/>
      <c r="W2285" s="229"/>
      <c r="X2285" s="229"/>
    </row>
    <row r="2286" spans="1:24" ht="15.75" hidden="1">
      <c r="A2286" s="343"/>
      <c r="B2286" s="344"/>
      <c r="C2286" s="275"/>
      <c r="D2286" s="275"/>
      <c r="E2286" s="275"/>
      <c r="F2286" s="275"/>
      <c r="G2286" s="275"/>
      <c r="H2286" s="275"/>
      <c r="I2286" s="275"/>
      <c r="J2286" s="275"/>
      <c r="K2286" s="275"/>
      <c r="L2286" s="275"/>
      <c r="M2286" s="275"/>
      <c r="N2286" s="275"/>
      <c r="O2286" s="276"/>
      <c r="P2286" s="276"/>
      <c r="Q2286" s="247">
        <f t="shared" si="41"/>
        <v>0</v>
      </c>
      <c r="R2286" s="229"/>
      <c r="S2286" s="229"/>
      <c r="T2286" s="229"/>
      <c r="U2286" s="229"/>
      <c r="V2286" s="229"/>
      <c r="W2286" s="229"/>
      <c r="X2286" s="229"/>
    </row>
    <row r="2287" spans="1:24" ht="15.75" hidden="1">
      <c r="A2287" s="343"/>
      <c r="B2287" s="344"/>
      <c r="C2287" s="275"/>
      <c r="D2287" s="275"/>
      <c r="E2287" s="275"/>
      <c r="F2287" s="275"/>
      <c r="G2287" s="275"/>
      <c r="H2287" s="275"/>
      <c r="I2287" s="275"/>
      <c r="J2287" s="275"/>
      <c r="K2287" s="275"/>
      <c r="L2287" s="275"/>
      <c r="M2287" s="275"/>
      <c r="N2287" s="275"/>
      <c r="O2287" s="276"/>
      <c r="P2287" s="276"/>
      <c r="Q2287" s="247">
        <f t="shared" si="41"/>
        <v>0</v>
      </c>
      <c r="R2287" s="229"/>
      <c r="S2287" s="229"/>
      <c r="T2287" s="229"/>
      <c r="U2287" s="229"/>
      <c r="V2287" s="229"/>
      <c r="W2287" s="229"/>
      <c r="X2287" s="229"/>
    </row>
    <row r="2288" spans="1:24" ht="15.75" hidden="1">
      <c r="A2288" s="343"/>
      <c r="B2288" s="344"/>
      <c r="C2288" s="275"/>
      <c r="D2288" s="275"/>
      <c r="E2288" s="275"/>
      <c r="F2288" s="275"/>
      <c r="G2288" s="275"/>
      <c r="H2288" s="275"/>
      <c r="I2288" s="275"/>
      <c r="J2288" s="275"/>
      <c r="K2288" s="275"/>
      <c r="L2288" s="275"/>
      <c r="M2288" s="275"/>
      <c r="N2288" s="275"/>
      <c r="O2288" s="276"/>
      <c r="P2288" s="276"/>
      <c r="Q2288" s="247">
        <f t="shared" si="41"/>
        <v>0</v>
      </c>
      <c r="R2288" s="229"/>
      <c r="S2288" s="229"/>
      <c r="T2288" s="229"/>
      <c r="U2288" s="229"/>
      <c r="V2288" s="229"/>
      <c r="W2288" s="229"/>
      <c r="X2288" s="229"/>
    </row>
    <row r="2289" spans="1:24" ht="15.75" hidden="1">
      <c r="A2289" s="343"/>
      <c r="B2289" s="344"/>
      <c r="C2289" s="275"/>
      <c r="D2289" s="275"/>
      <c r="E2289" s="275"/>
      <c r="F2289" s="275"/>
      <c r="G2289" s="275"/>
      <c r="H2289" s="275"/>
      <c r="I2289" s="275"/>
      <c r="J2289" s="275"/>
      <c r="K2289" s="275"/>
      <c r="L2289" s="275"/>
      <c r="M2289" s="275"/>
      <c r="N2289" s="275"/>
      <c r="O2289" s="276"/>
      <c r="P2289" s="276"/>
      <c r="Q2289" s="247">
        <f t="shared" si="41"/>
        <v>0</v>
      </c>
      <c r="R2289" s="229"/>
      <c r="S2289" s="229"/>
      <c r="T2289" s="229"/>
      <c r="U2289" s="229"/>
      <c r="V2289" s="229"/>
      <c r="W2289" s="229"/>
      <c r="X2289" s="229"/>
    </row>
    <row r="2290" spans="1:24" ht="15.75" hidden="1">
      <c r="A2290" s="343"/>
      <c r="B2290" s="344"/>
      <c r="C2290" s="275"/>
      <c r="D2290" s="275"/>
      <c r="E2290" s="275"/>
      <c r="F2290" s="275"/>
      <c r="G2290" s="275"/>
      <c r="H2290" s="275"/>
      <c r="I2290" s="275"/>
      <c r="J2290" s="275"/>
      <c r="K2290" s="275"/>
      <c r="L2290" s="275"/>
      <c r="M2290" s="275"/>
      <c r="N2290" s="275"/>
      <c r="O2290" s="276"/>
      <c r="P2290" s="276"/>
      <c r="Q2290" s="247">
        <f t="shared" si="41"/>
        <v>0</v>
      </c>
      <c r="R2290" s="229"/>
      <c r="S2290" s="229"/>
      <c r="T2290" s="229"/>
      <c r="U2290" s="229"/>
      <c r="V2290" s="229"/>
      <c r="W2290" s="229"/>
      <c r="X2290" s="229"/>
    </row>
    <row r="2291" spans="1:24" ht="15.75" hidden="1">
      <c r="A2291" s="343"/>
      <c r="B2291" s="344"/>
      <c r="C2291" s="275"/>
      <c r="D2291" s="275"/>
      <c r="E2291" s="275"/>
      <c r="F2291" s="275"/>
      <c r="G2291" s="275"/>
      <c r="H2291" s="275"/>
      <c r="I2291" s="275"/>
      <c r="J2291" s="275"/>
      <c r="K2291" s="275"/>
      <c r="L2291" s="275"/>
      <c r="M2291" s="275"/>
      <c r="N2291" s="275"/>
      <c r="O2291" s="276"/>
      <c r="P2291" s="276"/>
      <c r="Q2291" s="247">
        <f t="shared" si="41"/>
        <v>0</v>
      </c>
      <c r="R2291" s="229"/>
      <c r="S2291" s="229"/>
      <c r="T2291" s="229"/>
      <c r="U2291" s="229"/>
      <c r="V2291" s="229"/>
      <c r="W2291" s="229"/>
      <c r="X2291" s="229"/>
    </row>
    <row r="2292" spans="1:24" ht="15.75" hidden="1">
      <c r="A2292" s="343"/>
      <c r="B2292" s="344"/>
      <c r="C2292" s="275"/>
      <c r="D2292" s="275"/>
      <c r="E2292" s="275"/>
      <c r="F2292" s="275"/>
      <c r="G2292" s="275"/>
      <c r="H2292" s="275"/>
      <c r="I2292" s="275"/>
      <c r="J2292" s="275"/>
      <c r="K2292" s="275"/>
      <c r="L2292" s="275"/>
      <c r="M2292" s="275"/>
      <c r="N2292" s="275"/>
      <c r="O2292" s="276"/>
      <c r="P2292" s="276"/>
      <c r="Q2292" s="247">
        <f t="shared" si="41"/>
        <v>0</v>
      </c>
      <c r="R2292" s="229"/>
      <c r="S2292" s="229"/>
      <c r="T2292" s="229"/>
      <c r="U2292" s="229"/>
      <c r="V2292" s="229"/>
      <c r="W2292" s="229"/>
      <c r="X2292" s="229"/>
    </row>
    <row r="2293" spans="1:24" ht="15.75" hidden="1">
      <c r="A2293" s="343"/>
      <c r="B2293" s="344"/>
      <c r="C2293" s="275"/>
      <c r="D2293" s="275"/>
      <c r="E2293" s="275"/>
      <c r="F2293" s="275"/>
      <c r="G2293" s="275"/>
      <c r="H2293" s="275"/>
      <c r="I2293" s="275"/>
      <c r="J2293" s="275"/>
      <c r="K2293" s="275"/>
      <c r="L2293" s="275"/>
      <c r="M2293" s="275"/>
      <c r="N2293" s="275"/>
      <c r="O2293" s="276"/>
      <c r="P2293" s="276"/>
      <c r="Q2293" s="247">
        <f t="shared" si="41"/>
        <v>0</v>
      </c>
      <c r="R2293" s="229"/>
      <c r="S2293" s="229"/>
      <c r="T2293" s="229"/>
      <c r="U2293" s="229"/>
      <c r="V2293" s="229"/>
      <c r="W2293" s="229"/>
      <c r="X2293" s="229"/>
    </row>
    <row r="2294" spans="1:24" ht="15.75" hidden="1">
      <c r="A2294" s="343"/>
      <c r="B2294" s="344"/>
      <c r="C2294" s="275"/>
      <c r="D2294" s="275"/>
      <c r="E2294" s="275"/>
      <c r="F2294" s="275"/>
      <c r="G2294" s="275"/>
      <c r="H2294" s="275"/>
      <c r="I2294" s="275"/>
      <c r="J2294" s="275"/>
      <c r="K2294" s="275"/>
      <c r="L2294" s="275"/>
      <c r="M2294" s="275"/>
      <c r="N2294" s="275"/>
      <c r="O2294" s="276"/>
      <c r="P2294" s="276"/>
      <c r="Q2294" s="247">
        <f t="shared" si="41"/>
        <v>0</v>
      </c>
      <c r="R2294" s="229"/>
      <c r="S2294" s="229"/>
      <c r="T2294" s="229"/>
      <c r="U2294" s="229"/>
      <c r="V2294" s="229"/>
      <c r="W2294" s="229"/>
      <c r="X2294" s="229"/>
    </row>
    <row r="2295" spans="1:24" ht="15.75" hidden="1">
      <c r="A2295" s="343"/>
      <c r="B2295" s="344"/>
      <c r="C2295" s="275"/>
      <c r="D2295" s="275"/>
      <c r="E2295" s="275"/>
      <c r="F2295" s="275"/>
      <c r="G2295" s="275"/>
      <c r="H2295" s="275"/>
      <c r="I2295" s="275"/>
      <c r="J2295" s="275"/>
      <c r="K2295" s="275"/>
      <c r="L2295" s="275"/>
      <c r="M2295" s="275"/>
      <c r="N2295" s="275"/>
      <c r="O2295" s="276"/>
      <c r="P2295" s="276"/>
      <c r="Q2295" s="247">
        <f t="shared" si="41"/>
        <v>0</v>
      </c>
      <c r="R2295" s="229"/>
      <c r="S2295" s="229"/>
      <c r="T2295" s="229"/>
      <c r="U2295" s="229"/>
      <c r="V2295" s="229"/>
      <c r="W2295" s="229"/>
      <c r="X2295" s="229"/>
    </row>
    <row r="2296" spans="1:24" ht="15.75" hidden="1">
      <c r="A2296" s="343"/>
      <c r="B2296" s="344"/>
      <c r="C2296" s="275"/>
      <c r="D2296" s="275"/>
      <c r="E2296" s="275"/>
      <c r="F2296" s="275"/>
      <c r="G2296" s="275"/>
      <c r="H2296" s="275"/>
      <c r="I2296" s="275"/>
      <c r="J2296" s="275"/>
      <c r="K2296" s="275"/>
      <c r="L2296" s="275"/>
      <c r="M2296" s="275"/>
      <c r="N2296" s="275"/>
      <c r="O2296" s="276"/>
      <c r="P2296" s="276"/>
      <c r="Q2296" s="247">
        <f t="shared" si="41"/>
        <v>0</v>
      </c>
      <c r="R2296" s="229"/>
      <c r="S2296" s="229"/>
      <c r="T2296" s="229"/>
      <c r="U2296" s="229"/>
      <c r="V2296" s="229"/>
      <c r="W2296" s="229"/>
      <c r="X2296" s="229"/>
    </row>
    <row r="2297" spans="1:24" ht="15.75" hidden="1">
      <c r="A2297" s="343"/>
      <c r="B2297" s="344"/>
      <c r="C2297" s="275"/>
      <c r="D2297" s="275"/>
      <c r="E2297" s="275"/>
      <c r="F2297" s="275"/>
      <c r="G2297" s="275"/>
      <c r="H2297" s="275"/>
      <c r="I2297" s="275"/>
      <c r="J2297" s="275"/>
      <c r="K2297" s="275"/>
      <c r="L2297" s="275"/>
      <c r="M2297" s="275"/>
      <c r="N2297" s="275"/>
      <c r="O2297" s="276"/>
      <c r="P2297" s="276"/>
      <c r="Q2297" s="247">
        <f t="shared" si="41"/>
        <v>0</v>
      </c>
      <c r="R2297" s="229"/>
      <c r="S2297" s="229"/>
      <c r="T2297" s="229"/>
      <c r="U2297" s="229"/>
      <c r="V2297" s="229"/>
      <c r="W2297" s="229"/>
      <c r="X2297" s="229"/>
    </row>
    <row r="2298" spans="1:24" ht="15.75" hidden="1">
      <c r="A2298" s="343"/>
      <c r="B2298" s="344"/>
      <c r="C2298" s="275"/>
      <c r="D2298" s="275"/>
      <c r="E2298" s="275"/>
      <c r="F2298" s="275"/>
      <c r="G2298" s="275"/>
      <c r="H2298" s="275"/>
      <c r="I2298" s="275"/>
      <c r="J2298" s="275"/>
      <c r="K2298" s="275"/>
      <c r="L2298" s="275"/>
      <c r="M2298" s="275"/>
      <c r="N2298" s="275"/>
      <c r="O2298" s="276"/>
      <c r="P2298" s="276"/>
      <c r="Q2298" s="247">
        <f t="shared" si="41"/>
        <v>0</v>
      </c>
      <c r="R2298" s="229"/>
      <c r="S2298" s="229"/>
      <c r="T2298" s="229"/>
      <c r="U2298" s="229"/>
      <c r="V2298" s="229"/>
      <c r="W2298" s="229"/>
      <c r="X2298" s="229"/>
    </row>
    <row r="2299" spans="1:24" ht="15.75" hidden="1">
      <c r="A2299" s="343"/>
      <c r="B2299" s="344"/>
      <c r="C2299" s="275"/>
      <c r="D2299" s="275"/>
      <c r="E2299" s="275"/>
      <c r="F2299" s="275"/>
      <c r="G2299" s="275"/>
      <c r="H2299" s="275"/>
      <c r="I2299" s="275"/>
      <c r="J2299" s="275"/>
      <c r="K2299" s="275"/>
      <c r="L2299" s="275"/>
      <c r="M2299" s="275"/>
      <c r="N2299" s="275"/>
      <c r="O2299" s="276"/>
      <c r="P2299" s="276"/>
      <c r="Q2299" s="247">
        <f t="shared" si="41"/>
        <v>0</v>
      </c>
      <c r="R2299" s="229"/>
      <c r="S2299" s="229"/>
      <c r="T2299" s="229"/>
      <c r="U2299" s="229"/>
      <c r="V2299" s="229"/>
      <c r="W2299" s="229"/>
      <c r="X2299" s="229"/>
    </row>
    <row r="2300" spans="1:24" ht="15.75" hidden="1">
      <c r="A2300" s="343"/>
      <c r="B2300" s="344"/>
      <c r="C2300" s="275"/>
      <c r="D2300" s="275"/>
      <c r="E2300" s="275"/>
      <c r="F2300" s="275"/>
      <c r="G2300" s="275"/>
      <c r="H2300" s="275"/>
      <c r="I2300" s="275"/>
      <c r="J2300" s="275"/>
      <c r="K2300" s="275"/>
      <c r="L2300" s="275"/>
      <c r="M2300" s="275"/>
      <c r="N2300" s="275"/>
      <c r="O2300" s="276"/>
      <c r="P2300" s="276"/>
      <c r="Q2300" s="247">
        <f t="shared" si="41"/>
        <v>0</v>
      </c>
      <c r="R2300" s="229"/>
      <c r="S2300" s="229"/>
      <c r="T2300" s="229"/>
      <c r="U2300" s="229"/>
      <c r="V2300" s="229"/>
      <c r="W2300" s="229"/>
      <c r="X2300" s="229"/>
    </row>
    <row r="2301" spans="1:24" ht="15.75" hidden="1">
      <c r="A2301" s="343"/>
      <c r="B2301" s="344"/>
      <c r="C2301" s="275"/>
      <c r="D2301" s="275"/>
      <c r="E2301" s="275"/>
      <c r="F2301" s="275"/>
      <c r="G2301" s="275"/>
      <c r="H2301" s="275"/>
      <c r="I2301" s="275"/>
      <c r="J2301" s="275"/>
      <c r="K2301" s="275"/>
      <c r="L2301" s="275"/>
      <c r="M2301" s="275"/>
      <c r="N2301" s="275"/>
      <c r="O2301" s="276"/>
      <c r="P2301" s="276"/>
      <c r="Q2301" s="247">
        <f t="shared" si="41"/>
        <v>0</v>
      </c>
      <c r="R2301" s="229"/>
      <c r="S2301" s="229"/>
      <c r="T2301" s="229"/>
      <c r="U2301" s="229"/>
      <c r="V2301" s="229"/>
      <c r="W2301" s="229"/>
      <c r="X2301" s="229"/>
    </row>
    <row r="2302" spans="1:24" ht="15.75" hidden="1">
      <c r="A2302" s="343"/>
      <c r="B2302" s="344"/>
      <c r="C2302" s="275"/>
      <c r="D2302" s="275"/>
      <c r="E2302" s="275"/>
      <c r="F2302" s="275"/>
      <c r="G2302" s="275"/>
      <c r="H2302" s="275"/>
      <c r="I2302" s="275"/>
      <c r="J2302" s="275"/>
      <c r="K2302" s="275"/>
      <c r="L2302" s="275"/>
      <c r="M2302" s="275"/>
      <c r="N2302" s="275"/>
      <c r="O2302" s="276"/>
      <c r="P2302" s="276"/>
      <c r="Q2302" s="247">
        <f t="shared" si="41"/>
        <v>0</v>
      </c>
      <c r="R2302" s="229"/>
      <c r="S2302" s="229"/>
      <c r="T2302" s="229"/>
      <c r="U2302" s="229"/>
      <c r="V2302" s="229"/>
      <c r="W2302" s="229"/>
      <c r="X2302" s="229"/>
    </row>
    <row r="2303" spans="1:24" ht="15.75" hidden="1">
      <c r="A2303" s="343"/>
      <c r="B2303" s="344"/>
      <c r="C2303" s="275"/>
      <c r="D2303" s="275"/>
      <c r="E2303" s="275"/>
      <c r="F2303" s="275"/>
      <c r="G2303" s="275"/>
      <c r="H2303" s="275"/>
      <c r="I2303" s="275"/>
      <c r="J2303" s="275"/>
      <c r="K2303" s="275"/>
      <c r="L2303" s="275"/>
      <c r="M2303" s="275"/>
      <c r="N2303" s="275"/>
      <c r="O2303" s="276"/>
      <c r="P2303" s="276"/>
      <c r="Q2303" s="247">
        <f t="shared" si="41"/>
        <v>0</v>
      </c>
      <c r="R2303" s="229"/>
      <c r="S2303" s="229"/>
      <c r="T2303" s="229"/>
      <c r="U2303" s="229"/>
      <c r="V2303" s="229"/>
      <c r="W2303" s="229"/>
      <c r="X2303" s="229"/>
    </row>
    <row r="2304" spans="1:24" ht="15.75" hidden="1">
      <c r="A2304" s="343"/>
      <c r="B2304" s="344"/>
      <c r="C2304" s="275"/>
      <c r="D2304" s="275"/>
      <c r="E2304" s="275"/>
      <c r="F2304" s="275"/>
      <c r="G2304" s="275"/>
      <c r="H2304" s="275"/>
      <c r="I2304" s="275"/>
      <c r="J2304" s="275"/>
      <c r="K2304" s="275"/>
      <c r="L2304" s="275"/>
      <c r="M2304" s="275"/>
      <c r="N2304" s="275"/>
      <c r="O2304" s="276"/>
      <c r="P2304" s="276"/>
      <c r="Q2304" s="247">
        <f t="shared" si="41"/>
        <v>0</v>
      </c>
      <c r="R2304" s="229"/>
      <c r="S2304" s="229"/>
      <c r="T2304" s="229"/>
      <c r="U2304" s="229"/>
      <c r="V2304" s="229"/>
      <c r="W2304" s="229"/>
      <c r="X2304" s="229"/>
    </row>
    <row r="2305" spans="1:24" ht="15.75" hidden="1">
      <c r="A2305" s="343"/>
      <c r="B2305" s="344"/>
      <c r="C2305" s="275"/>
      <c r="D2305" s="275"/>
      <c r="E2305" s="275"/>
      <c r="F2305" s="275"/>
      <c r="G2305" s="275"/>
      <c r="H2305" s="275"/>
      <c r="I2305" s="275"/>
      <c r="J2305" s="275"/>
      <c r="K2305" s="275"/>
      <c r="L2305" s="275"/>
      <c r="M2305" s="275"/>
      <c r="N2305" s="275"/>
      <c r="O2305" s="276"/>
      <c r="P2305" s="276"/>
      <c r="Q2305" s="247">
        <f t="shared" si="41"/>
        <v>0</v>
      </c>
      <c r="R2305" s="229"/>
      <c r="S2305" s="229"/>
      <c r="T2305" s="229"/>
      <c r="U2305" s="229"/>
      <c r="V2305" s="229"/>
      <c r="W2305" s="229"/>
      <c r="X2305" s="229"/>
    </row>
    <row r="2306" spans="1:24" ht="15.75" hidden="1">
      <c r="A2306" s="343"/>
      <c r="B2306" s="344"/>
      <c r="C2306" s="275"/>
      <c r="D2306" s="275"/>
      <c r="E2306" s="275"/>
      <c r="F2306" s="275"/>
      <c r="G2306" s="275"/>
      <c r="H2306" s="275"/>
      <c r="I2306" s="275"/>
      <c r="J2306" s="275"/>
      <c r="K2306" s="275"/>
      <c r="L2306" s="275"/>
      <c r="M2306" s="275"/>
      <c r="N2306" s="275"/>
      <c r="O2306" s="276"/>
      <c r="P2306" s="276"/>
      <c r="Q2306" s="247">
        <f t="shared" si="41"/>
        <v>0</v>
      </c>
      <c r="R2306" s="229"/>
      <c r="S2306" s="229"/>
      <c r="T2306" s="229"/>
      <c r="U2306" s="229"/>
      <c r="V2306" s="229"/>
      <c r="W2306" s="229"/>
      <c r="X2306" s="229"/>
    </row>
    <row r="2307" spans="1:24" ht="15.75" hidden="1">
      <c r="A2307" s="343"/>
      <c r="B2307" s="344"/>
      <c r="C2307" s="275"/>
      <c r="D2307" s="275"/>
      <c r="E2307" s="275"/>
      <c r="F2307" s="275"/>
      <c r="G2307" s="275"/>
      <c r="H2307" s="275"/>
      <c r="I2307" s="275"/>
      <c r="J2307" s="275"/>
      <c r="K2307" s="275"/>
      <c r="L2307" s="275"/>
      <c r="M2307" s="275"/>
      <c r="N2307" s="275"/>
      <c r="O2307" s="276"/>
      <c r="P2307" s="276"/>
      <c r="Q2307" s="247">
        <f t="shared" si="41"/>
        <v>0</v>
      </c>
      <c r="R2307" s="229"/>
      <c r="S2307" s="229"/>
      <c r="T2307" s="229"/>
      <c r="U2307" s="229"/>
      <c r="V2307" s="229"/>
      <c r="W2307" s="229"/>
      <c r="X2307" s="229"/>
    </row>
    <row r="2308" spans="1:24" ht="15.75" hidden="1">
      <c r="A2308" s="343"/>
      <c r="B2308" s="344"/>
      <c r="C2308" s="275"/>
      <c r="D2308" s="275"/>
      <c r="E2308" s="275"/>
      <c r="F2308" s="275"/>
      <c r="G2308" s="275"/>
      <c r="H2308" s="275"/>
      <c r="I2308" s="275"/>
      <c r="J2308" s="275"/>
      <c r="K2308" s="275"/>
      <c r="L2308" s="275"/>
      <c r="M2308" s="275"/>
      <c r="N2308" s="275"/>
      <c r="O2308" s="276"/>
      <c r="P2308" s="276"/>
      <c r="Q2308" s="247">
        <f t="shared" si="41"/>
        <v>0</v>
      </c>
      <c r="R2308" s="229"/>
      <c r="S2308" s="229"/>
      <c r="T2308" s="229"/>
      <c r="U2308" s="229"/>
      <c r="V2308" s="229"/>
      <c r="W2308" s="229"/>
      <c r="X2308" s="229"/>
    </row>
    <row r="2309" spans="1:24" ht="15.75" hidden="1">
      <c r="A2309" s="343"/>
      <c r="B2309" s="344"/>
      <c r="C2309" s="275"/>
      <c r="D2309" s="275"/>
      <c r="E2309" s="275"/>
      <c r="F2309" s="275"/>
      <c r="G2309" s="275"/>
      <c r="H2309" s="275"/>
      <c r="I2309" s="275"/>
      <c r="J2309" s="275"/>
      <c r="K2309" s="275"/>
      <c r="L2309" s="275"/>
      <c r="M2309" s="275"/>
      <c r="N2309" s="275"/>
      <c r="O2309" s="276"/>
      <c r="P2309" s="276"/>
      <c r="Q2309" s="247">
        <f t="shared" si="41"/>
        <v>0</v>
      </c>
      <c r="R2309" s="229"/>
      <c r="S2309" s="229"/>
      <c r="T2309" s="229"/>
      <c r="U2309" s="229"/>
      <c r="V2309" s="229"/>
      <c r="W2309" s="229"/>
      <c r="X2309" s="229"/>
    </row>
    <row r="2310" spans="1:24" ht="15.75" hidden="1">
      <c r="A2310" s="343"/>
      <c r="B2310" s="344"/>
      <c r="C2310" s="275"/>
      <c r="D2310" s="275"/>
      <c r="E2310" s="275"/>
      <c r="F2310" s="275"/>
      <c r="G2310" s="275"/>
      <c r="H2310" s="275"/>
      <c r="I2310" s="275"/>
      <c r="J2310" s="275"/>
      <c r="K2310" s="275"/>
      <c r="L2310" s="275"/>
      <c r="M2310" s="275"/>
      <c r="N2310" s="275"/>
      <c r="O2310" s="276"/>
      <c r="P2310" s="276"/>
      <c r="Q2310" s="247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9"/>
      <c r="S2310" s="229"/>
      <c r="T2310" s="229"/>
      <c r="U2310" s="229"/>
      <c r="V2310" s="229"/>
      <c r="W2310" s="229"/>
      <c r="X2310" s="229"/>
    </row>
    <row r="2311" spans="1:24" ht="15.75" hidden="1">
      <c r="A2311" s="343"/>
      <c r="B2311" s="344"/>
      <c r="C2311" s="275"/>
      <c r="D2311" s="275"/>
      <c r="E2311" s="275"/>
      <c r="F2311" s="275"/>
      <c r="G2311" s="275"/>
      <c r="H2311" s="275"/>
      <c r="I2311" s="275"/>
      <c r="J2311" s="275"/>
      <c r="K2311" s="275"/>
      <c r="L2311" s="275"/>
      <c r="M2311" s="275"/>
      <c r="N2311" s="275"/>
      <c r="O2311" s="276"/>
      <c r="P2311" s="276"/>
      <c r="Q2311" s="247">
        <f t="shared" si="42"/>
        <v>0</v>
      </c>
      <c r="R2311" s="229"/>
      <c r="S2311" s="229"/>
      <c r="T2311" s="229"/>
      <c r="U2311" s="229"/>
      <c r="V2311" s="229"/>
      <c r="W2311" s="229"/>
      <c r="X2311" s="229"/>
    </row>
    <row r="2312" spans="1:24" ht="15.75" hidden="1">
      <c r="A2312" s="343"/>
      <c r="B2312" s="344"/>
      <c r="C2312" s="275"/>
      <c r="D2312" s="275"/>
      <c r="E2312" s="275"/>
      <c r="F2312" s="275"/>
      <c r="G2312" s="275"/>
      <c r="H2312" s="275"/>
      <c r="I2312" s="275"/>
      <c r="J2312" s="275"/>
      <c r="K2312" s="275"/>
      <c r="L2312" s="275"/>
      <c r="M2312" s="275"/>
      <c r="N2312" s="275"/>
      <c r="O2312" s="276"/>
      <c r="P2312" s="276"/>
      <c r="Q2312" s="247">
        <f t="shared" si="42"/>
        <v>0</v>
      </c>
      <c r="R2312" s="229"/>
      <c r="S2312" s="229"/>
      <c r="T2312" s="229"/>
      <c r="U2312" s="229"/>
      <c r="V2312" s="229"/>
      <c r="W2312" s="229"/>
      <c r="X2312" s="229"/>
    </row>
    <row r="2313" spans="1:24" ht="15.75" hidden="1">
      <c r="A2313" s="343"/>
      <c r="B2313" s="344"/>
      <c r="C2313" s="275"/>
      <c r="D2313" s="275"/>
      <c r="E2313" s="275"/>
      <c r="F2313" s="275"/>
      <c r="G2313" s="275"/>
      <c r="H2313" s="275"/>
      <c r="I2313" s="275"/>
      <c r="J2313" s="275"/>
      <c r="K2313" s="275"/>
      <c r="L2313" s="275"/>
      <c r="M2313" s="275"/>
      <c r="N2313" s="275"/>
      <c r="O2313" s="276"/>
      <c r="P2313" s="276"/>
      <c r="Q2313" s="247">
        <f t="shared" si="42"/>
        <v>0</v>
      </c>
      <c r="R2313" s="229"/>
      <c r="S2313" s="229"/>
      <c r="T2313" s="229"/>
      <c r="U2313" s="229"/>
      <c r="V2313" s="229"/>
      <c r="W2313" s="229"/>
      <c r="X2313" s="229"/>
    </row>
    <row r="2314" spans="1:24" ht="15.75" hidden="1">
      <c r="A2314" s="343"/>
      <c r="B2314" s="344"/>
      <c r="C2314" s="275"/>
      <c r="D2314" s="275"/>
      <c r="E2314" s="275"/>
      <c r="F2314" s="275"/>
      <c r="G2314" s="275"/>
      <c r="H2314" s="275"/>
      <c r="I2314" s="275"/>
      <c r="J2314" s="275"/>
      <c r="K2314" s="275"/>
      <c r="L2314" s="275"/>
      <c r="M2314" s="275"/>
      <c r="N2314" s="275"/>
      <c r="O2314" s="276"/>
      <c r="P2314" s="276"/>
      <c r="Q2314" s="247">
        <f t="shared" si="42"/>
        <v>0</v>
      </c>
      <c r="R2314" s="229"/>
      <c r="S2314" s="229"/>
      <c r="T2314" s="229"/>
      <c r="U2314" s="229"/>
      <c r="V2314" s="229"/>
      <c r="W2314" s="229"/>
      <c r="X2314" s="229"/>
    </row>
    <row r="2315" spans="1:24" ht="15.75" hidden="1">
      <c r="A2315" s="343"/>
      <c r="B2315" s="344"/>
      <c r="C2315" s="275"/>
      <c r="D2315" s="275"/>
      <c r="E2315" s="275"/>
      <c r="F2315" s="275"/>
      <c r="G2315" s="275"/>
      <c r="H2315" s="275"/>
      <c r="I2315" s="275"/>
      <c r="J2315" s="275"/>
      <c r="K2315" s="275"/>
      <c r="L2315" s="275"/>
      <c r="M2315" s="275"/>
      <c r="N2315" s="275"/>
      <c r="O2315" s="276"/>
      <c r="P2315" s="276"/>
      <c r="Q2315" s="247">
        <f t="shared" si="42"/>
        <v>0</v>
      </c>
      <c r="R2315" s="229"/>
      <c r="S2315" s="229"/>
      <c r="T2315" s="229"/>
      <c r="U2315" s="229"/>
      <c r="V2315" s="229"/>
      <c r="W2315" s="229"/>
      <c r="X2315" s="229"/>
    </row>
    <row r="2316" spans="1:24" ht="15.75" hidden="1">
      <c r="A2316" s="343"/>
      <c r="B2316" s="344"/>
      <c r="C2316" s="275"/>
      <c r="D2316" s="275"/>
      <c r="E2316" s="275"/>
      <c r="F2316" s="275"/>
      <c r="G2316" s="275"/>
      <c r="H2316" s="275"/>
      <c r="I2316" s="275"/>
      <c r="J2316" s="275"/>
      <c r="K2316" s="275"/>
      <c r="L2316" s="275"/>
      <c r="M2316" s="275"/>
      <c r="N2316" s="275"/>
      <c r="O2316" s="276"/>
      <c r="P2316" s="276"/>
      <c r="Q2316" s="247">
        <f t="shared" si="42"/>
        <v>0</v>
      </c>
      <c r="R2316" s="229"/>
      <c r="S2316" s="229"/>
      <c r="T2316" s="229"/>
      <c r="U2316" s="229"/>
      <c r="V2316" s="229"/>
      <c r="W2316" s="229"/>
      <c r="X2316" s="229"/>
    </row>
    <row r="2317" spans="1:24" ht="15.75" hidden="1">
      <c r="A2317" s="343"/>
      <c r="B2317" s="344"/>
      <c r="C2317" s="275"/>
      <c r="D2317" s="275"/>
      <c r="E2317" s="275"/>
      <c r="F2317" s="275"/>
      <c r="G2317" s="275"/>
      <c r="H2317" s="275"/>
      <c r="I2317" s="275"/>
      <c r="J2317" s="275"/>
      <c r="K2317" s="275"/>
      <c r="L2317" s="275"/>
      <c r="M2317" s="275"/>
      <c r="N2317" s="275"/>
      <c r="O2317" s="276"/>
      <c r="P2317" s="276"/>
      <c r="Q2317" s="247">
        <f t="shared" si="42"/>
        <v>0</v>
      </c>
      <c r="R2317" s="229"/>
      <c r="S2317" s="229"/>
      <c r="T2317" s="229"/>
      <c r="U2317" s="229"/>
      <c r="V2317" s="229"/>
      <c r="W2317" s="229"/>
      <c r="X2317" s="229"/>
    </row>
    <row r="2318" spans="1:24" ht="15.75" hidden="1">
      <c r="A2318" s="343"/>
      <c r="B2318" s="344"/>
      <c r="C2318" s="275"/>
      <c r="D2318" s="275"/>
      <c r="E2318" s="275"/>
      <c r="F2318" s="275"/>
      <c r="G2318" s="275"/>
      <c r="H2318" s="275"/>
      <c r="I2318" s="275"/>
      <c r="J2318" s="275"/>
      <c r="K2318" s="275"/>
      <c r="L2318" s="275"/>
      <c r="M2318" s="275"/>
      <c r="N2318" s="275"/>
      <c r="O2318" s="276"/>
      <c r="P2318" s="276"/>
      <c r="Q2318" s="247">
        <f t="shared" si="42"/>
        <v>0</v>
      </c>
      <c r="R2318" s="229"/>
      <c r="S2318" s="229"/>
      <c r="T2318" s="229"/>
      <c r="U2318" s="229"/>
      <c r="V2318" s="229"/>
      <c r="W2318" s="229"/>
      <c r="X2318" s="229"/>
    </row>
    <row r="2319" spans="1:24" ht="15.75" hidden="1">
      <c r="A2319" s="343"/>
      <c r="B2319" s="344"/>
      <c r="C2319" s="275"/>
      <c r="D2319" s="275"/>
      <c r="E2319" s="275"/>
      <c r="F2319" s="275"/>
      <c r="G2319" s="275"/>
      <c r="H2319" s="275"/>
      <c r="I2319" s="275"/>
      <c r="J2319" s="275"/>
      <c r="K2319" s="275"/>
      <c r="L2319" s="275"/>
      <c r="M2319" s="275"/>
      <c r="N2319" s="275"/>
      <c r="O2319" s="276"/>
      <c r="P2319" s="276"/>
      <c r="Q2319" s="247">
        <f t="shared" si="42"/>
        <v>0</v>
      </c>
      <c r="R2319" s="229"/>
      <c r="S2319" s="229"/>
      <c r="T2319" s="229"/>
      <c r="U2319" s="229"/>
      <c r="V2319" s="229"/>
      <c r="W2319" s="229"/>
      <c r="X2319" s="229"/>
    </row>
    <row r="2320" spans="1:24" ht="15.75" hidden="1">
      <c r="A2320" s="343"/>
      <c r="B2320" s="344"/>
      <c r="C2320" s="275"/>
      <c r="D2320" s="275"/>
      <c r="E2320" s="275"/>
      <c r="F2320" s="275"/>
      <c r="G2320" s="275"/>
      <c r="H2320" s="275"/>
      <c r="I2320" s="275"/>
      <c r="J2320" s="275"/>
      <c r="K2320" s="275"/>
      <c r="L2320" s="275"/>
      <c r="M2320" s="275"/>
      <c r="N2320" s="275"/>
      <c r="O2320" s="276"/>
      <c r="P2320" s="276"/>
      <c r="Q2320" s="247">
        <f t="shared" si="42"/>
        <v>0</v>
      </c>
      <c r="R2320" s="229"/>
      <c r="S2320" s="229"/>
      <c r="T2320" s="229"/>
      <c r="U2320" s="229"/>
      <c r="V2320" s="229"/>
      <c r="W2320" s="229"/>
      <c r="X2320" s="229"/>
    </row>
    <row r="2321" spans="1:24" ht="15.75" hidden="1">
      <c r="A2321" s="343"/>
      <c r="B2321" s="344"/>
      <c r="C2321" s="275"/>
      <c r="D2321" s="275"/>
      <c r="E2321" s="275"/>
      <c r="F2321" s="275"/>
      <c r="G2321" s="275"/>
      <c r="H2321" s="275"/>
      <c r="I2321" s="275"/>
      <c r="J2321" s="275"/>
      <c r="K2321" s="275"/>
      <c r="L2321" s="275"/>
      <c r="M2321" s="275"/>
      <c r="N2321" s="275"/>
      <c r="O2321" s="276"/>
      <c r="P2321" s="276"/>
      <c r="Q2321" s="247">
        <f t="shared" si="42"/>
        <v>0</v>
      </c>
      <c r="R2321" s="229"/>
      <c r="S2321" s="229"/>
      <c r="T2321" s="229"/>
      <c r="U2321" s="229"/>
      <c r="V2321" s="229"/>
      <c r="W2321" s="229"/>
      <c r="X2321" s="229"/>
    </row>
    <row r="2322" spans="1:24" ht="15.75" hidden="1">
      <c r="A2322" s="343"/>
      <c r="B2322" s="344"/>
      <c r="C2322" s="275"/>
      <c r="D2322" s="275"/>
      <c r="E2322" s="275"/>
      <c r="F2322" s="275"/>
      <c r="G2322" s="275"/>
      <c r="H2322" s="275"/>
      <c r="I2322" s="275"/>
      <c r="J2322" s="275"/>
      <c r="K2322" s="275"/>
      <c r="L2322" s="275"/>
      <c r="M2322" s="275"/>
      <c r="N2322" s="275"/>
      <c r="O2322" s="276"/>
      <c r="P2322" s="276"/>
      <c r="Q2322" s="247">
        <f t="shared" si="42"/>
        <v>0</v>
      </c>
      <c r="R2322" s="229"/>
      <c r="S2322" s="229"/>
      <c r="T2322" s="229"/>
      <c r="U2322" s="229"/>
      <c r="V2322" s="229"/>
      <c r="W2322" s="229"/>
      <c r="X2322" s="229"/>
    </row>
    <row r="2323" spans="1:24" ht="15.75" hidden="1">
      <c r="A2323" s="343"/>
      <c r="B2323" s="344"/>
      <c r="C2323" s="275"/>
      <c r="D2323" s="275"/>
      <c r="E2323" s="275"/>
      <c r="F2323" s="275"/>
      <c r="G2323" s="275"/>
      <c r="H2323" s="275"/>
      <c r="I2323" s="275"/>
      <c r="J2323" s="275"/>
      <c r="K2323" s="275"/>
      <c r="L2323" s="275"/>
      <c r="M2323" s="275"/>
      <c r="N2323" s="275"/>
      <c r="O2323" s="276"/>
      <c r="P2323" s="276"/>
      <c r="Q2323" s="247">
        <f t="shared" si="42"/>
        <v>0</v>
      </c>
      <c r="R2323" s="229"/>
      <c r="S2323" s="229"/>
      <c r="T2323" s="229"/>
      <c r="U2323" s="229"/>
      <c r="V2323" s="229"/>
      <c r="W2323" s="229"/>
      <c r="X2323" s="229"/>
    </row>
    <row r="2324" spans="1:24" ht="15.75" hidden="1">
      <c r="A2324" s="343"/>
      <c r="B2324" s="344"/>
      <c r="C2324" s="275"/>
      <c r="D2324" s="275"/>
      <c r="E2324" s="275"/>
      <c r="F2324" s="275"/>
      <c r="G2324" s="275"/>
      <c r="H2324" s="275"/>
      <c r="I2324" s="275"/>
      <c r="J2324" s="275"/>
      <c r="K2324" s="275"/>
      <c r="L2324" s="275"/>
      <c r="M2324" s="275"/>
      <c r="N2324" s="275"/>
      <c r="O2324" s="276"/>
      <c r="P2324" s="276"/>
      <c r="Q2324" s="247">
        <f t="shared" si="42"/>
        <v>0</v>
      </c>
      <c r="R2324" s="229"/>
      <c r="S2324" s="229"/>
      <c r="T2324" s="229"/>
      <c r="U2324" s="229"/>
      <c r="V2324" s="229"/>
      <c r="W2324" s="229"/>
      <c r="X2324" s="229"/>
    </row>
    <row r="2325" spans="1:24" ht="15.75" hidden="1">
      <c r="A2325" s="343"/>
      <c r="B2325" s="344"/>
      <c r="C2325" s="275"/>
      <c r="D2325" s="275"/>
      <c r="E2325" s="275"/>
      <c r="F2325" s="275"/>
      <c r="G2325" s="275"/>
      <c r="H2325" s="275"/>
      <c r="I2325" s="275"/>
      <c r="J2325" s="275"/>
      <c r="K2325" s="275"/>
      <c r="L2325" s="275"/>
      <c r="M2325" s="275"/>
      <c r="N2325" s="275"/>
      <c r="O2325" s="276"/>
      <c r="P2325" s="276"/>
      <c r="Q2325" s="247">
        <f t="shared" si="42"/>
        <v>0</v>
      </c>
      <c r="R2325" s="229"/>
      <c r="S2325" s="229"/>
      <c r="T2325" s="229"/>
      <c r="U2325" s="229"/>
      <c r="V2325" s="229"/>
      <c r="W2325" s="229"/>
      <c r="X2325" s="229"/>
    </row>
    <row r="2326" spans="1:24" ht="15.75" hidden="1">
      <c r="A2326" s="343"/>
      <c r="B2326" s="344"/>
      <c r="C2326" s="275"/>
      <c r="D2326" s="275"/>
      <c r="E2326" s="275"/>
      <c r="F2326" s="275"/>
      <c r="G2326" s="275"/>
      <c r="H2326" s="275"/>
      <c r="I2326" s="275"/>
      <c r="J2326" s="275"/>
      <c r="K2326" s="275"/>
      <c r="L2326" s="275"/>
      <c r="M2326" s="275"/>
      <c r="N2326" s="275"/>
      <c r="O2326" s="276"/>
      <c r="P2326" s="276"/>
      <c r="Q2326" s="247">
        <f t="shared" si="42"/>
        <v>0</v>
      </c>
      <c r="R2326" s="229"/>
      <c r="S2326" s="229"/>
      <c r="T2326" s="229"/>
      <c r="U2326" s="229"/>
      <c r="V2326" s="229"/>
      <c r="W2326" s="229"/>
      <c r="X2326" s="229"/>
    </row>
    <row r="2327" spans="1:24" ht="15.75" hidden="1">
      <c r="A2327" s="343"/>
      <c r="B2327" s="344"/>
      <c r="C2327" s="275"/>
      <c r="D2327" s="275"/>
      <c r="E2327" s="275"/>
      <c r="F2327" s="275"/>
      <c r="G2327" s="275"/>
      <c r="H2327" s="275"/>
      <c r="I2327" s="275"/>
      <c r="J2327" s="275"/>
      <c r="K2327" s="275"/>
      <c r="L2327" s="275"/>
      <c r="M2327" s="275"/>
      <c r="N2327" s="275"/>
      <c r="O2327" s="276"/>
      <c r="P2327" s="276"/>
      <c r="Q2327" s="247">
        <f t="shared" si="42"/>
        <v>0</v>
      </c>
      <c r="R2327" s="229"/>
      <c r="S2327" s="229"/>
      <c r="T2327" s="229"/>
      <c r="U2327" s="229"/>
      <c r="V2327" s="229"/>
      <c r="W2327" s="229"/>
      <c r="X2327" s="229"/>
    </row>
    <row r="2328" spans="1:24" ht="15.75" hidden="1">
      <c r="A2328" s="343"/>
      <c r="B2328" s="344"/>
      <c r="C2328" s="275"/>
      <c r="D2328" s="275"/>
      <c r="E2328" s="275"/>
      <c r="F2328" s="275"/>
      <c r="G2328" s="275"/>
      <c r="H2328" s="275"/>
      <c r="I2328" s="275"/>
      <c r="J2328" s="275"/>
      <c r="K2328" s="275"/>
      <c r="L2328" s="275"/>
      <c r="M2328" s="275"/>
      <c r="N2328" s="275"/>
      <c r="O2328" s="276"/>
      <c r="P2328" s="276"/>
      <c r="Q2328" s="247">
        <f t="shared" si="42"/>
        <v>0</v>
      </c>
      <c r="R2328" s="229"/>
      <c r="S2328" s="229"/>
      <c r="T2328" s="229"/>
      <c r="U2328" s="229"/>
      <c r="V2328" s="229"/>
      <c r="W2328" s="229"/>
      <c r="X2328" s="229"/>
    </row>
    <row r="2329" spans="1:24" ht="15.75" hidden="1">
      <c r="A2329" s="343"/>
      <c r="B2329" s="344"/>
      <c r="C2329" s="275"/>
      <c r="D2329" s="275"/>
      <c r="E2329" s="275"/>
      <c r="F2329" s="275"/>
      <c r="G2329" s="275"/>
      <c r="H2329" s="275"/>
      <c r="I2329" s="275"/>
      <c r="J2329" s="275"/>
      <c r="K2329" s="275"/>
      <c r="L2329" s="275"/>
      <c r="M2329" s="275"/>
      <c r="N2329" s="275"/>
      <c r="O2329" s="276"/>
      <c r="P2329" s="276"/>
      <c r="Q2329" s="247">
        <f t="shared" si="42"/>
        <v>0</v>
      </c>
      <c r="R2329" s="229"/>
      <c r="S2329" s="229"/>
      <c r="T2329" s="229"/>
      <c r="U2329" s="229"/>
      <c r="V2329" s="229"/>
      <c r="W2329" s="229"/>
      <c r="X2329" s="229"/>
    </row>
    <row r="2330" spans="1:24" ht="15.75" hidden="1">
      <c r="A2330" s="343"/>
      <c r="B2330" s="344"/>
      <c r="C2330" s="275"/>
      <c r="D2330" s="275"/>
      <c r="E2330" s="275"/>
      <c r="F2330" s="275"/>
      <c r="G2330" s="275"/>
      <c r="H2330" s="275"/>
      <c r="I2330" s="275"/>
      <c r="J2330" s="275"/>
      <c r="K2330" s="275"/>
      <c r="L2330" s="275"/>
      <c r="M2330" s="275"/>
      <c r="N2330" s="275"/>
      <c r="O2330" s="276"/>
      <c r="P2330" s="276"/>
      <c r="Q2330" s="247">
        <f t="shared" si="42"/>
        <v>0</v>
      </c>
      <c r="R2330" s="229"/>
      <c r="S2330" s="229"/>
      <c r="T2330" s="229"/>
      <c r="U2330" s="229"/>
      <c r="V2330" s="229"/>
      <c r="W2330" s="229"/>
      <c r="X2330" s="229"/>
    </row>
    <row r="2331" spans="1:24" ht="15.75" hidden="1">
      <c r="A2331" s="343"/>
      <c r="B2331" s="344"/>
      <c r="C2331" s="275"/>
      <c r="D2331" s="275"/>
      <c r="E2331" s="275"/>
      <c r="F2331" s="275"/>
      <c r="G2331" s="275"/>
      <c r="H2331" s="275"/>
      <c r="I2331" s="275"/>
      <c r="J2331" s="275"/>
      <c r="K2331" s="275"/>
      <c r="L2331" s="275"/>
      <c r="M2331" s="275"/>
      <c r="N2331" s="275"/>
      <c r="O2331" s="276"/>
      <c r="P2331" s="276"/>
      <c r="Q2331" s="247">
        <f t="shared" si="42"/>
        <v>0</v>
      </c>
      <c r="R2331" s="229"/>
      <c r="S2331" s="229"/>
      <c r="T2331" s="229"/>
      <c r="U2331" s="229"/>
      <c r="V2331" s="229"/>
      <c r="W2331" s="229"/>
      <c r="X2331" s="229"/>
    </row>
    <row r="2332" spans="1:24" ht="15.75" hidden="1">
      <c r="A2332" s="343"/>
      <c r="B2332" s="344"/>
      <c r="C2332" s="275"/>
      <c r="D2332" s="275"/>
      <c r="E2332" s="275"/>
      <c r="F2332" s="275"/>
      <c r="G2332" s="275"/>
      <c r="H2332" s="275"/>
      <c r="I2332" s="275"/>
      <c r="J2332" s="275"/>
      <c r="K2332" s="275"/>
      <c r="L2332" s="275"/>
      <c r="M2332" s="275"/>
      <c r="N2332" s="275"/>
      <c r="O2332" s="276"/>
      <c r="P2332" s="276"/>
      <c r="Q2332" s="247">
        <f t="shared" si="42"/>
        <v>0</v>
      </c>
      <c r="R2332" s="229"/>
      <c r="S2332" s="229"/>
      <c r="T2332" s="229"/>
      <c r="U2332" s="229"/>
      <c r="V2332" s="229"/>
      <c r="W2332" s="229"/>
      <c r="X2332" s="229"/>
    </row>
    <row r="2333" spans="1:24" ht="15.75" hidden="1">
      <c r="A2333" s="343"/>
      <c r="B2333" s="344"/>
      <c r="C2333" s="275"/>
      <c r="D2333" s="275"/>
      <c r="E2333" s="275"/>
      <c r="F2333" s="275"/>
      <c r="G2333" s="275"/>
      <c r="H2333" s="275"/>
      <c r="I2333" s="275"/>
      <c r="J2333" s="275"/>
      <c r="K2333" s="275"/>
      <c r="L2333" s="275"/>
      <c r="M2333" s="275"/>
      <c r="N2333" s="275"/>
      <c r="O2333" s="276"/>
      <c r="P2333" s="276"/>
      <c r="Q2333" s="247">
        <f t="shared" si="42"/>
        <v>0</v>
      </c>
      <c r="R2333" s="229"/>
      <c r="S2333" s="229"/>
      <c r="T2333" s="229"/>
      <c r="U2333" s="229"/>
      <c r="V2333" s="229"/>
      <c r="W2333" s="229"/>
      <c r="X2333" s="229"/>
    </row>
    <row r="2334" spans="1:24" ht="15.75" hidden="1">
      <c r="A2334" s="343"/>
      <c r="B2334" s="344"/>
      <c r="C2334" s="275"/>
      <c r="D2334" s="275"/>
      <c r="E2334" s="275"/>
      <c r="F2334" s="275"/>
      <c r="G2334" s="275"/>
      <c r="H2334" s="275"/>
      <c r="I2334" s="275"/>
      <c r="J2334" s="275"/>
      <c r="K2334" s="275"/>
      <c r="L2334" s="275"/>
      <c r="M2334" s="275"/>
      <c r="N2334" s="275"/>
      <c r="O2334" s="276"/>
      <c r="P2334" s="276"/>
      <c r="Q2334" s="247">
        <f t="shared" si="42"/>
        <v>0</v>
      </c>
      <c r="R2334" s="229"/>
      <c r="S2334" s="229"/>
      <c r="T2334" s="229"/>
      <c r="U2334" s="229"/>
      <c r="V2334" s="229"/>
      <c r="W2334" s="229"/>
      <c r="X2334" s="229"/>
    </row>
    <row r="2335" spans="1:24" ht="15.75" hidden="1">
      <c r="A2335" s="343"/>
      <c r="B2335" s="344"/>
      <c r="C2335" s="275"/>
      <c r="D2335" s="275"/>
      <c r="E2335" s="275"/>
      <c r="F2335" s="275"/>
      <c r="G2335" s="275"/>
      <c r="H2335" s="275"/>
      <c r="I2335" s="275"/>
      <c r="J2335" s="275"/>
      <c r="K2335" s="275"/>
      <c r="L2335" s="275"/>
      <c r="M2335" s="275"/>
      <c r="N2335" s="275"/>
      <c r="O2335" s="276"/>
      <c r="P2335" s="276"/>
      <c r="Q2335" s="247">
        <f t="shared" si="42"/>
        <v>0</v>
      </c>
      <c r="R2335" s="229"/>
      <c r="S2335" s="229"/>
      <c r="T2335" s="229"/>
      <c r="U2335" s="229"/>
      <c r="V2335" s="229"/>
      <c r="W2335" s="229"/>
      <c r="X2335" s="229"/>
    </row>
    <row r="2336" spans="1:24" ht="26.25" customHeight="1">
      <c r="B2336" s="352"/>
      <c r="C2336" s="1096"/>
      <c r="D2336" s="1096"/>
      <c r="E2336" s="1096"/>
      <c r="F2336" s="1096"/>
      <c r="G2336" s="1096"/>
      <c r="H2336" s="1096"/>
      <c r="I2336" s="1096"/>
      <c r="J2336" s="1096"/>
      <c r="K2336" s="1096"/>
      <c r="L2336" s="1096"/>
      <c r="M2336" s="1096"/>
      <c r="N2336" s="1096"/>
      <c r="O2336" s="288"/>
      <c r="P2336" s="288"/>
      <c r="Q2336" s="1097"/>
      <c r="R2336" s="912"/>
      <c r="S2336" s="912"/>
      <c r="T2336" s="912"/>
      <c r="U2336" s="912"/>
      <c r="V2336" s="912"/>
      <c r="W2336" s="912"/>
      <c r="X2336" s="912"/>
    </row>
    <row r="2337" spans="1:26">
      <c r="B2337" s="352"/>
      <c r="C2337" s="1096">
        <v>39814</v>
      </c>
      <c r="D2337" s="1096">
        <v>39845</v>
      </c>
      <c r="E2337" s="1096">
        <v>39873</v>
      </c>
      <c r="F2337" s="1096">
        <v>39904</v>
      </c>
      <c r="G2337" s="1096">
        <v>39934</v>
      </c>
      <c r="H2337" s="1096">
        <v>39965</v>
      </c>
      <c r="I2337" s="1096">
        <v>39995</v>
      </c>
      <c r="J2337" s="1096">
        <v>40026</v>
      </c>
      <c r="K2337" s="1096">
        <v>40057</v>
      </c>
      <c r="L2337" s="1096">
        <v>40087</v>
      </c>
      <c r="M2337" s="1096">
        <v>40118</v>
      </c>
      <c r="N2337" s="1096">
        <v>40148</v>
      </c>
      <c r="O2337" s="289"/>
      <c r="P2337" s="289"/>
      <c r="Q2337" s="1098"/>
      <c r="R2337" s="912"/>
      <c r="S2337" s="912"/>
      <c r="T2337" s="912"/>
      <c r="U2337" s="912"/>
      <c r="V2337" s="912"/>
      <c r="W2337" s="912"/>
      <c r="X2337" s="912"/>
      <c r="Y2337" s="912"/>
      <c r="Z2337" s="912"/>
    </row>
    <row r="2338" spans="1:26" ht="21.75" customHeight="1">
      <c r="A2338" s="351"/>
      <c r="B2338" s="352"/>
      <c r="C2338" s="1094"/>
      <c r="D2338" s="1094"/>
      <c r="E2338" s="1094"/>
      <c r="F2338" s="1094"/>
      <c r="G2338" s="1094"/>
      <c r="H2338" s="219" t="s">
        <v>381</v>
      </c>
      <c r="I2338" s="222"/>
      <c r="J2338" s="1094"/>
      <c r="K2338" s="1094"/>
      <c r="L2338" s="1094"/>
      <c r="M2338" s="1094"/>
      <c r="N2338" s="1094"/>
      <c r="Q2338" s="912"/>
      <c r="R2338" s="912"/>
      <c r="S2338" s="912"/>
      <c r="T2338" s="912"/>
      <c r="U2338" s="912"/>
      <c r="V2338" s="912"/>
      <c r="W2338" s="912"/>
      <c r="X2338" s="912"/>
      <c r="Y2338" s="912"/>
      <c r="Z2338" s="912"/>
    </row>
    <row r="2339" spans="1:26" ht="13.5" thickBot="1">
      <c r="A2339" s="351"/>
      <c r="B2339" s="352"/>
      <c r="C2339" s="1094"/>
      <c r="D2339" s="1094"/>
      <c r="E2339" s="1094"/>
      <c r="F2339" s="1094"/>
      <c r="G2339" s="1094"/>
      <c r="H2339" s="1094"/>
      <c r="I2339" s="1094"/>
      <c r="J2339" s="1094"/>
      <c r="K2339" s="1094"/>
      <c r="L2339" s="1094"/>
      <c r="M2339" s="1094"/>
      <c r="N2339" s="1094"/>
      <c r="Q2339" s="912"/>
      <c r="R2339" s="912"/>
      <c r="S2339" s="912"/>
      <c r="T2339" s="912"/>
      <c r="U2339" s="912"/>
      <c r="V2339" s="912"/>
      <c r="W2339" s="912"/>
      <c r="X2339" s="912"/>
      <c r="Y2339" s="912"/>
      <c r="Z2339" s="912"/>
    </row>
    <row r="2340" spans="1:26" s="233" customFormat="1" ht="27.75" customHeight="1" thickTop="1" thickBot="1">
      <c r="A2340" s="353"/>
      <c r="B2340" s="354"/>
      <c r="C2340" s="290" t="s">
        <v>277</v>
      </c>
      <c r="D2340" s="290" t="s">
        <v>278</v>
      </c>
      <c r="E2340" s="290" t="s">
        <v>279</v>
      </c>
      <c r="F2340" s="290" t="s">
        <v>280</v>
      </c>
      <c r="G2340" s="290" t="s">
        <v>281</v>
      </c>
      <c r="H2340" s="290" t="s">
        <v>282</v>
      </c>
      <c r="I2340" s="290" t="s">
        <v>283</v>
      </c>
      <c r="J2340" s="290" t="s">
        <v>284</v>
      </c>
      <c r="K2340" s="290" t="s">
        <v>285</v>
      </c>
      <c r="L2340" s="290" t="s">
        <v>286</v>
      </c>
      <c r="M2340" s="290" t="s">
        <v>287</v>
      </c>
      <c r="N2340" s="291" t="s">
        <v>288</v>
      </c>
      <c r="O2340" s="240" t="s">
        <v>382</v>
      </c>
      <c r="P2340" s="292" t="s">
        <v>290</v>
      </c>
      <c r="Q2340" s="244" t="s">
        <v>383</v>
      </c>
      <c r="R2340" s="1099"/>
      <c r="S2340" s="1099"/>
      <c r="T2340" s="1099"/>
      <c r="U2340" s="1099"/>
      <c r="V2340" s="1099"/>
      <c r="W2340" s="1099"/>
      <c r="X2340" s="1099"/>
      <c r="Y2340" s="1099"/>
      <c r="Z2340" s="1099"/>
    </row>
    <row r="2341" spans="1:26" s="221" customFormat="1" ht="16.5" thickTop="1">
      <c r="A2341" s="355" t="s">
        <v>293</v>
      </c>
      <c r="B2341" s="356"/>
      <c r="C2341" s="480">
        <v>20010</v>
      </c>
      <c r="D2341" s="293">
        <v>19955</v>
      </c>
      <c r="E2341" s="293">
        <v>23915</v>
      </c>
      <c r="F2341" s="402">
        <v>23320</v>
      </c>
      <c r="G2341" s="293">
        <v>20055</v>
      </c>
      <c r="H2341" s="293">
        <v>19620</v>
      </c>
      <c r="I2341" s="411">
        <v>23700</v>
      </c>
      <c r="J2341" s="293">
        <v>24450</v>
      </c>
      <c r="K2341" s="293">
        <v>23010</v>
      </c>
      <c r="L2341" s="293">
        <v>24620</v>
      </c>
      <c r="M2341" s="293">
        <v>23540</v>
      </c>
      <c r="N2341" s="294">
        <v>20115</v>
      </c>
      <c r="O2341" s="295">
        <f>SUM(C2341:N2341)</f>
        <v>266310</v>
      </c>
      <c r="P2341" s="296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7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1" customFormat="1" ht="16.5" thickBot="1">
      <c r="A2342" s="357" t="s">
        <v>294</v>
      </c>
      <c r="B2342" s="358"/>
      <c r="C2342" s="298">
        <v>39937</v>
      </c>
      <c r="D2342" s="298">
        <v>41133</v>
      </c>
      <c r="E2342" s="298">
        <v>50054</v>
      </c>
      <c r="F2342" s="403">
        <v>49360</v>
      </c>
      <c r="G2342" s="298">
        <v>42387</v>
      </c>
      <c r="H2342" s="298">
        <v>39500</v>
      </c>
      <c r="I2342" s="410">
        <v>50510</v>
      </c>
      <c r="J2342" s="298">
        <v>52708</v>
      </c>
      <c r="K2342" s="298">
        <v>47959</v>
      </c>
      <c r="L2342" s="298">
        <v>50945</v>
      </c>
      <c r="M2342" s="298">
        <v>49160</v>
      </c>
      <c r="N2342" s="299">
        <v>41796</v>
      </c>
      <c r="O2342" s="295">
        <f t="shared" ref="O2342:O2347" si="43">SUM(C2342:N2342)</f>
        <v>555449</v>
      </c>
      <c r="P2342" s="296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7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0" customFormat="1" ht="24" customHeight="1" thickBot="1">
      <c r="A2343" s="332" t="s">
        <v>301</v>
      </c>
      <c r="B2343" s="374"/>
      <c r="C2343" s="375">
        <v>151185.55849999998</v>
      </c>
      <c r="D2343" s="300">
        <v>150483.54099999997</v>
      </c>
      <c r="E2343" s="300">
        <v>152791.69449999998</v>
      </c>
      <c r="F2343" s="300">
        <v>149425.33400000003</v>
      </c>
      <c r="G2343" s="300">
        <v>129761.55</v>
      </c>
      <c r="H2343" s="300">
        <v>144629.9375</v>
      </c>
      <c r="I2343" s="300">
        <v>129487.57699999999</v>
      </c>
      <c r="J2343" s="300">
        <v>159958</v>
      </c>
      <c r="K2343" s="300">
        <v>159958</v>
      </c>
      <c r="L2343" s="300">
        <v>154958</v>
      </c>
      <c r="M2343" s="300">
        <v>154958</v>
      </c>
      <c r="N2343" s="301">
        <v>154958</v>
      </c>
      <c r="O2343" s="295">
        <f t="shared" si="43"/>
        <v>1792555.1925000001</v>
      </c>
      <c r="P2343" s="296">
        <f t="shared" si="44"/>
        <v>0</v>
      </c>
      <c r="Q2343" s="297">
        <f t="shared" si="45"/>
        <v>0</v>
      </c>
      <c r="R2343" s="227"/>
      <c r="S2343" s="227"/>
      <c r="T2343" s="227"/>
      <c r="U2343" s="227"/>
      <c r="V2343" s="227"/>
      <c r="W2343" s="227"/>
      <c r="X2343" s="227"/>
      <c r="Y2343" s="1095"/>
      <c r="Z2343" s="1095"/>
    </row>
    <row r="2344" spans="1:26" s="233" customFormat="1" ht="15.75">
      <c r="A2344" s="359" t="s">
        <v>362</v>
      </c>
      <c r="B2344" s="360"/>
      <c r="C2344" s="1100"/>
      <c r="D2344" s="1100"/>
      <c r="E2344" s="1100"/>
      <c r="F2344" s="1100"/>
      <c r="G2344" s="1100"/>
      <c r="H2344" s="1100"/>
      <c r="I2344" s="1100"/>
      <c r="J2344" s="1100"/>
      <c r="K2344" s="1100"/>
      <c r="L2344" s="1100"/>
      <c r="M2344" s="1100"/>
      <c r="N2344" s="1101"/>
      <c r="O2344" s="295"/>
      <c r="P2344" s="296">
        <f t="shared" si="44"/>
        <v>0</v>
      </c>
      <c r="Q2344" s="297">
        <f t="shared" si="45"/>
        <v>0</v>
      </c>
      <c r="R2344" s="1099"/>
      <c r="S2344" s="1099"/>
      <c r="T2344" s="1099"/>
      <c r="U2344" s="1099"/>
      <c r="V2344" s="1099"/>
      <c r="W2344" s="1099"/>
      <c r="X2344" s="1099"/>
      <c r="Y2344" s="1099"/>
      <c r="Z2344" s="1099"/>
    </row>
    <row r="2345" spans="1:26" s="233" customFormat="1" ht="18.75" customHeight="1">
      <c r="A2345" s="1102" t="s">
        <v>384</v>
      </c>
      <c r="B2345" s="1103" t="s">
        <v>385</v>
      </c>
      <c r="C2345" s="405">
        <v>251851.96799999999</v>
      </c>
      <c r="D2345" s="405">
        <v>206762.95199999999</v>
      </c>
      <c r="E2345" s="405">
        <v>284472.58400000003</v>
      </c>
      <c r="F2345" s="405">
        <v>317780.82400000002</v>
      </c>
      <c r="G2345" s="405">
        <v>260671.18400000001</v>
      </c>
      <c r="H2345" s="405">
        <v>382168</v>
      </c>
      <c r="I2345" s="405">
        <v>513680.41599999997</v>
      </c>
      <c r="J2345" s="406">
        <v>403913.79680000001</v>
      </c>
      <c r="K2345" s="405">
        <v>373659.23680000001</v>
      </c>
      <c r="L2345" s="405">
        <v>361405</v>
      </c>
      <c r="M2345" s="405">
        <v>313675.39679999999</v>
      </c>
      <c r="N2345" s="405">
        <v>314475.07680000004</v>
      </c>
      <c r="O2345" s="412">
        <f t="shared" si="43"/>
        <v>3984516.4352000002</v>
      </c>
      <c r="P2345" s="296">
        <f t="shared" si="44"/>
        <v>0</v>
      </c>
      <c r="Q2345" s="297">
        <f t="shared" si="45"/>
        <v>0</v>
      </c>
      <c r="R2345" s="1099"/>
      <c r="S2345" s="1099"/>
      <c r="T2345" s="1099"/>
      <c r="U2345" s="1099"/>
      <c r="V2345" s="1099"/>
      <c r="W2345" s="1099"/>
      <c r="X2345" s="1099"/>
      <c r="Y2345" s="1099"/>
      <c r="Z2345" s="1099"/>
    </row>
    <row r="2346" spans="1:26" s="233" customFormat="1" ht="18.75" customHeight="1">
      <c r="A2346" s="1102" t="s">
        <v>386</v>
      </c>
      <c r="B2346" s="1103" t="s">
        <v>385</v>
      </c>
      <c r="C2346" s="405">
        <v>153773.25599999999</v>
      </c>
      <c r="D2346" s="405">
        <v>135293.89439999999</v>
      </c>
      <c r="E2346" s="405">
        <v>180082.56</v>
      </c>
      <c r="F2346" s="405">
        <v>159894.0784</v>
      </c>
      <c r="G2346" s="405">
        <v>114021.32</v>
      </c>
      <c r="H2346" s="405">
        <v>167922.16</v>
      </c>
      <c r="I2346" s="405">
        <v>86107</v>
      </c>
      <c r="J2346" s="405">
        <v>158260.46880000003</v>
      </c>
      <c r="K2346" s="405">
        <v>154041.26080000002</v>
      </c>
      <c r="L2346" s="405">
        <v>185395</v>
      </c>
      <c r="M2346" s="405">
        <v>152958.6912</v>
      </c>
      <c r="N2346" s="405">
        <v>136536</v>
      </c>
      <c r="O2346" s="412">
        <f t="shared" si="43"/>
        <v>1784285.6896000002</v>
      </c>
      <c r="P2346" s="296">
        <f t="shared" si="44"/>
        <v>0</v>
      </c>
      <c r="Q2346" s="297">
        <f t="shared" si="45"/>
        <v>0</v>
      </c>
      <c r="R2346" s="1099"/>
      <c r="S2346" s="1099"/>
      <c r="T2346" s="1099"/>
      <c r="U2346" s="1099"/>
      <c r="V2346" s="1099"/>
      <c r="W2346" s="1099"/>
      <c r="X2346" s="1099"/>
      <c r="Y2346" s="1099"/>
      <c r="Z2346" s="1099"/>
    </row>
    <row r="2347" spans="1:26" s="233" customFormat="1" ht="18.75" customHeight="1">
      <c r="A2347" s="1102" t="s">
        <v>387</v>
      </c>
      <c r="B2347" s="1103" t="s">
        <v>385</v>
      </c>
      <c r="C2347" s="405">
        <v>174968</v>
      </c>
      <c r="D2347" s="405">
        <v>125003</v>
      </c>
      <c r="E2347" s="405">
        <v>156229</v>
      </c>
      <c r="F2347" s="405">
        <v>129750</v>
      </c>
      <c r="G2347" s="405">
        <v>56823</v>
      </c>
      <c r="H2347" s="405">
        <v>61052</v>
      </c>
      <c r="I2347" s="405">
        <v>79206</v>
      </c>
      <c r="J2347" s="405">
        <v>76738</v>
      </c>
      <c r="K2347" s="405">
        <v>89018</v>
      </c>
      <c r="L2347" s="405">
        <v>115999</v>
      </c>
      <c r="M2347" s="405">
        <v>109643</v>
      </c>
      <c r="N2347" s="405">
        <v>124108</v>
      </c>
      <c r="O2347" s="412">
        <f t="shared" si="43"/>
        <v>1298537</v>
      </c>
      <c r="P2347" s="296">
        <f t="shared" si="44"/>
        <v>0</v>
      </c>
      <c r="Q2347" s="297">
        <f t="shared" si="45"/>
        <v>0</v>
      </c>
      <c r="R2347" s="1099"/>
      <c r="S2347" s="1099"/>
      <c r="T2347" s="1099"/>
      <c r="U2347" s="1099"/>
      <c r="V2347" s="1099"/>
      <c r="W2347" s="1099"/>
      <c r="X2347" s="1099"/>
      <c r="Y2347" s="1099"/>
      <c r="Z2347" s="1099"/>
    </row>
    <row r="2348" spans="1:26" s="233" customFormat="1" ht="18.75" customHeight="1" thickBot="1">
      <c r="A2348" s="1102" t="s">
        <v>388</v>
      </c>
      <c r="B2348" s="1103" t="s">
        <v>385</v>
      </c>
      <c r="C2348" s="407">
        <v>0</v>
      </c>
      <c r="D2348" s="407">
        <v>0</v>
      </c>
      <c r="E2348" s="407">
        <v>0</v>
      </c>
      <c r="F2348" s="407">
        <v>0</v>
      </c>
      <c r="G2348" s="407">
        <v>0</v>
      </c>
      <c r="H2348" s="407">
        <v>0</v>
      </c>
      <c r="I2348" s="407">
        <v>0</v>
      </c>
      <c r="J2348" s="407">
        <v>0</v>
      </c>
      <c r="K2348" s="407">
        <v>0</v>
      </c>
      <c r="L2348" s="407">
        <v>0</v>
      </c>
      <c r="M2348" s="407">
        <v>0</v>
      </c>
      <c r="N2348" s="407">
        <v>0</v>
      </c>
      <c r="O2348" s="305">
        <f>SUM(C2348:N2348)</f>
        <v>0</v>
      </c>
      <c r="P2348" s="296">
        <f t="shared" si="44"/>
        <v>0</v>
      </c>
      <c r="Q2348" s="297">
        <f t="shared" si="45"/>
        <v>0</v>
      </c>
      <c r="R2348" s="1099"/>
      <c r="S2348" s="1099"/>
      <c r="T2348" s="1099"/>
      <c r="U2348" s="1099"/>
      <c r="V2348" s="1099"/>
      <c r="W2348" s="1099"/>
      <c r="X2348" s="1099"/>
      <c r="Y2348" s="1099"/>
      <c r="Z2348" s="1099"/>
    </row>
    <row r="2349" spans="1:26" s="234" customFormat="1" ht="21.75" customHeight="1" thickTop="1" thickBot="1">
      <c r="A2349" s="408" t="s">
        <v>306</v>
      </c>
      <c r="B2349" s="362"/>
      <c r="C2349" s="306">
        <f>SUM(C2345:C2348)</f>
        <v>580593.22399999993</v>
      </c>
      <c r="D2349" s="306">
        <f t="shared" ref="D2349:N2349" si="46">SUM(D2345:D2348)</f>
        <v>467059.84639999998</v>
      </c>
      <c r="E2349" s="306">
        <f t="shared" si="46"/>
        <v>620784.14400000009</v>
      </c>
      <c r="F2349" s="306">
        <f t="shared" si="46"/>
        <v>607424.90240000002</v>
      </c>
      <c r="G2349" s="306">
        <f t="shared" si="46"/>
        <v>431515.50400000002</v>
      </c>
      <c r="H2349" s="306">
        <f t="shared" si="46"/>
        <v>611142.16</v>
      </c>
      <c r="I2349" s="306">
        <f t="shared" si="46"/>
        <v>678993.41599999997</v>
      </c>
      <c r="J2349" s="306">
        <f t="shared" si="46"/>
        <v>638912.26560000004</v>
      </c>
      <c r="K2349" s="306">
        <f t="shared" si="46"/>
        <v>616718.4976</v>
      </c>
      <c r="L2349" s="306">
        <f t="shared" si="46"/>
        <v>662799</v>
      </c>
      <c r="M2349" s="306">
        <f t="shared" si="46"/>
        <v>576277.08799999999</v>
      </c>
      <c r="N2349" s="307">
        <f t="shared" si="46"/>
        <v>575119.07680000004</v>
      </c>
      <c r="O2349" s="308">
        <f>SUM(O2345:O2348)</f>
        <v>7067339.1248000003</v>
      </c>
      <c r="P2349" s="296">
        <f t="shared" si="44"/>
        <v>0</v>
      </c>
      <c r="Q2349" s="297">
        <f t="shared" si="45"/>
        <v>0</v>
      </c>
    </row>
    <row r="2350" spans="1:26" ht="6" customHeight="1" thickTop="1" thickBot="1">
      <c r="A2350" s="351"/>
      <c r="B2350" s="352"/>
      <c r="C2350" s="1096"/>
      <c r="D2350" s="1096"/>
      <c r="E2350" s="1096"/>
      <c r="F2350" s="1096"/>
      <c r="G2350" s="1096"/>
      <c r="H2350" s="1096"/>
      <c r="I2350" s="1096"/>
      <c r="J2350" s="1096"/>
      <c r="K2350" s="1096"/>
      <c r="L2350" s="1096"/>
      <c r="M2350" s="1096"/>
      <c r="N2350" s="1096"/>
      <c r="O2350" s="289"/>
      <c r="P2350" s="296">
        <f t="shared" si="44"/>
        <v>0</v>
      </c>
      <c r="Q2350" s="297">
        <f t="shared" si="45"/>
        <v>0</v>
      </c>
      <c r="R2350" s="912"/>
      <c r="S2350" s="912"/>
      <c r="T2350" s="912"/>
      <c r="U2350" s="912"/>
      <c r="V2350" s="912"/>
      <c r="W2350" s="912"/>
      <c r="X2350" s="912"/>
      <c r="Y2350" s="912"/>
      <c r="Z2350" s="912"/>
    </row>
    <row r="2351" spans="1:26" s="230" customFormat="1" ht="17.25" thickTop="1" thickBot="1">
      <c r="A2351" s="363" t="s">
        <v>351</v>
      </c>
      <c r="B2351" s="364"/>
      <c r="C2351" s="372">
        <v>211575.87112500001</v>
      </c>
      <c r="D2351" s="372">
        <v>250003.07508749995</v>
      </c>
      <c r="E2351" s="372">
        <v>278282.91851250001</v>
      </c>
      <c r="F2351" s="372">
        <v>307644.61812499998</v>
      </c>
      <c r="G2351" s="372">
        <v>261781.40146249998</v>
      </c>
      <c r="H2351" s="372">
        <v>299915.0889875</v>
      </c>
      <c r="I2351" s="372">
        <v>343490.56154999998</v>
      </c>
      <c r="J2351" s="372">
        <v>369265.72249999997</v>
      </c>
      <c r="K2351" s="401">
        <v>384376.44624999998</v>
      </c>
      <c r="L2351" s="372">
        <v>351497.72625000001</v>
      </c>
      <c r="M2351" s="372">
        <v>324173.57750000001</v>
      </c>
      <c r="N2351" s="373">
        <v>334203.03000000003</v>
      </c>
      <c r="O2351" s="309">
        <f>SUM(C2351:N2351)</f>
        <v>3716210.0373499999</v>
      </c>
      <c r="P2351" s="296">
        <f t="shared" si="44"/>
        <v>0</v>
      </c>
      <c r="Q2351" s="297">
        <f t="shared" si="45"/>
        <v>0</v>
      </c>
      <c r="R2351" s="227"/>
      <c r="S2351" s="227"/>
      <c r="T2351" s="227"/>
      <c r="U2351" s="227"/>
      <c r="V2351" s="227"/>
      <c r="W2351" s="227"/>
      <c r="X2351" s="227"/>
      <c r="Y2351" s="1095"/>
      <c r="Z2351" s="1095"/>
    </row>
    <row r="2352" spans="1:26" s="230" customFormat="1" ht="17.25" thickTop="1" thickBot="1">
      <c r="A2352" s="365" t="s">
        <v>352</v>
      </c>
      <c r="B2352" s="339"/>
      <c r="C2352" s="271">
        <f>C2343+C2351</f>
        <v>362761.42962499999</v>
      </c>
      <c r="D2352" s="271">
        <f t="shared" ref="D2352:N2352" si="47">D2343+D2351</f>
        <v>400486.61608749989</v>
      </c>
      <c r="E2352" s="271">
        <f t="shared" si="47"/>
        <v>431074.61301249999</v>
      </c>
      <c r="F2352" s="271">
        <f t="shared" si="47"/>
        <v>457069.95212500001</v>
      </c>
      <c r="G2352" s="271">
        <f t="shared" si="47"/>
        <v>391542.95146249997</v>
      </c>
      <c r="H2352" s="271">
        <f t="shared" si="47"/>
        <v>444545.0264875</v>
      </c>
      <c r="I2352" s="271">
        <f t="shared" si="47"/>
        <v>472978.13854999997</v>
      </c>
      <c r="J2352" s="271">
        <f t="shared" si="47"/>
        <v>529223.72249999992</v>
      </c>
      <c r="K2352" s="271">
        <f t="shared" si="47"/>
        <v>544334.44625000004</v>
      </c>
      <c r="L2352" s="271">
        <f t="shared" si="47"/>
        <v>506455.72625000001</v>
      </c>
      <c r="M2352" s="271">
        <f t="shared" si="47"/>
        <v>479131.57750000001</v>
      </c>
      <c r="N2352" s="310">
        <f t="shared" si="47"/>
        <v>489161.03</v>
      </c>
      <c r="O2352" s="309">
        <f>SUM(C2352:N2352)</f>
        <v>5508765.2298499998</v>
      </c>
      <c r="P2352" s="296">
        <f t="shared" si="44"/>
        <v>0</v>
      </c>
      <c r="Q2352" s="297">
        <f t="shared" si="45"/>
        <v>0</v>
      </c>
      <c r="R2352" s="227"/>
      <c r="S2352" s="227"/>
      <c r="T2352" s="227"/>
      <c r="U2352" s="227"/>
      <c r="V2352" s="227"/>
      <c r="W2352" s="227"/>
      <c r="X2352" s="227"/>
      <c r="Y2352" s="1095"/>
      <c r="Z2352" s="1095"/>
    </row>
    <row r="2353" spans="1:26" s="230" customFormat="1" ht="19.5" customHeight="1" thickBot="1">
      <c r="A2353" s="366" t="s">
        <v>353</v>
      </c>
      <c r="B2353" s="367"/>
      <c r="C2353" s="311">
        <f>C2349+C2352</f>
        <v>943354.65362499992</v>
      </c>
      <c r="D2353" s="311">
        <f t="shared" ref="D2353:N2353" si="48">D2349+D2352</f>
        <v>867546.46248749993</v>
      </c>
      <c r="E2353" s="311">
        <f t="shared" si="48"/>
        <v>1051858.7570125</v>
      </c>
      <c r="F2353" s="311">
        <f t="shared" si="48"/>
        <v>1064494.8545250001</v>
      </c>
      <c r="G2353" s="311">
        <f t="shared" si="48"/>
        <v>823058.45546249999</v>
      </c>
      <c r="H2353" s="311">
        <f t="shared" si="48"/>
        <v>1055687.1864875001</v>
      </c>
      <c r="I2353" s="311">
        <f t="shared" si="48"/>
        <v>1151971.55455</v>
      </c>
      <c r="J2353" s="311">
        <f t="shared" si="48"/>
        <v>1168135.9881</v>
      </c>
      <c r="K2353" s="311">
        <f t="shared" si="48"/>
        <v>1161052.9438499999</v>
      </c>
      <c r="L2353" s="311">
        <f t="shared" si="48"/>
        <v>1169254.7262500001</v>
      </c>
      <c r="M2353" s="311">
        <f t="shared" si="48"/>
        <v>1055408.6655000001</v>
      </c>
      <c r="N2353" s="312">
        <f t="shared" si="48"/>
        <v>1064280.1068000002</v>
      </c>
      <c r="O2353" s="313">
        <f>O2349+O2352</f>
        <v>12576104.35465</v>
      </c>
      <c r="P2353" s="296">
        <f t="shared" si="44"/>
        <v>0</v>
      </c>
      <c r="Q2353" s="297">
        <f t="shared" si="45"/>
        <v>0</v>
      </c>
      <c r="R2353" s="227"/>
      <c r="S2353" s="227"/>
      <c r="T2353" s="227"/>
      <c r="U2353" s="227"/>
      <c r="V2353" s="227"/>
      <c r="W2353" s="227"/>
      <c r="X2353" s="227"/>
      <c r="Y2353" s="1095"/>
      <c r="Z2353" s="1095"/>
    </row>
    <row r="2354" spans="1:26" ht="13.5" thickTop="1">
      <c r="A2354" s="351"/>
      <c r="B2354" s="352"/>
      <c r="C2354" s="1094"/>
      <c r="D2354" s="1094"/>
      <c r="E2354" s="1094"/>
      <c r="F2354" s="1094"/>
      <c r="G2354" s="1094"/>
      <c r="H2354" s="1094"/>
      <c r="I2354" s="1094"/>
      <c r="J2354" s="1094"/>
      <c r="K2354" s="1094"/>
      <c r="L2354" s="1094"/>
      <c r="M2354" s="1094"/>
      <c r="N2354" s="1094"/>
      <c r="O2354" s="1094"/>
      <c r="P2354" s="1094"/>
      <c r="Q2354" s="1094"/>
      <c r="R2354" s="1094"/>
      <c r="S2354" s="1094"/>
      <c r="T2354" s="10"/>
      <c r="U2354" s="912"/>
      <c r="V2354" s="912"/>
      <c r="W2354" s="912"/>
      <c r="X2354" s="912"/>
      <c r="Y2354" s="912"/>
      <c r="Z2354" s="912"/>
    </row>
    <row r="2355" spans="1:26" ht="21.75" customHeight="1">
      <c r="A2355" s="351"/>
      <c r="B2355" s="352"/>
      <c r="C2355" s="1094"/>
      <c r="D2355" s="1094"/>
      <c r="E2355" s="1094"/>
      <c r="F2355" s="1094"/>
      <c r="G2355" s="1094"/>
      <c r="H2355" s="219" t="s">
        <v>389</v>
      </c>
      <c r="I2355" s="222"/>
      <c r="J2355" s="1094"/>
      <c r="K2355" s="1094"/>
      <c r="L2355" s="1094"/>
      <c r="M2355" s="1094"/>
      <c r="N2355" s="1094"/>
      <c r="Q2355" s="912"/>
      <c r="R2355" s="912"/>
      <c r="S2355" s="912"/>
      <c r="T2355" s="912"/>
      <c r="U2355" s="912"/>
      <c r="V2355" s="912"/>
      <c r="W2355" s="912"/>
      <c r="X2355" s="912"/>
      <c r="Y2355" s="912"/>
      <c r="Z2355" s="912"/>
    </row>
    <row r="2356" spans="1:26" ht="13.5" thickBot="1">
      <c r="A2356" s="351"/>
      <c r="B2356" s="352"/>
      <c r="C2356" s="1094"/>
      <c r="D2356" s="1094"/>
      <c r="E2356" s="1094"/>
      <c r="F2356" s="1094"/>
      <c r="G2356" s="1094"/>
      <c r="H2356" s="1094"/>
      <c r="I2356" s="1094"/>
      <c r="J2356" s="1094"/>
      <c r="K2356" s="1094"/>
      <c r="L2356" s="1094"/>
      <c r="M2356" s="1094"/>
      <c r="N2356" s="1094"/>
      <c r="Q2356" s="912"/>
      <c r="R2356" s="912"/>
      <c r="S2356" s="912"/>
      <c r="T2356" s="912"/>
      <c r="U2356" s="912"/>
      <c r="V2356" s="912"/>
      <c r="W2356" s="912"/>
      <c r="X2356" s="912"/>
      <c r="Y2356" s="912"/>
      <c r="Z2356" s="912"/>
    </row>
    <row r="2357" spans="1:26" s="233" customFormat="1" ht="27.75" customHeight="1" thickTop="1" thickBot="1">
      <c r="A2357" s="353"/>
      <c r="B2357" s="354"/>
      <c r="C2357" s="290" t="s">
        <v>277</v>
      </c>
      <c r="D2357" s="290" t="s">
        <v>278</v>
      </c>
      <c r="E2357" s="290" t="s">
        <v>279</v>
      </c>
      <c r="F2357" s="290" t="s">
        <v>280</v>
      </c>
      <c r="G2357" s="290" t="s">
        <v>281</v>
      </c>
      <c r="H2357" s="290" t="s">
        <v>282</v>
      </c>
      <c r="I2357" s="290" t="s">
        <v>283</v>
      </c>
      <c r="J2357" s="290" t="s">
        <v>284</v>
      </c>
      <c r="K2357" s="290" t="s">
        <v>285</v>
      </c>
      <c r="L2357" s="290" t="s">
        <v>286</v>
      </c>
      <c r="M2357" s="290" t="s">
        <v>287</v>
      </c>
      <c r="N2357" s="291" t="s">
        <v>288</v>
      </c>
      <c r="O2357" s="240" t="s">
        <v>382</v>
      </c>
      <c r="P2357" s="292" t="s">
        <v>290</v>
      </c>
      <c r="Q2357" s="244" t="s">
        <v>383</v>
      </c>
      <c r="R2357" s="1099"/>
      <c r="S2357" s="1099"/>
      <c r="T2357" s="1099"/>
      <c r="U2357" s="1099"/>
      <c r="V2357" s="1099"/>
      <c r="W2357" s="1099"/>
      <c r="X2357" s="1099"/>
      <c r="Y2357" s="1099"/>
      <c r="Z2357" s="1099"/>
    </row>
    <row r="2358" spans="1:26" s="221" customFormat="1" ht="16.5" thickTop="1">
      <c r="A2358" s="355" t="s">
        <v>293</v>
      </c>
      <c r="B2358" s="356"/>
      <c r="C2358" s="293">
        <v>20360</v>
      </c>
      <c r="D2358" s="293">
        <v>20305</v>
      </c>
      <c r="E2358" s="293">
        <v>24265</v>
      </c>
      <c r="F2358" s="293">
        <v>23320</v>
      </c>
      <c r="G2358" s="293">
        <v>20055</v>
      </c>
      <c r="H2358" s="293">
        <v>19620</v>
      </c>
      <c r="I2358" s="293">
        <v>23700</v>
      </c>
      <c r="J2358" s="293">
        <v>24450</v>
      </c>
      <c r="K2358" s="293">
        <v>23010</v>
      </c>
      <c r="L2358" s="293">
        <v>24620</v>
      </c>
      <c r="M2358" s="293">
        <v>23540</v>
      </c>
      <c r="N2358" s="293">
        <v>20115</v>
      </c>
      <c r="O2358" s="295">
        <f>SUM(C2358:N2358)</f>
        <v>267360</v>
      </c>
      <c r="P2358" s="296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7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1" customFormat="1" ht="16.5" thickBot="1">
      <c r="A2359" s="357" t="s">
        <v>294</v>
      </c>
      <c r="B2359" s="358"/>
      <c r="C2359" s="293">
        <v>40313</v>
      </c>
      <c r="D2359" s="293">
        <v>40407</v>
      </c>
      <c r="E2359" s="293">
        <v>48045</v>
      </c>
      <c r="F2359" s="293">
        <v>49360</v>
      </c>
      <c r="G2359" s="293">
        <v>42387</v>
      </c>
      <c r="H2359" s="293">
        <v>39500</v>
      </c>
      <c r="I2359" s="293">
        <v>50510</v>
      </c>
      <c r="J2359" s="293">
        <v>52708</v>
      </c>
      <c r="K2359" s="293">
        <v>47959</v>
      </c>
      <c r="L2359" s="293">
        <v>50945</v>
      </c>
      <c r="M2359" s="293">
        <v>49160</v>
      </c>
      <c r="N2359" s="293">
        <v>41796</v>
      </c>
      <c r="O2359" s="295">
        <f>SUM(C2359:N2359)</f>
        <v>553090</v>
      </c>
      <c r="P2359" s="296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7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0" customFormat="1" ht="24" customHeight="1" thickBot="1">
      <c r="A2360" s="332" t="s">
        <v>301</v>
      </c>
      <c r="B2360" s="374"/>
      <c r="C2360" s="293">
        <v>151185.55849999998</v>
      </c>
      <c r="D2360" s="293">
        <v>150483.54099999997</v>
      </c>
      <c r="E2360" s="293">
        <v>152791.69449999998</v>
      </c>
      <c r="F2360" s="293">
        <v>149425.33400000003</v>
      </c>
      <c r="G2360" s="293">
        <v>129761.55</v>
      </c>
      <c r="H2360" s="293">
        <v>144629.9375</v>
      </c>
      <c r="I2360" s="293">
        <v>129487.57699999999</v>
      </c>
      <c r="J2360" s="293">
        <v>159958</v>
      </c>
      <c r="K2360" s="293">
        <v>159958</v>
      </c>
      <c r="L2360" s="293">
        <v>154958</v>
      </c>
      <c r="M2360" s="293">
        <v>154958</v>
      </c>
      <c r="N2360" s="293">
        <v>154958</v>
      </c>
      <c r="O2360" s="295">
        <f>SUM(C2360:N2360)</f>
        <v>1792555.1925000001</v>
      </c>
      <c r="P2360" s="296">
        <f t="shared" si="49"/>
        <v>0</v>
      </c>
      <c r="Q2360" s="297">
        <f t="shared" si="50"/>
        <v>0</v>
      </c>
      <c r="R2360" s="227"/>
      <c r="S2360" s="227"/>
      <c r="T2360" s="227"/>
      <c r="U2360" s="227"/>
      <c r="V2360" s="227"/>
      <c r="W2360" s="227"/>
      <c r="X2360" s="227"/>
      <c r="Y2360" s="1095"/>
      <c r="Z2360" s="1095"/>
    </row>
    <row r="2361" spans="1:26" s="233" customFormat="1" ht="15.75">
      <c r="A2361" s="359" t="s">
        <v>362</v>
      </c>
      <c r="B2361" s="360"/>
      <c r="C2361" s="293"/>
      <c r="D2361" s="293"/>
      <c r="E2361" s="293"/>
      <c r="F2361" s="293"/>
      <c r="G2361" s="293"/>
      <c r="H2361" s="293"/>
      <c r="I2361" s="293"/>
      <c r="J2361" s="293"/>
      <c r="K2361" s="293"/>
      <c r="L2361" s="293"/>
      <c r="M2361" s="293"/>
      <c r="N2361" s="293"/>
      <c r="O2361" s="302"/>
      <c r="P2361" s="296">
        <f t="shared" si="49"/>
        <v>0</v>
      </c>
      <c r="Q2361" s="297">
        <f t="shared" si="50"/>
        <v>0</v>
      </c>
      <c r="R2361" s="1099"/>
      <c r="S2361" s="1099"/>
      <c r="T2361" s="1099"/>
      <c r="U2361" s="1099"/>
      <c r="V2361" s="1099"/>
      <c r="W2361" s="1099"/>
      <c r="X2361" s="1099"/>
      <c r="Y2361" s="1099"/>
      <c r="Z2361" s="1099"/>
    </row>
    <row r="2362" spans="1:26" s="233" customFormat="1" ht="18.75" customHeight="1">
      <c r="A2362" s="1102" t="s">
        <v>384</v>
      </c>
      <c r="B2362" s="1103" t="s">
        <v>385</v>
      </c>
      <c r="C2362" s="293">
        <v>251851.96799999999</v>
      </c>
      <c r="D2362" s="293">
        <v>206762.95199999999</v>
      </c>
      <c r="E2362" s="293">
        <v>284472.58400000003</v>
      </c>
      <c r="F2362" s="293">
        <v>317780.82400000002</v>
      </c>
      <c r="G2362" s="293">
        <v>260671.18400000001</v>
      </c>
      <c r="H2362" s="293">
        <v>382168</v>
      </c>
      <c r="I2362" s="293">
        <v>513680.41599999997</v>
      </c>
      <c r="J2362" s="293">
        <v>403913.79680000001</v>
      </c>
      <c r="K2362" s="293">
        <v>373659.23680000001</v>
      </c>
      <c r="L2362" s="293">
        <v>361405</v>
      </c>
      <c r="M2362" s="293">
        <v>313675.39679999999</v>
      </c>
      <c r="N2362" s="293">
        <v>314475.07680000004</v>
      </c>
      <c r="O2362" s="305">
        <f>SUM(C2362:N2362)</f>
        <v>3984516.4352000002</v>
      </c>
      <c r="P2362" s="296">
        <f t="shared" si="49"/>
        <v>0</v>
      </c>
      <c r="Q2362" s="297">
        <f t="shared" si="50"/>
        <v>0</v>
      </c>
      <c r="R2362" s="1099"/>
      <c r="S2362" s="1099"/>
      <c r="T2362" s="1099"/>
      <c r="U2362" s="1099"/>
      <c r="V2362" s="1099"/>
      <c r="W2362" s="1099"/>
      <c r="X2362" s="1099"/>
      <c r="Y2362" s="1099"/>
      <c r="Z2362" s="1099"/>
    </row>
    <row r="2363" spans="1:26" s="233" customFormat="1" ht="18.75" customHeight="1">
      <c r="A2363" s="1102" t="s">
        <v>386</v>
      </c>
      <c r="B2363" s="1103" t="s">
        <v>385</v>
      </c>
      <c r="C2363" s="293">
        <v>153773.25599999999</v>
      </c>
      <c r="D2363" s="293">
        <v>135293.89439999999</v>
      </c>
      <c r="E2363" s="293">
        <v>180082.56</v>
      </c>
      <c r="F2363" s="293">
        <v>159894.0784</v>
      </c>
      <c r="G2363" s="293">
        <v>114021.32</v>
      </c>
      <c r="H2363" s="293">
        <v>167922.16</v>
      </c>
      <c r="I2363" s="293">
        <v>86107</v>
      </c>
      <c r="J2363" s="293">
        <v>158260.46880000003</v>
      </c>
      <c r="K2363" s="293">
        <v>154041.26080000002</v>
      </c>
      <c r="L2363" s="293">
        <v>185395</v>
      </c>
      <c r="M2363" s="293">
        <v>152958.6912</v>
      </c>
      <c r="N2363" s="293">
        <v>136536</v>
      </c>
      <c r="O2363" s="305">
        <f>SUM(C2363:N2363)</f>
        <v>1784285.6896000002</v>
      </c>
      <c r="P2363" s="296">
        <f t="shared" si="49"/>
        <v>0</v>
      </c>
      <c r="Q2363" s="297">
        <f t="shared" si="50"/>
        <v>0</v>
      </c>
      <c r="R2363" s="1099"/>
      <c r="S2363" s="1099"/>
      <c r="T2363" s="1099"/>
      <c r="U2363" s="1099"/>
      <c r="V2363" s="1099"/>
      <c r="W2363" s="1099"/>
      <c r="X2363" s="1099"/>
      <c r="Y2363" s="1099"/>
      <c r="Z2363" s="1099"/>
    </row>
    <row r="2364" spans="1:26" s="233" customFormat="1" ht="18.75" customHeight="1">
      <c r="A2364" s="1102" t="s">
        <v>387</v>
      </c>
      <c r="B2364" s="1103" t="s">
        <v>385</v>
      </c>
      <c r="C2364" s="293">
        <v>174968</v>
      </c>
      <c r="D2364" s="293">
        <v>125003</v>
      </c>
      <c r="E2364" s="293">
        <v>156229</v>
      </c>
      <c r="F2364" s="293">
        <v>129750</v>
      </c>
      <c r="G2364" s="293">
        <v>56823</v>
      </c>
      <c r="H2364" s="293">
        <v>61052</v>
      </c>
      <c r="I2364" s="293">
        <v>79206</v>
      </c>
      <c r="J2364" s="293">
        <v>76738</v>
      </c>
      <c r="K2364" s="293">
        <v>89018</v>
      </c>
      <c r="L2364" s="293">
        <v>115999</v>
      </c>
      <c r="M2364" s="293">
        <v>109643</v>
      </c>
      <c r="N2364" s="293">
        <v>124108</v>
      </c>
      <c r="O2364" s="305">
        <f>SUM(C2364:N2364)</f>
        <v>1298537</v>
      </c>
      <c r="P2364" s="296">
        <f t="shared" si="49"/>
        <v>0</v>
      </c>
      <c r="Q2364" s="297">
        <f t="shared" si="50"/>
        <v>0</v>
      </c>
      <c r="R2364" s="1099"/>
      <c r="S2364" s="1099"/>
      <c r="T2364" s="1099"/>
      <c r="U2364" s="1099"/>
      <c r="V2364" s="1099"/>
      <c r="W2364" s="1099"/>
      <c r="X2364" s="1099"/>
      <c r="Y2364" s="1099"/>
      <c r="Z2364" s="1099"/>
    </row>
    <row r="2365" spans="1:26" s="233" customFormat="1" ht="18.75" customHeight="1" thickBot="1">
      <c r="A2365" s="1102" t="s">
        <v>388</v>
      </c>
      <c r="B2365" s="1103" t="s">
        <v>385</v>
      </c>
      <c r="C2365" s="303">
        <v>0</v>
      </c>
      <c r="D2365" s="303">
        <v>0</v>
      </c>
      <c r="E2365" s="303">
        <v>0</v>
      </c>
      <c r="F2365" s="303">
        <v>0</v>
      </c>
      <c r="G2365" s="303">
        <v>0</v>
      </c>
      <c r="H2365" s="303">
        <v>0</v>
      </c>
      <c r="I2365" s="303">
        <v>0</v>
      </c>
      <c r="J2365" s="303">
        <v>0</v>
      </c>
      <c r="K2365" s="303">
        <v>0</v>
      </c>
      <c r="L2365" s="303">
        <v>0</v>
      </c>
      <c r="M2365" s="303">
        <v>0</v>
      </c>
      <c r="N2365" s="304">
        <v>0</v>
      </c>
      <c r="O2365" s="305">
        <f>SUM(C2365:N2365)</f>
        <v>0</v>
      </c>
      <c r="P2365" s="296">
        <f t="shared" si="49"/>
        <v>0</v>
      </c>
      <c r="Q2365" s="297">
        <f t="shared" si="50"/>
        <v>0</v>
      </c>
      <c r="R2365" s="1099"/>
      <c r="S2365" s="1099"/>
      <c r="T2365" s="1099"/>
      <c r="U2365" s="1099"/>
      <c r="V2365" s="1099"/>
      <c r="W2365" s="1099"/>
      <c r="X2365" s="1099"/>
      <c r="Y2365" s="1099"/>
      <c r="Z2365" s="1099"/>
    </row>
    <row r="2366" spans="1:26" s="234" customFormat="1" ht="21.75" customHeight="1" thickTop="1" thickBot="1">
      <c r="A2366" s="361" t="s">
        <v>306</v>
      </c>
      <c r="B2366" s="362"/>
      <c r="C2366" s="306">
        <f>SUM(C2362:C2365)</f>
        <v>580593.22399999993</v>
      </c>
      <c r="D2366" s="306">
        <f t="shared" ref="D2366:O2366" si="51">SUM(D2362:D2365)</f>
        <v>467059.84639999998</v>
      </c>
      <c r="E2366" s="306">
        <f t="shared" si="51"/>
        <v>620784.14400000009</v>
      </c>
      <c r="F2366" s="306">
        <f t="shared" si="51"/>
        <v>607424.90240000002</v>
      </c>
      <c r="G2366" s="306">
        <f t="shared" si="51"/>
        <v>431515.50400000002</v>
      </c>
      <c r="H2366" s="306">
        <f t="shared" si="51"/>
        <v>611142.16</v>
      </c>
      <c r="I2366" s="306">
        <f t="shared" si="51"/>
        <v>678993.41599999997</v>
      </c>
      <c r="J2366" s="306">
        <f t="shared" si="51"/>
        <v>638912.26560000004</v>
      </c>
      <c r="K2366" s="306">
        <f t="shared" si="51"/>
        <v>616718.4976</v>
      </c>
      <c r="L2366" s="306">
        <f t="shared" si="51"/>
        <v>662799</v>
      </c>
      <c r="M2366" s="306">
        <f t="shared" si="51"/>
        <v>576277.08799999999</v>
      </c>
      <c r="N2366" s="307">
        <f t="shared" si="51"/>
        <v>575119.07680000004</v>
      </c>
      <c r="O2366" s="308">
        <f t="shared" si="51"/>
        <v>7067339.1248000003</v>
      </c>
      <c r="P2366" s="296">
        <f t="shared" si="49"/>
        <v>0</v>
      </c>
      <c r="Q2366" s="297">
        <f t="shared" si="50"/>
        <v>0</v>
      </c>
    </row>
    <row r="2367" spans="1:26" ht="6" customHeight="1" thickTop="1" thickBot="1">
      <c r="A2367" s="351"/>
      <c r="B2367" s="352"/>
      <c r="C2367" s="1096"/>
      <c r="D2367" s="1096"/>
      <c r="E2367" s="1096"/>
      <c r="F2367" s="1096"/>
      <c r="G2367" s="1096"/>
      <c r="H2367" s="1096"/>
      <c r="I2367" s="1096"/>
      <c r="J2367" s="1096"/>
      <c r="K2367" s="1096"/>
      <c r="L2367" s="1096"/>
      <c r="M2367" s="1096"/>
      <c r="N2367" s="1096"/>
      <c r="O2367" s="289"/>
      <c r="P2367" s="296">
        <f t="shared" si="49"/>
        <v>0</v>
      </c>
      <c r="Q2367" s="297">
        <f t="shared" si="50"/>
        <v>0</v>
      </c>
      <c r="R2367" s="912"/>
      <c r="S2367" s="912"/>
      <c r="T2367" s="912"/>
      <c r="U2367" s="912"/>
      <c r="V2367" s="912"/>
      <c r="W2367" s="912"/>
      <c r="X2367" s="912"/>
      <c r="Y2367" s="912"/>
      <c r="Z2367" s="912"/>
    </row>
    <row r="2368" spans="1:26" s="230" customFormat="1" ht="17.25" thickTop="1" thickBot="1">
      <c r="A2368" s="363" t="s">
        <v>351</v>
      </c>
      <c r="B2368" s="364"/>
      <c r="C2368" s="309">
        <f t="shared" ref="C2368:H2368" si="52">C2351-33333.34</f>
        <v>178242.53112500001</v>
      </c>
      <c r="D2368" s="309">
        <f t="shared" si="52"/>
        <v>216669.73508749995</v>
      </c>
      <c r="E2368" s="309">
        <f t="shared" si="52"/>
        <v>244949.57851250001</v>
      </c>
      <c r="F2368" s="309">
        <f t="shared" si="52"/>
        <v>274311.27812499995</v>
      </c>
      <c r="G2368" s="309">
        <f t="shared" si="52"/>
        <v>228448.06146249999</v>
      </c>
      <c r="H2368" s="309">
        <f t="shared" si="52"/>
        <v>266581.74898749997</v>
      </c>
      <c r="I2368" s="309">
        <v>343490.56154999998</v>
      </c>
      <c r="J2368" s="309">
        <v>369265.72249999997</v>
      </c>
      <c r="K2368" s="309">
        <v>384376.44624999998</v>
      </c>
      <c r="L2368" s="309">
        <v>351497.72625000001</v>
      </c>
      <c r="M2368" s="309">
        <v>324173.57750000001</v>
      </c>
      <c r="N2368" s="309">
        <v>334203.03000000003</v>
      </c>
      <c r="O2368" s="309">
        <f>SUM(C2368:N2368)</f>
        <v>3516209.9973499998</v>
      </c>
      <c r="P2368" s="296">
        <f t="shared" si="49"/>
        <v>0</v>
      </c>
      <c r="Q2368" s="297">
        <f t="shared" si="50"/>
        <v>0</v>
      </c>
      <c r="R2368" s="227"/>
      <c r="S2368" s="227"/>
      <c r="T2368" s="227"/>
      <c r="U2368" s="227"/>
      <c r="V2368" s="227"/>
      <c r="W2368" s="227"/>
      <c r="X2368" s="227"/>
      <c r="Y2368" s="1095"/>
      <c r="Z2368" s="1095"/>
    </row>
    <row r="2369" spans="1:26" s="230" customFormat="1" ht="17.25" thickTop="1" thickBot="1">
      <c r="A2369" s="365" t="s">
        <v>352</v>
      </c>
      <c r="B2369" s="339"/>
      <c r="C2369" s="271">
        <f>C2360+C2368</f>
        <v>329428.08962500002</v>
      </c>
      <c r="D2369" s="271">
        <f>D2360+D2368</f>
        <v>367153.27608749992</v>
      </c>
      <c r="E2369" s="271">
        <f>E2360+E2368</f>
        <v>397741.27301250002</v>
      </c>
      <c r="F2369" s="271">
        <f t="shared" ref="F2369:N2369" si="53">F2360+F2368</f>
        <v>423736.61212499999</v>
      </c>
      <c r="G2369" s="271">
        <f t="shared" si="53"/>
        <v>358209.6114625</v>
      </c>
      <c r="H2369" s="271">
        <f t="shared" si="53"/>
        <v>411211.68648749997</v>
      </c>
      <c r="I2369" s="271">
        <f t="shared" si="53"/>
        <v>472978.13854999997</v>
      </c>
      <c r="J2369" s="271">
        <f t="shared" si="53"/>
        <v>529223.72249999992</v>
      </c>
      <c r="K2369" s="271">
        <f t="shared" si="53"/>
        <v>544334.44625000004</v>
      </c>
      <c r="L2369" s="271">
        <f t="shared" si="53"/>
        <v>506455.72625000001</v>
      </c>
      <c r="M2369" s="271">
        <f t="shared" si="53"/>
        <v>479131.57750000001</v>
      </c>
      <c r="N2369" s="310">
        <f t="shared" si="53"/>
        <v>489161.03</v>
      </c>
      <c r="O2369" s="309">
        <f>SUM(C2369:N2369)</f>
        <v>5308765.1898499997</v>
      </c>
      <c r="P2369" s="296">
        <f t="shared" si="49"/>
        <v>0</v>
      </c>
      <c r="Q2369" s="297">
        <f t="shared" si="50"/>
        <v>0</v>
      </c>
      <c r="R2369" s="227"/>
      <c r="S2369" s="227"/>
      <c r="T2369" s="227"/>
      <c r="U2369" s="227"/>
      <c r="V2369" s="227"/>
      <c r="W2369" s="227"/>
      <c r="X2369" s="227"/>
      <c r="Y2369" s="1095"/>
      <c r="Z2369" s="1095"/>
    </row>
    <row r="2370" spans="1:26" s="230" customFormat="1" ht="19.5" customHeight="1" thickBot="1">
      <c r="A2370" s="366" t="s">
        <v>353</v>
      </c>
      <c r="B2370" s="367"/>
      <c r="C2370" s="311">
        <f>C2366+C2369</f>
        <v>910021.31362499995</v>
      </c>
      <c r="D2370" s="311">
        <f t="shared" ref="D2370:O2370" si="54">D2366+D2369</f>
        <v>834213.12248749984</v>
      </c>
      <c r="E2370" s="311">
        <f>E2366+E2369</f>
        <v>1018525.4170125001</v>
      </c>
      <c r="F2370" s="311">
        <f>F2366+F2369</f>
        <v>1031161.514525</v>
      </c>
      <c r="G2370" s="311">
        <f t="shared" si="54"/>
        <v>789725.11546250002</v>
      </c>
      <c r="H2370" s="311">
        <f t="shared" si="54"/>
        <v>1022353.8464875</v>
      </c>
      <c r="I2370" s="311">
        <f t="shared" si="54"/>
        <v>1151971.55455</v>
      </c>
      <c r="J2370" s="311">
        <f t="shared" si="54"/>
        <v>1168135.9881</v>
      </c>
      <c r="K2370" s="311">
        <f t="shared" si="54"/>
        <v>1161052.9438499999</v>
      </c>
      <c r="L2370" s="311">
        <f t="shared" si="54"/>
        <v>1169254.7262500001</v>
      </c>
      <c r="M2370" s="311">
        <f t="shared" si="54"/>
        <v>1055408.6655000001</v>
      </c>
      <c r="N2370" s="312">
        <f t="shared" si="54"/>
        <v>1064280.1068000002</v>
      </c>
      <c r="O2370" s="313">
        <f t="shared" si="54"/>
        <v>12376104.314649999</v>
      </c>
      <c r="P2370" s="296">
        <f t="shared" si="49"/>
        <v>0</v>
      </c>
      <c r="Q2370" s="297">
        <f t="shared" si="50"/>
        <v>0</v>
      </c>
      <c r="R2370" s="227"/>
      <c r="S2370" s="227"/>
      <c r="T2370" s="227"/>
      <c r="U2370" s="227"/>
      <c r="V2370" s="227"/>
      <c r="W2370" s="227"/>
      <c r="X2370" s="227"/>
      <c r="Y2370" s="1095"/>
      <c r="Z2370" s="1095"/>
    </row>
    <row r="2371" spans="1:26" ht="13.5" thickTop="1">
      <c r="C2371" s="1094"/>
      <c r="D2371" s="1094"/>
      <c r="E2371" s="1094"/>
      <c r="F2371" s="1094"/>
      <c r="G2371" s="1094"/>
      <c r="H2371" s="1094"/>
      <c r="I2371" s="1094"/>
      <c r="J2371" s="1094"/>
      <c r="K2371" s="1094"/>
      <c r="L2371" s="1094"/>
      <c r="M2371" s="1094"/>
      <c r="N2371" s="1094"/>
      <c r="Q2371" s="912"/>
      <c r="R2371" s="912"/>
      <c r="S2371" s="912"/>
      <c r="T2371" s="912"/>
      <c r="U2371" s="912"/>
      <c r="V2371" s="912"/>
      <c r="W2371" s="912"/>
      <c r="X2371" s="912"/>
      <c r="Y2371" s="912"/>
      <c r="Z2371" s="91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11" zoomScaleSheetLayoutView="100" workbookViewId="0">
      <selection activeCell="J18" sqref="J18"/>
    </sheetView>
  </sheetViews>
  <sheetFormatPr defaultColWidth="9.140625" defaultRowHeight="12.75"/>
  <cols>
    <col min="1" max="1" width="9.140625" style="815"/>
    <col min="2" max="2" width="8.7109375" style="815" customWidth="1"/>
    <col min="3" max="3" width="22" style="815" customWidth="1"/>
    <col min="4" max="4" width="12.42578125" style="815" customWidth="1"/>
    <col min="5" max="5" width="15.42578125" style="815" customWidth="1"/>
    <col min="6" max="6" width="18.7109375" style="815" customWidth="1"/>
    <col min="7" max="7" width="22.5703125" style="815" customWidth="1"/>
    <col min="8" max="9" width="17" style="815" customWidth="1"/>
    <col min="10" max="10" width="16.7109375" style="815" customWidth="1"/>
    <col min="11" max="11" width="15.140625" style="815" customWidth="1"/>
    <col min="12" max="12" width="13.85546875" style="815" customWidth="1"/>
    <col min="13" max="13" width="14" style="815" customWidth="1"/>
    <col min="14" max="16384" width="9.140625" style="815"/>
  </cols>
  <sheetData>
    <row r="5" spans="2:13" ht="12.75" customHeight="1">
      <c r="B5" s="814"/>
      <c r="C5" s="814"/>
      <c r="D5" s="814"/>
      <c r="E5" s="814"/>
      <c r="F5" s="814"/>
      <c r="G5" s="814"/>
      <c r="H5" s="814"/>
      <c r="I5" s="814"/>
      <c r="J5" s="814"/>
      <c r="K5" s="814"/>
    </row>
    <row r="6" spans="2:13" ht="27">
      <c r="B6" s="814"/>
      <c r="C6" s="814"/>
      <c r="D6" s="814"/>
      <c r="E6" s="814" t="s">
        <v>390</v>
      </c>
      <c r="F6" s="816"/>
      <c r="G6" s="814"/>
      <c r="H6" s="817" t="str">
        <f>Elect!A1</f>
        <v>March</v>
      </c>
      <c r="I6" s="814"/>
      <c r="J6" s="814"/>
      <c r="K6" s="814"/>
    </row>
    <row r="9" spans="2:13" ht="13.5" customHeight="1">
      <c r="B9" s="1071" t="s">
        <v>391</v>
      </c>
      <c r="C9" s="1072"/>
      <c r="D9" s="1072"/>
      <c r="E9" s="1072"/>
      <c r="F9" s="1072"/>
      <c r="G9" s="1072"/>
      <c r="H9" s="1072"/>
      <c r="I9" s="1072"/>
      <c r="J9" s="1072"/>
      <c r="K9" s="1072"/>
      <c r="L9" s="1072"/>
      <c r="M9" s="1072"/>
    </row>
    <row r="10" spans="2:13" ht="13.5" customHeight="1" thickBot="1">
      <c r="B10" s="1073"/>
      <c r="C10" s="1074"/>
      <c r="D10" s="1074"/>
      <c r="E10" s="1074"/>
      <c r="F10" s="1074"/>
      <c r="G10" s="1074"/>
      <c r="H10" s="1074"/>
      <c r="I10" s="1074"/>
      <c r="J10" s="1074"/>
      <c r="K10" s="1074"/>
      <c r="L10" s="1074"/>
      <c r="M10" s="1074"/>
    </row>
    <row r="11" spans="2:13" ht="16.5" thickBot="1">
      <c r="B11" s="1083" t="s">
        <v>392</v>
      </c>
      <c r="C11" s="1083"/>
      <c r="D11" s="1083" t="s">
        <v>393</v>
      </c>
      <c r="E11" s="1083"/>
      <c r="F11" s="1083" t="s">
        <v>394</v>
      </c>
      <c r="G11" s="1083"/>
      <c r="H11" s="1081" t="s">
        <v>395</v>
      </c>
      <c r="I11" s="1082"/>
      <c r="J11" s="1081" t="s">
        <v>396</v>
      </c>
      <c r="K11" s="1082"/>
      <c r="L11" s="1081" t="s">
        <v>397</v>
      </c>
      <c r="M11" s="1082"/>
    </row>
    <row r="12" spans="2:13" ht="16.5" thickBot="1">
      <c r="B12" s="818" t="s">
        <v>398</v>
      </c>
      <c r="C12" s="818" t="s">
        <v>399</v>
      </c>
      <c r="D12" s="818" t="s">
        <v>398</v>
      </c>
      <c r="E12" s="818" t="s">
        <v>399</v>
      </c>
      <c r="F12" s="818" t="s">
        <v>398</v>
      </c>
      <c r="G12" s="818" t="s">
        <v>399</v>
      </c>
      <c r="H12" s="818" t="s">
        <v>398</v>
      </c>
      <c r="I12" s="818" t="s">
        <v>399</v>
      </c>
      <c r="J12" s="818" t="s">
        <v>398</v>
      </c>
      <c r="K12" s="818" t="s">
        <v>399</v>
      </c>
      <c r="L12" s="818" t="s">
        <v>398</v>
      </c>
      <c r="M12" s="818" t="s">
        <v>399</v>
      </c>
    </row>
    <row r="13" spans="2:13" ht="13.5" thickBot="1">
      <c r="B13" s="819">
        <f>Elect!AL37</f>
        <v>120066.73000000005</v>
      </c>
      <c r="C13" s="820">
        <f>(B13*1.15)+(2879*60*0.72)</f>
        <v>262449.53950000007</v>
      </c>
      <c r="D13" s="819">
        <f>Elect!J37</f>
        <v>133010</v>
      </c>
      <c r="E13" s="820">
        <f>(D13*1.15)+(573*60)+10000</f>
        <v>197341.5</v>
      </c>
      <c r="F13" s="819">
        <f>Elect!BC37</f>
        <v>310114.75999999995</v>
      </c>
      <c r="G13" s="820">
        <f>(F13*1.15)</f>
        <v>356631.97399999993</v>
      </c>
      <c r="H13" s="819">
        <f>Elect!Q37</f>
        <v>13890</v>
      </c>
      <c r="I13" s="820">
        <f>H13*1.6+1500</f>
        <v>23724</v>
      </c>
      <c r="J13" s="821">
        <f>B13+D13+F13+H13</f>
        <v>577081.49</v>
      </c>
      <c r="K13" s="822">
        <f>G13+E13+C13+I13</f>
        <v>840147.0135</v>
      </c>
      <c r="L13" s="821">
        <f>B13+F13</f>
        <v>430181.49</v>
      </c>
      <c r="M13" s="841">
        <f>C13+G13</f>
        <v>619081.5135</v>
      </c>
    </row>
    <row r="16" spans="2:13" ht="0.75" customHeight="1" thickBot="1">
      <c r="K16" s="815">
        <f>K18</f>
        <v>0</v>
      </c>
    </row>
    <row r="17" spans="4:11" ht="13.5" customHeight="1" thickBot="1">
      <c r="E17" s="1075" t="s">
        <v>400</v>
      </c>
      <c r="F17" s="1076"/>
      <c r="K17" s="822">
        <f>K13/J13</f>
        <v>1.4558550708323708</v>
      </c>
    </row>
    <row r="18" spans="4:11" ht="34.5" customHeight="1" thickBot="1">
      <c r="E18" s="1077"/>
      <c r="F18" s="1078"/>
    </row>
    <row r="19" spans="4:11" ht="13.5" thickBot="1">
      <c r="E19" s="823" t="s">
        <v>401</v>
      </c>
      <c r="F19" s="823" t="s">
        <v>399</v>
      </c>
    </row>
    <row r="20" spans="4:11" ht="13.5" thickBot="1">
      <c r="E20" s="1079">
        <f>Water!H38</f>
        <v>4769.34</v>
      </c>
      <c r="F20" s="1080">
        <f>E20*10</f>
        <v>47693.4</v>
      </c>
    </row>
    <row r="21" spans="4:11" ht="13.5" thickBot="1">
      <c r="E21" s="1079"/>
      <c r="F21" s="1080"/>
    </row>
    <row r="23" spans="4:11" ht="13.5" thickBot="1"/>
    <row r="24" spans="4:11" ht="13.5" thickBot="1">
      <c r="E24" s="1084" t="s">
        <v>402</v>
      </c>
      <c r="F24" s="1084"/>
    </row>
    <row r="25" spans="4:11" ht="11.25" customHeight="1" thickBot="1">
      <c r="E25" s="1084"/>
      <c r="F25" s="1084"/>
      <c r="H25" s="916"/>
    </row>
    <row r="26" spans="4:11" ht="13.5" thickBot="1">
      <c r="E26" s="823" t="s">
        <v>401</v>
      </c>
      <c r="F26" s="823" t="s">
        <v>399</v>
      </c>
    </row>
    <row r="27" spans="4:11" ht="13.5" thickBot="1">
      <c r="E27" s="1079">
        <f>Gas!C38</f>
        <v>26148.080000000002</v>
      </c>
      <c r="F27" s="1080">
        <f>E27*3.8</f>
        <v>99362.703999999998</v>
      </c>
    </row>
    <row r="28" spans="4:11" ht="13.5" thickBot="1">
      <c r="E28" s="1079"/>
      <c r="F28" s="1080"/>
    </row>
    <row r="30" spans="4:11" ht="13.5" thickBot="1"/>
    <row r="31" spans="4:11" ht="20.25">
      <c r="D31" s="1085" t="s">
        <v>403</v>
      </c>
      <c r="E31" s="1086"/>
      <c r="F31" s="1086"/>
      <c r="G31" s="1087"/>
      <c r="H31" s="824"/>
      <c r="I31" s="824"/>
    </row>
    <row r="32" spans="4:11" ht="21" thickBot="1">
      <c r="D32" s="1071"/>
      <c r="E32" s="1072"/>
      <c r="F32" s="1072"/>
      <c r="G32" s="1088"/>
      <c r="H32" s="824"/>
      <c r="I32" s="824"/>
    </row>
    <row r="33" spans="3:9" ht="13.5" thickBot="1">
      <c r="D33" s="825" t="s">
        <v>404</v>
      </c>
      <c r="E33" s="825" t="s">
        <v>405</v>
      </c>
      <c r="F33" s="825" t="s">
        <v>406</v>
      </c>
      <c r="G33" s="825" t="s">
        <v>399</v>
      </c>
      <c r="H33" s="826"/>
      <c r="I33" s="826"/>
    </row>
    <row r="34" spans="3:9" ht="13.5" thickBot="1">
      <c r="C34" s="922"/>
      <c r="D34" s="831">
        <f>Gas!D6</f>
        <v>219724</v>
      </c>
      <c r="E34" s="831">
        <f>Gas!D36</f>
        <v>231137</v>
      </c>
      <c r="F34" s="894">
        <f>Gas!E38</f>
        <v>8243.9000000000015</v>
      </c>
      <c r="G34" s="957">
        <f>F34*3.8</f>
        <v>31326.820000000003</v>
      </c>
      <c r="H34" s="828"/>
      <c r="I34" s="828"/>
    </row>
    <row r="35" spans="3:9" ht="18.75" thickBot="1">
      <c r="D35" s="1092" t="s">
        <v>407</v>
      </c>
      <c r="E35" s="1092"/>
      <c r="F35" s="1092"/>
      <c r="G35" s="957">
        <f>G34</f>
        <v>31326.820000000003</v>
      </c>
      <c r="H35" s="830"/>
      <c r="I35" s="830"/>
    </row>
    <row r="37" spans="3:9" ht="13.5" thickBot="1"/>
    <row r="38" spans="3:9" ht="20.25">
      <c r="D38" s="1085" t="s">
        <v>408</v>
      </c>
      <c r="E38" s="1086"/>
      <c r="F38" s="1086"/>
      <c r="G38" s="1087"/>
      <c r="H38" s="824"/>
      <c r="I38" s="824"/>
    </row>
    <row r="39" spans="3:9" ht="21" thickBot="1">
      <c r="D39" s="1071"/>
      <c r="E39" s="1072"/>
      <c r="F39" s="1072"/>
      <c r="G39" s="1088"/>
      <c r="H39" s="824"/>
      <c r="I39" s="824"/>
    </row>
    <row r="40" spans="3:9" ht="18.75" customHeight="1" thickBot="1">
      <c r="D40" s="825" t="s">
        <v>404</v>
      </c>
      <c r="E40" s="825" t="s">
        <v>405</v>
      </c>
      <c r="F40" s="825" t="s">
        <v>398</v>
      </c>
      <c r="G40" s="825" t="s">
        <v>399</v>
      </c>
      <c r="H40" s="826"/>
      <c r="I40" s="826"/>
    </row>
    <row r="41" spans="3:9" ht="13.5" thickBot="1">
      <c r="C41" s="827" t="s">
        <v>82</v>
      </c>
      <c r="D41" s="832">
        <f>Elect!V5</f>
        <v>85606</v>
      </c>
      <c r="E41" s="832">
        <f>Elect!V36</f>
        <v>89901</v>
      </c>
      <c r="F41" s="833">
        <f>E41-D41</f>
        <v>4295</v>
      </c>
      <c r="G41" s="822">
        <f>F41*1.15</f>
        <v>4939.25</v>
      </c>
      <c r="H41" s="834"/>
      <c r="I41" s="834"/>
    </row>
    <row r="42" spans="3:9" ht="13.5" thickBot="1">
      <c r="C42" s="827" t="s">
        <v>83</v>
      </c>
      <c r="D42" s="832">
        <f>Elect!X5</f>
        <v>160013</v>
      </c>
      <c r="E42" s="832">
        <f>Elect!X36</f>
        <v>167667</v>
      </c>
      <c r="F42" s="833">
        <f>E42-D42</f>
        <v>7654</v>
      </c>
      <c r="G42" s="822">
        <f>F42*1.15</f>
        <v>8802.0999999999985</v>
      </c>
      <c r="H42" s="834"/>
      <c r="I42" s="834"/>
    </row>
    <row r="43" spans="3:9" ht="18.75" thickBot="1">
      <c r="D43" s="1089" t="s">
        <v>407</v>
      </c>
      <c r="E43" s="1090"/>
      <c r="F43" s="1091"/>
      <c r="G43" s="829">
        <f>G42+G41</f>
        <v>13741.349999999999</v>
      </c>
      <c r="H43" s="830"/>
      <c r="I43" s="830"/>
    </row>
    <row r="44" spans="3:9">
      <c r="F44" s="835"/>
    </row>
    <row r="48" spans="3:9" ht="13.5" thickBot="1"/>
    <row r="49" spans="3:7">
      <c r="D49" s="1085" t="s">
        <v>409</v>
      </c>
      <c r="E49" s="1086"/>
      <c r="F49" s="1086"/>
      <c r="G49" s="1087"/>
    </row>
    <row r="50" spans="3:7" ht="13.5" thickBot="1">
      <c r="D50" s="1071"/>
      <c r="E50" s="1072"/>
      <c r="F50" s="1072"/>
      <c r="G50" s="1088"/>
    </row>
    <row r="51" spans="3:7" ht="13.5" thickBot="1">
      <c r="D51" s="825" t="s">
        <v>404</v>
      </c>
      <c r="E51" s="825" t="s">
        <v>405</v>
      </c>
      <c r="F51" s="825" t="s">
        <v>401</v>
      </c>
      <c r="G51" s="825" t="s">
        <v>399</v>
      </c>
    </row>
    <row r="52" spans="3:7" ht="13.5" thickBot="1">
      <c r="C52" s="827" t="s">
        <v>410</v>
      </c>
      <c r="D52" s="831">
        <f>Water!I6</f>
        <v>194</v>
      </c>
      <c r="E52" s="832">
        <f>Water!I37</f>
        <v>194</v>
      </c>
      <c r="F52" s="821">
        <f>E52-D52</f>
        <v>0</v>
      </c>
      <c r="G52" s="957">
        <f>F52*10</f>
        <v>0</v>
      </c>
    </row>
    <row r="53" spans="3:7" ht="13.5" thickBot="1">
      <c r="C53" s="827" t="s">
        <v>411</v>
      </c>
      <c r="D53" s="832">
        <f>Water!K6</f>
        <v>2443</v>
      </c>
      <c r="E53" s="832">
        <f>Water!K37</f>
        <v>2443</v>
      </c>
      <c r="F53" s="833">
        <f>E53-D53</f>
        <v>0</v>
      </c>
      <c r="G53" s="822">
        <f>F53*10</f>
        <v>0</v>
      </c>
    </row>
    <row r="54" spans="3:7" ht="18.75" thickBot="1">
      <c r="D54" s="1089" t="s">
        <v>407</v>
      </c>
      <c r="E54" s="1090"/>
      <c r="F54" s="1091"/>
      <c r="G54" s="829">
        <f>G52+G53</f>
        <v>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EF4E1C-60D5-46C1-9759-045BB1561E4E}"/>
</file>

<file path=customXml/itemProps2.xml><?xml version="1.0" encoding="utf-8"?>
<ds:datastoreItem xmlns:ds="http://schemas.openxmlformats.org/officeDocument/2006/customXml" ds:itemID="{08948062-4721-4F9C-BF1F-1CD33D65F738}"/>
</file>

<file path=customXml/itemProps3.xml><?xml version="1.0" encoding="utf-8"?>
<ds:datastoreItem xmlns:ds="http://schemas.openxmlformats.org/officeDocument/2006/customXml" ds:itemID="{1371B8FF-873C-4B88-A5EC-C32064AA60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2020-11-02T14:40:34Z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